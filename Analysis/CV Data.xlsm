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G_Analysis\"/>
    </mc:Choice>
  </mc:AlternateContent>
  <xr:revisionPtr revIDLastSave="0" documentId="13_ncr:1_{3D9BB8D9-8EB9-4102-A712-CC83B5D69884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Projections Data" sheetId="13" r:id="rId2"/>
    <sheet name="Current" sheetId="12" r:id="rId3"/>
    <sheet name="DaysSince100" sheetId="8" r:id="rId4"/>
    <sheet name="Country Summary" sheetId="14" r:id="rId5"/>
    <sheet name="CumulativeTotal" sheetId="3" r:id="rId6"/>
    <sheet name="CumulativeRecovered" sheetId="18" r:id="rId7"/>
    <sheet name="CumulativeDead" sheetId="19" r:id="rId8"/>
    <sheet name="RawDataTotal" sheetId="2" r:id="rId9"/>
    <sheet name="RawDataRecovered" sheetId="17" r:id="rId10"/>
    <sheet name="RawDataDead" sheetId="16" r:id="rId11"/>
  </sheets>
  <definedNames>
    <definedName name="_xlnm._FilterDatabase" localSheetId="5" hidden="1">CumulativeTotal!$A$1:$BA$1</definedName>
    <definedName name="_xlnm._FilterDatabase" localSheetId="3" hidden="1">DaysSince100!$B$1:$CU$1</definedName>
    <definedName name="_xlnm._FilterDatabase" localSheetId="1" hidden="1">'Projections Data'!$H$29:$O$29</definedName>
    <definedName name="xMax">Current!$S$8</definedName>
    <definedName name="xMax2">'Projections Data'!$C$29</definedName>
    <definedName name="xMax3">'Projections Data'!$D$29</definedName>
    <definedName name="xMin">Current!$S$7</definedName>
    <definedName name="xMin2">'Projections Data'!$C$28</definedName>
    <definedName name="xMin3">'Projections Data'!$D$28</definedName>
    <definedName name="yMax">Current!$S$5</definedName>
    <definedName name="yMax2">'Projections Data'!$C$26</definedName>
    <definedName name="yMax3">'Projections Data'!$D$26</definedName>
    <definedName name="yMin">Current!$S$4</definedName>
    <definedName name="yMin2">'Projections Data'!$C$25</definedName>
    <definedName name="yMin3">'Projections Data'!$D$25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15" l="1"/>
  <c r="H127" i="14"/>
  <c r="G127" i="14"/>
  <c r="B3" i="19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A3" i="19"/>
  <c r="BB3" i="19"/>
  <c r="BC3" i="19"/>
  <c r="BD3" i="19"/>
  <c r="BE3" i="19"/>
  <c r="BF3" i="19"/>
  <c r="H3" i="14" s="1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4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H4" i="14" s="1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5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H5" i="14" s="1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6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A6" i="19"/>
  <c r="BB6" i="19"/>
  <c r="BC6" i="19"/>
  <c r="BD6" i="19"/>
  <c r="BE6" i="19"/>
  <c r="BF6" i="19"/>
  <c r="H6" i="14" s="1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7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H7" i="14" s="1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8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A8" i="19"/>
  <c r="BB8" i="19"/>
  <c r="BC8" i="19"/>
  <c r="BD8" i="19"/>
  <c r="BE8" i="19"/>
  <c r="BF8" i="19"/>
  <c r="H8" i="14" s="1"/>
  <c r="BG8" i="19"/>
  <c r="BH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9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H9" i="14" s="1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10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H10" i="14" s="1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11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H11" i="14" s="1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12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H12" i="14" s="1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13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H13" i="14" s="1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14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H14" i="14" s="1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15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A15" i="19"/>
  <c r="BB15" i="19"/>
  <c r="BC15" i="19"/>
  <c r="BD15" i="19"/>
  <c r="BE15" i="19"/>
  <c r="BF15" i="19"/>
  <c r="H15" i="14" s="1"/>
  <c r="BG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16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H16" i="14" s="1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17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H17" i="14" s="1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18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H18" i="14" s="1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19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H19" i="14" s="1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20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H20" i="14" s="1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21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H21" i="14" s="1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22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H22" i="14" s="1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23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H23" i="14" s="1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24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H24" i="14" s="1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25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H25" i="14" s="1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26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H26" i="14" s="1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27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H27" i="14" s="1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28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H28" i="14" s="1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29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H29" i="14" s="1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30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H30" i="14" s="1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31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H31" i="14" s="1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32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H32" i="14" s="1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33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H33" i="14" s="1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34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H34" i="14" s="1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35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H35" i="14" s="1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36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H36" i="14" s="1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37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H37" i="14" s="1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38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H38" i="14" s="1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39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H39" i="14" s="1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40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H40" i="14" s="1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41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H41" i="14" s="1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42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H42" i="14" s="1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43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H43" i="14" s="1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44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H44" i="14" s="1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45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H45" i="14" s="1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46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H46" i="14" s="1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47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H47" i="14" s="1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48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H48" i="14" s="1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49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H49" i="14" s="1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50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H50" i="14" s="1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51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H51" i="14" s="1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52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H52" i="14" s="1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53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H53" i="14" s="1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54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H54" i="14" s="1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55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H55" i="14" s="1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56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H56" i="14" s="1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57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H57" i="14" s="1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58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H58" i="14" s="1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59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H59" i="14" s="1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60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H60" i="14" s="1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61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H61" i="14" s="1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62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H62" i="14" s="1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63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H63" i="14" s="1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64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H64" i="14" s="1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65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H65" i="14" s="1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66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H66" i="14" s="1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67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H67" i="14" s="1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68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H68" i="14" s="1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69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H69" i="14" s="1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70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H70" i="14" s="1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71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H71" i="14" s="1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72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H72" i="14" s="1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73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H73" i="14" s="1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74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H74" i="14" s="1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75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H75" i="14" s="1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76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H76" i="14" s="1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77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H77" i="14" s="1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78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H78" i="14" s="1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79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H79" i="14" s="1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80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H80" i="14" s="1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81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H81" i="14" s="1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82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H82" i="14" s="1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83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H83" i="14" s="1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84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H84" i="14" s="1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85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H85" i="14" s="1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86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H86" i="14" s="1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87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H87" i="14" s="1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88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H88" i="14" s="1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89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H89" i="14" s="1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90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H90" i="14" s="1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91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H91" i="14" s="1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92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H92" i="14" s="1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93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H93" i="14" s="1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94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H94" i="14" s="1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95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H95" i="14" s="1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96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H96" i="14" s="1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97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H97" i="14" s="1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98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H98" i="14" s="1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99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H99" i="14" s="1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100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H100" i="14" s="1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101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H101" i="14" s="1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102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H102" i="14" s="1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103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H103" i="14" s="1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104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H104" i="14" s="1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105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H105" i="14" s="1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106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H106" i="14" s="1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107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H107" i="14" s="1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108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H108" i="14" s="1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109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H109" i="14" s="1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110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H110" i="14" s="1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111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H111" i="14" s="1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112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H112" i="14" s="1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113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H113" i="14" s="1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114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H114" i="14" s="1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115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H115" i="14" s="1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116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H116" i="14" s="1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117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H117" i="14" s="1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118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H118" i="14" s="1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119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H119" i="14" s="1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120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H120" i="14" s="1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121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H121" i="14" s="1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122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H122" i="14" s="1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123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H123" i="14" s="1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124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H124" i="14" s="1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125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H125" i="14" s="1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126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H126" i="14" s="1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H2" i="14" s="1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B2" i="19"/>
  <c r="B3" i="18"/>
  <c r="C3" i="18"/>
  <c r="D3" i="18"/>
  <c r="E3" i="18"/>
  <c r="F3" i="18"/>
  <c r="G3" i="18"/>
  <c r="H3" i="18"/>
  <c r="I3" i="18"/>
  <c r="J3" i="18"/>
  <c r="K3" i="18"/>
  <c r="L3" i="18"/>
  <c r="M3" i="18"/>
  <c r="N3" i="18"/>
  <c r="O3" i="18"/>
  <c r="P3" i="18"/>
  <c r="Q3" i="18"/>
  <c r="R3" i="18"/>
  <c r="S3" i="18"/>
  <c r="T3" i="18"/>
  <c r="U3" i="18"/>
  <c r="V3" i="18"/>
  <c r="W3" i="18"/>
  <c r="X3" i="18"/>
  <c r="Y3" i="18"/>
  <c r="Z3" i="18"/>
  <c r="AA3" i="18"/>
  <c r="AB3" i="18"/>
  <c r="AC3" i="18"/>
  <c r="AD3" i="18"/>
  <c r="AE3" i="18"/>
  <c r="AF3" i="18"/>
  <c r="AG3" i="18"/>
  <c r="AH3" i="18"/>
  <c r="AI3" i="18"/>
  <c r="AJ3" i="18"/>
  <c r="AK3" i="18"/>
  <c r="AL3" i="18"/>
  <c r="AM3" i="18"/>
  <c r="AN3" i="18"/>
  <c r="AO3" i="18"/>
  <c r="AP3" i="18"/>
  <c r="AQ3" i="18"/>
  <c r="AR3" i="18"/>
  <c r="AS3" i="18"/>
  <c r="AT3" i="18"/>
  <c r="AU3" i="18"/>
  <c r="AV3" i="18"/>
  <c r="AW3" i="18"/>
  <c r="AX3" i="18"/>
  <c r="AY3" i="18"/>
  <c r="AZ3" i="18"/>
  <c r="BA3" i="18"/>
  <c r="BB3" i="18"/>
  <c r="BC3" i="18"/>
  <c r="BD3" i="18"/>
  <c r="BE3" i="18"/>
  <c r="BF3" i="18"/>
  <c r="G3" i="14" s="1"/>
  <c r="BG3" i="18"/>
  <c r="BH3" i="18"/>
  <c r="BI3" i="18"/>
  <c r="BJ3" i="18"/>
  <c r="BK3" i="18"/>
  <c r="BL3" i="18"/>
  <c r="BM3" i="18"/>
  <c r="BN3" i="18"/>
  <c r="BO3" i="18"/>
  <c r="BP3" i="18"/>
  <c r="BQ3" i="18"/>
  <c r="BR3" i="18"/>
  <c r="BS3" i="18"/>
  <c r="BT3" i="18"/>
  <c r="B4" i="18"/>
  <c r="C4" i="18"/>
  <c r="D4" i="18"/>
  <c r="E4" i="18"/>
  <c r="F4" i="18"/>
  <c r="G4" i="18"/>
  <c r="H4" i="18"/>
  <c r="I4" i="18"/>
  <c r="J4" i="18"/>
  <c r="K4" i="18"/>
  <c r="L4" i="18"/>
  <c r="M4" i="18"/>
  <c r="N4" i="18"/>
  <c r="O4" i="18"/>
  <c r="P4" i="18"/>
  <c r="Q4" i="18"/>
  <c r="R4" i="18"/>
  <c r="S4" i="18"/>
  <c r="T4" i="18"/>
  <c r="U4" i="18"/>
  <c r="V4" i="18"/>
  <c r="W4" i="18"/>
  <c r="X4" i="18"/>
  <c r="Y4" i="18"/>
  <c r="Z4" i="18"/>
  <c r="AA4" i="18"/>
  <c r="AB4" i="18"/>
  <c r="AC4" i="18"/>
  <c r="AD4" i="18"/>
  <c r="AE4" i="18"/>
  <c r="AF4" i="18"/>
  <c r="AG4" i="18"/>
  <c r="AH4" i="18"/>
  <c r="AI4" i="18"/>
  <c r="AJ4" i="18"/>
  <c r="AK4" i="18"/>
  <c r="AL4" i="18"/>
  <c r="AM4" i="18"/>
  <c r="AN4" i="18"/>
  <c r="AO4" i="18"/>
  <c r="AP4" i="18"/>
  <c r="AQ4" i="18"/>
  <c r="AR4" i="18"/>
  <c r="AS4" i="18"/>
  <c r="AT4" i="18"/>
  <c r="AU4" i="18"/>
  <c r="AV4" i="18"/>
  <c r="AW4" i="18"/>
  <c r="AX4" i="18"/>
  <c r="AY4" i="18"/>
  <c r="AZ4" i="18"/>
  <c r="BA4" i="18"/>
  <c r="BB4" i="18"/>
  <c r="BC4" i="18"/>
  <c r="BD4" i="18"/>
  <c r="BE4" i="18"/>
  <c r="BF4" i="18"/>
  <c r="G4" i="14" s="1"/>
  <c r="BG4" i="18"/>
  <c r="BH4" i="18"/>
  <c r="BI4" i="18"/>
  <c r="BJ4" i="18"/>
  <c r="BK4" i="18"/>
  <c r="BL4" i="18"/>
  <c r="BM4" i="18"/>
  <c r="BN4" i="18"/>
  <c r="BO4" i="18"/>
  <c r="BP4" i="18"/>
  <c r="BQ4" i="18"/>
  <c r="BR4" i="18"/>
  <c r="BS4" i="18"/>
  <c r="BT4" i="18"/>
  <c r="B5" i="18"/>
  <c r="C5" i="18"/>
  <c r="D5" i="18"/>
  <c r="E5" i="18"/>
  <c r="F5" i="18"/>
  <c r="G5" i="18"/>
  <c r="H5" i="18"/>
  <c r="I5" i="18"/>
  <c r="J5" i="18"/>
  <c r="K5" i="18"/>
  <c r="L5" i="18"/>
  <c r="M5" i="18"/>
  <c r="N5" i="18"/>
  <c r="O5" i="18"/>
  <c r="P5" i="18"/>
  <c r="Q5" i="18"/>
  <c r="R5" i="18"/>
  <c r="S5" i="18"/>
  <c r="T5" i="18"/>
  <c r="U5" i="18"/>
  <c r="V5" i="18"/>
  <c r="W5" i="18"/>
  <c r="X5" i="18"/>
  <c r="Y5" i="18"/>
  <c r="Z5" i="18"/>
  <c r="AA5" i="18"/>
  <c r="AB5" i="18"/>
  <c r="AC5" i="18"/>
  <c r="AD5" i="18"/>
  <c r="AE5" i="18"/>
  <c r="AF5" i="18"/>
  <c r="AG5" i="18"/>
  <c r="AH5" i="18"/>
  <c r="AI5" i="18"/>
  <c r="AJ5" i="18"/>
  <c r="AK5" i="18"/>
  <c r="AL5" i="18"/>
  <c r="AM5" i="18"/>
  <c r="AN5" i="18"/>
  <c r="AO5" i="18"/>
  <c r="AP5" i="18"/>
  <c r="AQ5" i="18"/>
  <c r="AR5" i="18"/>
  <c r="AS5" i="18"/>
  <c r="AT5" i="18"/>
  <c r="AU5" i="18"/>
  <c r="AV5" i="18"/>
  <c r="AW5" i="18"/>
  <c r="AX5" i="18"/>
  <c r="AY5" i="18"/>
  <c r="AZ5" i="18"/>
  <c r="BA5" i="18"/>
  <c r="BB5" i="18"/>
  <c r="BC5" i="18"/>
  <c r="BD5" i="18"/>
  <c r="BE5" i="18"/>
  <c r="BF5" i="18"/>
  <c r="G5" i="14" s="1"/>
  <c r="BG5" i="18"/>
  <c r="BH5" i="18"/>
  <c r="BI5" i="18"/>
  <c r="BJ5" i="18"/>
  <c r="BK5" i="18"/>
  <c r="BL5" i="18"/>
  <c r="BM5" i="18"/>
  <c r="BN5" i="18"/>
  <c r="BO5" i="18"/>
  <c r="BP5" i="18"/>
  <c r="BQ5" i="18"/>
  <c r="BR5" i="18"/>
  <c r="BS5" i="18"/>
  <c r="BT5" i="18"/>
  <c r="B6" i="18"/>
  <c r="C6" i="18"/>
  <c r="D6" i="18"/>
  <c r="E6" i="18"/>
  <c r="F6" i="18"/>
  <c r="G6" i="18"/>
  <c r="H6" i="18"/>
  <c r="I6" i="18"/>
  <c r="J6" i="18"/>
  <c r="K6" i="18"/>
  <c r="L6" i="18"/>
  <c r="M6" i="18"/>
  <c r="N6" i="18"/>
  <c r="O6" i="18"/>
  <c r="P6" i="18"/>
  <c r="Q6" i="18"/>
  <c r="R6" i="18"/>
  <c r="S6" i="18"/>
  <c r="T6" i="18"/>
  <c r="U6" i="18"/>
  <c r="V6" i="18"/>
  <c r="W6" i="18"/>
  <c r="X6" i="18"/>
  <c r="Y6" i="18"/>
  <c r="Z6" i="18"/>
  <c r="AA6" i="18"/>
  <c r="AB6" i="18"/>
  <c r="AC6" i="18"/>
  <c r="AD6" i="18"/>
  <c r="AE6" i="18"/>
  <c r="AF6" i="18"/>
  <c r="AG6" i="18"/>
  <c r="AH6" i="18"/>
  <c r="AI6" i="18"/>
  <c r="AJ6" i="18"/>
  <c r="AK6" i="18"/>
  <c r="AL6" i="18"/>
  <c r="AM6" i="18"/>
  <c r="AN6" i="18"/>
  <c r="AO6" i="18"/>
  <c r="AP6" i="18"/>
  <c r="AQ6" i="18"/>
  <c r="AR6" i="18"/>
  <c r="AS6" i="18"/>
  <c r="AT6" i="18"/>
  <c r="AU6" i="18"/>
  <c r="AV6" i="18"/>
  <c r="AW6" i="18"/>
  <c r="AX6" i="18"/>
  <c r="AY6" i="18"/>
  <c r="AZ6" i="18"/>
  <c r="BA6" i="18"/>
  <c r="BB6" i="18"/>
  <c r="BC6" i="18"/>
  <c r="BD6" i="18"/>
  <c r="BE6" i="18"/>
  <c r="BF6" i="18"/>
  <c r="G6" i="14" s="1"/>
  <c r="BG6" i="18"/>
  <c r="BH6" i="18"/>
  <c r="BI6" i="18"/>
  <c r="BJ6" i="18"/>
  <c r="BK6" i="18"/>
  <c r="BL6" i="18"/>
  <c r="BM6" i="18"/>
  <c r="BN6" i="18"/>
  <c r="BO6" i="18"/>
  <c r="BP6" i="18"/>
  <c r="BQ6" i="18"/>
  <c r="BR6" i="18"/>
  <c r="BS6" i="18"/>
  <c r="BT6" i="18"/>
  <c r="B7" i="18"/>
  <c r="C7" i="18"/>
  <c r="D7" i="18"/>
  <c r="E7" i="18"/>
  <c r="F7" i="18"/>
  <c r="G7" i="18"/>
  <c r="H7" i="18"/>
  <c r="I7" i="18"/>
  <c r="J7" i="18"/>
  <c r="K7" i="18"/>
  <c r="L7" i="18"/>
  <c r="M7" i="18"/>
  <c r="N7" i="18"/>
  <c r="O7" i="18"/>
  <c r="P7" i="18"/>
  <c r="Q7" i="18"/>
  <c r="R7" i="18"/>
  <c r="S7" i="18"/>
  <c r="T7" i="18"/>
  <c r="U7" i="18"/>
  <c r="V7" i="18"/>
  <c r="W7" i="18"/>
  <c r="X7" i="18"/>
  <c r="Y7" i="18"/>
  <c r="Z7" i="18"/>
  <c r="AA7" i="18"/>
  <c r="AB7" i="18"/>
  <c r="AC7" i="18"/>
  <c r="AD7" i="18"/>
  <c r="AE7" i="18"/>
  <c r="AF7" i="18"/>
  <c r="AG7" i="18"/>
  <c r="AH7" i="18"/>
  <c r="AI7" i="18"/>
  <c r="AJ7" i="18"/>
  <c r="AK7" i="18"/>
  <c r="AL7" i="18"/>
  <c r="AM7" i="18"/>
  <c r="AN7" i="18"/>
  <c r="AO7" i="18"/>
  <c r="AP7" i="18"/>
  <c r="AQ7" i="18"/>
  <c r="AR7" i="18"/>
  <c r="AS7" i="18"/>
  <c r="AT7" i="18"/>
  <c r="AU7" i="18"/>
  <c r="AV7" i="18"/>
  <c r="AW7" i="18"/>
  <c r="AX7" i="18"/>
  <c r="AY7" i="18"/>
  <c r="AZ7" i="18"/>
  <c r="BA7" i="18"/>
  <c r="BB7" i="18"/>
  <c r="BC7" i="18"/>
  <c r="BD7" i="18"/>
  <c r="BE7" i="18"/>
  <c r="BF7" i="18"/>
  <c r="G7" i="14" s="1"/>
  <c r="BG7" i="18"/>
  <c r="BH7" i="18"/>
  <c r="BI7" i="18"/>
  <c r="BJ7" i="18"/>
  <c r="BK7" i="18"/>
  <c r="BL7" i="18"/>
  <c r="BM7" i="18"/>
  <c r="BN7" i="18"/>
  <c r="BO7" i="18"/>
  <c r="BP7" i="18"/>
  <c r="BQ7" i="18"/>
  <c r="BR7" i="18"/>
  <c r="BS7" i="18"/>
  <c r="BT7" i="18"/>
  <c r="B8" i="18"/>
  <c r="C8" i="18"/>
  <c r="D8" i="18"/>
  <c r="E8" i="18"/>
  <c r="F8" i="18"/>
  <c r="G8" i="18"/>
  <c r="H8" i="18"/>
  <c r="I8" i="18"/>
  <c r="J8" i="18"/>
  <c r="K8" i="18"/>
  <c r="L8" i="18"/>
  <c r="M8" i="18"/>
  <c r="N8" i="18"/>
  <c r="O8" i="18"/>
  <c r="P8" i="18"/>
  <c r="Q8" i="18"/>
  <c r="R8" i="18"/>
  <c r="S8" i="18"/>
  <c r="T8" i="18"/>
  <c r="U8" i="18"/>
  <c r="V8" i="18"/>
  <c r="W8" i="18"/>
  <c r="X8" i="18"/>
  <c r="Y8" i="18"/>
  <c r="Z8" i="18"/>
  <c r="AA8" i="18"/>
  <c r="AB8" i="18"/>
  <c r="AC8" i="18"/>
  <c r="AD8" i="18"/>
  <c r="AE8" i="18"/>
  <c r="AF8" i="18"/>
  <c r="AG8" i="18"/>
  <c r="AH8" i="18"/>
  <c r="AI8" i="18"/>
  <c r="AJ8" i="18"/>
  <c r="AK8" i="18"/>
  <c r="AL8" i="18"/>
  <c r="AM8" i="18"/>
  <c r="AN8" i="18"/>
  <c r="AO8" i="18"/>
  <c r="AP8" i="18"/>
  <c r="AQ8" i="18"/>
  <c r="AR8" i="18"/>
  <c r="AS8" i="18"/>
  <c r="AT8" i="18"/>
  <c r="AU8" i="18"/>
  <c r="AV8" i="18"/>
  <c r="AW8" i="18"/>
  <c r="AX8" i="18"/>
  <c r="AY8" i="18"/>
  <c r="AZ8" i="18"/>
  <c r="BA8" i="18"/>
  <c r="BB8" i="18"/>
  <c r="BC8" i="18"/>
  <c r="BD8" i="18"/>
  <c r="BE8" i="18"/>
  <c r="BF8" i="18"/>
  <c r="G8" i="14" s="1"/>
  <c r="BG8" i="18"/>
  <c r="BH8" i="18"/>
  <c r="BI8" i="18"/>
  <c r="BJ8" i="18"/>
  <c r="BK8" i="18"/>
  <c r="BL8" i="18"/>
  <c r="BM8" i="18"/>
  <c r="BN8" i="18"/>
  <c r="BO8" i="18"/>
  <c r="BP8" i="18"/>
  <c r="BQ8" i="18"/>
  <c r="BR8" i="18"/>
  <c r="BS8" i="18"/>
  <c r="BT8" i="18"/>
  <c r="B9" i="18"/>
  <c r="C9" i="18"/>
  <c r="D9" i="18"/>
  <c r="E9" i="18"/>
  <c r="F9" i="18"/>
  <c r="G9" i="18"/>
  <c r="H9" i="18"/>
  <c r="I9" i="18"/>
  <c r="J9" i="18"/>
  <c r="K9" i="18"/>
  <c r="L9" i="18"/>
  <c r="M9" i="18"/>
  <c r="N9" i="18"/>
  <c r="O9" i="18"/>
  <c r="P9" i="18"/>
  <c r="Q9" i="18"/>
  <c r="R9" i="18"/>
  <c r="S9" i="18"/>
  <c r="T9" i="18"/>
  <c r="U9" i="18"/>
  <c r="V9" i="18"/>
  <c r="W9" i="18"/>
  <c r="X9" i="18"/>
  <c r="Y9" i="18"/>
  <c r="Z9" i="18"/>
  <c r="AA9" i="18"/>
  <c r="AB9" i="18"/>
  <c r="AC9" i="18"/>
  <c r="AD9" i="18"/>
  <c r="AE9" i="18"/>
  <c r="AF9" i="18"/>
  <c r="AG9" i="18"/>
  <c r="AH9" i="18"/>
  <c r="AI9" i="18"/>
  <c r="AJ9" i="18"/>
  <c r="AK9" i="18"/>
  <c r="AL9" i="18"/>
  <c r="AM9" i="18"/>
  <c r="AN9" i="18"/>
  <c r="AO9" i="18"/>
  <c r="AP9" i="18"/>
  <c r="AQ9" i="18"/>
  <c r="AR9" i="18"/>
  <c r="AS9" i="18"/>
  <c r="AT9" i="18"/>
  <c r="AU9" i="18"/>
  <c r="AV9" i="18"/>
  <c r="AW9" i="18"/>
  <c r="AX9" i="18"/>
  <c r="AY9" i="18"/>
  <c r="AZ9" i="18"/>
  <c r="BA9" i="18"/>
  <c r="BB9" i="18"/>
  <c r="BC9" i="18"/>
  <c r="BD9" i="18"/>
  <c r="BE9" i="18"/>
  <c r="BF9" i="18"/>
  <c r="G9" i="14" s="1"/>
  <c r="BG9" i="18"/>
  <c r="BH9" i="18"/>
  <c r="BI9" i="18"/>
  <c r="BJ9" i="18"/>
  <c r="BK9" i="18"/>
  <c r="BL9" i="18"/>
  <c r="BM9" i="18"/>
  <c r="BN9" i="18"/>
  <c r="BO9" i="18"/>
  <c r="BP9" i="18"/>
  <c r="BQ9" i="18"/>
  <c r="BR9" i="18"/>
  <c r="BS9" i="18"/>
  <c r="BT9" i="18"/>
  <c r="B10" i="18"/>
  <c r="C10" i="18"/>
  <c r="D10" i="18"/>
  <c r="E10" i="18"/>
  <c r="F10" i="18"/>
  <c r="G10" i="18"/>
  <c r="H10" i="18"/>
  <c r="I10" i="18"/>
  <c r="J10" i="18"/>
  <c r="K10" i="18"/>
  <c r="L10" i="18"/>
  <c r="M10" i="18"/>
  <c r="N10" i="18"/>
  <c r="O10" i="18"/>
  <c r="P10" i="18"/>
  <c r="Q10" i="18"/>
  <c r="R10" i="18"/>
  <c r="S10" i="18"/>
  <c r="T10" i="18"/>
  <c r="U10" i="18"/>
  <c r="V10" i="18"/>
  <c r="W10" i="18"/>
  <c r="X10" i="18"/>
  <c r="Y10" i="18"/>
  <c r="Z10" i="18"/>
  <c r="AA10" i="18"/>
  <c r="AB10" i="18"/>
  <c r="AC10" i="18"/>
  <c r="AD10" i="18"/>
  <c r="AE10" i="18"/>
  <c r="AF10" i="18"/>
  <c r="AG10" i="18"/>
  <c r="AH10" i="18"/>
  <c r="AI10" i="18"/>
  <c r="AJ10" i="18"/>
  <c r="AK10" i="18"/>
  <c r="AL10" i="18"/>
  <c r="AM10" i="18"/>
  <c r="AN10" i="18"/>
  <c r="AO10" i="18"/>
  <c r="AP10" i="18"/>
  <c r="AQ10" i="18"/>
  <c r="AR10" i="18"/>
  <c r="AS10" i="18"/>
  <c r="AT10" i="18"/>
  <c r="AU10" i="18"/>
  <c r="AV10" i="18"/>
  <c r="AW10" i="18"/>
  <c r="AX10" i="18"/>
  <c r="AY10" i="18"/>
  <c r="AZ10" i="18"/>
  <c r="BA10" i="18"/>
  <c r="BB10" i="18"/>
  <c r="BC10" i="18"/>
  <c r="BD10" i="18"/>
  <c r="BE10" i="18"/>
  <c r="BF10" i="18"/>
  <c r="G10" i="14" s="1"/>
  <c r="BG10" i="18"/>
  <c r="BH10" i="18"/>
  <c r="BI10" i="18"/>
  <c r="BJ10" i="18"/>
  <c r="BK10" i="18"/>
  <c r="BL10" i="18"/>
  <c r="BM10" i="18"/>
  <c r="BN10" i="18"/>
  <c r="BO10" i="18"/>
  <c r="BP10" i="18"/>
  <c r="BQ10" i="18"/>
  <c r="BR10" i="18"/>
  <c r="BS10" i="18"/>
  <c r="BT10" i="18"/>
  <c r="B11" i="18"/>
  <c r="C11" i="18"/>
  <c r="D11" i="18"/>
  <c r="E11" i="18"/>
  <c r="F11" i="18"/>
  <c r="G11" i="18"/>
  <c r="H11" i="18"/>
  <c r="I11" i="18"/>
  <c r="J11" i="18"/>
  <c r="K11" i="18"/>
  <c r="L11" i="18"/>
  <c r="M11" i="18"/>
  <c r="N11" i="18"/>
  <c r="O11" i="18"/>
  <c r="P11" i="18"/>
  <c r="Q11" i="18"/>
  <c r="R11" i="18"/>
  <c r="S11" i="18"/>
  <c r="T11" i="18"/>
  <c r="U11" i="18"/>
  <c r="V11" i="18"/>
  <c r="W11" i="18"/>
  <c r="X11" i="18"/>
  <c r="Y11" i="18"/>
  <c r="Z11" i="18"/>
  <c r="AA11" i="18"/>
  <c r="AB11" i="18"/>
  <c r="AC11" i="18"/>
  <c r="AD11" i="18"/>
  <c r="AE11" i="18"/>
  <c r="AF11" i="18"/>
  <c r="AG11" i="18"/>
  <c r="AH11" i="18"/>
  <c r="AI11" i="18"/>
  <c r="AJ11" i="18"/>
  <c r="AK11" i="18"/>
  <c r="AL11" i="18"/>
  <c r="AM11" i="18"/>
  <c r="AN11" i="18"/>
  <c r="AO11" i="18"/>
  <c r="AP11" i="18"/>
  <c r="AQ11" i="18"/>
  <c r="AR11" i="18"/>
  <c r="AS11" i="18"/>
  <c r="AT11" i="18"/>
  <c r="AU11" i="18"/>
  <c r="AV11" i="18"/>
  <c r="AW11" i="18"/>
  <c r="AX11" i="18"/>
  <c r="AY11" i="18"/>
  <c r="AZ11" i="18"/>
  <c r="BA11" i="18"/>
  <c r="BB11" i="18"/>
  <c r="BC11" i="18"/>
  <c r="BD11" i="18"/>
  <c r="BE11" i="18"/>
  <c r="BF11" i="18"/>
  <c r="G11" i="14" s="1"/>
  <c r="BG11" i="18"/>
  <c r="BH11" i="18"/>
  <c r="BI11" i="18"/>
  <c r="BJ11" i="18"/>
  <c r="BK11" i="18"/>
  <c r="BL11" i="18"/>
  <c r="BM11" i="18"/>
  <c r="BN11" i="18"/>
  <c r="BO11" i="18"/>
  <c r="BP11" i="18"/>
  <c r="BQ11" i="18"/>
  <c r="BR11" i="18"/>
  <c r="BS11" i="18"/>
  <c r="BT11" i="18"/>
  <c r="B12" i="18"/>
  <c r="C12" i="18"/>
  <c r="D12" i="18"/>
  <c r="E12" i="18"/>
  <c r="F12" i="18"/>
  <c r="G12" i="18"/>
  <c r="H12" i="18"/>
  <c r="I12" i="18"/>
  <c r="J12" i="18"/>
  <c r="K12" i="18"/>
  <c r="L12" i="18"/>
  <c r="M12" i="18"/>
  <c r="N12" i="18"/>
  <c r="O12" i="18"/>
  <c r="P12" i="18"/>
  <c r="Q12" i="18"/>
  <c r="R12" i="18"/>
  <c r="S12" i="18"/>
  <c r="T12" i="18"/>
  <c r="U12" i="18"/>
  <c r="V12" i="18"/>
  <c r="W12" i="18"/>
  <c r="X12" i="18"/>
  <c r="Y12" i="18"/>
  <c r="Z12" i="18"/>
  <c r="AA12" i="18"/>
  <c r="AB12" i="18"/>
  <c r="AC12" i="18"/>
  <c r="AD12" i="18"/>
  <c r="AE12" i="18"/>
  <c r="AF12" i="18"/>
  <c r="AG12" i="18"/>
  <c r="AH12" i="18"/>
  <c r="AI12" i="18"/>
  <c r="AJ12" i="18"/>
  <c r="AK12" i="18"/>
  <c r="AL12" i="18"/>
  <c r="AM12" i="18"/>
  <c r="AN12" i="18"/>
  <c r="AO12" i="18"/>
  <c r="AP12" i="18"/>
  <c r="AQ12" i="18"/>
  <c r="AR12" i="18"/>
  <c r="AS12" i="18"/>
  <c r="AT12" i="18"/>
  <c r="AU12" i="18"/>
  <c r="AV12" i="18"/>
  <c r="AW12" i="18"/>
  <c r="AX12" i="18"/>
  <c r="AY12" i="18"/>
  <c r="AZ12" i="18"/>
  <c r="BA12" i="18"/>
  <c r="BB12" i="18"/>
  <c r="BC12" i="18"/>
  <c r="BD12" i="18"/>
  <c r="BE12" i="18"/>
  <c r="BF12" i="18"/>
  <c r="G12" i="14" s="1"/>
  <c r="BG12" i="18"/>
  <c r="BH12" i="18"/>
  <c r="BI12" i="18"/>
  <c r="BJ12" i="18"/>
  <c r="BK12" i="18"/>
  <c r="BL12" i="18"/>
  <c r="BM12" i="18"/>
  <c r="BN12" i="18"/>
  <c r="BO12" i="18"/>
  <c r="BP12" i="18"/>
  <c r="BQ12" i="18"/>
  <c r="BR12" i="18"/>
  <c r="BS12" i="18"/>
  <c r="BT12" i="18"/>
  <c r="B13" i="18"/>
  <c r="C13" i="18"/>
  <c r="D13" i="18"/>
  <c r="E13" i="18"/>
  <c r="F13" i="18"/>
  <c r="G13" i="18"/>
  <c r="H13" i="18"/>
  <c r="I13" i="18"/>
  <c r="J13" i="18"/>
  <c r="K13" i="18"/>
  <c r="L13" i="18"/>
  <c r="M13" i="18"/>
  <c r="N13" i="18"/>
  <c r="O13" i="18"/>
  <c r="P13" i="18"/>
  <c r="Q13" i="18"/>
  <c r="R13" i="18"/>
  <c r="S13" i="18"/>
  <c r="T13" i="18"/>
  <c r="U13" i="18"/>
  <c r="V13" i="18"/>
  <c r="W13" i="18"/>
  <c r="X13" i="18"/>
  <c r="Y13" i="18"/>
  <c r="Z13" i="18"/>
  <c r="AA13" i="18"/>
  <c r="AB13" i="18"/>
  <c r="AC13" i="18"/>
  <c r="AD13" i="18"/>
  <c r="AE13" i="18"/>
  <c r="AF13" i="18"/>
  <c r="AG13" i="18"/>
  <c r="AH13" i="18"/>
  <c r="AI13" i="18"/>
  <c r="AJ13" i="18"/>
  <c r="AK13" i="18"/>
  <c r="AL13" i="18"/>
  <c r="AM13" i="18"/>
  <c r="AN13" i="18"/>
  <c r="AO13" i="18"/>
  <c r="AP13" i="18"/>
  <c r="AQ13" i="18"/>
  <c r="AR13" i="18"/>
  <c r="AS13" i="18"/>
  <c r="AT13" i="18"/>
  <c r="AU13" i="18"/>
  <c r="AV13" i="18"/>
  <c r="AW13" i="18"/>
  <c r="AX13" i="18"/>
  <c r="AY13" i="18"/>
  <c r="AZ13" i="18"/>
  <c r="BA13" i="18"/>
  <c r="BB13" i="18"/>
  <c r="BC13" i="18"/>
  <c r="BD13" i="18"/>
  <c r="BE13" i="18"/>
  <c r="BF13" i="18"/>
  <c r="G13" i="14" s="1"/>
  <c r="BG13" i="18"/>
  <c r="BH13" i="18"/>
  <c r="BI13" i="18"/>
  <c r="BJ13" i="18"/>
  <c r="BK13" i="18"/>
  <c r="BL13" i="18"/>
  <c r="BM13" i="18"/>
  <c r="BN13" i="18"/>
  <c r="BO13" i="18"/>
  <c r="BP13" i="18"/>
  <c r="BQ13" i="18"/>
  <c r="BR13" i="18"/>
  <c r="BS13" i="18"/>
  <c r="BT13" i="18"/>
  <c r="B14" i="18"/>
  <c r="C14" i="18"/>
  <c r="D14" i="18"/>
  <c r="E14" i="18"/>
  <c r="F14" i="18"/>
  <c r="G14" i="18"/>
  <c r="H14" i="18"/>
  <c r="I14" i="18"/>
  <c r="J14" i="18"/>
  <c r="K14" i="18"/>
  <c r="L14" i="18"/>
  <c r="M14" i="18"/>
  <c r="N14" i="18"/>
  <c r="O14" i="18"/>
  <c r="P14" i="18"/>
  <c r="Q14" i="18"/>
  <c r="R14" i="18"/>
  <c r="S14" i="18"/>
  <c r="T14" i="18"/>
  <c r="U14" i="18"/>
  <c r="V14" i="18"/>
  <c r="W14" i="18"/>
  <c r="X14" i="18"/>
  <c r="Y14" i="18"/>
  <c r="Z14" i="18"/>
  <c r="AA14" i="18"/>
  <c r="AB14" i="18"/>
  <c r="AC14" i="18"/>
  <c r="AD14" i="18"/>
  <c r="AE14" i="18"/>
  <c r="AF14" i="18"/>
  <c r="AG14" i="18"/>
  <c r="AH14" i="18"/>
  <c r="AI14" i="18"/>
  <c r="AJ14" i="18"/>
  <c r="AK14" i="18"/>
  <c r="AL14" i="18"/>
  <c r="AM14" i="18"/>
  <c r="AN14" i="18"/>
  <c r="AO14" i="18"/>
  <c r="AP14" i="18"/>
  <c r="AQ14" i="18"/>
  <c r="AR14" i="18"/>
  <c r="AS14" i="18"/>
  <c r="AT14" i="18"/>
  <c r="AU14" i="18"/>
  <c r="AV14" i="18"/>
  <c r="AW14" i="18"/>
  <c r="AX14" i="18"/>
  <c r="AY14" i="18"/>
  <c r="AZ14" i="18"/>
  <c r="BA14" i="18"/>
  <c r="BB14" i="18"/>
  <c r="BC14" i="18"/>
  <c r="BD14" i="18"/>
  <c r="BE14" i="18"/>
  <c r="BF14" i="18"/>
  <c r="G14" i="14" s="1"/>
  <c r="BG14" i="18"/>
  <c r="BH14" i="18"/>
  <c r="BI14" i="18"/>
  <c r="BJ14" i="18"/>
  <c r="BK14" i="18"/>
  <c r="BL14" i="18"/>
  <c r="BM14" i="18"/>
  <c r="BN14" i="18"/>
  <c r="BO14" i="18"/>
  <c r="BP14" i="18"/>
  <c r="BQ14" i="18"/>
  <c r="BR14" i="18"/>
  <c r="BS14" i="18"/>
  <c r="BT14" i="18"/>
  <c r="B15" i="18"/>
  <c r="C15" i="18"/>
  <c r="D15" i="18"/>
  <c r="E15" i="18"/>
  <c r="F15" i="18"/>
  <c r="G15" i="18"/>
  <c r="H15" i="18"/>
  <c r="I15" i="18"/>
  <c r="J15" i="18"/>
  <c r="K15" i="18"/>
  <c r="L15" i="18"/>
  <c r="M15" i="18"/>
  <c r="N15" i="18"/>
  <c r="O15" i="18"/>
  <c r="P15" i="18"/>
  <c r="Q15" i="18"/>
  <c r="R15" i="18"/>
  <c r="S15" i="18"/>
  <c r="T15" i="18"/>
  <c r="U15" i="18"/>
  <c r="V15" i="18"/>
  <c r="W15" i="18"/>
  <c r="X15" i="18"/>
  <c r="Y15" i="18"/>
  <c r="Z15" i="18"/>
  <c r="AA15" i="18"/>
  <c r="AB15" i="18"/>
  <c r="AC15" i="18"/>
  <c r="AD15" i="18"/>
  <c r="AE15" i="18"/>
  <c r="AF15" i="18"/>
  <c r="AG15" i="18"/>
  <c r="AH15" i="18"/>
  <c r="AI15" i="18"/>
  <c r="AJ15" i="18"/>
  <c r="AK15" i="18"/>
  <c r="AL15" i="18"/>
  <c r="AM15" i="18"/>
  <c r="AN15" i="18"/>
  <c r="AO15" i="18"/>
  <c r="AP15" i="18"/>
  <c r="AQ15" i="18"/>
  <c r="AR15" i="18"/>
  <c r="AS15" i="18"/>
  <c r="AT15" i="18"/>
  <c r="AU15" i="18"/>
  <c r="AV15" i="18"/>
  <c r="AW15" i="18"/>
  <c r="AX15" i="18"/>
  <c r="AY15" i="18"/>
  <c r="AZ15" i="18"/>
  <c r="BA15" i="18"/>
  <c r="BB15" i="18"/>
  <c r="BC15" i="18"/>
  <c r="BD15" i="18"/>
  <c r="BE15" i="18"/>
  <c r="BF15" i="18"/>
  <c r="G15" i="14" s="1"/>
  <c r="BG15" i="18"/>
  <c r="BH15" i="18"/>
  <c r="BI15" i="18"/>
  <c r="BJ15" i="18"/>
  <c r="BK15" i="18"/>
  <c r="BL15" i="18"/>
  <c r="BM15" i="18"/>
  <c r="BN15" i="18"/>
  <c r="BO15" i="18"/>
  <c r="BP15" i="18"/>
  <c r="BQ15" i="18"/>
  <c r="BR15" i="18"/>
  <c r="BS15" i="18"/>
  <c r="BT15" i="18"/>
  <c r="B16" i="18"/>
  <c r="C16" i="18"/>
  <c r="D16" i="18"/>
  <c r="E16" i="18"/>
  <c r="F16" i="18"/>
  <c r="G16" i="18"/>
  <c r="H16" i="18"/>
  <c r="I16" i="18"/>
  <c r="J16" i="18"/>
  <c r="K16" i="18"/>
  <c r="L16" i="18"/>
  <c r="M16" i="18"/>
  <c r="N16" i="18"/>
  <c r="O16" i="18"/>
  <c r="P16" i="18"/>
  <c r="Q16" i="18"/>
  <c r="R16" i="18"/>
  <c r="S16" i="18"/>
  <c r="T16" i="18"/>
  <c r="U16" i="18"/>
  <c r="V16" i="18"/>
  <c r="W16" i="18"/>
  <c r="X16" i="18"/>
  <c r="Y16" i="18"/>
  <c r="Z16" i="18"/>
  <c r="AA16" i="18"/>
  <c r="AB16" i="18"/>
  <c r="AC16" i="18"/>
  <c r="AD16" i="18"/>
  <c r="AE16" i="18"/>
  <c r="AF16" i="18"/>
  <c r="AG16" i="18"/>
  <c r="AH16" i="18"/>
  <c r="AI16" i="18"/>
  <c r="AJ16" i="18"/>
  <c r="AK16" i="18"/>
  <c r="AL16" i="18"/>
  <c r="AM16" i="18"/>
  <c r="AN16" i="18"/>
  <c r="AO16" i="18"/>
  <c r="AP16" i="18"/>
  <c r="AQ16" i="18"/>
  <c r="AR16" i="18"/>
  <c r="AS16" i="18"/>
  <c r="AT16" i="18"/>
  <c r="AU16" i="18"/>
  <c r="AV16" i="18"/>
  <c r="AW16" i="18"/>
  <c r="AX16" i="18"/>
  <c r="AY16" i="18"/>
  <c r="AZ16" i="18"/>
  <c r="BA16" i="18"/>
  <c r="BB16" i="18"/>
  <c r="BC16" i="18"/>
  <c r="BD16" i="18"/>
  <c r="BE16" i="18"/>
  <c r="BF16" i="18"/>
  <c r="G16" i="14" s="1"/>
  <c r="BG16" i="18"/>
  <c r="BH16" i="18"/>
  <c r="BI16" i="18"/>
  <c r="BJ16" i="18"/>
  <c r="BK16" i="18"/>
  <c r="BL16" i="18"/>
  <c r="BM16" i="18"/>
  <c r="BN16" i="18"/>
  <c r="BO16" i="18"/>
  <c r="BP16" i="18"/>
  <c r="BQ16" i="18"/>
  <c r="BR16" i="18"/>
  <c r="BS16" i="18"/>
  <c r="BT16" i="18"/>
  <c r="B17" i="18"/>
  <c r="C17" i="18"/>
  <c r="D17" i="18"/>
  <c r="E17" i="18"/>
  <c r="F17" i="18"/>
  <c r="G17" i="18"/>
  <c r="H17" i="18"/>
  <c r="I17" i="18"/>
  <c r="J17" i="18"/>
  <c r="K17" i="18"/>
  <c r="L17" i="18"/>
  <c r="M17" i="18"/>
  <c r="N17" i="18"/>
  <c r="O17" i="18"/>
  <c r="P17" i="18"/>
  <c r="Q17" i="18"/>
  <c r="R17" i="18"/>
  <c r="S17" i="18"/>
  <c r="T17" i="18"/>
  <c r="U17" i="18"/>
  <c r="V17" i="18"/>
  <c r="W17" i="18"/>
  <c r="X17" i="18"/>
  <c r="Y17" i="18"/>
  <c r="Z17" i="18"/>
  <c r="AA17" i="18"/>
  <c r="AB17" i="18"/>
  <c r="AC17" i="18"/>
  <c r="AD17" i="18"/>
  <c r="AE17" i="18"/>
  <c r="AF17" i="18"/>
  <c r="AG17" i="18"/>
  <c r="AH17" i="18"/>
  <c r="AI17" i="18"/>
  <c r="AJ17" i="18"/>
  <c r="AK17" i="18"/>
  <c r="AL17" i="18"/>
  <c r="AM17" i="18"/>
  <c r="AN17" i="18"/>
  <c r="AO17" i="18"/>
  <c r="AP17" i="18"/>
  <c r="AQ17" i="18"/>
  <c r="AR17" i="18"/>
  <c r="AS17" i="18"/>
  <c r="AT17" i="18"/>
  <c r="AU17" i="18"/>
  <c r="AV17" i="18"/>
  <c r="AW17" i="18"/>
  <c r="AX17" i="18"/>
  <c r="AY17" i="18"/>
  <c r="AZ17" i="18"/>
  <c r="BA17" i="18"/>
  <c r="BB17" i="18"/>
  <c r="BC17" i="18"/>
  <c r="BD17" i="18"/>
  <c r="BE17" i="18"/>
  <c r="BF17" i="18"/>
  <c r="G17" i="14" s="1"/>
  <c r="BG17" i="18"/>
  <c r="BH17" i="18"/>
  <c r="BI17" i="18"/>
  <c r="BJ17" i="18"/>
  <c r="BK17" i="18"/>
  <c r="BL17" i="18"/>
  <c r="BM17" i="18"/>
  <c r="BN17" i="18"/>
  <c r="BO17" i="18"/>
  <c r="BP17" i="18"/>
  <c r="BQ17" i="18"/>
  <c r="BR17" i="18"/>
  <c r="BS17" i="18"/>
  <c r="BT17" i="18"/>
  <c r="B18" i="18"/>
  <c r="C18" i="18"/>
  <c r="D18" i="18"/>
  <c r="E18" i="18"/>
  <c r="F18" i="18"/>
  <c r="G18" i="18"/>
  <c r="H18" i="18"/>
  <c r="I18" i="18"/>
  <c r="J18" i="18"/>
  <c r="K18" i="18"/>
  <c r="L18" i="18"/>
  <c r="M18" i="18"/>
  <c r="N18" i="18"/>
  <c r="O18" i="18"/>
  <c r="P18" i="18"/>
  <c r="Q18" i="18"/>
  <c r="R18" i="18"/>
  <c r="S18" i="18"/>
  <c r="T18" i="18"/>
  <c r="U18" i="18"/>
  <c r="V18" i="18"/>
  <c r="W18" i="18"/>
  <c r="X18" i="18"/>
  <c r="Y18" i="18"/>
  <c r="Z18" i="18"/>
  <c r="AA18" i="18"/>
  <c r="AB18" i="18"/>
  <c r="AC18" i="18"/>
  <c r="AD18" i="18"/>
  <c r="AE18" i="18"/>
  <c r="AF18" i="18"/>
  <c r="AG18" i="18"/>
  <c r="AH18" i="18"/>
  <c r="AI18" i="18"/>
  <c r="AJ18" i="18"/>
  <c r="AK18" i="18"/>
  <c r="AL18" i="18"/>
  <c r="AM18" i="18"/>
  <c r="AN18" i="18"/>
  <c r="AO18" i="18"/>
  <c r="AP18" i="18"/>
  <c r="AQ18" i="18"/>
  <c r="AR18" i="18"/>
  <c r="AS18" i="18"/>
  <c r="AT18" i="18"/>
  <c r="AU18" i="18"/>
  <c r="AV18" i="18"/>
  <c r="AW18" i="18"/>
  <c r="AX18" i="18"/>
  <c r="AY18" i="18"/>
  <c r="AZ18" i="18"/>
  <c r="BA18" i="18"/>
  <c r="BB18" i="18"/>
  <c r="BC18" i="18"/>
  <c r="BD18" i="18"/>
  <c r="BE18" i="18"/>
  <c r="BF18" i="18"/>
  <c r="G18" i="14" s="1"/>
  <c r="BG18" i="18"/>
  <c r="BH18" i="18"/>
  <c r="BI18" i="18"/>
  <c r="BJ18" i="18"/>
  <c r="BK18" i="18"/>
  <c r="BL18" i="18"/>
  <c r="BM18" i="18"/>
  <c r="BN18" i="18"/>
  <c r="BO18" i="18"/>
  <c r="BP18" i="18"/>
  <c r="BQ18" i="18"/>
  <c r="BR18" i="18"/>
  <c r="BS18" i="18"/>
  <c r="BT18" i="18"/>
  <c r="B19" i="18"/>
  <c r="C19" i="18"/>
  <c r="D19" i="18"/>
  <c r="E19" i="18"/>
  <c r="F19" i="18"/>
  <c r="G19" i="18"/>
  <c r="H19" i="18"/>
  <c r="I19" i="18"/>
  <c r="J19" i="18"/>
  <c r="K19" i="18"/>
  <c r="L19" i="18"/>
  <c r="M19" i="18"/>
  <c r="N19" i="18"/>
  <c r="O19" i="18"/>
  <c r="P19" i="18"/>
  <c r="Q19" i="18"/>
  <c r="R19" i="18"/>
  <c r="S19" i="18"/>
  <c r="T19" i="18"/>
  <c r="U19" i="18"/>
  <c r="V19" i="18"/>
  <c r="W19" i="18"/>
  <c r="X19" i="18"/>
  <c r="Y19" i="18"/>
  <c r="Z19" i="18"/>
  <c r="AA19" i="18"/>
  <c r="AB19" i="18"/>
  <c r="AC19" i="18"/>
  <c r="AD19" i="18"/>
  <c r="AE19" i="18"/>
  <c r="AF19" i="18"/>
  <c r="AG19" i="18"/>
  <c r="AH19" i="18"/>
  <c r="AI19" i="18"/>
  <c r="AJ19" i="18"/>
  <c r="AK19" i="18"/>
  <c r="AL19" i="18"/>
  <c r="AM19" i="18"/>
  <c r="AN19" i="18"/>
  <c r="AO19" i="18"/>
  <c r="AP19" i="18"/>
  <c r="AQ19" i="18"/>
  <c r="AR19" i="18"/>
  <c r="AS19" i="18"/>
  <c r="AT19" i="18"/>
  <c r="AU19" i="18"/>
  <c r="AV19" i="18"/>
  <c r="AW19" i="18"/>
  <c r="AX19" i="18"/>
  <c r="AY19" i="18"/>
  <c r="AZ19" i="18"/>
  <c r="BA19" i="18"/>
  <c r="BB19" i="18"/>
  <c r="BC19" i="18"/>
  <c r="BD19" i="18"/>
  <c r="BE19" i="18"/>
  <c r="BF19" i="18"/>
  <c r="G19" i="14" s="1"/>
  <c r="BG19" i="18"/>
  <c r="BH19" i="18"/>
  <c r="BI19" i="18"/>
  <c r="BJ19" i="18"/>
  <c r="BK19" i="18"/>
  <c r="BL19" i="18"/>
  <c r="BM19" i="18"/>
  <c r="BN19" i="18"/>
  <c r="BO19" i="18"/>
  <c r="BP19" i="18"/>
  <c r="BQ19" i="18"/>
  <c r="BR19" i="18"/>
  <c r="BS19" i="18"/>
  <c r="BT19" i="18"/>
  <c r="B20" i="18"/>
  <c r="C20" i="18"/>
  <c r="D20" i="18"/>
  <c r="E20" i="18"/>
  <c r="F20" i="18"/>
  <c r="G20" i="18"/>
  <c r="H20" i="18"/>
  <c r="I20" i="18"/>
  <c r="J20" i="18"/>
  <c r="K20" i="18"/>
  <c r="L20" i="18"/>
  <c r="M20" i="18"/>
  <c r="N20" i="18"/>
  <c r="O20" i="18"/>
  <c r="P20" i="18"/>
  <c r="Q20" i="18"/>
  <c r="R20" i="18"/>
  <c r="S20" i="18"/>
  <c r="T20" i="18"/>
  <c r="U20" i="18"/>
  <c r="V20" i="18"/>
  <c r="W20" i="18"/>
  <c r="X20" i="18"/>
  <c r="Y20" i="18"/>
  <c r="Z20" i="18"/>
  <c r="AA20" i="18"/>
  <c r="AB20" i="18"/>
  <c r="AC20" i="18"/>
  <c r="AD20" i="18"/>
  <c r="AE20" i="18"/>
  <c r="AF20" i="18"/>
  <c r="AG20" i="18"/>
  <c r="AH20" i="18"/>
  <c r="AI20" i="18"/>
  <c r="AJ20" i="18"/>
  <c r="AK20" i="18"/>
  <c r="AL20" i="18"/>
  <c r="AM20" i="18"/>
  <c r="AN20" i="18"/>
  <c r="AO20" i="18"/>
  <c r="AP20" i="18"/>
  <c r="AQ20" i="18"/>
  <c r="AR20" i="18"/>
  <c r="AS20" i="18"/>
  <c r="AT20" i="18"/>
  <c r="AU20" i="18"/>
  <c r="AV20" i="18"/>
  <c r="AW20" i="18"/>
  <c r="AX20" i="18"/>
  <c r="AY20" i="18"/>
  <c r="AZ20" i="18"/>
  <c r="BA20" i="18"/>
  <c r="BB20" i="18"/>
  <c r="BC20" i="18"/>
  <c r="BD20" i="18"/>
  <c r="BE20" i="18"/>
  <c r="BF20" i="18"/>
  <c r="G20" i="14" s="1"/>
  <c r="BG20" i="18"/>
  <c r="BH20" i="18"/>
  <c r="BI20" i="18"/>
  <c r="BJ20" i="18"/>
  <c r="BK20" i="18"/>
  <c r="BL20" i="18"/>
  <c r="BM20" i="18"/>
  <c r="BN20" i="18"/>
  <c r="BO20" i="18"/>
  <c r="BP20" i="18"/>
  <c r="BQ20" i="18"/>
  <c r="BR20" i="18"/>
  <c r="BS20" i="18"/>
  <c r="BT20" i="18"/>
  <c r="B21" i="18"/>
  <c r="C21" i="18"/>
  <c r="D21" i="18"/>
  <c r="E21" i="18"/>
  <c r="F21" i="18"/>
  <c r="G21" i="18"/>
  <c r="H21" i="18"/>
  <c r="I21" i="18"/>
  <c r="J21" i="18"/>
  <c r="K21" i="18"/>
  <c r="L21" i="18"/>
  <c r="M21" i="18"/>
  <c r="N21" i="18"/>
  <c r="O21" i="18"/>
  <c r="P21" i="18"/>
  <c r="Q21" i="18"/>
  <c r="R21" i="18"/>
  <c r="S21" i="18"/>
  <c r="T21" i="18"/>
  <c r="U21" i="18"/>
  <c r="V21" i="18"/>
  <c r="W21" i="18"/>
  <c r="X21" i="18"/>
  <c r="Y21" i="18"/>
  <c r="Z21" i="18"/>
  <c r="AA21" i="18"/>
  <c r="AB21" i="18"/>
  <c r="AC21" i="18"/>
  <c r="AD21" i="18"/>
  <c r="AE21" i="18"/>
  <c r="AF21" i="18"/>
  <c r="AG21" i="18"/>
  <c r="AH21" i="18"/>
  <c r="AI21" i="18"/>
  <c r="AJ21" i="18"/>
  <c r="AK21" i="18"/>
  <c r="AL21" i="18"/>
  <c r="AM21" i="18"/>
  <c r="AN21" i="18"/>
  <c r="AO21" i="18"/>
  <c r="AP21" i="18"/>
  <c r="AQ21" i="18"/>
  <c r="AR21" i="18"/>
  <c r="AS21" i="18"/>
  <c r="AT21" i="18"/>
  <c r="AU21" i="18"/>
  <c r="AV21" i="18"/>
  <c r="AW21" i="18"/>
  <c r="AX21" i="18"/>
  <c r="AY21" i="18"/>
  <c r="AZ21" i="18"/>
  <c r="BA21" i="18"/>
  <c r="BB21" i="18"/>
  <c r="BC21" i="18"/>
  <c r="BD21" i="18"/>
  <c r="BE21" i="18"/>
  <c r="BF21" i="18"/>
  <c r="G21" i="14" s="1"/>
  <c r="BG21" i="18"/>
  <c r="BH21" i="18"/>
  <c r="BI21" i="18"/>
  <c r="BJ21" i="18"/>
  <c r="BK21" i="18"/>
  <c r="BL21" i="18"/>
  <c r="BM21" i="18"/>
  <c r="BN21" i="18"/>
  <c r="BO21" i="18"/>
  <c r="BP21" i="18"/>
  <c r="BQ21" i="18"/>
  <c r="BR21" i="18"/>
  <c r="BS21" i="18"/>
  <c r="BT21" i="18"/>
  <c r="B22" i="18"/>
  <c r="C22" i="18"/>
  <c r="D22" i="18"/>
  <c r="E22" i="18"/>
  <c r="F22" i="18"/>
  <c r="G22" i="18"/>
  <c r="H22" i="18"/>
  <c r="I22" i="18"/>
  <c r="J22" i="18"/>
  <c r="K22" i="18"/>
  <c r="L22" i="18"/>
  <c r="M22" i="18"/>
  <c r="N22" i="18"/>
  <c r="O22" i="18"/>
  <c r="P22" i="18"/>
  <c r="Q22" i="18"/>
  <c r="R22" i="18"/>
  <c r="S22" i="18"/>
  <c r="T22" i="18"/>
  <c r="U22" i="18"/>
  <c r="V22" i="18"/>
  <c r="W22" i="18"/>
  <c r="X22" i="18"/>
  <c r="Y22" i="18"/>
  <c r="Z22" i="18"/>
  <c r="AA22" i="18"/>
  <c r="AB22" i="18"/>
  <c r="AC22" i="18"/>
  <c r="AD22" i="18"/>
  <c r="AE22" i="18"/>
  <c r="AF22" i="18"/>
  <c r="AG22" i="18"/>
  <c r="AH22" i="18"/>
  <c r="AI22" i="18"/>
  <c r="AJ22" i="18"/>
  <c r="AK22" i="18"/>
  <c r="AL22" i="18"/>
  <c r="AM22" i="18"/>
  <c r="AN22" i="18"/>
  <c r="AO22" i="18"/>
  <c r="AP22" i="18"/>
  <c r="AQ22" i="18"/>
  <c r="AR22" i="18"/>
  <c r="AS22" i="18"/>
  <c r="AT22" i="18"/>
  <c r="AU22" i="18"/>
  <c r="AV22" i="18"/>
  <c r="AW22" i="18"/>
  <c r="AX22" i="18"/>
  <c r="AY22" i="18"/>
  <c r="AZ22" i="18"/>
  <c r="BA22" i="18"/>
  <c r="BB22" i="18"/>
  <c r="BC22" i="18"/>
  <c r="BD22" i="18"/>
  <c r="BE22" i="18"/>
  <c r="BF22" i="18"/>
  <c r="G22" i="14" s="1"/>
  <c r="BG22" i="18"/>
  <c r="BH22" i="18"/>
  <c r="BI22" i="18"/>
  <c r="BJ22" i="18"/>
  <c r="BK22" i="18"/>
  <c r="BL22" i="18"/>
  <c r="BM22" i="18"/>
  <c r="BN22" i="18"/>
  <c r="BO22" i="18"/>
  <c r="BP22" i="18"/>
  <c r="BQ22" i="18"/>
  <c r="BR22" i="18"/>
  <c r="BS22" i="18"/>
  <c r="BT22" i="18"/>
  <c r="B23" i="18"/>
  <c r="C23" i="18"/>
  <c r="D23" i="18"/>
  <c r="E23" i="18"/>
  <c r="F23" i="18"/>
  <c r="G23" i="18"/>
  <c r="H23" i="18"/>
  <c r="I23" i="18"/>
  <c r="J23" i="18"/>
  <c r="K23" i="18"/>
  <c r="L23" i="18"/>
  <c r="M23" i="18"/>
  <c r="N23" i="18"/>
  <c r="O23" i="18"/>
  <c r="P23" i="18"/>
  <c r="Q23" i="18"/>
  <c r="R23" i="18"/>
  <c r="S23" i="18"/>
  <c r="T23" i="18"/>
  <c r="U23" i="18"/>
  <c r="V23" i="18"/>
  <c r="W23" i="18"/>
  <c r="X23" i="18"/>
  <c r="Y23" i="18"/>
  <c r="Z23" i="18"/>
  <c r="AA23" i="18"/>
  <c r="AB23" i="18"/>
  <c r="AC23" i="18"/>
  <c r="AD23" i="18"/>
  <c r="AE23" i="18"/>
  <c r="AF23" i="18"/>
  <c r="AG23" i="18"/>
  <c r="AH23" i="18"/>
  <c r="AI23" i="18"/>
  <c r="AJ23" i="18"/>
  <c r="AK23" i="18"/>
  <c r="AL23" i="18"/>
  <c r="AM23" i="18"/>
  <c r="AN23" i="18"/>
  <c r="AO23" i="18"/>
  <c r="AP23" i="18"/>
  <c r="AQ23" i="18"/>
  <c r="AR23" i="18"/>
  <c r="AS23" i="18"/>
  <c r="AT23" i="18"/>
  <c r="AU23" i="18"/>
  <c r="AV23" i="18"/>
  <c r="AW23" i="18"/>
  <c r="AX23" i="18"/>
  <c r="AY23" i="18"/>
  <c r="AZ23" i="18"/>
  <c r="BA23" i="18"/>
  <c r="BB23" i="18"/>
  <c r="BC23" i="18"/>
  <c r="BD23" i="18"/>
  <c r="BE23" i="18"/>
  <c r="BF23" i="18"/>
  <c r="G23" i="14" s="1"/>
  <c r="BG23" i="18"/>
  <c r="BH23" i="18"/>
  <c r="BI23" i="18"/>
  <c r="BJ23" i="18"/>
  <c r="BK23" i="18"/>
  <c r="BL23" i="18"/>
  <c r="BM23" i="18"/>
  <c r="BN23" i="18"/>
  <c r="BO23" i="18"/>
  <c r="BP23" i="18"/>
  <c r="BQ23" i="18"/>
  <c r="BR23" i="18"/>
  <c r="BS23" i="18"/>
  <c r="BT23" i="18"/>
  <c r="B24" i="18"/>
  <c r="C24" i="18"/>
  <c r="D24" i="18"/>
  <c r="E24" i="18"/>
  <c r="F24" i="18"/>
  <c r="G24" i="18"/>
  <c r="H24" i="18"/>
  <c r="I24" i="18"/>
  <c r="J24" i="18"/>
  <c r="K24" i="18"/>
  <c r="L24" i="18"/>
  <c r="M24" i="18"/>
  <c r="N24" i="18"/>
  <c r="O24" i="18"/>
  <c r="P24" i="18"/>
  <c r="Q24" i="18"/>
  <c r="R24" i="18"/>
  <c r="S24" i="18"/>
  <c r="T24" i="18"/>
  <c r="U24" i="18"/>
  <c r="V24" i="18"/>
  <c r="W24" i="18"/>
  <c r="X24" i="18"/>
  <c r="Y24" i="18"/>
  <c r="Z24" i="18"/>
  <c r="AA24" i="18"/>
  <c r="AB24" i="18"/>
  <c r="AC24" i="18"/>
  <c r="AD24" i="18"/>
  <c r="AE24" i="18"/>
  <c r="AF24" i="18"/>
  <c r="AG24" i="18"/>
  <c r="AH24" i="18"/>
  <c r="AI24" i="18"/>
  <c r="AJ24" i="18"/>
  <c r="AK24" i="18"/>
  <c r="AL24" i="18"/>
  <c r="AM24" i="18"/>
  <c r="AN24" i="18"/>
  <c r="AO24" i="18"/>
  <c r="AP24" i="18"/>
  <c r="AQ24" i="18"/>
  <c r="AR24" i="18"/>
  <c r="AS24" i="18"/>
  <c r="AT24" i="18"/>
  <c r="AU24" i="18"/>
  <c r="AV24" i="18"/>
  <c r="AW24" i="18"/>
  <c r="AX24" i="18"/>
  <c r="AY24" i="18"/>
  <c r="AZ24" i="18"/>
  <c r="BA24" i="18"/>
  <c r="BB24" i="18"/>
  <c r="BC24" i="18"/>
  <c r="BD24" i="18"/>
  <c r="BE24" i="18"/>
  <c r="BF24" i="18"/>
  <c r="G24" i="14" s="1"/>
  <c r="BG24" i="18"/>
  <c r="BH24" i="18"/>
  <c r="BI24" i="18"/>
  <c r="BJ24" i="18"/>
  <c r="BK24" i="18"/>
  <c r="BL24" i="18"/>
  <c r="BM24" i="18"/>
  <c r="BN24" i="18"/>
  <c r="BO24" i="18"/>
  <c r="BP24" i="18"/>
  <c r="BQ24" i="18"/>
  <c r="BR24" i="18"/>
  <c r="BS24" i="18"/>
  <c r="BT24" i="18"/>
  <c r="B25" i="18"/>
  <c r="C25" i="18"/>
  <c r="D25" i="18"/>
  <c r="E25" i="18"/>
  <c r="F25" i="18"/>
  <c r="G25" i="18"/>
  <c r="H25" i="18"/>
  <c r="I25" i="18"/>
  <c r="J25" i="18"/>
  <c r="K25" i="18"/>
  <c r="L25" i="18"/>
  <c r="M25" i="18"/>
  <c r="N25" i="18"/>
  <c r="O25" i="18"/>
  <c r="P25" i="18"/>
  <c r="Q25" i="18"/>
  <c r="R25" i="18"/>
  <c r="S25" i="18"/>
  <c r="T25" i="18"/>
  <c r="U25" i="18"/>
  <c r="V25" i="18"/>
  <c r="W25" i="18"/>
  <c r="X25" i="18"/>
  <c r="Y25" i="18"/>
  <c r="Z25" i="18"/>
  <c r="AA25" i="18"/>
  <c r="AB25" i="18"/>
  <c r="AC25" i="18"/>
  <c r="AD25" i="18"/>
  <c r="AE25" i="18"/>
  <c r="AF25" i="18"/>
  <c r="AG25" i="18"/>
  <c r="AH25" i="18"/>
  <c r="AI25" i="18"/>
  <c r="AJ25" i="18"/>
  <c r="AK25" i="18"/>
  <c r="AL25" i="18"/>
  <c r="AM25" i="18"/>
  <c r="AN25" i="18"/>
  <c r="AO25" i="18"/>
  <c r="AP25" i="18"/>
  <c r="AQ25" i="18"/>
  <c r="AR25" i="18"/>
  <c r="AS25" i="18"/>
  <c r="AT25" i="18"/>
  <c r="AU25" i="18"/>
  <c r="AV25" i="18"/>
  <c r="AW25" i="18"/>
  <c r="AX25" i="18"/>
  <c r="AY25" i="18"/>
  <c r="AZ25" i="18"/>
  <c r="BA25" i="18"/>
  <c r="BB25" i="18"/>
  <c r="BC25" i="18"/>
  <c r="BD25" i="18"/>
  <c r="BE25" i="18"/>
  <c r="BF25" i="18"/>
  <c r="G25" i="14" s="1"/>
  <c r="BG25" i="18"/>
  <c r="BH25" i="18"/>
  <c r="BI25" i="18"/>
  <c r="BJ25" i="18"/>
  <c r="BK25" i="18"/>
  <c r="BL25" i="18"/>
  <c r="BM25" i="18"/>
  <c r="BN25" i="18"/>
  <c r="BO25" i="18"/>
  <c r="BP25" i="18"/>
  <c r="BQ25" i="18"/>
  <c r="BR25" i="18"/>
  <c r="BS25" i="18"/>
  <c r="BT25" i="18"/>
  <c r="B26" i="18"/>
  <c r="C26" i="18"/>
  <c r="D26" i="18"/>
  <c r="E26" i="18"/>
  <c r="F26" i="18"/>
  <c r="G26" i="18"/>
  <c r="H26" i="18"/>
  <c r="I26" i="18"/>
  <c r="J26" i="18"/>
  <c r="K26" i="18"/>
  <c r="L26" i="18"/>
  <c r="M26" i="18"/>
  <c r="N26" i="18"/>
  <c r="O26" i="18"/>
  <c r="P26" i="18"/>
  <c r="Q26" i="18"/>
  <c r="R26" i="18"/>
  <c r="S26" i="18"/>
  <c r="T26" i="18"/>
  <c r="U26" i="18"/>
  <c r="V26" i="18"/>
  <c r="W26" i="18"/>
  <c r="X26" i="18"/>
  <c r="Y26" i="18"/>
  <c r="Z26" i="18"/>
  <c r="AA26" i="18"/>
  <c r="AB26" i="18"/>
  <c r="AC26" i="18"/>
  <c r="AD26" i="18"/>
  <c r="AE26" i="18"/>
  <c r="AF26" i="18"/>
  <c r="AG26" i="18"/>
  <c r="AH26" i="18"/>
  <c r="AI26" i="18"/>
  <c r="AJ26" i="18"/>
  <c r="AK26" i="18"/>
  <c r="AL26" i="18"/>
  <c r="AM26" i="18"/>
  <c r="AN26" i="18"/>
  <c r="AO26" i="18"/>
  <c r="AP26" i="18"/>
  <c r="AQ26" i="18"/>
  <c r="AR26" i="18"/>
  <c r="AS26" i="18"/>
  <c r="AT26" i="18"/>
  <c r="AU26" i="18"/>
  <c r="AV26" i="18"/>
  <c r="AW26" i="18"/>
  <c r="AX26" i="18"/>
  <c r="AY26" i="18"/>
  <c r="AZ26" i="18"/>
  <c r="BA26" i="18"/>
  <c r="BB26" i="18"/>
  <c r="BC26" i="18"/>
  <c r="BD26" i="18"/>
  <c r="BE26" i="18"/>
  <c r="BF26" i="18"/>
  <c r="G26" i="14" s="1"/>
  <c r="BG26" i="18"/>
  <c r="BH26" i="18"/>
  <c r="BI26" i="18"/>
  <c r="BJ26" i="18"/>
  <c r="BK26" i="18"/>
  <c r="BL26" i="18"/>
  <c r="BM26" i="18"/>
  <c r="BN26" i="18"/>
  <c r="BO26" i="18"/>
  <c r="BP26" i="18"/>
  <c r="BQ26" i="18"/>
  <c r="BR26" i="18"/>
  <c r="BS26" i="18"/>
  <c r="BT26" i="18"/>
  <c r="B27" i="18"/>
  <c r="C27" i="18"/>
  <c r="D27" i="18"/>
  <c r="E27" i="18"/>
  <c r="F27" i="18"/>
  <c r="G27" i="18"/>
  <c r="H27" i="18"/>
  <c r="I27" i="18"/>
  <c r="J27" i="18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G27" i="14" s="1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28" i="18"/>
  <c r="C28" i="18"/>
  <c r="D28" i="18"/>
  <c r="E28" i="18"/>
  <c r="F28" i="18"/>
  <c r="G28" i="18"/>
  <c r="H28" i="18"/>
  <c r="I28" i="18"/>
  <c r="J28" i="18"/>
  <c r="K28" i="18"/>
  <c r="L28" i="18"/>
  <c r="M28" i="18"/>
  <c r="N28" i="18"/>
  <c r="O28" i="18"/>
  <c r="P28" i="18"/>
  <c r="Q28" i="18"/>
  <c r="R28" i="18"/>
  <c r="S28" i="18"/>
  <c r="T28" i="18"/>
  <c r="U28" i="18"/>
  <c r="V28" i="18"/>
  <c r="W28" i="18"/>
  <c r="X28" i="18"/>
  <c r="Y28" i="18"/>
  <c r="Z28" i="18"/>
  <c r="AA28" i="18"/>
  <c r="AB28" i="18"/>
  <c r="AC28" i="18"/>
  <c r="AD28" i="18"/>
  <c r="AE28" i="18"/>
  <c r="AF28" i="18"/>
  <c r="AG28" i="18"/>
  <c r="AH28" i="18"/>
  <c r="AI28" i="18"/>
  <c r="AJ28" i="18"/>
  <c r="AK28" i="18"/>
  <c r="AL28" i="18"/>
  <c r="AM28" i="18"/>
  <c r="AN28" i="18"/>
  <c r="AO28" i="18"/>
  <c r="AP28" i="18"/>
  <c r="AQ28" i="18"/>
  <c r="AR28" i="18"/>
  <c r="AS28" i="18"/>
  <c r="AT28" i="18"/>
  <c r="AU28" i="18"/>
  <c r="AV28" i="18"/>
  <c r="AW28" i="18"/>
  <c r="AX28" i="18"/>
  <c r="AY28" i="18"/>
  <c r="AZ28" i="18"/>
  <c r="BA28" i="18"/>
  <c r="BB28" i="18"/>
  <c r="BC28" i="18"/>
  <c r="BD28" i="18"/>
  <c r="BE28" i="18"/>
  <c r="BF28" i="18"/>
  <c r="G28" i="14" s="1"/>
  <c r="BG28" i="18"/>
  <c r="BH28" i="18"/>
  <c r="BI28" i="18"/>
  <c r="BJ28" i="18"/>
  <c r="BK28" i="18"/>
  <c r="BL28" i="18"/>
  <c r="BM28" i="18"/>
  <c r="BN28" i="18"/>
  <c r="BO28" i="18"/>
  <c r="BP28" i="18"/>
  <c r="BQ28" i="18"/>
  <c r="BR28" i="18"/>
  <c r="BS28" i="18"/>
  <c r="BT28" i="18"/>
  <c r="B29" i="18"/>
  <c r="C29" i="18"/>
  <c r="D29" i="18"/>
  <c r="E29" i="18"/>
  <c r="F29" i="18"/>
  <c r="G29" i="18"/>
  <c r="H29" i="18"/>
  <c r="I29" i="18"/>
  <c r="J29" i="18"/>
  <c r="K29" i="18"/>
  <c r="L29" i="18"/>
  <c r="M29" i="18"/>
  <c r="N29" i="18"/>
  <c r="O29" i="18"/>
  <c r="P29" i="18"/>
  <c r="Q29" i="18"/>
  <c r="R29" i="18"/>
  <c r="S29" i="18"/>
  <c r="T29" i="18"/>
  <c r="U29" i="18"/>
  <c r="V29" i="18"/>
  <c r="W29" i="18"/>
  <c r="X29" i="18"/>
  <c r="Y29" i="18"/>
  <c r="Z29" i="18"/>
  <c r="AA29" i="18"/>
  <c r="AB29" i="18"/>
  <c r="AC29" i="18"/>
  <c r="AD29" i="18"/>
  <c r="AE29" i="18"/>
  <c r="AF29" i="18"/>
  <c r="AG29" i="18"/>
  <c r="AH29" i="18"/>
  <c r="AI29" i="18"/>
  <c r="AJ29" i="18"/>
  <c r="AK29" i="18"/>
  <c r="AL29" i="18"/>
  <c r="AM29" i="18"/>
  <c r="AN29" i="18"/>
  <c r="AO29" i="18"/>
  <c r="AP29" i="18"/>
  <c r="AQ29" i="18"/>
  <c r="AR29" i="18"/>
  <c r="AS29" i="18"/>
  <c r="AT29" i="18"/>
  <c r="AU29" i="18"/>
  <c r="AV29" i="18"/>
  <c r="AW29" i="18"/>
  <c r="AX29" i="18"/>
  <c r="AY29" i="18"/>
  <c r="AZ29" i="18"/>
  <c r="BA29" i="18"/>
  <c r="BB29" i="18"/>
  <c r="BC29" i="18"/>
  <c r="BD29" i="18"/>
  <c r="BE29" i="18"/>
  <c r="BF29" i="18"/>
  <c r="G29" i="14" s="1"/>
  <c r="BG29" i="18"/>
  <c r="BH29" i="18"/>
  <c r="BI29" i="18"/>
  <c r="BJ29" i="18"/>
  <c r="BK29" i="18"/>
  <c r="BL29" i="18"/>
  <c r="BM29" i="18"/>
  <c r="BN29" i="18"/>
  <c r="BO29" i="18"/>
  <c r="BP29" i="18"/>
  <c r="BQ29" i="18"/>
  <c r="BR29" i="18"/>
  <c r="BS29" i="18"/>
  <c r="BT29" i="18"/>
  <c r="B30" i="18"/>
  <c r="C30" i="18"/>
  <c r="D30" i="18"/>
  <c r="E30" i="18"/>
  <c r="F30" i="18"/>
  <c r="G30" i="18"/>
  <c r="H30" i="18"/>
  <c r="I30" i="18"/>
  <c r="J30" i="18"/>
  <c r="K30" i="18"/>
  <c r="L30" i="18"/>
  <c r="M30" i="18"/>
  <c r="N30" i="18"/>
  <c r="O30" i="18"/>
  <c r="P30" i="18"/>
  <c r="Q30" i="18"/>
  <c r="R30" i="18"/>
  <c r="S30" i="18"/>
  <c r="T30" i="18"/>
  <c r="U30" i="18"/>
  <c r="V30" i="18"/>
  <c r="W30" i="18"/>
  <c r="X30" i="18"/>
  <c r="Y30" i="18"/>
  <c r="Z30" i="18"/>
  <c r="AA30" i="18"/>
  <c r="AB30" i="18"/>
  <c r="AC30" i="18"/>
  <c r="AD30" i="18"/>
  <c r="AE30" i="18"/>
  <c r="AF30" i="18"/>
  <c r="AG30" i="18"/>
  <c r="AH30" i="18"/>
  <c r="AI30" i="18"/>
  <c r="AJ30" i="18"/>
  <c r="AK30" i="18"/>
  <c r="AL30" i="18"/>
  <c r="AM30" i="18"/>
  <c r="AN30" i="18"/>
  <c r="AO30" i="18"/>
  <c r="AP30" i="18"/>
  <c r="AQ30" i="18"/>
  <c r="AR30" i="18"/>
  <c r="AS30" i="18"/>
  <c r="AT30" i="18"/>
  <c r="AU30" i="18"/>
  <c r="AV30" i="18"/>
  <c r="AW30" i="18"/>
  <c r="AX30" i="18"/>
  <c r="AY30" i="18"/>
  <c r="AZ30" i="18"/>
  <c r="BA30" i="18"/>
  <c r="BB30" i="18"/>
  <c r="BC30" i="18"/>
  <c r="BD30" i="18"/>
  <c r="BE30" i="18"/>
  <c r="BF30" i="18"/>
  <c r="G30" i="14" s="1"/>
  <c r="BG30" i="18"/>
  <c r="BH30" i="18"/>
  <c r="BI30" i="18"/>
  <c r="BJ30" i="18"/>
  <c r="BK30" i="18"/>
  <c r="BL30" i="18"/>
  <c r="BM30" i="18"/>
  <c r="BN30" i="18"/>
  <c r="BO30" i="18"/>
  <c r="BP30" i="18"/>
  <c r="BQ30" i="18"/>
  <c r="BR30" i="18"/>
  <c r="BS30" i="18"/>
  <c r="BT30" i="18"/>
  <c r="B31" i="18"/>
  <c r="C31" i="18"/>
  <c r="D31" i="18"/>
  <c r="E31" i="18"/>
  <c r="F31" i="18"/>
  <c r="G31" i="18"/>
  <c r="H31" i="18"/>
  <c r="I31" i="18"/>
  <c r="J31" i="18"/>
  <c r="K31" i="18"/>
  <c r="L31" i="18"/>
  <c r="M31" i="18"/>
  <c r="N31" i="18"/>
  <c r="O31" i="18"/>
  <c r="P31" i="18"/>
  <c r="Q31" i="18"/>
  <c r="R31" i="18"/>
  <c r="S31" i="18"/>
  <c r="T31" i="18"/>
  <c r="U31" i="18"/>
  <c r="V31" i="18"/>
  <c r="W31" i="18"/>
  <c r="X31" i="18"/>
  <c r="Y31" i="18"/>
  <c r="Z31" i="18"/>
  <c r="AA31" i="18"/>
  <c r="AB31" i="18"/>
  <c r="AC31" i="18"/>
  <c r="AD31" i="18"/>
  <c r="AE31" i="18"/>
  <c r="AF31" i="18"/>
  <c r="AG31" i="18"/>
  <c r="AH31" i="18"/>
  <c r="AI31" i="18"/>
  <c r="AJ31" i="18"/>
  <c r="AK31" i="18"/>
  <c r="AL31" i="18"/>
  <c r="AM31" i="18"/>
  <c r="AN31" i="18"/>
  <c r="AO31" i="18"/>
  <c r="AP31" i="18"/>
  <c r="AQ31" i="18"/>
  <c r="AR31" i="18"/>
  <c r="AS31" i="18"/>
  <c r="AT31" i="18"/>
  <c r="AU31" i="18"/>
  <c r="AV31" i="18"/>
  <c r="AW31" i="18"/>
  <c r="AX31" i="18"/>
  <c r="AY31" i="18"/>
  <c r="AZ31" i="18"/>
  <c r="BA31" i="18"/>
  <c r="BB31" i="18"/>
  <c r="BC31" i="18"/>
  <c r="BD31" i="18"/>
  <c r="BE31" i="18"/>
  <c r="BF31" i="18"/>
  <c r="G31" i="14" s="1"/>
  <c r="BG31" i="18"/>
  <c r="BH31" i="18"/>
  <c r="BI31" i="18"/>
  <c r="BJ31" i="18"/>
  <c r="BK31" i="18"/>
  <c r="BL31" i="18"/>
  <c r="BM31" i="18"/>
  <c r="BN31" i="18"/>
  <c r="BO31" i="18"/>
  <c r="BP31" i="18"/>
  <c r="BQ31" i="18"/>
  <c r="BR31" i="18"/>
  <c r="BS31" i="18"/>
  <c r="BT31" i="18"/>
  <c r="B32" i="18"/>
  <c r="C32" i="18"/>
  <c r="D32" i="18"/>
  <c r="E32" i="18"/>
  <c r="F32" i="18"/>
  <c r="G32" i="18"/>
  <c r="H32" i="18"/>
  <c r="I32" i="18"/>
  <c r="J32" i="18"/>
  <c r="K32" i="18"/>
  <c r="L32" i="18"/>
  <c r="M32" i="18"/>
  <c r="N32" i="18"/>
  <c r="O32" i="18"/>
  <c r="P32" i="18"/>
  <c r="Q32" i="18"/>
  <c r="R32" i="18"/>
  <c r="S32" i="18"/>
  <c r="T32" i="18"/>
  <c r="U32" i="18"/>
  <c r="V32" i="18"/>
  <c r="W32" i="18"/>
  <c r="X32" i="18"/>
  <c r="Y32" i="18"/>
  <c r="Z32" i="18"/>
  <c r="AA32" i="18"/>
  <c r="AB32" i="18"/>
  <c r="AC32" i="18"/>
  <c r="AD32" i="18"/>
  <c r="AE32" i="18"/>
  <c r="AF32" i="18"/>
  <c r="AG32" i="18"/>
  <c r="AH32" i="18"/>
  <c r="AI32" i="18"/>
  <c r="AJ32" i="18"/>
  <c r="AK32" i="18"/>
  <c r="AL32" i="18"/>
  <c r="AM32" i="18"/>
  <c r="AN32" i="18"/>
  <c r="AO32" i="18"/>
  <c r="AP32" i="18"/>
  <c r="AQ32" i="18"/>
  <c r="AR32" i="18"/>
  <c r="AS32" i="18"/>
  <c r="AT32" i="18"/>
  <c r="AU32" i="18"/>
  <c r="AV32" i="18"/>
  <c r="AW32" i="18"/>
  <c r="AX32" i="18"/>
  <c r="AY32" i="18"/>
  <c r="AZ32" i="18"/>
  <c r="BA32" i="18"/>
  <c r="BB32" i="18"/>
  <c r="BC32" i="18"/>
  <c r="BD32" i="18"/>
  <c r="BE32" i="18"/>
  <c r="BF32" i="18"/>
  <c r="G32" i="14" s="1"/>
  <c r="BG32" i="18"/>
  <c r="BH32" i="18"/>
  <c r="BI32" i="18"/>
  <c r="BJ32" i="18"/>
  <c r="BK32" i="18"/>
  <c r="BL32" i="18"/>
  <c r="BM32" i="18"/>
  <c r="BN32" i="18"/>
  <c r="BO32" i="18"/>
  <c r="BP32" i="18"/>
  <c r="BQ32" i="18"/>
  <c r="BR32" i="18"/>
  <c r="BS32" i="18"/>
  <c r="BT32" i="18"/>
  <c r="B33" i="18"/>
  <c r="C33" i="18"/>
  <c r="D33" i="18"/>
  <c r="E33" i="18"/>
  <c r="F33" i="18"/>
  <c r="G33" i="18"/>
  <c r="H33" i="18"/>
  <c r="I33" i="18"/>
  <c r="J33" i="18"/>
  <c r="K33" i="18"/>
  <c r="L33" i="18"/>
  <c r="M33" i="18"/>
  <c r="N33" i="18"/>
  <c r="O33" i="18"/>
  <c r="P33" i="18"/>
  <c r="Q33" i="18"/>
  <c r="R33" i="18"/>
  <c r="S33" i="18"/>
  <c r="T33" i="18"/>
  <c r="U33" i="18"/>
  <c r="V33" i="18"/>
  <c r="W33" i="18"/>
  <c r="X33" i="18"/>
  <c r="Y33" i="18"/>
  <c r="Z33" i="18"/>
  <c r="AA33" i="18"/>
  <c r="AB33" i="18"/>
  <c r="AC33" i="18"/>
  <c r="AD33" i="18"/>
  <c r="AE33" i="18"/>
  <c r="AF33" i="18"/>
  <c r="AG33" i="18"/>
  <c r="AH33" i="18"/>
  <c r="AI33" i="18"/>
  <c r="AJ33" i="18"/>
  <c r="AK33" i="18"/>
  <c r="AL33" i="18"/>
  <c r="AM33" i="18"/>
  <c r="AN33" i="18"/>
  <c r="AO33" i="18"/>
  <c r="AP33" i="18"/>
  <c r="AQ33" i="18"/>
  <c r="AR33" i="18"/>
  <c r="AS33" i="18"/>
  <c r="AT33" i="18"/>
  <c r="AU33" i="18"/>
  <c r="AV33" i="18"/>
  <c r="AW33" i="18"/>
  <c r="AX33" i="18"/>
  <c r="AY33" i="18"/>
  <c r="AZ33" i="18"/>
  <c r="BA33" i="18"/>
  <c r="BB33" i="18"/>
  <c r="BC33" i="18"/>
  <c r="BD33" i="18"/>
  <c r="BE33" i="18"/>
  <c r="BF33" i="18"/>
  <c r="G33" i="14" s="1"/>
  <c r="BG33" i="18"/>
  <c r="BH33" i="18"/>
  <c r="BI33" i="18"/>
  <c r="BJ33" i="18"/>
  <c r="BK33" i="18"/>
  <c r="BL33" i="18"/>
  <c r="BM33" i="18"/>
  <c r="BN33" i="18"/>
  <c r="BO33" i="18"/>
  <c r="BP33" i="18"/>
  <c r="BQ33" i="18"/>
  <c r="BR33" i="18"/>
  <c r="BS33" i="18"/>
  <c r="BT33" i="18"/>
  <c r="B34" i="18"/>
  <c r="C34" i="18"/>
  <c r="D34" i="18"/>
  <c r="E34" i="18"/>
  <c r="F34" i="18"/>
  <c r="G34" i="18"/>
  <c r="H34" i="18"/>
  <c r="I34" i="18"/>
  <c r="J34" i="18"/>
  <c r="K34" i="18"/>
  <c r="L34" i="18"/>
  <c r="M34" i="18"/>
  <c r="N34" i="18"/>
  <c r="O34" i="18"/>
  <c r="P34" i="18"/>
  <c r="Q34" i="18"/>
  <c r="R34" i="18"/>
  <c r="S34" i="18"/>
  <c r="T34" i="18"/>
  <c r="U34" i="18"/>
  <c r="V34" i="18"/>
  <c r="W34" i="18"/>
  <c r="X34" i="18"/>
  <c r="Y34" i="18"/>
  <c r="Z34" i="18"/>
  <c r="AA34" i="18"/>
  <c r="AB34" i="18"/>
  <c r="AC34" i="18"/>
  <c r="AD34" i="18"/>
  <c r="AE34" i="18"/>
  <c r="AF34" i="18"/>
  <c r="AG34" i="18"/>
  <c r="AH34" i="18"/>
  <c r="AI34" i="18"/>
  <c r="AJ34" i="18"/>
  <c r="AK34" i="18"/>
  <c r="AL34" i="18"/>
  <c r="AM34" i="18"/>
  <c r="AN34" i="18"/>
  <c r="AO34" i="18"/>
  <c r="AP34" i="18"/>
  <c r="AQ34" i="18"/>
  <c r="AR34" i="18"/>
  <c r="AS34" i="18"/>
  <c r="AT34" i="18"/>
  <c r="AU34" i="18"/>
  <c r="AV34" i="18"/>
  <c r="AW34" i="18"/>
  <c r="AX34" i="18"/>
  <c r="AY34" i="18"/>
  <c r="AZ34" i="18"/>
  <c r="BA34" i="18"/>
  <c r="BB34" i="18"/>
  <c r="BC34" i="18"/>
  <c r="BD34" i="18"/>
  <c r="BE34" i="18"/>
  <c r="BF34" i="18"/>
  <c r="G34" i="14" s="1"/>
  <c r="BG34" i="18"/>
  <c r="BH34" i="18"/>
  <c r="BI34" i="18"/>
  <c r="BJ34" i="18"/>
  <c r="BK34" i="18"/>
  <c r="BL34" i="18"/>
  <c r="BM34" i="18"/>
  <c r="BN34" i="18"/>
  <c r="BO34" i="18"/>
  <c r="BP34" i="18"/>
  <c r="BQ34" i="18"/>
  <c r="BR34" i="18"/>
  <c r="BS34" i="18"/>
  <c r="BT34" i="18"/>
  <c r="B35" i="18"/>
  <c r="C35" i="18"/>
  <c r="D35" i="18"/>
  <c r="E35" i="18"/>
  <c r="F35" i="18"/>
  <c r="G35" i="18"/>
  <c r="H35" i="18"/>
  <c r="I35" i="18"/>
  <c r="J35" i="18"/>
  <c r="K35" i="18"/>
  <c r="L35" i="18"/>
  <c r="M35" i="18"/>
  <c r="N35" i="18"/>
  <c r="O35" i="18"/>
  <c r="P35" i="18"/>
  <c r="Q35" i="18"/>
  <c r="R35" i="18"/>
  <c r="S35" i="18"/>
  <c r="T35" i="18"/>
  <c r="U35" i="18"/>
  <c r="V35" i="18"/>
  <c r="W35" i="18"/>
  <c r="X35" i="18"/>
  <c r="Y35" i="18"/>
  <c r="Z35" i="18"/>
  <c r="AA35" i="18"/>
  <c r="AB35" i="18"/>
  <c r="AC35" i="18"/>
  <c r="AD35" i="18"/>
  <c r="AE35" i="18"/>
  <c r="AF35" i="18"/>
  <c r="AG35" i="18"/>
  <c r="AH35" i="18"/>
  <c r="AI35" i="18"/>
  <c r="AJ35" i="18"/>
  <c r="AK35" i="18"/>
  <c r="AL35" i="18"/>
  <c r="AM35" i="18"/>
  <c r="AN35" i="18"/>
  <c r="AO35" i="18"/>
  <c r="AP35" i="18"/>
  <c r="AQ35" i="18"/>
  <c r="AR35" i="18"/>
  <c r="AS35" i="18"/>
  <c r="AT35" i="18"/>
  <c r="AU35" i="18"/>
  <c r="AV35" i="18"/>
  <c r="AW35" i="18"/>
  <c r="AX35" i="18"/>
  <c r="AY35" i="18"/>
  <c r="AZ35" i="18"/>
  <c r="BA35" i="18"/>
  <c r="BB35" i="18"/>
  <c r="BC35" i="18"/>
  <c r="BD35" i="18"/>
  <c r="BE35" i="18"/>
  <c r="BF35" i="18"/>
  <c r="G35" i="14" s="1"/>
  <c r="BG35" i="18"/>
  <c r="BH35" i="18"/>
  <c r="BI35" i="18"/>
  <c r="BJ35" i="18"/>
  <c r="BK35" i="18"/>
  <c r="BL35" i="18"/>
  <c r="BM35" i="18"/>
  <c r="BN35" i="18"/>
  <c r="BO35" i="18"/>
  <c r="BP35" i="18"/>
  <c r="BQ35" i="18"/>
  <c r="BR35" i="18"/>
  <c r="BS35" i="18"/>
  <c r="BT35" i="18"/>
  <c r="B36" i="18"/>
  <c r="C36" i="18"/>
  <c r="D36" i="18"/>
  <c r="E36" i="18"/>
  <c r="F36" i="18"/>
  <c r="G36" i="18"/>
  <c r="H36" i="18"/>
  <c r="I36" i="18"/>
  <c r="J36" i="18"/>
  <c r="K36" i="18"/>
  <c r="L36" i="18"/>
  <c r="M36" i="18"/>
  <c r="N36" i="18"/>
  <c r="O36" i="18"/>
  <c r="P36" i="18"/>
  <c r="Q36" i="18"/>
  <c r="R36" i="18"/>
  <c r="S36" i="18"/>
  <c r="T36" i="18"/>
  <c r="U36" i="18"/>
  <c r="V36" i="18"/>
  <c r="W36" i="18"/>
  <c r="X36" i="18"/>
  <c r="Y36" i="18"/>
  <c r="Z36" i="18"/>
  <c r="AA36" i="18"/>
  <c r="AB36" i="18"/>
  <c r="AC36" i="18"/>
  <c r="AD36" i="18"/>
  <c r="AE36" i="18"/>
  <c r="AF36" i="18"/>
  <c r="AG36" i="18"/>
  <c r="AH36" i="18"/>
  <c r="AI36" i="18"/>
  <c r="AJ36" i="18"/>
  <c r="AK36" i="18"/>
  <c r="AL36" i="18"/>
  <c r="AM36" i="18"/>
  <c r="AN36" i="18"/>
  <c r="AO36" i="18"/>
  <c r="AP36" i="18"/>
  <c r="AQ36" i="18"/>
  <c r="AR36" i="18"/>
  <c r="AS36" i="18"/>
  <c r="AT36" i="18"/>
  <c r="AU36" i="18"/>
  <c r="AV36" i="18"/>
  <c r="AW36" i="18"/>
  <c r="AX36" i="18"/>
  <c r="AY36" i="18"/>
  <c r="AZ36" i="18"/>
  <c r="BA36" i="18"/>
  <c r="BB36" i="18"/>
  <c r="BC36" i="18"/>
  <c r="BD36" i="18"/>
  <c r="BE36" i="18"/>
  <c r="BF36" i="18"/>
  <c r="G36" i="14" s="1"/>
  <c r="BG36" i="18"/>
  <c r="BH36" i="18"/>
  <c r="BI36" i="18"/>
  <c r="BJ36" i="18"/>
  <c r="BK36" i="18"/>
  <c r="BL36" i="18"/>
  <c r="BM36" i="18"/>
  <c r="BN36" i="18"/>
  <c r="BO36" i="18"/>
  <c r="BP36" i="18"/>
  <c r="BQ36" i="18"/>
  <c r="BR36" i="18"/>
  <c r="BS36" i="18"/>
  <c r="BT36" i="18"/>
  <c r="B37" i="18"/>
  <c r="C37" i="18"/>
  <c r="D37" i="18"/>
  <c r="E37" i="18"/>
  <c r="F37" i="18"/>
  <c r="G37" i="18"/>
  <c r="H37" i="18"/>
  <c r="I37" i="18"/>
  <c r="J37" i="18"/>
  <c r="K37" i="18"/>
  <c r="L37" i="18"/>
  <c r="M37" i="18"/>
  <c r="N37" i="18"/>
  <c r="O37" i="18"/>
  <c r="P37" i="18"/>
  <c r="Q37" i="18"/>
  <c r="R37" i="18"/>
  <c r="S37" i="18"/>
  <c r="T37" i="18"/>
  <c r="U37" i="18"/>
  <c r="V37" i="18"/>
  <c r="W37" i="18"/>
  <c r="X37" i="18"/>
  <c r="Y37" i="18"/>
  <c r="Z37" i="18"/>
  <c r="AA37" i="18"/>
  <c r="AB37" i="18"/>
  <c r="AC37" i="18"/>
  <c r="AD37" i="18"/>
  <c r="AE37" i="18"/>
  <c r="AF37" i="18"/>
  <c r="AG37" i="18"/>
  <c r="AH37" i="18"/>
  <c r="AI37" i="18"/>
  <c r="AJ37" i="18"/>
  <c r="AK37" i="18"/>
  <c r="AL37" i="18"/>
  <c r="AM37" i="18"/>
  <c r="AN37" i="18"/>
  <c r="AO37" i="18"/>
  <c r="AP37" i="18"/>
  <c r="AQ37" i="18"/>
  <c r="AR37" i="18"/>
  <c r="AS37" i="18"/>
  <c r="AT37" i="18"/>
  <c r="AU37" i="18"/>
  <c r="AV37" i="18"/>
  <c r="AW37" i="18"/>
  <c r="AX37" i="18"/>
  <c r="AY37" i="18"/>
  <c r="AZ37" i="18"/>
  <c r="BA37" i="18"/>
  <c r="BB37" i="18"/>
  <c r="BC37" i="18"/>
  <c r="BD37" i="18"/>
  <c r="BE37" i="18"/>
  <c r="BF37" i="18"/>
  <c r="G37" i="14" s="1"/>
  <c r="BG37" i="18"/>
  <c r="BH37" i="18"/>
  <c r="BI37" i="18"/>
  <c r="BJ37" i="18"/>
  <c r="BK37" i="18"/>
  <c r="BL37" i="18"/>
  <c r="BM37" i="18"/>
  <c r="BN37" i="18"/>
  <c r="BO37" i="18"/>
  <c r="BP37" i="18"/>
  <c r="BQ37" i="18"/>
  <c r="BR37" i="18"/>
  <c r="BS37" i="18"/>
  <c r="BT37" i="18"/>
  <c r="B38" i="18"/>
  <c r="C38" i="18"/>
  <c r="D38" i="18"/>
  <c r="E38" i="18"/>
  <c r="F38" i="18"/>
  <c r="G38" i="18"/>
  <c r="H38" i="18"/>
  <c r="I38" i="18"/>
  <c r="J38" i="18"/>
  <c r="K38" i="18"/>
  <c r="L38" i="18"/>
  <c r="M38" i="18"/>
  <c r="N38" i="18"/>
  <c r="O38" i="18"/>
  <c r="P38" i="18"/>
  <c r="Q38" i="18"/>
  <c r="R38" i="18"/>
  <c r="S38" i="18"/>
  <c r="T38" i="18"/>
  <c r="U38" i="18"/>
  <c r="V38" i="18"/>
  <c r="W38" i="18"/>
  <c r="X38" i="18"/>
  <c r="Y38" i="18"/>
  <c r="Z38" i="18"/>
  <c r="AA38" i="18"/>
  <c r="AB38" i="18"/>
  <c r="AC38" i="18"/>
  <c r="AD38" i="18"/>
  <c r="AE38" i="18"/>
  <c r="AF38" i="18"/>
  <c r="AG38" i="18"/>
  <c r="AH38" i="18"/>
  <c r="AI38" i="18"/>
  <c r="AJ38" i="18"/>
  <c r="AK38" i="18"/>
  <c r="AL38" i="18"/>
  <c r="AM38" i="18"/>
  <c r="AN38" i="18"/>
  <c r="AO38" i="18"/>
  <c r="AP38" i="18"/>
  <c r="AQ38" i="18"/>
  <c r="AR38" i="18"/>
  <c r="AS38" i="18"/>
  <c r="AT38" i="18"/>
  <c r="AU38" i="18"/>
  <c r="AV38" i="18"/>
  <c r="AW38" i="18"/>
  <c r="AX38" i="18"/>
  <c r="AY38" i="18"/>
  <c r="AZ38" i="18"/>
  <c r="BA38" i="18"/>
  <c r="BB38" i="18"/>
  <c r="BC38" i="18"/>
  <c r="BD38" i="18"/>
  <c r="BE38" i="18"/>
  <c r="BF38" i="18"/>
  <c r="G38" i="14" s="1"/>
  <c r="BG38" i="18"/>
  <c r="BH38" i="18"/>
  <c r="BI38" i="18"/>
  <c r="BJ38" i="18"/>
  <c r="BK38" i="18"/>
  <c r="BL38" i="18"/>
  <c r="BM38" i="18"/>
  <c r="BN38" i="18"/>
  <c r="BO38" i="18"/>
  <c r="BP38" i="18"/>
  <c r="BQ38" i="18"/>
  <c r="BR38" i="18"/>
  <c r="BS38" i="18"/>
  <c r="BT38" i="18"/>
  <c r="B39" i="18"/>
  <c r="C39" i="18"/>
  <c r="D39" i="18"/>
  <c r="E39" i="18"/>
  <c r="F39" i="18"/>
  <c r="G39" i="18"/>
  <c r="H39" i="18"/>
  <c r="I39" i="18"/>
  <c r="J39" i="18"/>
  <c r="K39" i="18"/>
  <c r="L39" i="18"/>
  <c r="M39" i="18"/>
  <c r="N39" i="18"/>
  <c r="O39" i="18"/>
  <c r="P39" i="18"/>
  <c r="Q39" i="18"/>
  <c r="R39" i="18"/>
  <c r="S39" i="18"/>
  <c r="T39" i="18"/>
  <c r="U39" i="18"/>
  <c r="V39" i="18"/>
  <c r="W39" i="18"/>
  <c r="X39" i="18"/>
  <c r="Y39" i="18"/>
  <c r="Z39" i="18"/>
  <c r="AA39" i="18"/>
  <c r="AB39" i="18"/>
  <c r="AC39" i="18"/>
  <c r="AD39" i="18"/>
  <c r="AE39" i="18"/>
  <c r="AF39" i="18"/>
  <c r="AG39" i="18"/>
  <c r="AH39" i="18"/>
  <c r="AI39" i="18"/>
  <c r="AJ39" i="18"/>
  <c r="AK39" i="18"/>
  <c r="AL39" i="18"/>
  <c r="AM39" i="18"/>
  <c r="AN39" i="18"/>
  <c r="AO39" i="18"/>
  <c r="AP39" i="18"/>
  <c r="AQ39" i="18"/>
  <c r="AR39" i="18"/>
  <c r="AS39" i="18"/>
  <c r="AT39" i="18"/>
  <c r="AU39" i="18"/>
  <c r="AV39" i="18"/>
  <c r="AW39" i="18"/>
  <c r="AX39" i="18"/>
  <c r="AY39" i="18"/>
  <c r="AZ39" i="18"/>
  <c r="BA39" i="18"/>
  <c r="BB39" i="18"/>
  <c r="BC39" i="18"/>
  <c r="BD39" i="18"/>
  <c r="BE39" i="18"/>
  <c r="BF39" i="18"/>
  <c r="G39" i="14" s="1"/>
  <c r="BG39" i="18"/>
  <c r="BH39" i="18"/>
  <c r="BI39" i="18"/>
  <c r="BJ39" i="18"/>
  <c r="BK39" i="18"/>
  <c r="BL39" i="18"/>
  <c r="BM39" i="18"/>
  <c r="BN39" i="18"/>
  <c r="BO39" i="18"/>
  <c r="BP39" i="18"/>
  <c r="BQ39" i="18"/>
  <c r="BR39" i="18"/>
  <c r="BS39" i="18"/>
  <c r="BT39" i="18"/>
  <c r="B40" i="18"/>
  <c r="C40" i="18"/>
  <c r="D40" i="18"/>
  <c r="E40" i="18"/>
  <c r="F40" i="18"/>
  <c r="G40" i="18"/>
  <c r="H40" i="18"/>
  <c r="I40" i="18"/>
  <c r="J40" i="18"/>
  <c r="K40" i="18"/>
  <c r="L40" i="18"/>
  <c r="M40" i="18"/>
  <c r="N40" i="18"/>
  <c r="O40" i="18"/>
  <c r="P40" i="18"/>
  <c r="Q40" i="18"/>
  <c r="R40" i="18"/>
  <c r="S40" i="18"/>
  <c r="T40" i="18"/>
  <c r="U40" i="18"/>
  <c r="V40" i="18"/>
  <c r="W40" i="18"/>
  <c r="X40" i="18"/>
  <c r="Y40" i="18"/>
  <c r="Z40" i="18"/>
  <c r="AA40" i="18"/>
  <c r="AB40" i="18"/>
  <c r="AC40" i="18"/>
  <c r="AD40" i="18"/>
  <c r="AE40" i="18"/>
  <c r="AF40" i="18"/>
  <c r="AG40" i="18"/>
  <c r="AH40" i="18"/>
  <c r="AI40" i="18"/>
  <c r="AJ40" i="18"/>
  <c r="AK40" i="18"/>
  <c r="AL40" i="18"/>
  <c r="AM40" i="18"/>
  <c r="AN40" i="18"/>
  <c r="AO40" i="18"/>
  <c r="AP40" i="18"/>
  <c r="AQ40" i="18"/>
  <c r="AR40" i="18"/>
  <c r="AS40" i="18"/>
  <c r="AT40" i="18"/>
  <c r="AU40" i="18"/>
  <c r="AV40" i="18"/>
  <c r="AW40" i="18"/>
  <c r="AX40" i="18"/>
  <c r="AY40" i="18"/>
  <c r="AZ40" i="18"/>
  <c r="BA40" i="18"/>
  <c r="BB40" i="18"/>
  <c r="BC40" i="18"/>
  <c r="BD40" i="18"/>
  <c r="BE40" i="18"/>
  <c r="BF40" i="18"/>
  <c r="G40" i="14" s="1"/>
  <c r="BG40" i="18"/>
  <c r="BH40" i="18"/>
  <c r="BI40" i="18"/>
  <c r="BJ40" i="18"/>
  <c r="BK40" i="18"/>
  <c r="BL40" i="18"/>
  <c r="BM40" i="18"/>
  <c r="BN40" i="18"/>
  <c r="BO40" i="18"/>
  <c r="BP40" i="18"/>
  <c r="BQ40" i="18"/>
  <c r="BR40" i="18"/>
  <c r="BS40" i="18"/>
  <c r="BT40" i="18"/>
  <c r="B41" i="18"/>
  <c r="C41" i="18"/>
  <c r="D41" i="18"/>
  <c r="E41" i="18"/>
  <c r="F41" i="18"/>
  <c r="G41" i="18"/>
  <c r="H41" i="18"/>
  <c r="I41" i="18"/>
  <c r="J41" i="18"/>
  <c r="K41" i="18"/>
  <c r="L41" i="18"/>
  <c r="M41" i="18"/>
  <c r="N41" i="18"/>
  <c r="O41" i="18"/>
  <c r="P41" i="18"/>
  <c r="Q41" i="18"/>
  <c r="R41" i="18"/>
  <c r="S41" i="18"/>
  <c r="T41" i="18"/>
  <c r="U41" i="18"/>
  <c r="V41" i="18"/>
  <c r="W41" i="18"/>
  <c r="X41" i="18"/>
  <c r="Y41" i="18"/>
  <c r="Z41" i="18"/>
  <c r="AA41" i="18"/>
  <c r="AB41" i="18"/>
  <c r="AC41" i="18"/>
  <c r="AD41" i="18"/>
  <c r="AE41" i="18"/>
  <c r="AF41" i="18"/>
  <c r="AG41" i="18"/>
  <c r="AH41" i="18"/>
  <c r="AI41" i="18"/>
  <c r="AJ41" i="18"/>
  <c r="AK41" i="18"/>
  <c r="AL41" i="18"/>
  <c r="AM41" i="18"/>
  <c r="AN41" i="18"/>
  <c r="AO41" i="18"/>
  <c r="AP41" i="18"/>
  <c r="AQ41" i="18"/>
  <c r="AR41" i="18"/>
  <c r="AS41" i="18"/>
  <c r="AT41" i="18"/>
  <c r="AU41" i="18"/>
  <c r="AV41" i="18"/>
  <c r="AW41" i="18"/>
  <c r="AX41" i="18"/>
  <c r="AY41" i="18"/>
  <c r="AZ41" i="18"/>
  <c r="BA41" i="18"/>
  <c r="BB41" i="18"/>
  <c r="BC41" i="18"/>
  <c r="BD41" i="18"/>
  <c r="BE41" i="18"/>
  <c r="BF41" i="18"/>
  <c r="G41" i="14" s="1"/>
  <c r="BG41" i="18"/>
  <c r="BH41" i="18"/>
  <c r="BI41" i="18"/>
  <c r="BJ41" i="18"/>
  <c r="BK41" i="18"/>
  <c r="BL41" i="18"/>
  <c r="BM41" i="18"/>
  <c r="BN41" i="18"/>
  <c r="BO41" i="18"/>
  <c r="BP41" i="18"/>
  <c r="BQ41" i="18"/>
  <c r="BR41" i="18"/>
  <c r="BS41" i="18"/>
  <c r="BT41" i="18"/>
  <c r="B42" i="18"/>
  <c r="C42" i="18"/>
  <c r="D42" i="18"/>
  <c r="E42" i="18"/>
  <c r="F42" i="18"/>
  <c r="G42" i="18"/>
  <c r="H42" i="18"/>
  <c r="I42" i="18"/>
  <c r="J42" i="18"/>
  <c r="K42" i="18"/>
  <c r="L42" i="18"/>
  <c r="M42" i="18"/>
  <c r="N42" i="18"/>
  <c r="O42" i="18"/>
  <c r="P42" i="18"/>
  <c r="Q42" i="18"/>
  <c r="R42" i="18"/>
  <c r="S42" i="18"/>
  <c r="T42" i="18"/>
  <c r="U42" i="18"/>
  <c r="V42" i="18"/>
  <c r="W42" i="18"/>
  <c r="X42" i="18"/>
  <c r="Y42" i="18"/>
  <c r="Z42" i="18"/>
  <c r="AA42" i="18"/>
  <c r="AB42" i="18"/>
  <c r="AC42" i="18"/>
  <c r="AD42" i="18"/>
  <c r="AE42" i="18"/>
  <c r="AF42" i="18"/>
  <c r="AG42" i="18"/>
  <c r="AH42" i="18"/>
  <c r="AI42" i="18"/>
  <c r="AJ42" i="18"/>
  <c r="AK42" i="18"/>
  <c r="AL42" i="18"/>
  <c r="AM42" i="18"/>
  <c r="AN42" i="18"/>
  <c r="AO42" i="18"/>
  <c r="AP42" i="18"/>
  <c r="AQ42" i="18"/>
  <c r="AR42" i="18"/>
  <c r="AS42" i="18"/>
  <c r="AT42" i="18"/>
  <c r="AU42" i="18"/>
  <c r="AV42" i="18"/>
  <c r="AW42" i="18"/>
  <c r="AX42" i="18"/>
  <c r="AY42" i="18"/>
  <c r="AZ42" i="18"/>
  <c r="BA42" i="18"/>
  <c r="BB42" i="18"/>
  <c r="BC42" i="18"/>
  <c r="BD42" i="18"/>
  <c r="BE42" i="18"/>
  <c r="BF42" i="18"/>
  <c r="G42" i="14" s="1"/>
  <c r="BG42" i="18"/>
  <c r="BH42" i="18"/>
  <c r="BI42" i="18"/>
  <c r="BJ42" i="18"/>
  <c r="BK42" i="18"/>
  <c r="BL42" i="18"/>
  <c r="BM42" i="18"/>
  <c r="BN42" i="18"/>
  <c r="BO42" i="18"/>
  <c r="BP42" i="18"/>
  <c r="BQ42" i="18"/>
  <c r="BR42" i="18"/>
  <c r="BS42" i="18"/>
  <c r="BT42" i="18"/>
  <c r="B43" i="18"/>
  <c r="C43" i="18"/>
  <c r="D43" i="18"/>
  <c r="E43" i="18"/>
  <c r="F43" i="18"/>
  <c r="G43" i="18"/>
  <c r="H43" i="18"/>
  <c r="I43" i="18"/>
  <c r="J43" i="18"/>
  <c r="K43" i="18"/>
  <c r="L43" i="18"/>
  <c r="M43" i="18"/>
  <c r="N43" i="18"/>
  <c r="O43" i="18"/>
  <c r="P43" i="18"/>
  <c r="Q43" i="18"/>
  <c r="R43" i="18"/>
  <c r="S43" i="18"/>
  <c r="T43" i="18"/>
  <c r="U43" i="18"/>
  <c r="V43" i="18"/>
  <c r="W43" i="18"/>
  <c r="X43" i="18"/>
  <c r="Y43" i="18"/>
  <c r="Z43" i="18"/>
  <c r="AA43" i="18"/>
  <c r="AB43" i="18"/>
  <c r="AC43" i="18"/>
  <c r="AD43" i="18"/>
  <c r="AE43" i="18"/>
  <c r="AF43" i="18"/>
  <c r="AG43" i="18"/>
  <c r="AH43" i="18"/>
  <c r="AI43" i="18"/>
  <c r="AJ43" i="18"/>
  <c r="AK43" i="18"/>
  <c r="AL43" i="18"/>
  <c r="AM43" i="18"/>
  <c r="AN43" i="18"/>
  <c r="AO43" i="18"/>
  <c r="AP43" i="18"/>
  <c r="AQ43" i="18"/>
  <c r="AR43" i="18"/>
  <c r="AS43" i="18"/>
  <c r="AT43" i="18"/>
  <c r="AU43" i="18"/>
  <c r="AV43" i="18"/>
  <c r="AW43" i="18"/>
  <c r="AX43" i="18"/>
  <c r="AY43" i="18"/>
  <c r="AZ43" i="18"/>
  <c r="BA43" i="18"/>
  <c r="BB43" i="18"/>
  <c r="BC43" i="18"/>
  <c r="BD43" i="18"/>
  <c r="BE43" i="18"/>
  <c r="BF43" i="18"/>
  <c r="G43" i="14" s="1"/>
  <c r="BG43" i="18"/>
  <c r="BH43" i="18"/>
  <c r="BI43" i="18"/>
  <c r="BJ43" i="18"/>
  <c r="BK43" i="18"/>
  <c r="BL43" i="18"/>
  <c r="BM43" i="18"/>
  <c r="BN43" i="18"/>
  <c r="BO43" i="18"/>
  <c r="BP43" i="18"/>
  <c r="BQ43" i="18"/>
  <c r="BR43" i="18"/>
  <c r="BS43" i="18"/>
  <c r="BT43" i="18"/>
  <c r="B44" i="18"/>
  <c r="C44" i="18"/>
  <c r="D44" i="18"/>
  <c r="E44" i="18"/>
  <c r="F44" i="18"/>
  <c r="G44" i="18"/>
  <c r="H44" i="18"/>
  <c r="I44" i="18"/>
  <c r="J44" i="18"/>
  <c r="K44" i="18"/>
  <c r="L44" i="18"/>
  <c r="M44" i="18"/>
  <c r="N44" i="18"/>
  <c r="O44" i="18"/>
  <c r="P44" i="18"/>
  <c r="Q44" i="18"/>
  <c r="R44" i="18"/>
  <c r="S44" i="18"/>
  <c r="T44" i="18"/>
  <c r="U44" i="18"/>
  <c r="V44" i="18"/>
  <c r="W44" i="18"/>
  <c r="X44" i="18"/>
  <c r="Y44" i="18"/>
  <c r="Z44" i="18"/>
  <c r="AA44" i="18"/>
  <c r="AB44" i="18"/>
  <c r="AC44" i="18"/>
  <c r="AD44" i="18"/>
  <c r="AE44" i="18"/>
  <c r="AF44" i="18"/>
  <c r="AG44" i="18"/>
  <c r="AH44" i="18"/>
  <c r="AI44" i="18"/>
  <c r="AJ44" i="18"/>
  <c r="AK44" i="18"/>
  <c r="AL44" i="18"/>
  <c r="AM44" i="18"/>
  <c r="AN44" i="18"/>
  <c r="AO44" i="18"/>
  <c r="AP44" i="18"/>
  <c r="AQ44" i="18"/>
  <c r="AR44" i="18"/>
  <c r="AS44" i="18"/>
  <c r="AT44" i="18"/>
  <c r="AU44" i="18"/>
  <c r="AV44" i="18"/>
  <c r="AW44" i="18"/>
  <c r="AX44" i="18"/>
  <c r="AY44" i="18"/>
  <c r="AZ44" i="18"/>
  <c r="BA44" i="18"/>
  <c r="BB44" i="18"/>
  <c r="BC44" i="18"/>
  <c r="BD44" i="18"/>
  <c r="BE44" i="18"/>
  <c r="BF44" i="18"/>
  <c r="G44" i="14" s="1"/>
  <c r="BG44" i="18"/>
  <c r="BH44" i="18"/>
  <c r="BI44" i="18"/>
  <c r="BJ44" i="18"/>
  <c r="BK44" i="18"/>
  <c r="BL44" i="18"/>
  <c r="BM44" i="18"/>
  <c r="BN44" i="18"/>
  <c r="BO44" i="18"/>
  <c r="BP44" i="18"/>
  <c r="BQ44" i="18"/>
  <c r="BR44" i="18"/>
  <c r="BS44" i="18"/>
  <c r="BT44" i="18"/>
  <c r="B45" i="18"/>
  <c r="C45" i="18"/>
  <c r="D45" i="18"/>
  <c r="E45" i="18"/>
  <c r="F45" i="18"/>
  <c r="G45" i="18"/>
  <c r="H45" i="18"/>
  <c r="I45" i="18"/>
  <c r="J45" i="18"/>
  <c r="K45" i="18"/>
  <c r="L45" i="18"/>
  <c r="M45" i="18"/>
  <c r="N45" i="18"/>
  <c r="O45" i="18"/>
  <c r="P45" i="18"/>
  <c r="Q45" i="18"/>
  <c r="R45" i="18"/>
  <c r="S45" i="18"/>
  <c r="T45" i="18"/>
  <c r="U45" i="18"/>
  <c r="V45" i="18"/>
  <c r="W45" i="18"/>
  <c r="X45" i="18"/>
  <c r="Y45" i="18"/>
  <c r="Z45" i="18"/>
  <c r="AA45" i="18"/>
  <c r="AB45" i="18"/>
  <c r="AC45" i="18"/>
  <c r="AD45" i="18"/>
  <c r="AE45" i="18"/>
  <c r="AF45" i="18"/>
  <c r="AG45" i="18"/>
  <c r="AH45" i="18"/>
  <c r="AI45" i="18"/>
  <c r="AJ45" i="18"/>
  <c r="AK45" i="18"/>
  <c r="AL45" i="18"/>
  <c r="AM45" i="18"/>
  <c r="AN45" i="18"/>
  <c r="AO45" i="18"/>
  <c r="AP45" i="18"/>
  <c r="AQ45" i="18"/>
  <c r="AR45" i="18"/>
  <c r="AS45" i="18"/>
  <c r="AT45" i="18"/>
  <c r="AU45" i="18"/>
  <c r="AV45" i="18"/>
  <c r="AW45" i="18"/>
  <c r="AX45" i="18"/>
  <c r="AY45" i="18"/>
  <c r="AZ45" i="18"/>
  <c r="BA45" i="18"/>
  <c r="BB45" i="18"/>
  <c r="BC45" i="18"/>
  <c r="BD45" i="18"/>
  <c r="BE45" i="18"/>
  <c r="BF45" i="18"/>
  <c r="G45" i="14" s="1"/>
  <c r="BG45" i="18"/>
  <c r="BH45" i="18"/>
  <c r="BI45" i="18"/>
  <c r="BJ45" i="18"/>
  <c r="BK45" i="18"/>
  <c r="BL45" i="18"/>
  <c r="BM45" i="18"/>
  <c r="BN45" i="18"/>
  <c r="BO45" i="18"/>
  <c r="BP45" i="18"/>
  <c r="BQ45" i="18"/>
  <c r="BR45" i="18"/>
  <c r="BS45" i="18"/>
  <c r="BT45" i="18"/>
  <c r="B46" i="18"/>
  <c r="C46" i="18"/>
  <c r="D46" i="18"/>
  <c r="E46" i="18"/>
  <c r="F46" i="18"/>
  <c r="G46" i="18"/>
  <c r="H46" i="18"/>
  <c r="I46" i="18"/>
  <c r="J46" i="18"/>
  <c r="K46" i="18"/>
  <c r="L46" i="18"/>
  <c r="M46" i="18"/>
  <c r="N46" i="18"/>
  <c r="O46" i="18"/>
  <c r="P46" i="18"/>
  <c r="Q46" i="18"/>
  <c r="R46" i="18"/>
  <c r="S46" i="18"/>
  <c r="T46" i="18"/>
  <c r="U46" i="18"/>
  <c r="V46" i="18"/>
  <c r="W46" i="18"/>
  <c r="X46" i="18"/>
  <c r="Y46" i="18"/>
  <c r="Z46" i="18"/>
  <c r="AA46" i="18"/>
  <c r="AB46" i="18"/>
  <c r="AC46" i="18"/>
  <c r="AD46" i="18"/>
  <c r="AE46" i="18"/>
  <c r="AF46" i="18"/>
  <c r="AG46" i="18"/>
  <c r="AH46" i="18"/>
  <c r="AI46" i="18"/>
  <c r="AJ46" i="18"/>
  <c r="AK46" i="18"/>
  <c r="AL46" i="18"/>
  <c r="AM46" i="18"/>
  <c r="AN46" i="18"/>
  <c r="AO46" i="18"/>
  <c r="AP46" i="18"/>
  <c r="AQ46" i="18"/>
  <c r="AR46" i="18"/>
  <c r="AS46" i="18"/>
  <c r="AT46" i="18"/>
  <c r="AU46" i="18"/>
  <c r="AV46" i="18"/>
  <c r="AW46" i="18"/>
  <c r="AX46" i="18"/>
  <c r="AY46" i="18"/>
  <c r="AZ46" i="18"/>
  <c r="BA46" i="18"/>
  <c r="BB46" i="18"/>
  <c r="BC46" i="18"/>
  <c r="BD46" i="18"/>
  <c r="BE46" i="18"/>
  <c r="BF46" i="18"/>
  <c r="G46" i="14" s="1"/>
  <c r="BG46" i="18"/>
  <c r="BH46" i="18"/>
  <c r="BI46" i="18"/>
  <c r="BJ46" i="18"/>
  <c r="BK46" i="18"/>
  <c r="BL46" i="18"/>
  <c r="BM46" i="18"/>
  <c r="BN46" i="18"/>
  <c r="BO46" i="18"/>
  <c r="BP46" i="18"/>
  <c r="BQ46" i="18"/>
  <c r="BR46" i="18"/>
  <c r="BS46" i="18"/>
  <c r="BT46" i="18"/>
  <c r="B47" i="18"/>
  <c r="C47" i="18"/>
  <c r="D47" i="18"/>
  <c r="E47" i="18"/>
  <c r="F47" i="18"/>
  <c r="G47" i="18"/>
  <c r="H47" i="18"/>
  <c r="I47" i="18"/>
  <c r="J47" i="18"/>
  <c r="K47" i="18"/>
  <c r="L47" i="18"/>
  <c r="M47" i="18"/>
  <c r="N47" i="18"/>
  <c r="O47" i="18"/>
  <c r="P47" i="18"/>
  <c r="Q47" i="18"/>
  <c r="R47" i="18"/>
  <c r="S47" i="18"/>
  <c r="T47" i="18"/>
  <c r="U47" i="18"/>
  <c r="V47" i="18"/>
  <c r="W47" i="18"/>
  <c r="X47" i="18"/>
  <c r="Y47" i="18"/>
  <c r="Z47" i="18"/>
  <c r="AA47" i="18"/>
  <c r="AB47" i="18"/>
  <c r="AC47" i="18"/>
  <c r="AD47" i="18"/>
  <c r="AE47" i="18"/>
  <c r="AF47" i="18"/>
  <c r="AG47" i="18"/>
  <c r="AH47" i="18"/>
  <c r="AI47" i="18"/>
  <c r="AJ47" i="18"/>
  <c r="AK47" i="18"/>
  <c r="AL47" i="18"/>
  <c r="AM47" i="18"/>
  <c r="AN47" i="18"/>
  <c r="AO47" i="18"/>
  <c r="AP47" i="18"/>
  <c r="AQ47" i="18"/>
  <c r="AR47" i="18"/>
  <c r="AS47" i="18"/>
  <c r="AT47" i="18"/>
  <c r="AU47" i="18"/>
  <c r="AV47" i="18"/>
  <c r="AW47" i="18"/>
  <c r="AX47" i="18"/>
  <c r="AY47" i="18"/>
  <c r="AZ47" i="18"/>
  <c r="BA47" i="18"/>
  <c r="BB47" i="18"/>
  <c r="BC47" i="18"/>
  <c r="BD47" i="18"/>
  <c r="BE47" i="18"/>
  <c r="BF47" i="18"/>
  <c r="G47" i="14" s="1"/>
  <c r="BG47" i="18"/>
  <c r="BH47" i="18"/>
  <c r="BI47" i="18"/>
  <c r="BJ47" i="18"/>
  <c r="BK47" i="18"/>
  <c r="BL47" i="18"/>
  <c r="BM47" i="18"/>
  <c r="BN47" i="18"/>
  <c r="BO47" i="18"/>
  <c r="BP47" i="18"/>
  <c r="BQ47" i="18"/>
  <c r="BR47" i="18"/>
  <c r="BS47" i="18"/>
  <c r="BT47" i="18"/>
  <c r="B48" i="18"/>
  <c r="C48" i="18"/>
  <c r="D48" i="18"/>
  <c r="E48" i="18"/>
  <c r="F48" i="18"/>
  <c r="G48" i="18"/>
  <c r="H48" i="18"/>
  <c r="I48" i="18"/>
  <c r="J48" i="18"/>
  <c r="K48" i="18"/>
  <c r="L48" i="18"/>
  <c r="M48" i="18"/>
  <c r="N48" i="18"/>
  <c r="O48" i="18"/>
  <c r="P48" i="18"/>
  <c r="Q48" i="18"/>
  <c r="R48" i="18"/>
  <c r="S48" i="18"/>
  <c r="T48" i="18"/>
  <c r="U48" i="18"/>
  <c r="V48" i="18"/>
  <c r="W48" i="18"/>
  <c r="X48" i="18"/>
  <c r="Y48" i="18"/>
  <c r="Z48" i="18"/>
  <c r="AA48" i="18"/>
  <c r="AB48" i="18"/>
  <c r="AC48" i="18"/>
  <c r="AD48" i="18"/>
  <c r="AE48" i="18"/>
  <c r="AF48" i="18"/>
  <c r="AG48" i="18"/>
  <c r="AH48" i="18"/>
  <c r="AI48" i="18"/>
  <c r="AJ48" i="18"/>
  <c r="AK48" i="18"/>
  <c r="AL48" i="18"/>
  <c r="AM48" i="18"/>
  <c r="AN48" i="18"/>
  <c r="AO48" i="18"/>
  <c r="AP48" i="18"/>
  <c r="AQ48" i="18"/>
  <c r="AR48" i="18"/>
  <c r="AS48" i="18"/>
  <c r="AT48" i="18"/>
  <c r="AU48" i="18"/>
  <c r="AV48" i="18"/>
  <c r="AW48" i="18"/>
  <c r="AX48" i="18"/>
  <c r="AY48" i="18"/>
  <c r="AZ48" i="18"/>
  <c r="BA48" i="18"/>
  <c r="BB48" i="18"/>
  <c r="BC48" i="18"/>
  <c r="BD48" i="18"/>
  <c r="BE48" i="18"/>
  <c r="BF48" i="18"/>
  <c r="G48" i="14" s="1"/>
  <c r="BG48" i="18"/>
  <c r="BH48" i="18"/>
  <c r="BI48" i="18"/>
  <c r="BJ48" i="18"/>
  <c r="BK48" i="18"/>
  <c r="BL48" i="18"/>
  <c r="BM48" i="18"/>
  <c r="BN48" i="18"/>
  <c r="BO48" i="18"/>
  <c r="BP48" i="18"/>
  <c r="BQ48" i="18"/>
  <c r="BR48" i="18"/>
  <c r="BS48" i="18"/>
  <c r="BT48" i="18"/>
  <c r="B49" i="18"/>
  <c r="C49" i="18"/>
  <c r="D49" i="18"/>
  <c r="E49" i="18"/>
  <c r="F49" i="18"/>
  <c r="G49" i="18"/>
  <c r="H49" i="18"/>
  <c r="I49" i="18"/>
  <c r="J49" i="18"/>
  <c r="K49" i="18"/>
  <c r="L49" i="18"/>
  <c r="M49" i="18"/>
  <c r="N49" i="18"/>
  <c r="O49" i="18"/>
  <c r="P49" i="18"/>
  <c r="Q49" i="18"/>
  <c r="R49" i="18"/>
  <c r="S49" i="18"/>
  <c r="T49" i="18"/>
  <c r="U49" i="18"/>
  <c r="V49" i="18"/>
  <c r="W49" i="18"/>
  <c r="X49" i="18"/>
  <c r="Y49" i="18"/>
  <c r="Z49" i="18"/>
  <c r="AA49" i="18"/>
  <c r="AB49" i="18"/>
  <c r="AC49" i="18"/>
  <c r="AD49" i="18"/>
  <c r="AE49" i="18"/>
  <c r="AF49" i="18"/>
  <c r="AG49" i="18"/>
  <c r="AH49" i="18"/>
  <c r="AI49" i="18"/>
  <c r="AJ49" i="18"/>
  <c r="AK49" i="18"/>
  <c r="AL49" i="18"/>
  <c r="AM49" i="18"/>
  <c r="AN49" i="18"/>
  <c r="AO49" i="18"/>
  <c r="AP49" i="18"/>
  <c r="AQ49" i="18"/>
  <c r="AR49" i="18"/>
  <c r="AS49" i="18"/>
  <c r="AT49" i="18"/>
  <c r="AU49" i="18"/>
  <c r="AV49" i="18"/>
  <c r="AW49" i="18"/>
  <c r="AX49" i="18"/>
  <c r="AY49" i="18"/>
  <c r="AZ49" i="18"/>
  <c r="BA49" i="18"/>
  <c r="BB49" i="18"/>
  <c r="BC49" i="18"/>
  <c r="BD49" i="18"/>
  <c r="BE49" i="18"/>
  <c r="BF49" i="18"/>
  <c r="G49" i="14" s="1"/>
  <c r="BG49" i="18"/>
  <c r="BH49" i="18"/>
  <c r="BI49" i="18"/>
  <c r="BJ49" i="18"/>
  <c r="BK49" i="18"/>
  <c r="BL49" i="18"/>
  <c r="BM49" i="18"/>
  <c r="BN49" i="18"/>
  <c r="BO49" i="18"/>
  <c r="BP49" i="18"/>
  <c r="BQ49" i="18"/>
  <c r="BR49" i="18"/>
  <c r="BS49" i="18"/>
  <c r="BT49" i="18"/>
  <c r="B50" i="18"/>
  <c r="C50" i="18"/>
  <c r="D50" i="18"/>
  <c r="E50" i="18"/>
  <c r="F50" i="18"/>
  <c r="G50" i="18"/>
  <c r="H50" i="18"/>
  <c r="I50" i="18"/>
  <c r="J50" i="18"/>
  <c r="K50" i="18"/>
  <c r="L50" i="18"/>
  <c r="M50" i="18"/>
  <c r="N50" i="18"/>
  <c r="O50" i="18"/>
  <c r="P50" i="18"/>
  <c r="Q50" i="18"/>
  <c r="R50" i="18"/>
  <c r="S50" i="18"/>
  <c r="T50" i="18"/>
  <c r="U50" i="18"/>
  <c r="V50" i="18"/>
  <c r="W50" i="18"/>
  <c r="X50" i="18"/>
  <c r="Y50" i="18"/>
  <c r="Z50" i="18"/>
  <c r="AA50" i="18"/>
  <c r="AB50" i="18"/>
  <c r="AC50" i="18"/>
  <c r="AD50" i="18"/>
  <c r="AE50" i="18"/>
  <c r="AF50" i="18"/>
  <c r="AG50" i="18"/>
  <c r="AH50" i="18"/>
  <c r="AI50" i="18"/>
  <c r="AJ50" i="18"/>
  <c r="AK50" i="18"/>
  <c r="AL50" i="18"/>
  <c r="AM50" i="18"/>
  <c r="AN50" i="18"/>
  <c r="AO50" i="18"/>
  <c r="AP50" i="18"/>
  <c r="AQ50" i="18"/>
  <c r="AR50" i="18"/>
  <c r="AS50" i="18"/>
  <c r="AT50" i="18"/>
  <c r="AU50" i="18"/>
  <c r="AV50" i="18"/>
  <c r="AW50" i="18"/>
  <c r="AX50" i="18"/>
  <c r="AY50" i="18"/>
  <c r="AZ50" i="18"/>
  <c r="BA50" i="18"/>
  <c r="BB50" i="18"/>
  <c r="BC50" i="18"/>
  <c r="BD50" i="18"/>
  <c r="BE50" i="18"/>
  <c r="BF50" i="18"/>
  <c r="G50" i="14" s="1"/>
  <c r="BG50" i="18"/>
  <c r="BH50" i="18"/>
  <c r="BI50" i="18"/>
  <c r="BJ50" i="18"/>
  <c r="BK50" i="18"/>
  <c r="BL50" i="18"/>
  <c r="BM50" i="18"/>
  <c r="BN50" i="18"/>
  <c r="BO50" i="18"/>
  <c r="BP50" i="18"/>
  <c r="BQ50" i="18"/>
  <c r="BR50" i="18"/>
  <c r="BS50" i="18"/>
  <c r="BT50" i="18"/>
  <c r="B51" i="18"/>
  <c r="C51" i="18"/>
  <c r="D51" i="18"/>
  <c r="E51" i="18"/>
  <c r="F51" i="18"/>
  <c r="G51" i="18"/>
  <c r="H51" i="18"/>
  <c r="I51" i="18"/>
  <c r="J51" i="18"/>
  <c r="K51" i="18"/>
  <c r="L51" i="18"/>
  <c r="M51" i="18"/>
  <c r="N51" i="18"/>
  <c r="O51" i="18"/>
  <c r="P51" i="18"/>
  <c r="Q51" i="18"/>
  <c r="R51" i="18"/>
  <c r="S51" i="18"/>
  <c r="T51" i="18"/>
  <c r="U51" i="18"/>
  <c r="V51" i="18"/>
  <c r="W51" i="18"/>
  <c r="X51" i="18"/>
  <c r="Y51" i="18"/>
  <c r="Z51" i="18"/>
  <c r="AA51" i="18"/>
  <c r="AB51" i="18"/>
  <c r="AC51" i="18"/>
  <c r="AD51" i="18"/>
  <c r="AE51" i="18"/>
  <c r="AF51" i="18"/>
  <c r="AG51" i="18"/>
  <c r="AH51" i="18"/>
  <c r="AI51" i="18"/>
  <c r="AJ51" i="18"/>
  <c r="AK51" i="18"/>
  <c r="AL51" i="18"/>
  <c r="AM51" i="18"/>
  <c r="AN51" i="18"/>
  <c r="AO51" i="18"/>
  <c r="AP51" i="18"/>
  <c r="AQ51" i="18"/>
  <c r="AR51" i="18"/>
  <c r="AS51" i="18"/>
  <c r="AT51" i="18"/>
  <c r="AU51" i="18"/>
  <c r="AV51" i="18"/>
  <c r="AW51" i="18"/>
  <c r="AX51" i="18"/>
  <c r="AY51" i="18"/>
  <c r="AZ51" i="18"/>
  <c r="BA51" i="18"/>
  <c r="BB51" i="18"/>
  <c r="BC51" i="18"/>
  <c r="BD51" i="18"/>
  <c r="BE51" i="18"/>
  <c r="BF51" i="18"/>
  <c r="G51" i="14" s="1"/>
  <c r="BG51" i="18"/>
  <c r="BH51" i="18"/>
  <c r="BI51" i="18"/>
  <c r="BJ51" i="18"/>
  <c r="BK51" i="18"/>
  <c r="BL51" i="18"/>
  <c r="BM51" i="18"/>
  <c r="BN51" i="18"/>
  <c r="BO51" i="18"/>
  <c r="BP51" i="18"/>
  <c r="BQ51" i="18"/>
  <c r="BR51" i="18"/>
  <c r="BS51" i="18"/>
  <c r="BT51" i="18"/>
  <c r="B52" i="18"/>
  <c r="C52" i="18"/>
  <c r="D52" i="18"/>
  <c r="E52" i="18"/>
  <c r="F52" i="18"/>
  <c r="G52" i="18"/>
  <c r="H52" i="18"/>
  <c r="I52" i="18"/>
  <c r="J52" i="18"/>
  <c r="K52" i="18"/>
  <c r="L52" i="18"/>
  <c r="M52" i="18"/>
  <c r="N52" i="18"/>
  <c r="O52" i="18"/>
  <c r="P52" i="18"/>
  <c r="Q52" i="18"/>
  <c r="R52" i="18"/>
  <c r="S52" i="18"/>
  <c r="T52" i="18"/>
  <c r="U52" i="18"/>
  <c r="V52" i="18"/>
  <c r="W52" i="18"/>
  <c r="X52" i="18"/>
  <c r="Y52" i="18"/>
  <c r="Z52" i="18"/>
  <c r="AA52" i="18"/>
  <c r="AB52" i="18"/>
  <c r="AC52" i="18"/>
  <c r="AD52" i="18"/>
  <c r="AE52" i="18"/>
  <c r="AF52" i="18"/>
  <c r="AG52" i="18"/>
  <c r="AH52" i="18"/>
  <c r="AI52" i="18"/>
  <c r="AJ52" i="18"/>
  <c r="AK52" i="18"/>
  <c r="AL52" i="18"/>
  <c r="AM52" i="18"/>
  <c r="AN52" i="18"/>
  <c r="AO52" i="18"/>
  <c r="AP52" i="18"/>
  <c r="AQ52" i="18"/>
  <c r="AR52" i="18"/>
  <c r="AS52" i="18"/>
  <c r="AT52" i="18"/>
  <c r="AU52" i="18"/>
  <c r="AV52" i="18"/>
  <c r="AW52" i="18"/>
  <c r="AX52" i="18"/>
  <c r="AY52" i="18"/>
  <c r="AZ52" i="18"/>
  <c r="BA52" i="18"/>
  <c r="BB52" i="18"/>
  <c r="BC52" i="18"/>
  <c r="BD52" i="18"/>
  <c r="BE52" i="18"/>
  <c r="BF52" i="18"/>
  <c r="G52" i="14" s="1"/>
  <c r="BG52" i="18"/>
  <c r="BH52" i="18"/>
  <c r="BI52" i="18"/>
  <c r="BJ52" i="18"/>
  <c r="BK52" i="18"/>
  <c r="BL52" i="18"/>
  <c r="BM52" i="18"/>
  <c r="BN52" i="18"/>
  <c r="BO52" i="18"/>
  <c r="BP52" i="18"/>
  <c r="BQ52" i="18"/>
  <c r="BR52" i="18"/>
  <c r="BS52" i="18"/>
  <c r="BT52" i="18"/>
  <c r="B53" i="18"/>
  <c r="C53" i="18"/>
  <c r="D53" i="18"/>
  <c r="E53" i="18"/>
  <c r="F53" i="18"/>
  <c r="G53" i="18"/>
  <c r="H53" i="18"/>
  <c r="I53" i="18"/>
  <c r="J53" i="18"/>
  <c r="K53" i="18"/>
  <c r="L53" i="18"/>
  <c r="M53" i="18"/>
  <c r="N53" i="18"/>
  <c r="O53" i="18"/>
  <c r="P53" i="18"/>
  <c r="Q53" i="18"/>
  <c r="R53" i="18"/>
  <c r="S53" i="18"/>
  <c r="T53" i="18"/>
  <c r="U53" i="18"/>
  <c r="V53" i="18"/>
  <c r="W53" i="18"/>
  <c r="X53" i="18"/>
  <c r="Y53" i="18"/>
  <c r="Z53" i="18"/>
  <c r="AA53" i="18"/>
  <c r="AB53" i="18"/>
  <c r="AC53" i="18"/>
  <c r="AD53" i="18"/>
  <c r="AE53" i="18"/>
  <c r="AF53" i="18"/>
  <c r="AG53" i="18"/>
  <c r="AH53" i="18"/>
  <c r="AI53" i="18"/>
  <c r="AJ53" i="18"/>
  <c r="AK53" i="18"/>
  <c r="AL53" i="18"/>
  <c r="AM53" i="18"/>
  <c r="AN53" i="18"/>
  <c r="AO53" i="18"/>
  <c r="AP53" i="18"/>
  <c r="AQ53" i="18"/>
  <c r="AR53" i="18"/>
  <c r="AS53" i="18"/>
  <c r="AT53" i="18"/>
  <c r="AU53" i="18"/>
  <c r="AV53" i="18"/>
  <c r="AW53" i="18"/>
  <c r="AX53" i="18"/>
  <c r="AY53" i="18"/>
  <c r="AZ53" i="18"/>
  <c r="BA53" i="18"/>
  <c r="BB53" i="18"/>
  <c r="BC53" i="18"/>
  <c r="BD53" i="18"/>
  <c r="BE53" i="18"/>
  <c r="BF53" i="18"/>
  <c r="G53" i="14" s="1"/>
  <c r="BG53" i="18"/>
  <c r="BH53" i="18"/>
  <c r="BI53" i="18"/>
  <c r="BJ53" i="18"/>
  <c r="BK53" i="18"/>
  <c r="BL53" i="18"/>
  <c r="BM53" i="18"/>
  <c r="BN53" i="18"/>
  <c r="BO53" i="18"/>
  <c r="BP53" i="18"/>
  <c r="BQ53" i="18"/>
  <c r="BR53" i="18"/>
  <c r="BS53" i="18"/>
  <c r="BT53" i="18"/>
  <c r="B54" i="18"/>
  <c r="C54" i="18"/>
  <c r="D54" i="18"/>
  <c r="E54" i="18"/>
  <c r="F54" i="18"/>
  <c r="G54" i="18"/>
  <c r="H54" i="18"/>
  <c r="I54" i="18"/>
  <c r="J54" i="18"/>
  <c r="K54" i="18"/>
  <c r="L54" i="18"/>
  <c r="M54" i="18"/>
  <c r="N54" i="18"/>
  <c r="O54" i="18"/>
  <c r="P54" i="18"/>
  <c r="Q54" i="18"/>
  <c r="R54" i="18"/>
  <c r="S54" i="18"/>
  <c r="T54" i="18"/>
  <c r="U54" i="18"/>
  <c r="V54" i="18"/>
  <c r="W54" i="18"/>
  <c r="X54" i="18"/>
  <c r="Y54" i="18"/>
  <c r="Z54" i="18"/>
  <c r="AA54" i="18"/>
  <c r="AB54" i="18"/>
  <c r="AC54" i="18"/>
  <c r="AD54" i="18"/>
  <c r="AE54" i="18"/>
  <c r="AF54" i="18"/>
  <c r="AG54" i="18"/>
  <c r="AH54" i="18"/>
  <c r="AI54" i="18"/>
  <c r="AJ54" i="18"/>
  <c r="AK54" i="18"/>
  <c r="AL54" i="18"/>
  <c r="AM54" i="18"/>
  <c r="AN54" i="18"/>
  <c r="AO54" i="18"/>
  <c r="AP54" i="18"/>
  <c r="AQ54" i="18"/>
  <c r="AR54" i="18"/>
  <c r="AS54" i="18"/>
  <c r="AT54" i="18"/>
  <c r="AU54" i="18"/>
  <c r="AV54" i="18"/>
  <c r="AW54" i="18"/>
  <c r="AX54" i="18"/>
  <c r="AY54" i="18"/>
  <c r="AZ54" i="18"/>
  <c r="BA54" i="18"/>
  <c r="BB54" i="18"/>
  <c r="BC54" i="18"/>
  <c r="BD54" i="18"/>
  <c r="BE54" i="18"/>
  <c r="BF54" i="18"/>
  <c r="G54" i="14" s="1"/>
  <c r="BG54" i="18"/>
  <c r="BH54" i="18"/>
  <c r="BI54" i="18"/>
  <c r="BJ54" i="18"/>
  <c r="BK54" i="18"/>
  <c r="BL54" i="18"/>
  <c r="BM54" i="18"/>
  <c r="BN54" i="18"/>
  <c r="BO54" i="18"/>
  <c r="BP54" i="18"/>
  <c r="BQ54" i="18"/>
  <c r="BR54" i="18"/>
  <c r="BS54" i="18"/>
  <c r="BT54" i="18"/>
  <c r="B55" i="18"/>
  <c r="C55" i="18"/>
  <c r="D55" i="18"/>
  <c r="E55" i="18"/>
  <c r="F55" i="18"/>
  <c r="G55" i="18"/>
  <c r="H55" i="18"/>
  <c r="I55" i="18"/>
  <c r="J55" i="18"/>
  <c r="K55" i="18"/>
  <c r="L55" i="18"/>
  <c r="M55" i="18"/>
  <c r="N55" i="18"/>
  <c r="O55" i="18"/>
  <c r="P55" i="18"/>
  <c r="Q55" i="18"/>
  <c r="R55" i="18"/>
  <c r="S55" i="18"/>
  <c r="T55" i="18"/>
  <c r="U55" i="18"/>
  <c r="V55" i="18"/>
  <c r="W55" i="18"/>
  <c r="X55" i="18"/>
  <c r="Y55" i="18"/>
  <c r="Z55" i="18"/>
  <c r="AA55" i="18"/>
  <c r="AB55" i="18"/>
  <c r="AC55" i="18"/>
  <c r="AD55" i="18"/>
  <c r="AE55" i="18"/>
  <c r="AF55" i="18"/>
  <c r="AG55" i="18"/>
  <c r="AH55" i="18"/>
  <c r="AI55" i="18"/>
  <c r="AJ55" i="18"/>
  <c r="AK55" i="18"/>
  <c r="AL55" i="18"/>
  <c r="AM55" i="18"/>
  <c r="AN55" i="18"/>
  <c r="AO55" i="18"/>
  <c r="AP55" i="18"/>
  <c r="AQ55" i="18"/>
  <c r="AR55" i="18"/>
  <c r="AS55" i="18"/>
  <c r="AT55" i="18"/>
  <c r="AU55" i="18"/>
  <c r="AV55" i="18"/>
  <c r="AW55" i="18"/>
  <c r="AX55" i="18"/>
  <c r="AY55" i="18"/>
  <c r="AZ55" i="18"/>
  <c r="BA55" i="18"/>
  <c r="BB55" i="18"/>
  <c r="BC55" i="18"/>
  <c r="BD55" i="18"/>
  <c r="BE55" i="18"/>
  <c r="BF55" i="18"/>
  <c r="G55" i="14" s="1"/>
  <c r="BG55" i="18"/>
  <c r="BH55" i="18"/>
  <c r="BI55" i="18"/>
  <c r="BJ55" i="18"/>
  <c r="BK55" i="18"/>
  <c r="BL55" i="18"/>
  <c r="BM55" i="18"/>
  <c r="BN55" i="18"/>
  <c r="BO55" i="18"/>
  <c r="BP55" i="18"/>
  <c r="BQ55" i="18"/>
  <c r="BR55" i="18"/>
  <c r="BS55" i="18"/>
  <c r="BT55" i="18"/>
  <c r="B56" i="18"/>
  <c r="C56" i="18"/>
  <c r="D56" i="18"/>
  <c r="E56" i="18"/>
  <c r="F56" i="18"/>
  <c r="G56" i="18"/>
  <c r="H56" i="18"/>
  <c r="I56" i="18"/>
  <c r="J56" i="18"/>
  <c r="K56" i="18"/>
  <c r="L56" i="18"/>
  <c r="M56" i="18"/>
  <c r="N56" i="18"/>
  <c r="O56" i="18"/>
  <c r="P56" i="18"/>
  <c r="Q56" i="18"/>
  <c r="R56" i="18"/>
  <c r="S56" i="18"/>
  <c r="T56" i="18"/>
  <c r="U56" i="18"/>
  <c r="V56" i="18"/>
  <c r="W56" i="18"/>
  <c r="X56" i="18"/>
  <c r="Y56" i="18"/>
  <c r="Z56" i="18"/>
  <c r="AA56" i="18"/>
  <c r="AB56" i="18"/>
  <c r="AC56" i="18"/>
  <c r="AD56" i="18"/>
  <c r="AE56" i="18"/>
  <c r="AF56" i="18"/>
  <c r="AG56" i="18"/>
  <c r="AH56" i="18"/>
  <c r="AI56" i="18"/>
  <c r="AJ56" i="18"/>
  <c r="AK56" i="18"/>
  <c r="AL56" i="18"/>
  <c r="AM56" i="18"/>
  <c r="AN56" i="18"/>
  <c r="AO56" i="18"/>
  <c r="AP56" i="18"/>
  <c r="AQ56" i="18"/>
  <c r="AR56" i="18"/>
  <c r="AS56" i="18"/>
  <c r="AT56" i="18"/>
  <c r="AU56" i="18"/>
  <c r="AV56" i="18"/>
  <c r="AW56" i="18"/>
  <c r="AX56" i="18"/>
  <c r="AY56" i="18"/>
  <c r="AZ56" i="18"/>
  <c r="BA56" i="18"/>
  <c r="BB56" i="18"/>
  <c r="BC56" i="18"/>
  <c r="BD56" i="18"/>
  <c r="BE56" i="18"/>
  <c r="BF56" i="18"/>
  <c r="G56" i="14" s="1"/>
  <c r="BG56" i="18"/>
  <c r="BH56" i="18"/>
  <c r="BI56" i="18"/>
  <c r="BJ56" i="18"/>
  <c r="BK56" i="18"/>
  <c r="BL56" i="18"/>
  <c r="BM56" i="18"/>
  <c r="BN56" i="18"/>
  <c r="BO56" i="18"/>
  <c r="BP56" i="18"/>
  <c r="BQ56" i="18"/>
  <c r="BR56" i="18"/>
  <c r="BS56" i="18"/>
  <c r="BT56" i="18"/>
  <c r="B57" i="18"/>
  <c r="C57" i="18"/>
  <c r="D57" i="18"/>
  <c r="E57" i="18"/>
  <c r="F57" i="18"/>
  <c r="G57" i="18"/>
  <c r="H57" i="18"/>
  <c r="I57" i="18"/>
  <c r="J57" i="18"/>
  <c r="K57" i="18"/>
  <c r="L57" i="18"/>
  <c r="M57" i="18"/>
  <c r="N57" i="18"/>
  <c r="O57" i="18"/>
  <c r="P57" i="18"/>
  <c r="Q57" i="18"/>
  <c r="R57" i="18"/>
  <c r="S57" i="18"/>
  <c r="T57" i="18"/>
  <c r="U57" i="18"/>
  <c r="V57" i="18"/>
  <c r="W57" i="18"/>
  <c r="X57" i="18"/>
  <c r="Y57" i="18"/>
  <c r="Z57" i="18"/>
  <c r="AA57" i="18"/>
  <c r="AB57" i="18"/>
  <c r="AC57" i="18"/>
  <c r="AD57" i="18"/>
  <c r="AE57" i="18"/>
  <c r="AF57" i="18"/>
  <c r="AG57" i="18"/>
  <c r="AH57" i="18"/>
  <c r="AI57" i="18"/>
  <c r="AJ57" i="18"/>
  <c r="AK57" i="18"/>
  <c r="AL57" i="18"/>
  <c r="AM57" i="18"/>
  <c r="AN57" i="18"/>
  <c r="AO57" i="18"/>
  <c r="AP57" i="18"/>
  <c r="AQ57" i="18"/>
  <c r="AR57" i="18"/>
  <c r="AS57" i="18"/>
  <c r="AT57" i="18"/>
  <c r="AU57" i="18"/>
  <c r="AV57" i="18"/>
  <c r="AW57" i="18"/>
  <c r="AX57" i="18"/>
  <c r="AY57" i="18"/>
  <c r="AZ57" i="18"/>
  <c r="BA57" i="18"/>
  <c r="BB57" i="18"/>
  <c r="BC57" i="18"/>
  <c r="BD57" i="18"/>
  <c r="BE57" i="18"/>
  <c r="BF57" i="18"/>
  <c r="G57" i="14" s="1"/>
  <c r="BG57" i="18"/>
  <c r="BH57" i="18"/>
  <c r="BI57" i="18"/>
  <c r="BJ57" i="18"/>
  <c r="BK57" i="18"/>
  <c r="BL57" i="18"/>
  <c r="BM57" i="18"/>
  <c r="BN57" i="18"/>
  <c r="BO57" i="18"/>
  <c r="BP57" i="18"/>
  <c r="BQ57" i="18"/>
  <c r="BR57" i="18"/>
  <c r="BS57" i="18"/>
  <c r="BT57" i="18"/>
  <c r="B58" i="18"/>
  <c r="C58" i="18"/>
  <c r="D58" i="18"/>
  <c r="E58" i="18"/>
  <c r="F58" i="18"/>
  <c r="G58" i="18"/>
  <c r="H58" i="18"/>
  <c r="I58" i="18"/>
  <c r="J58" i="18"/>
  <c r="K58" i="18"/>
  <c r="L58" i="18"/>
  <c r="M58" i="18"/>
  <c r="N58" i="18"/>
  <c r="O58" i="18"/>
  <c r="P58" i="18"/>
  <c r="Q58" i="18"/>
  <c r="R58" i="18"/>
  <c r="S58" i="18"/>
  <c r="T58" i="18"/>
  <c r="U58" i="18"/>
  <c r="V58" i="18"/>
  <c r="W58" i="18"/>
  <c r="X58" i="18"/>
  <c r="Y58" i="18"/>
  <c r="Z58" i="18"/>
  <c r="AA58" i="18"/>
  <c r="AB58" i="18"/>
  <c r="AC58" i="18"/>
  <c r="AD58" i="18"/>
  <c r="AE58" i="18"/>
  <c r="AF58" i="18"/>
  <c r="AG58" i="18"/>
  <c r="AH58" i="18"/>
  <c r="AI58" i="18"/>
  <c r="AJ58" i="18"/>
  <c r="AK58" i="18"/>
  <c r="AL58" i="18"/>
  <c r="AM58" i="18"/>
  <c r="AN58" i="18"/>
  <c r="AO58" i="18"/>
  <c r="AP58" i="18"/>
  <c r="AQ58" i="18"/>
  <c r="AR58" i="18"/>
  <c r="AS58" i="18"/>
  <c r="AT58" i="18"/>
  <c r="AU58" i="18"/>
  <c r="AV58" i="18"/>
  <c r="AW58" i="18"/>
  <c r="AX58" i="18"/>
  <c r="AY58" i="18"/>
  <c r="AZ58" i="18"/>
  <c r="BA58" i="18"/>
  <c r="BB58" i="18"/>
  <c r="BC58" i="18"/>
  <c r="BD58" i="18"/>
  <c r="BE58" i="18"/>
  <c r="BF58" i="18"/>
  <c r="G58" i="14" s="1"/>
  <c r="BG58" i="18"/>
  <c r="BH58" i="18"/>
  <c r="BI58" i="18"/>
  <c r="BJ58" i="18"/>
  <c r="BK58" i="18"/>
  <c r="BL58" i="18"/>
  <c r="BM58" i="18"/>
  <c r="BN58" i="18"/>
  <c r="BO58" i="18"/>
  <c r="BP58" i="18"/>
  <c r="BQ58" i="18"/>
  <c r="BR58" i="18"/>
  <c r="BS58" i="18"/>
  <c r="BT58" i="18"/>
  <c r="B59" i="18"/>
  <c r="C59" i="18"/>
  <c r="D59" i="18"/>
  <c r="E59" i="18"/>
  <c r="F59" i="18"/>
  <c r="G59" i="18"/>
  <c r="H59" i="18"/>
  <c r="I59" i="18"/>
  <c r="J59" i="18"/>
  <c r="K59" i="18"/>
  <c r="L59" i="18"/>
  <c r="M59" i="18"/>
  <c r="N59" i="18"/>
  <c r="O59" i="18"/>
  <c r="P59" i="18"/>
  <c r="Q59" i="18"/>
  <c r="R59" i="18"/>
  <c r="S59" i="18"/>
  <c r="T59" i="18"/>
  <c r="U59" i="18"/>
  <c r="V59" i="18"/>
  <c r="W59" i="18"/>
  <c r="X59" i="18"/>
  <c r="Y59" i="18"/>
  <c r="Z59" i="18"/>
  <c r="AA59" i="18"/>
  <c r="AB59" i="18"/>
  <c r="AC59" i="18"/>
  <c r="AD59" i="18"/>
  <c r="AE59" i="18"/>
  <c r="AF59" i="18"/>
  <c r="AG59" i="18"/>
  <c r="AH59" i="18"/>
  <c r="AI59" i="18"/>
  <c r="AJ59" i="18"/>
  <c r="AK59" i="18"/>
  <c r="AL59" i="18"/>
  <c r="AM59" i="18"/>
  <c r="AN59" i="18"/>
  <c r="AO59" i="18"/>
  <c r="AP59" i="18"/>
  <c r="AQ59" i="18"/>
  <c r="AR59" i="18"/>
  <c r="AS59" i="18"/>
  <c r="AT59" i="18"/>
  <c r="AU59" i="18"/>
  <c r="AV59" i="18"/>
  <c r="AW59" i="18"/>
  <c r="AX59" i="18"/>
  <c r="AY59" i="18"/>
  <c r="AZ59" i="18"/>
  <c r="BA59" i="18"/>
  <c r="BB59" i="18"/>
  <c r="BC59" i="18"/>
  <c r="BD59" i="18"/>
  <c r="BE59" i="18"/>
  <c r="BF59" i="18"/>
  <c r="G59" i="14" s="1"/>
  <c r="BG59" i="18"/>
  <c r="BH59" i="18"/>
  <c r="BI59" i="18"/>
  <c r="BJ59" i="18"/>
  <c r="BK59" i="18"/>
  <c r="BL59" i="18"/>
  <c r="BM59" i="18"/>
  <c r="BN59" i="18"/>
  <c r="BO59" i="18"/>
  <c r="BP59" i="18"/>
  <c r="BQ59" i="18"/>
  <c r="BR59" i="18"/>
  <c r="BS59" i="18"/>
  <c r="BT59" i="18"/>
  <c r="B60" i="18"/>
  <c r="C60" i="18"/>
  <c r="D60" i="18"/>
  <c r="E60" i="18"/>
  <c r="F60" i="18"/>
  <c r="G60" i="18"/>
  <c r="H60" i="18"/>
  <c r="I60" i="18"/>
  <c r="J60" i="18"/>
  <c r="K60" i="18"/>
  <c r="L60" i="18"/>
  <c r="M60" i="18"/>
  <c r="N60" i="18"/>
  <c r="O60" i="18"/>
  <c r="P60" i="18"/>
  <c r="Q60" i="18"/>
  <c r="R60" i="18"/>
  <c r="S60" i="18"/>
  <c r="T60" i="18"/>
  <c r="U60" i="18"/>
  <c r="V60" i="18"/>
  <c r="W60" i="18"/>
  <c r="X60" i="18"/>
  <c r="Y60" i="18"/>
  <c r="Z60" i="18"/>
  <c r="AA60" i="18"/>
  <c r="AB60" i="18"/>
  <c r="AC60" i="18"/>
  <c r="AD60" i="18"/>
  <c r="AE60" i="18"/>
  <c r="AF60" i="18"/>
  <c r="AG60" i="18"/>
  <c r="AH60" i="18"/>
  <c r="AI60" i="18"/>
  <c r="AJ60" i="18"/>
  <c r="AK60" i="18"/>
  <c r="AL60" i="18"/>
  <c r="AM60" i="18"/>
  <c r="AN60" i="18"/>
  <c r="AO60" i="18"/>
  <c r="AP60" i="18"/>
  <c r="AQ60" i="18"/>
  <c r="AR60" i="18"/>
  <c r="AS60" i="18"/>
  <c r="AT60" i="18"/>
  <c r="AU60" i="18"/>
  <c r="AV60" i="18"/>
  <c r="AW60" i="18"/>
  <c r="AX60" i="18"/>
  <c r="AY60" i="18"/>
  <c r="AZ60" i="18"/>
  <c r="BA60" i="18"/>
  <c r="BB60" i="18"/>
  <c r="BC60" i="18"/>
  <c r="BD60" i="18"/>
  <c r="BE60" i="18"/>
  <c r="BF60" i="18"/>
  <c r="G60" i="14" s="1"/>
  <c r="BG60" i="18"/>
  <c r="BH60" i="18"/>
  <c r="BI60" i="18"/>
  <c r="BJ60" i="18"/>
  <c r="BK60" i="18"/>
  <c r="BL60" i="18"/>
  <c r="BM60" i="18"/>
  <c r="BN60" i="18"/>
  <c r="BO60" i="18"/>
  <c r="BP60" i="18"/>
  <c r="BQ60" i="18"/>
  <c r="BR60" i="18"/>
  <c r="BS60" i="18"/>
  <c r="BT60" i="18"/>
  <c r="B61" i="18"/>
  <c r="C61" i="18"/>
  <c r="D61" i="18"/>
  <c r="E61" i="18"/>
  <c r="F61" i="18"/>
  <c r="G61" i="18"/>
  <c r="H61" i="18"/>
  <c r="I61" i="18"/>
  <c r="J61" i="18"/>
  <c r="K61" i="18"/>
  <c r="L61" i="18"/>
  <c r="M61" i="18"/>
  <c r="N61" i="18"/>
  <c r="O61" i="18"/>
  <c r="P61" i="18"/>
  <c r="Q61" i="18"/>
  <c r="R61" i="18"/>
  <c r="S61" i="18"/>
  <c r="T61" i="18"/>
  <c r="U61" i="18"/>
  <c r="V61" i="18"/>
  <c r="W61" i="18"/>
  <c r="X61" i="18"/>
  <c r="Y61" i="18"/>
  <c r="Z61" i="18"/>
  <c r="AA61" i="18"/>
  <c r="AB61" i="18"/>
  <c r="AC61" i="18"/>
  <c r="AD61" i="18"/>
  <c r="AE61" i="18"/>
  <c r="AF61" i="18"/>
  <c r="AG61" i="18"/>
  <c r="AH61" i="18"/>
  <c r="AI61" i="18"/>
  <c r="AJ61" i="18"/>
  <c r="AK61" i="18"/>
  <c r="AL61" i="18"/>
  <c r="AM61" i="18"/>
  <c r="AN61" i="18"/>
  <c r="AO61" i="18"/>
  <c r="AP61" i="18"/>
  <c r="AQ61" i="18"/>
  <c r="AR61" i="18"/>
  <c r="AS61" i="18"/>
  <c r="AT61" i="18"/>
  <c r="AU61" i="18"/>
  <c r="AV61" i="18"/>
  <c r="AW61" i="18"/>
  <c r="AX61" i="18"/>
  <c r="AY61" i="18"/>
  <c r="AZ61" i="18"/>
  <c r="BA61" i="18"/>
  <c r="BB61" i="18"/>
  <c r="BC61" i="18"/>
  <c r="BD61" i="18"/>
  <c r="BE61" i="18"/>
  <c r="BF61" i="18"/>
  <c r="G61" i="14" s="1"/>
  <c r="BG61" i="18"/>
  <c r="BH61" i="18"/>
  <c r="BI61" i="18"/>
  <c r="BJ61" i="18"/>
  <c r="BK61" i="18"/>
  <c r="BL61" i="18"/>
  <c r="BM61" i="18"/>
  <c r="BN61" i="18"/>
  <c r="BO61" i="18"/>
  <c r="BP61" i="18"/>
  <c r="BQ61" i="18"/>
  <c r="BR61" i="18"/>
  <c r="BS61" i="18"/>
  <c r="BT61" i="18"/>
  <c r="B62" i="18"/>
  <c r="C62" i="18"/>
  <c r="D62" i="18"/>
  <c r="E62" i="18"/>
  <c r="F62" i="18"/>
  <c r="G62" i="18"/>
  <c r="H62" i="18"/>
  <c r="I62" i="18"/>
  <c r="J62" i="18"/>
  <c r="K62" i="18"/>
  <c r="L62" i="18"/>
  <c r="M62" i="18"/>
  <c r="N62" i="18"/>
  <c r="O62" i="18"/>
  <c r="P62" i="18"/>
  <c r="Q62" i="18"/>
  <c r="R62" i="18"/>
  <c r="S62" i="18"/>
  <c r="T62" i="18"/>
  <c r="U62" i="18"/>
  <c r="V62" i="18"/>
  <c r="W62" i="18"/>
  <c r="X62" i="18"/>
  <c r="Y62" i="18"/>
  <c r="Z62" i="18"/>
  <c r="AA62" i="18"/>
  <c r="AB62" i="18"/>
  <c r="AC62" i="18"/>
  <c r="AD62" i="18"/>
  <c r="AE62" i="18"/>
  <c r="AF62" i="18"/>
  <c r="AG62" i="18"/>
  <c r="AH62" i="18"/>
  <c r="AI62" i="18"/>
  <c r="AJ62" i="18"/>
  <c r="AK62" i="18"/>
  <c r="AL62" i="18"/>
  <c r="AM62" i="18"/>
  <c r="AN62" i="18"/>
  <c r="AO62" i="18"/>
  <c r="AP62" i="18"/>
  <c r="AQ62" i="18"/>
  <c r="AR62" i="18"/>
  <c r="AS62" i="18"/>
  <c r="AT62" i="18"/>
  <c r="AU62" i="18"/>
  <c r="AV62" i="18"/>
  <c r="AW62" i="18"/>
  <c r="AX62" i="18"/>
  <c r="AY62" i="18"/>
  <c r="AZ62" i="18"/>
  <c r="BA62" i="18"/>
  <c r="BB62" i="18"/>
  <c r="BC62" i="18"/>
  <c r="BD62" i="18"/>
  <c r="BE62" i="18"/>
  <c r="BF62" i="18"/>
  <c r="G62" i="14" s="1"/>
  <c r="BG62" i="18"/>
  <c r="BH62" i="18"/>
  <c r="BI62" i="18"/>
  <c r="BJ62" i="18"/>
  <c r="BK62" i="18"/>
  <c r="BL62" i="18"/>
  <c r="BM62" i="18"/>
  <c r="BN62" i="18"/>
  <c r="BO62" i="18"/>
  <c r="BP62" i="18"/>
  <c r="BQ62" i="18"/>
  <c r="BR62" i="18"/>
  <c r="BS62" i="18"/>
  <c r="BT62" i="18"/>
  <c r="B63" i="18"/>
  <c r="C63" i="18"/>
  <c r="D63" i="18"/>
  <c r="E63" i="18"/>
  <c r="F63" i="18"/>
  <c r="G63" i="18"/>
  <c r="H63" i="18"/>
  <c r="I63" i="18"/>
  <c r="J63" i="18"/>
  <c r="K63" i="18"/>
  <c r="L63" i="18"/>
  <c r="M63" i="18"/>
  <c r="N63" i="18"/>
  <c r="O63" i="18"/>
  <c r="P63" i="18"/>
  <c r="Q63" i="18"/>
  <c r="R63" i="18"/>
  <c r="S63" i="18"/>
  <c r="T63" i="18"/>
  <c r="U63" i="18"/>
  <c r="V63" i="18"/>
  <c r="W63" i="18"/>
  <c r="X63" i="18"/>
  <c r="Y63" i="18"/>
  <c r="Z63" i="18"/>
  <c r="AA63" i="18"/>
  <c r="AB63" i="18"/>
  <c r="AC63" i="18"/>
  <c r="AD63" i="18"/>
  <c r="AE63" i="18"/>
  <c r="AF63" i="18"/>
  <c r="AG63" i="18"/>
  <c r="AH63" i="18"/>
  <c r="AI63" i="18"/>
  <c r="AJ63" i="18"/>
  <c r="AK63" i="18"/>
  <c r="AL63" i="18"/>
  <c r="AM63" i="18"/>
  <c r="AN63" i="18"/>
  <c r="AO63" i="18"/>
  <c r="AP63" i="18"/>
  <c r="AQ63" i="18"/>
  <c r="AR63" i="18"/>
  <c r="AS63" i="18"/>
  <c r="AT63" i="18"/>
  <c r="AU63" i="18"/>
  <c r="AV63" i="18"/>
  <c r="AW63" i="18"/>
  <c r="AX63" i="18"/>
  <c r="AY63" i="18"/>
  <c r="AZ63" i="18"/>
  <c r="BA63" i="18"/>
  <c r="BB63" i="18"/>
  <c r="BC63" i="18"/>
  <c r="BD63" i="18"/>
  <c r="BE63" i="18"/>
  <c r="BF63" i="18"/>
  <c r="G63" i="14" s="1"/>
  <c r="BG63" i="18"/>
  <c r="BH63" i="18"/>
  <c r="BI63" i="18"/>
  <c r="BJ63" i="18"/>
  <c r="BK63" i="18"/>
  <c r="BL63" i="18"/>
  <c r="BM63" i="18"/>
  <c r="BN63" i="18"/>
  <c r="BO63" i="18"/>
  <c r="BP63" i="18"/>
  <c r="BQ63" i="18"/>
  <c r="BR63" i="18"/>
  <c r="BS63" i="18"/>
  <c r="BT63" i="18"/>
  <c r="B64" i="18"/>
  <c r="C64" i="18"/>
  <c r="D64" i="18"/>
  <c r="E64" i="18"/>
  <c r="F64" i="18"/>
  <c r="G64" i="18"/>
  <c r="H64" i="18"/>
  <c r="I64" i="18"/>
  <c r="J64" i="18"/>
  <c r="K64" i="18"/>
  <c r="L64" i="18"/>
  <c r="M64" i="18"/>
  <c r="N64" i="18"/>
  <c r="O64" i="18"/>
  <c r="P64" i="18"/>
  <c r="Q64" i="18"/>
  <c r="R64" i="18"/>
  <c r="S64" i="18"/>
  <c r="T64" i="18"/>
  <c r="U64" i="18"/>
  <c r="V64" i="18"/>
  <c r="W64" i="18"/>
  <c r="X64" i="18"/>
  <c r="Y64" i="18"/>
  <c r="Z64" i="18"/>
  <c r="AA64" i="18"/>
  <c r="AB64" i="18"/>
  <c r="AC64" i="18"/>
  <c r="AD64" i="18"/>
  <c r="AE64" i="18"/>
  <c r="AF64" i="18"/>
  <c r="AG64" i="18"/>
  <c r="AH64" i="18"/>
  <c r="AI64" i="18"/>
  <c r="AJ64" i="18"/>
  <c r="AK64" i="18"/>
  <c r="AL64" i="18"/>
  <c r="AM64" i="18"/>
  <c r="AN64" i="18"/>
  <c r="AO64" i="18"/>
  <c r="AP64" i="18"/>
  <c r="AQ64" i="18"/>
  <c r="AR64" i="18"/>
  <c r="AS64" i="18"/>
  <c r="AT64" i="18"/>
  <c r="AU64" i="18"/>
  <c r="AV64" i="18"/>
  <c r="AW64" i="18"/>
  <c r="AX64" i="18"/>
  <c r="AY64" i="18"/>
  <c r="AZ64" i="18"/>
  <c r="BA64" i="18"/>
  <c r="BB64" i="18"/>
  <c r="BC64" i="18"/>
  <c r="BD64" i="18"/>
  <c r="BE64" i="18"/>
  <c r="BF64" i="18"/>
  <c r="G64" i="14" s="1"/>
  <c r="BG64" i="18"/>
  <c r="BH64" i="18"/>
  <c r="BI64" i="18"/>
  <c r="BJ64" i="18"/>
  <c r="BK64" i="18"/>
  <c r="BL64" i="18"/>
  <c r="BM64" i="18"/>
  <c r="BN64" i="18"/>
  <c r="BO64" i="18"/>
  <c r="BP64" i="18"/>
  <c r="BQ64" i="18"/>
  <c r="BR64" i="18"/>
  <c r="BS64" i="18"/>
  <c r="BT64" i="18"/>
  <c r="B65" i="18"/>
  <c r="C65" i="18"/>
  <c r="D65" i="18"/>
  <c r="E65" i="18"/>
  <c r="F65" i="18"/>
  <c r="G65" i="18"/>
  <c r="H65" i="18"/>
  <c r="I65" i="18"/>
  <c r="J65" i="18"/>
  <c r="K65" i="18"/>
  <c r="L65" i="18"/>
  <c r="M65" i="18"/>
  <c r="N65" i="18"/>
  <c r="O65" i="18"/>
  <c r="P65" i="18"/>
  <c r="Q65" i="18"/>
  <c r="R65" i="18"/>
  <c r="S65" i="18"/>
  <c r="T65" i="18"/>
  <c r="U65" i="18"/>
  <c r="V65" i="18"/>
  <c r="W65" i="18"/>
  <c r="X65" i="18"/>
  <c r="Y65" i="18"/>
  <c r="Z65" i="18"/>
  <c r="AA65" i="18"/>
  <c r="AB65" i="18"/>
  <c r="AC65" i="18"/>
  <c r="AD65" i="18"/>
  <c r="AE65" i="18"/>
  <c r="AF65" i="18"/>
  <c r="AG65" i="18"/>
  <c r="AH65" i="18"/>
  <c r="AI65" i="18"/>
  <c r="AJ65" i="18"/>
  <c r="AK65" i="18"/>
  <c r="AL65" i="18"/>
  <c r="AM65" i="18"/>
  <c r="AN65" i="18"/>
  <c r="AO65" i="18"/>
  <c r="AP65" i="18"/>
  <c r="AQ65" i="18"/>
  <c r="AR65" i="18"/>
  <c r="AS65" i="18"/>
  <c r="AT65" i="18"/>
  <c r="AU65" i="18"/>
  <c r="AV65" i="18"/>
  <c r="AW65" i="18"/>
  <c r="AX65" i="18"/>
  <c r="AY65" i="18"/>
  <c r="AZ65" i="18"/>
  <c r="BA65" i="18"/>
  <c r="BB65" i="18"/>
  <c r="BC65" i="18"/>
  <c r="BD65" i="18"/>
  <c r="BE65" i="18"/>
  <c r="BF65" i="18"/>
  <c r="G65" i="14" s="1"/>
  <c r="BG65" i="18"/>
  <c r="BH65" i="18"/>
  <c r="BI65" i="18"/>
  <c r="BJ65" i="18"/>
  <c r="BK65" i="18"/>
  <c r="BL65" i="18"/>
  <c r="BM65" i="18"/>
  <c r="BN65" i="18"/>
  <c r="BO65" i="18"/>
  <c r="BP65" i="18"/>
  <c r="BQ65" i="18"/>
  <c r="BR65" i="18"/>
  <c r="BS65" i="18"/>
  <c r="BT65" i="18"/>
  <c r="B66" i="18"/>
  <c r="C66" i="18"/>
  <c r="D66" i="18"/>
  <c r="E66" i="18"/>
  <c r="F66" i="18"/>
  <c r="G66" i="18"/>
  <c r="H66" i="18"/>
  <c r="I66" i="18"/>
  <c r="J66" i="18"/>
  <c r="K66" i="18"/>
  <c r="L66" i="18"/>
  <c r="M66" i="18"/>
  <c r="N66" i="18"/>
  <c r="O66" i="18"/>
  <c r="P66" i="18"/>
  <c r="Q66" i="18"/>
  <c r="R66" i="18"/>
  <c r="S66" i="18"/>
  <c r="T66" i="18"/>
  <c r="U66" i="18"/>
  <c r="V66" i="18"/>
  <c r="W66" i="18"/>
  <c r="X66" i="18"/>
  <c r="Y66" i="18"/>
  <c r="Z66" i="18"/>
  <c r="AA66" i="18"/>
  <c r="AB66" i="18"/>
  <c r="AC66" i="18"/>
  <c r="AD66" i="18"/>
  <c r="AE66" i="18"/>
  <c r="AF66" i="18"/>
  <c r="AG66" i="18"/>
  <c r="AH66" i="18"/>
  <c r="AI66" i="18"/>
  <c r="AJ66" i="18"/>
  <c r="AK66" i="18"/>
  <c r="AL66" i="18"/>
  <c r="AM66" i="18"/>
  <c r="AN66" i="18"/>
  <c r="AO66" i="18"/>
  <c r="AP66" i="18"/>
  <c r="AQ66" i="18"/>
  <c r="AR66" i="18"/>
  <c r="AS66" i="18"/>
  <c r="AT66" i="18"/>
  <c r="AU66" i="18"/>
  <c r="AV66" i="18"/>
  <c r="AW66" i="18"/>
  <c r="AX66" i="18"/>
  <c r="AY66" i="18"/>
  <c r="AZ66" i="18"/>
  <c r="BA66" i="18"/>
  <c r="BB66" i="18"/>
  <c r="BC66" i="18"/>
  <c r="BD66" i="18"/>
  <c r="BE66" i="18"/>
  <c r="BF66" i="18"/>
  <c r="G66" i="14" s="1"/>
  <c r="BG66" i="18"/>
  <c r="BH66" i="18"/>
  <c r="BI66" i="18"/>
  <c r="BJ66" i="18"/>
  <c r="BK66" i="18"/>
  <c r="BL66" i="18"/>
  <c r="BM66" i="18"/>
  <c r="BN66" i="18"/>
  <c r="BO66" i="18"/>
  <c r="BP66" i="18"/>
  <c r="BQ66" i="18"/>
  <c r="BR66" i="18"/>
  <c r="BS66" i="18"/>
  <c r="BT66" i="18"/>
  <c r="B67" i="18"/>
  <c r="C67" i="18"/>
  <c r="D67" i="18"/>
  <c r="E67" i="18"/>
  <c r="F67" i="18"/>
  <c r="G67" i="18"/>
  <c r="H67" i="18"/>
  <c r="I67" i="18"/>
  <c r="J67" i="18"/>
  <c r="K67" i="18"/>
  <c r="L67" i="18"/>
  <c r="M67" i="18"/>
  <c r="N67" i="18"/>
  <c r="O67" i="18"/>
  <c r="P67" i="18"/>
  <c r="Q67" i="18"/>
  <c r="R67" i="18"/>
  <c r="S67" i="18"/>
  <c r="T67" i="18"/>
  <c r="U67" i="18"/>
  <c r="V67" i="18"/>
  <c r="W67" i="18"/>
  <c r="X67" i="18"/>
  <c r="Y67" i="18"/>
  <c r="Z67" i="18"/>
  <c r="AA67" i="18"/>
  <c r="AB67" i="18"/>
  <c r="AC67" i="18"/>
  <c r="AD67" i="18"/>
  <c r="AE67" i="18"/>
  <c r="AF67" i="18"/>
  <c r="AG67" i="18"/>
  <c r="AH67" i="18"/>
  <c r="AI67" i="18"/>
  <c r="AJ67" i="18"/>
  <c r="AK67" i="18"/>
  <c r="AL67" i="18"/>
  <c r="AM67" i="18"/>
  <c r="AN67" i="18"/>
  <c r="AO67" i="18"/>
  <c r="AP67" i="18"/>
  <c r="AQ67" i="18"/>
  <c r="AR67" i="18"/>
  <c r="AS67" i="18"/>
  <c r="AT67" i="18"/>
  <c r="AU67" i="18"/>
  <c r="AV67" i="18"/>
  <c r="AW67" i="18"/>
  <c r="AX67" i="18"/>
  <c r="AY67" i="18"/>
  <c r="AZ67" i="18"/>
  <c r="BA67" i="18"/>
  <c r="BB67" i="18"/>
  <c r="BC67" i="18"/>
  <c r="BD67" i="18"/>
  <c r="BE67" i="18"/>
  <c r="BF67" i="18"/>
  <c r="G67" i="14" s="1"/>
  <c r="BG67" i="18"/>
  <c r="BH67" i="18"/>
  <c r="BI67" i="18"/>
  <c r="BJ67" i="18"/>
  <c r="BK67" i="18"/>
  <c r="BL67" i="18"/>
  <c r="BM67" i="18"/>
  <c r="BN67" i="18"/>
  <c r="BO67" i="18"/>
  <c r="BP67" i="18"/>
  <c r="BQ67" i="18"/>
  <c r="BR67" i="18"/>
  <c r="BS67" i="18"/>
  <c r="BT67" i="18"/>
  <c r="B68" i="18"/>
  <c r="C68" i="18"/>
  <c r="D68" i="18"/>
  <c r="E68" i="18"/>
  <c r="F68" i="18"/>
  <c r="G68" i="18"/>
  <c r="H68" i="18"/>
  <c r="I68" i="18"/>
  <c r="J68" i="18"/>
  <c r="K68" i="18"/>
  <c r="L68" i="18"/>
  <c r="M68" i="18"/>
  <c r="N68" i="18"/>
  <c r="O68" i="18"/>
  <c r="P68" i="18"/>
  <c r="Q68" i="18"/>
  <c r="R68" i="18"/>
  <c r="S68" i="18"/>
  <c r="T68" i="18"/>
  <c r="U68" i="18"/>
  <c r="V68" i="18"/>
  <c r="W68" i="18"/>
  <c r="X68" i="18"/>
  <c r="Y68" i="18"/>
  <c r="Z68" i="18"/>
  <c r="AA68" i="18"/>
  <c r="AB68" i="18"/>
  <c r="AC68" i="18"/>
  <c r="AD68" i="18"/>
  <c r="AE68" i="18"/>
  <c r="AF68" i="18"/>
  <c r="AG68" i="18"/>
  <c r="AH68" i="18"/>
  <c r="AI68" i="18"/>
  <c r="AJ68" i="18"/>
  <c r="AK68" i="18"/>
  <c r="AL68" i="18"/>
  <c r="AM68" i="18"/>
  <c r="AN68" i="18"/>
  <c r="AO68" i="18"/>
  <c r="AP68" i="18"/>
  <c r="AQ68" i="18"/>
  <c r="AR68" i="18"/>
  <c r="AS68" i="18"/>
  <c r="AT68" i="18"/>
  <c r="AU68" i="18"/>
  <c r="AV68" i="18"/>
  <c r="AW68" i="18"/>
  <c r="AX68" i="18"/>
  <c r="AY68" i="18"/>
  <c r="AZ68" i="18"/>
  <c r="BA68" i="18"/>
  <c r="BB68" i="18"/>
  <c r="BC68" i="18"/>
  <c r="BD68" i="18"/>
  <c r="BE68" i="18"/>
  <c r="BF68" i="18"/>
  <c r="G68" i="14" s="1"/>
  <c r="BG68" i="18"/>
  <c r="BH68" i="18"/>
  <c r="BI68" i="18"/>
  <c r="BJ68" i="18"/>
  <c r="BK68" i="18"/>
  <c r="BL68" i="18"/>
  <c r="BM68" i="18"/>
  <c r="BN68" i="18"/>
  <c r="BO68" i="18"/>
  <c r="BP68" i="18"/>
  <c r="BQ68" i="18"/>
  <c r="BR68" i="18"/>
  <c r="BS68" i="18"/>
  <c r="BT68" i="18"/>
  <c r="B69" i="18"/>
  <c r="C69" i="18"/>
  <c r="D69" i="18"/>
  <c r="E69" i="18"/>
  <c r="F69" i="18"/>
  <c r="G69" i="18"/>
  <c r="H69" i="18"/>
  <c r="I69" i="18"/>
  <c r="J69" i="18"/>
  <c r="K69" i="18"/>
  <c r="L69" i="18"/>
  <c r="M69" i="18"/>
  <c r="N69" i="18"/>
  <c r="O69" i="18"/>
  <c r="P69" i="18"/>
  <c r="Q69" i="18"/>
  <c r="R69" i="18"/>
  <c r="S69" i="18"/>
  <c r="T69" i="18"/>
  <c r="U69" i="18"/>
  <c r="V69" i="18"/>
  <c r="W69" i="18"/>
  <c r="X69" i="18"/>
  <c r="Y69" i="18"/>
  <c r="Z69" i="18"/>
  <c r="AA69" i="18"/>
  <c r="AB69" i="18"/>
  <c r="AC69" i="18"/>
  <c r="AD69" i="18"/>
  <c r="AE69" i="18"/>
  <c r="AF69" i="18"/>
  <c r="AG69" i="18"/>
  <c r="AH69" i="18"/>
  <c r="AI69" i="18"/>
  <c r="AJ69" i="18"/>
  <c r="AK69" i="18"/>
  <c r="AL69" i="18"/>
  <c r="AM69" i="18"/>
  <c r="AN69" i="18"/>
  <c r="AO69" i="18"/>
  <c r="AP69" i="18"/>
  <c r="AQ69" i="18"/>
  <c r="AR69" i="18"/>
  <c r="AS69" i="18"/>
  <c r="AT69" i="18"/>
  <c r="AU69" i="18"/>
  <c r="AV69" i="18"/>
  <c r="AW69" i="18"/>
  <c r="AX69" i="18"/>
  <c r="AY69" i="18"/>
  <c r="AZ69" i="18"/>
  <c r="BA69" i="18"/>
  <c r="BB69" i="18"/>
  <c r="BC69" i="18"/>
  <c r="BD69" i="18"/>
  <c r="BE69" i="18"/>
  <c r="BF69" i="18"/>
  <c r="G69" i="14" s="1"/>
  <c r="BG69" i="18"/>
  <c r="BH69" i="18"/>
  <c r="BI69" i="18"/>
  <c r="BJ69" i="18"/>
  <c r="BK69" i="18"/>
  <c r="BL69" i="18"/>
  <c r="BM69" i="18"/>
  <c r="BN69" i="18"/>
  <c r="BO69" i="18"/>
  <c r="BP69" i="18"/>
  <c r="BQ69" i="18"/>
  <c r="BR69" i="18"/>
  <c r="BS69" i="18"/>
  <c r="BT69" i="18"/>
  <c r="B70" i="18"/>
  <c r="C70" i="18"/>
  <c r="D70" i="18"/>
  <c r="E70" i="18"/>
  <c r="F70" i="18"/>
  <c r="G70" i="18"/>
  <c r="H70" i="18"/>
  <c r="I70" i="18"/>
  <c r="J70" i="18"/>
  <c r="K70" i="18"/>
  <c r="L70" i="18"/>
  <c r="M70" i="18"/>
  <c r="N70" i="18"/>
  <c r="O70" i="18"/>
  <c r="P70" i="18"/>
  <c r="Q70" i="18"/>
  <c r="R70" i="18"/>
  <c r="S70" i="18"/>
  <c r="T70" i="18"/>
  <c r="U70" i="18"/>
  <c r="V70" i="18"/>
  <c r="W70" i="18"/>
  <c r="X70" i="18"/>
  <c r="Y70" i="18"/>
  <c r="Z70" i="18"/>
  <c r="AA70" i="18"/>
  <c r="AB70" i="18"/>
  <c r="AC70" i="18"/>
  <c r="AD70" i="18"/>
  <c r="AE70" i="18"/>
  <c r="AF70" i="18"/>
  <c r="AG70" i="18"/>
  <c r="AH70" i="18"/>
  <c r="AI70" i="18"/>
  <c r="AJ70" i="18"/>
  <c r="AK70" i="18"/>
  <c r="AL70" i="18"/>
  <c r="AM70" i="18"/>
  <c r="AN70" i="18"/>
  <c r="AO70" i="18"/>
  <c r="AP70" i="18"/>
  <c r="AQ70" i="18"/>
  <c r="AR70" i="18"/>
  <c r="AS70" i="18"/>
  <c r="AT70" i="18"/>
  <c r="AU70" i="18"/>
  <c r="AV70" i="18"/>
  <c r="AW70" i="18"/>
  <c r="AX70" i="18"/>
  <c r="AY70" i="18"/>
  <c r="AZ70" i="18"/>
  <c r="BA70" i="18"/>
  <c r="BB70" i="18"/>
  <c r="BC70" i="18"/>
  <c r="BD70" i="18"/>
  <c r="BE70" i="18"/>
  <c r="BF70" i="18"/>
  <c r="G70" i="14" s="1"/>
  <c r="BG70" i="18"/>
  <c r="BH70" i="18"/>
  <c r="BI70" i="18"/>
  <c r="BJ70" i="18"/>
  <c r="BK70" i="18"/>
  <c r="BL70" i="18"/>
  <c r="BM70" i="18"/>
  <c r="BN70" i="18"/>
  <c r="BO70" i="18"/>
  <c r="BP70" i="18"/>
  <c r="BQ70" i="18"/>
  <c r="BR70" i="18"/>
  <c r="BS70" i="18"/>
  <c r="BT70" i="18"/>
  <c r="B71" i="18"/>
  <c r="C71" i="18"/>
  <c r="D71" i="18"/>
  <c r="E71" i="18"/>
  <c r="F71" i="18"/>
  <c r="G71" i="18"/>
  <c r="H71" i="18"/>
  <c r="I71" i="18"/>
  <c r="J71" i="18"/>
  <c r="K71" i="18"/>
  <c r="L71" i="18"/>
  <c r="M71" i="18"/>
  <c r="N71" i="18"/>
  <c r="O71" i="18"/>
  <c r="P71" i="18"/>
  <c r="Q71" i="18"/>
  <c r="R71" i="18"/>
  <c r="S71" i="18"/>
  <c r="T71" i="18"/>
  <c r="U71" i="18"/>
  <c r="V71" i="18"/>
  <c r="W71" i="18"/>
  <c r="X71" i="18"/>
  <c r="Y71" i="18"/>
  <c r="Z71" i="18"/>
  <c r="AA71" i="18"/>
  <c r="AB71" i="18"/>
  <c r="AC71" i="18"/>
  <c r="AD71" i="18"/>
  <c r="AE71" i="18"/>
  <c r="AF71" i="18"/>
  <c r="AG71" i="18"/>
  <c r="AH71" i="18"/>
  <c r="AI71" i="18"/>
  <c r="AJ71" i="18"/>
  <c r="AK71" i="18"/>
  <c r="AL71" i="18"/>
  <c r="AM71" i="18"/>
  <c r="AN71" i="18"/>
  <c r="AO71" i="18"/>
  <c r="AP71" i="18"/>
  <c r="AQ71" i="18"/>
  <c r="AR71" i="18"/>
  <c r="AS71" i="18"/>
  <c r="AT71" i="18"/>
  <c r="AU71" i="18"/>
  <c r="AV71" i="18"/>
  <c r="AW71" i="18"/>
  <c r="AX71" i="18"/>
  <c r="AY71" i="18"/>
  <c r="AZ71" i="18"/>
  <c r="BA71" i="18"/>
  <c r="BB71" i="18"/>
  <c r="BC71" i="18"/>
  <c r="BD71" i="18"/>
  <c r="BE71" i="18"/>
  <c r="BF71" i="18"/>
  <c r="G71" i="14" s="1"/>
  <c r="BG71" i="18"/>
  <c r="BH71" i="18"/>
  <c r="BI71" i="18"/>
  <c r="BJ71" i="18"/>
  <c r="BK71" i="18"/>
  <c r="BL71" i="18"/>
  <c r="BM71" i="18"/>
  <c r="BN71" i="18"/>
  <c r="BO71" i="18"/>
  <c r="BP71" i="18"/>
  <c r="BQ71" i="18"/>
  <c r="BR71" i="18"/>
  <c r="BS71" i="18"/>
  <c r="BT71" i="18"/>
  <c r="B72" i="18"/>
  <c r="C72" i="18"/>
  <c r="D72" i="18"/>
  <c r="E72" i="18"/>
  <c r="F72" i="18"/>
  <c r="G72" i="18"/>
  <c r="H72" i="18"/>
  <c r="I72" i="18"/>
  <c r="J72" i="18"/>
  <c r="K72" i="18"/>
  <c r="L72" i="18"/>
  <c r="M72" i="18"/>
  <c r="N72" i="18"/>
  <c r="O72" i="18"/>
  <c r="P72" i="18"/>
  <c r="Q72" i="18"/>
  <c r="R72" i="18"/>
  <c r="S72" i="18"/>
  <c r="T72" i="18"/>
  <c r="U72" i="18"/>
  <c r="V72" i="18"/>
  <c r="W72" i="18"/>
  <c r="X72" i="18"/>
  <c r="Y72" i="18"/>
  <c r="Z72" i="18"/>
  <c r="AA72" i="18"/>
  <c r="AB72" i="18"/>
  <c r="AC72" i="18"/>
  <c r="AD72" i="18"/>
  <c r="AE72" i="18"/>
  <c r="AF72" i="18"/>
  <c r="AG72" i="18"/>
  <c r="AH72" i="18"/>
  <c r="AI72" i="18"/>
  <c r="AJ72" i="18"/>
  <c r="AK72" i="18"/>
  <c r="AL72" i="18"/>
  <c r="AM72" i="18"/>
  <c r="AN72" i="18"/>
  <c r="AO72" i="18"/>
  <c r="AP72" i="18"/>
  <c r="AQ72" i="18"/>
  <c r="AR72" i="18"/>
  <c r="AS72" i="18"/>
  <c r="AT72" i="18"/>
  <c r="AU72" i="18"/>
  <c r="AV72" i="18"/>
  <c r="AW72" i="18"/>
  <c r="AX72" i="18"/>
  <c r="AY72" i="18"/>
  <c r="AZ72" i="18"/>
  <c r="BA72" i="18"/>
  <c r="BB72" i="18"/>
  <c r="BC72" i="18"/>
  <c r="BD72" i="18"/>
  <c r="BE72" i="18"/>
  <c r="BF72" i="18"/>
  <c r="G72" i="14" s="1"/>
  <c r="BG72" i="18"/>
  <c r="BH72" i="18"/>
  <c r="BI72" i="18"/>
  <c r="BJ72" i="18"/>
  <c r="BK72" i="18"/>
  <c r="BL72" i="18"/>
  <c r="BM72" i="18"/>
  <c r="BN72" i="18"/>
  <c r="BO72" i="18"/>
  <c r="BP72" i="18"/>
  <c r="BQ72" i="18"/>
  <c r="BR72" i="18"/>
  <c r="BS72" i="18"/>
  <c r="BT72" i="18"/>
  <c r="B73" i="18"/>
  <c r="C73" i="18"/>
  <c r="D73" i="18"/>
  <c r="E73" i="18"/>
  <c r="F73" i="18"/>
  <c r="G73" i="18"/>
  <c r="H73" i="18"/>
  <c r="I73" i="18"/>
  <c r="J73" i="18"/>
  <c r="K73" i="18"/>
  <c r="L73" i="18"/>
  <c r="M73" i="18"/>
  <c r="N73" i="18"/>
  <c r="O73" i="18"/>
  <c r="P73" i="18"/>
  <c r="Q73" i="18"/>
  <c r="R73" i="18"/>
  <c r="S73" i="18"/>
  <c r="T73" i="18"/>
  <c r="U73" i="18"/>
  <c r="V73" i="18"/>
  <c r="W73" i="18"/>
  <c r="X73" i="18"/>
  <c r="Y73" i="18"/>
  <c r="Z73" i="18"/>
  <c r="AA73" i="18"/>
  <c r="AB73" i="18"/>
  <c r="AC73" i="18"/>
  <c r="AD73" i="18"/>
  <c r="AE73" i="18"/>
  <c r="AF73" i="18"/>
  <c r="AG73" i="18"/>
  <c r="AH73" i="18"/>
  <c r="AI73" i="18"/>
  <c r="AJ73" i="18"/>
  <c r="AK73" i="18"/>
  <c r="AL73" i="18"/>
  <c r="AM73" i="18"/>
  <c r="AN73" i="18"/>
  <c r="AO73" i="18"/>
  <c r="AP73" i="18"/>
  <c r="AQ73" i="18"/>
  <c r="AR73" i="18"/>
  <c r="AS73" i="18"/>
  <c r="AT73" i="18"/>
  <c r="AU73" i="18"/>
  <c r="AV73" i="18"/>
  <c r="AW73" i="18"/>
  <c r="AX73" i="18"/>
  <c r="AY73" i="18"/>
  <c r="AZ73" i="18"/>
  <c r="BA73" i="18"/>
  <c r="BB73" i="18"/>
  <c r="BC73" i="18"/>
  <c r="BD73" i="18"/>
  <c r="BE73" i="18"/>
  <c r="BF73" i="18"/>
  <c r="G73" i="14" s="1"/>
  <c r="BG73" i="18"/>
  <c r="BH73" i="18"/>
  <c r="BI73" i="18"/>
  <c r="BJ73" i="18"/>
  <c r="BK73" i="18"/>
  <c r="BL73" i="18"/>
  <c r="BM73" i="18"/>
  <c r="BN73" i="18"/>
  <c r="BO73" i="18"/>
  <c r="BP73" i="18"/>
  <c r="BQ73" i="18"/>
  <c r="BR73" i="18"/>
  <c r="BS73" i="18"/>
  <c r="BT73" i="18"/>
  <c r="B74" i="18"/>
  <c r="C74" i="18"/>
  <c r="D74" i="18"/>
  <c r="E74" i="18"/>
  <c r="F74" i="18"/>
  <c r="G74" i="18"/>
  <c r="H74" i="18"/>
  <c r="I74" i="18"/>
  <c r="J74" i="18"/>
  <c r="K74" i="18"/>
  <c r="L74" i="18"/>
  <c r="M74" i="18"/>
  <c r="N74" i="18"/>
  <c r="O74" i="18"/>
  <c r="P74" i="18"/>
  <c r="Q74" i="18"/>
  <c r="R74" i="18"/>
  <c r="S74" i="18"/>
  <c r="T74" i="18"/>
  <c r="U74" i="18"/>
  <c r="V74" i="18"/>
  <c r="W74" i="18"/>
  <c r="X74" i="18"/>
  <c r="Y74" i="18"/>
  <c r="Z74" i="18"/>
  <c r="AA74" i="18"/>
  <c r="AB74" i="18"/>
  <c r="AC74" i="18"/>
  <c r="AD74" i="18"/>
  <c r="AE74" i="18"/>
  <c r="AF74" i="18"/>
  <c r="AG74" i="18"/>
  <c r="AH74" i="18"/>
  <c r="AI74" i="18"/>
  <c r="AJ74" i="18"/>
  <c r="AK74" i="18"/>
  <c r="AL74" i="18"/>
  <c r="AM74" i="18"/>
  <c r="AN74" i="18"/>
  <c r="AO74" i="18"/>
  <c r="AP74" i="18"/>
  <c r="AQ74" i="18"/>
  <c r="AR74" i="18"/>
  <c r="AS74" i="18"/>
  <c r="AT74" i="18"/>
  <c r="AU74" i="18"/>
  <c r="AV74" i="18"/>
  <c r="AW74" i="18"/>
  <c r="AX74" i="18"/>
  <c r="AY74" i="18"/>
  <c r="AZ74" i="18"/>
  <c r="BA74" i="18"/>
  <c r="BB74" i="18"/>
  <c r="BC74" i="18"/>
  <c r="BD74" i="18"/>
  <c r="BE74" i="18"/>
  <c r="BF74" i="18"/>
  <c r="G74" i="14" s="1"/>
  <c r="BG74" i="18"/>
  <c r="BH74" i="18"/>
  <c r="BI74" i="18"/>
  <c r="BJ74" i="18"/>
  <c r="BK74" i="18"/>
  <c r="BL74" i="18"/>
  <c r="BM74" i="18"/>
  <c r="BN74" i="18"/>
  <c r="BO74" i="18"/>
  <c r="BP74" i="18"/>
  <c r="BQ74" i="18"/>
  <c r="BR74" i="18"/>
  <c r="BS74" i="18"/>
  <c r="BT74" i="18"/>
  <c r="B75" i="18"/>
  <c r="C75" i="18"/>
  <c r="D75" i="18"/>
  <c r="E75" i="18"/>
  <c r="F75" i="18"/>
  <c r="G75" i="18"/>
  <c r="H75" i="18"/>
  <c r="I75" i="18"/>
  <c r="J75" i="18"/>
  <c r="K75" i="18"/>
  <c r="L75" i="18"/>
  <c r="M75" i="18"/>
  <c r="N75" i="18"/>
  <c r="O75" i="18"/>
  <c r="P75" i="18"/>
  <c r="Q75" i="18"/>
  <c r="R75" i="18"/>
  <c r="S75" i="18"/>
  <c r="T75" i="18"/>
  <c r="U75" i="18"/>
  <c r="V75" i="18"/>
  <c r="W75" i="18"/>
  <c r="X75" i="18"/>
  <c r="Y75" i="18"/>
  <c r="Z75" i="18"/>
  <c r="AA75" i="18"/>
  <c r="AB75" i="18"/>
  <c r="AC75" i="18"/>
  <c r="AD75" i="18"/>
  <c r="AE75" i="18"/>
  <c r="AF75" i="18"/>
  <c r="AG75" i="18"/>
  <c r="AH75" i="18"/>
  <c r="AI75" i="18"/>
  <c r="AJ75" i="18"/>
  <c r="AK75" i="18"/>
  <c r="AL75" i="18"/>
  <c r="AM75" i="18"/>
  <c r="AN75" i="18"/>
  <c r="AO75" i="18"/>
  <c r="AP75" i="18"/>
  <c r="AQ75" i="18"/>
  <c r="AR75" i="18"/>
  <c r="AS75" i="18"/>
  <c r="AT75" i="18"/>
  <c r="AU75" i="18"/>
  <c r="AV75" i="18"/>
  <c r="AW75" i="18"/>
  <c r="AX75" i="18"/>
  <c r="AY75" i="18"/>
  <c r="AZ75" i="18"/>
  <c r="BA75" i="18"/>
  <c r="BB75" i="18"/>
  <c r="BC75" i="18"/>
  <c r="BD75" i="18"/>
  <c r="BE75" i="18"/>
  <c r="BF75" i="18"/>
  <c r="G75" i="14" s="1"/>
  <c r="BG75" i="18"/>
  <c r="BH75" i="18"/>
  <c r="BI75" i="18"/>
  <c r="BJ75" i="18"/>
  <c r="BK75" i="18"/>
  <c r="BL75" i="18"/>
  <c r="BM75" i="18"/>
  <c r="BN75" i="18"/>
  <c r="BO75" i="18"/>
  <c r="BP75" i="18"/>
  <c r="BQ75" i="18"/>
  <c r="BR75" i="18"/>
  <c r="BS75" i="18"/>
  <c r="BT75" i="18"/>
  <c r="B76" i="18"/>
  <c r="C76" i="18"/>
  <c r="D76" i="18"/>
  <c r="E76" i="18"/>
  <c r="F76" i="18"/>
  <c r="G76" i="18"/>
  <c r="H76" i="18"/>
  <c r="I76" i="18"/>
  <c r="J76" i="18"/>
  <c r="K76" i="18"/>
  <c r="L76" i="18"/>
  <c r="M76" i="18"/>
  <c r="N76" i="18"/>
  <c r="O76" i="18"/>
  <c r="P76" i="18"/>
  <c r="Q76" i="18"/>
  <c r="R76" i="18"/>
  <c r="S76" i="18"/>
  <c r="T76" i="18"/>
  <c r="U76" i="18"/>
  <c r="V76" i="18"/>
  <c r="W76" i="18"/>
  <c r="X76" i="18"/>
  <c r="Y76" i="18"/>
  <c r="Z76" i="18"/>
  <c r="AA76" i="18"/>
  <c r="AB76" i="18"/>
  <c r="AC76" i="18"/>
  <c r="AD76" i="18"/>
  <c r="AE76" i="18"/>
  <c r="AF76" i="18"/>
  <c r="AG76" i="18"/>
  <c r="AH76" i="18"/>
  <c r="AI76" i="18"/>
  <c r="AJ76" i="18"/>
  <c r="AK76" i="18"/>
  <c r="AL76" i="18"/>
  <c r="AM76" i="18"/>
  <c r="AN76" i="18"/>
  <c r="AO76" i="18"/>
  <c r="AP76" i="18"/>
  <c r="AQ76" i="18"/>
  <c r="AR76" i="18"/>
  <c r="AS76" i="18"/>
  <c r="AT76" i="18"/>
  <c r="AU76" i="18"/>
  <c r="AV76" i="18"/>
  <c r="AW76" i="18"/>
  <c r="AX76" i="18"/>
  <c r="AY76" i="18"/>
  <c r="AZ76" i="18"/>
  <c r="BA76" i="18"/>
  <c r="BB76" i="18"/>
  <c r="BC76" i="18"/>
  <c r="BD76" i="18"/>
  <c r="BE76" i="18"/>
  <c r="BF76" i="18"/>
  <c r="G76" i="14" s="1"/>
  <c r="BG76" i="18"/>
  <c r="BH76" i="18"/>
  <c r="BI76" i="18"/>
  <c r="BJ76" i="18"/>
  <c r="BK76" i="18"/>
  <c r="BL76" i="18"/>
  <c r="BM76" i="18"/>
  <c r="BN76" i="18"/>
  <c r="BO76" i="18"/>
  <c r="BP76" i="18"/>
  <c r="BQ76" i="18"/>
  <c r="BR76" i="18"/>
  <c r="BS76" i="18"/>
  <c r="BT76" i="18"/>
  <c r="B77" i="18"/>
  <c r="C77" i="18"/>
  <c r="D77" i="18"/>
  <c r="E77" i="18"/>
  <c r="F77" i="18"/>
  <c r="G77" i="18"/>
  <c r="H77" i="18"/>
  <c r="I77" i="18"/>
  <c r="J77" i="18"/>
  <c r="K77" i="18"/>
  <c r="L77" i="18"/>
  <c r="M77" i="18"/>
  <c r="N77" i="18"/>
  <c r="O77" i="18"/>
  <c r="P77" i="18"/>
  <c r="Q77" i="18"/>
  <c r="R77" i="18"/>
  <c r="S77" i="18"/>
  <c r="T77" i="18"/>
  <c r="U77" i="18"/>
  <c r="V77" i="18"/>
  <c r="W77" i="18"/>
  <c r="X77" i="18"/>
  <c r="Y77" i="18"/>
  <c r="Z77" i="18"/>
  <c r="AA77" i="18"/>
  <c r="AB77" i="18"/>
  <c r="AC77" i="18"/>
  <c r="AD77" i="18"/>
  <c r="AE77" i="18"/>
  <c r="AF77" i="18"/>
  <c r="AG77" i="18"/>
  <c r="AH77" i="18"/>
  <c r="AI77" i="18"/>
  <c r="AJ77" i="18"/>
  <c r="AK77" i="18"/>
  <c r="AL77" i="18"/>
  <c r="AM77" i="18"/>
  <c r="AN77" i="18"/>
  <c r="AO77" i="18"/>
  <c r="AP77" i="18"/>
  <c r="AQ77" i="18"/>
  <c r="AR77" i="18"/>
  <c r="AS77" i="18"/>
  <c r="AT77" i="18"/>
  <c r="AU77" i="18"/>
  <c r="AV77" i="18"/>
  <c r="AW77" i="18"/>
  <c r="AX77" i="18"/>
  <c r="AY77" i="18"/>
  <c r="AZ77" i="18"/>
  <c r="BA77" i="18"/>
  <c r="BB77" i="18"/>
  <c r="BC77" i="18"/>
  <c r="BD77" i="18"/>
  <c r="BE77" i="18"/>
  <c r="BF77" i="18"/>
  <c r="G77" i="14" s="1"/>
  <c r="BG77" i="18"/>
  <c r="BH77" i="18"/>
  <c r="BI77" i="18"/>
  <c r="BJ77" i="18"/>
  <c r="BK77" i="18"/>
  <c r="BL77" i="18"/>
  <c r="BM77" i="18"/>
  <c r="BN77" i="18"/>
  <c r="BO77" i="18"/>
  <c r="BP77" i="18"/>
  <c r="BQ77" i="18"/>
  <c r="BR77" i="18"/>
  <c r="BS77" i="18"/>
  <c r="BT77" i="18"/>
  <c r="B78" i="18"/>
  <c r="C78" i="18"/>
  <c r="D78" i="18"/>
  <c r="E78" i="18"/>
  <c r="F78" i="18"/>
  <c r="G78" i="18"/>
  <c r="H78" i="18"/>
  <c r="I78" i="18"/>
  <c r="J78" i="18"/>
  <c r="K78" i="18"/>
  <c r="L78" i="18"/>
  <c r="M78" i="18"/>
  <c r="N78" i="18"/>
  <c r="O78" i="18"/>
  <c r="P78" i="18"/>
  <c r="Q78" i="18"/>
  <c r="R78" i="18"/>
  <c r="S78" i="18"/>
  <c r="T78" i="18"/>
  <c r="U78" i="18"/>
  <c r="V78" i="18"/>
  <c r="W78" i="18"/>
  <c r="X78" i="18"/>
  <c r="Y78" i="18"/>
  <c r="Z78" i="18"/>
  <c r="AA78" i="18"/>
  <c r="AB78" i="18"/>
  <c r="AC78" i="18"/>
  <c r="AD78" i="18"/>
  <c r="AE78" i="18"/>
  <c r="AF78" i="18"/>
  <c r="AG78" i="18"/>
  <c r="AH78" i="18"/>
  <c r="AI78" i="18"/>
  <c r="AJ78" i="18"/>
  <c r="AK78" i="18"/>
  <c r="AL78" i="18"/>
  <c r="AM78" i="18"/>
  <c r="AN78" i="18"/>
  <c r="AO78" i="18"/>
  <c r="AP78" i="18"/>
  <c r="AQ78" i="18"/>
  <c r="AR78" i="18"/>
  <c r="AS78" i="18"/>
  <c r="AT78" i="18"/>
  <c r="AU78" i="18"/>
  <c r="AV78" i="18"/>
  <c r="AW78" i="18"/>
  <c r="AX78" i="18"/>
  <c r="AY78" i="18"/>
  <c r="AZ78" i="18"/>
  <c r="BA78" i="18"/>
  <c r="BB78" i="18"/>
  <c r="BC78" i="18"/>
  <c r="BD78" i="18"/>
  <c r="BE78" i="18"/>
  <c r="BF78" i="18"/>
  <c r="G78" i="14" s="1"/>
  <c r="BG78" i="18"/>
  <c r="BH78" i="18"/>
  <c r="BI78" i="18"/>
  <c r="BJ78" i="18"/>
  <c r="BK78" i="18"/>
  <c r="BL78" i="18"/>
  <c r="BM78" i="18"/>
  <c r="BN78" i="18"/>
  <c r="BO78" i="18"/>
  <c r="BP78" i="18"/>
  <c r="BQ78" i="18"/>
  <c r="BR78" i="18"/>
  <c r="BS78" i="18"/>
  <c r="BT78" i="18"/>
  <c r="B79" i="18"/>
  <c r="C79" i="18"/>
  <c r="D79" i="18"/>
  <c r="E79" i="18"/>
  <c r="F79" i="18"/>
  <c r="G79" i="18"/>
  <c r="H79" i="18"/>
  <c r="I79" i="18"/>
  <c r="J79" i="18"/>
  <c r="K79" i="18"/>
  <c r="L79" i="18"/>
  <c r="M79" i="18"/>
  <c r="N79" i="18"/>
  <c r="O79" i="18"/>
  <c r="P79" i="18"/>
  <c r="Q79" i="18"/>
  <c r="R79" i="18"/>
  <c r="S79" i="18"/>
  <c r="T79" i="18"/>
  <c r="U79" i="18"/>
  <c r="V79" i="18"/>
  <c r="W79" i="18"/>
  <c r="X79" i="18"/>
  <c r="Y79" i="18"/>
  <c r="Z79" i="18"/>
  <c r="AA79" i="18"/>
  <c r="AB79" i="18"/>
  <c r="AC79" i="18"/>
  <c r="AD79" i="18"/>
  <c r="AE79" i="18"/>
  <c r="AF79" i="18"/>
  <c r="AG79" i="18"/>
  <c r="AH79" i="18"/>
  <c r="AI79" i="18"/>
  <c r="AJ79" i="18"/>
  <c r="AK79" i="18"/>
  <c r="AL79" i="18"/>
  <c r="AM79" i="18"/>
  <c r="AN79" i="18"/>
  <c r="AO79" i="18"/>
  <c r="AP79" i="18"/>
  <c r="AQ79" i="18"/>
  <c r="AR79" i="18"/>
  <c r="AS79" i="18"/>
  <c r="AT79" i="18"/>
  <c r="AU79" i="18"/>
  <c r="AV79" i="18"/>
  <c r="AW79" i="18"/>
  <c r="AX79" i="18"/>
  <c r="AY79" i="18"/>
  <c r="AZ79" i="18"/>
  <c r="BA79" i="18"/>
  <c r="BB79" i="18"/>
  <c r="BC79" i="18"/>
  <c r="BD79" i="18"/>
  <c r="BE79" i="18"/>
  <c r="BF79" i="18"/>
  <c r="G79" i="14" s="1"/>
  <c r="BG79" i="18"/>
  <c r="BH79" i="18"/>
  <c r="BI79" i="18"/>
  <c r="BJ79" i="18"/>
  <c r="BK79" i="18"/>
  <c r="BL79" i="18"/>
  <c r="BM79" i="18"/>
  <c r="BN79" i="18"/>
  <c r="BO79" i="18"/>
  <c r="BP79" i="18"/>
  <c r="BQ79" i="18"/>
  <c r="BR79" i="18"/>
  <c r="BS79" i="18"/>
  <c r="BT79" i="18"/>
  <c r="B80" i="18"/>
  <c r="C80" i="18"/>
  <c r="D80" i="18"/>
  <c r="E80" i="18"/>
  <c r="F80" i="18"/>
  <c r="G80" i="18"/>
  <c r="H80" i="18"/>
  <c r="I80" i="18"/>
  <c r="J80" i="18"/>
  <c r="K80" i="18"/>
  <c r="L80" i="18"/>
  <c r="M80" i="18"/>
  <c r="N80" i="18"/>
  <c r="O80" i="18"/>
  <c r="P80" i="18"/>
  <c r="Q80" i="18"/>
  <c r="R80" i="18"/>
  <c r="S80" i="18"/>
  <c r="T80" i="18"/>
  <c r="U80" i="18"/>
  <c r="V80" i="18"/>
  <c r="W80" i="18"/>
  <c r="X80" i="18"/>
  <c r="Y80" i="18"/>
  <c r="Z80" i="18"/>
  <c r="AA80" i="18"/>
  <c r="AB80" i="18"/>
  <c r="AC80" i="18"/>
  <c r="AD80" i="18"/>
  <c r="AE80" i="18"/>
  <c r="AF80" i="18"/>
  <c r="AG80" i="18"/>
  <c r="AH80" i="18"/>
  <c r="AI80" i="18"/>
  <c r="AJ80" i="18"/>
  <c r="AK80" i="18"/>
  <c r="AL80" i="18"/>
  <c r="AM80" i="18"/>
  <c r="AN80" i="18"/>
  <c r="AO80" i="18"/>
  <c r="AP80" i="18"/>
  <c r="AQ80" i="18"/>
  <c r="AR80" i="18"/>
  <c r="AS80" i="18"/>
  <c r="AT80" i="18"/>
  <c r="AU80" i="18"/>
  <c r="AV80" i="18"/>
  <c r="AW80" i="18"/>
  <c r="AX80" i="18"/>
  <c r="AY80" i="18"/>
  <c r="AZ80" i="18"/>
  <c r="BA80" i="18"/>
  <c r="BB80" i="18"/>
  <c r="BC80" i="18"/>
  <c r="BD80" i="18"/>
  <c r="BE80" i="18"/>
  <c r="BF80" i="18"/>
  <c r="G80" i="14" s="1"/>
  <c r="BG80" i="18"/>
  <c r="BH80" i="18"/>
  <c r="BI80" i="18"/>
  <c r="BJ80" i="18"/>
  <c r="BK80" i="18"/>
  <c r="BL80" i="18"/>
  <c r="BM80" i="18"/>
  <c r="BN80" i="18"/>
  <c r="BO80" i="18"/>
  <c r="BP80" i="18"/>
  <c r="BQ80" i="18"/>
  <c r="BR80" i="18"/>
  <c r="BS80" i="18"/>
  <c r="BT80" i="18"/>
  <c r="B81" i="18"/>
  <c r="C81" i="18"/>
  <c r="D81" i="18"/>
  <c r="E81" i="18"/>
  <c r="F81" i="18"/>
  <c r="G81" i="18"/>
  <c r="H81" i="18"/>
  <c r="I81" i="18"/>
  <c r="J81" i="18"/>
  <c r="K81" i="18"/>
  <c r="L81" i="18"/>
  <c r="M81" i="18"/>
  <c r="N81" i="18"/>
  <c r="O81" i="18"/>
  <c r="P81" i="18"/>
  <c r="Q81" i="18"/>
  <c r="R81" i="18"/>
  <c r="S81" i="18"/>
  <c r="T81" i="18"/>
  <c r="U81" i="18"/>
  <c r="V81" i="18"/>
  <c r="W81" i="18"/>
  <c r="X81" i="18"/>
  <c r="Y81" i="18"/>
  <c r="Z81" i="18"/>
  <c r="AA81" i="18"/>
  <c r="AB81" i="18"/>
  <c r="AC81" i="18"/>
  <c r="AD81" i="18"/>
  <c r="AE81" i="18"/>
  <c r="AF81" i="18"/>
  <c r="AG81" i="18"/>
  <c r="AH81" i="18"/>
  <c r="AI81" i="18"/>
  <c r="AJ81" i="18"/>
  <c r="AK81" i="18"/>
  <c r="AL81" i="18"/>
  <c r="AM81" i="18"/>
  <c r="AN81" i="18"/>
  <c r="AO81" i="18"/>
  <c r="AP81" i="18"/>
  <c r="AQ81" i="18"/>
  <c r="AR81" i="18"/>
  <c r="AS81" i="18"/>
  <c r="AT81" i="18"/>
  <c r="AU81" i="18"/>
  <c r="AV81" i="18"/>
  <c r="AW81" i="18"/>
  <c r="AX81" i="18"/>
  <c r="AY81" i="18"/>
  <c r="AZ81" i="18"/>
  <c r="BA81" i="18"/>
  <c r="BB81" i="18"/>
  <c r="BC81" i="18"/>
  <c r="BD81" i="18"/>
  <c r="BE81" i="18"/>
  <c r="BF81" i="18"/>
  <c r="G81" i="14" s="1"/>
  <c r="BG81" i="18"/>
  <c r="BH81" i="18"/>
  <c r="BI81" i="18"/>
  <c r="BJ81" i="18"/>
  <c r="BK81" i="18"/>
  <c r="BL81" i="18"/>
  <c r="BM81" i="18"/>
  <c r="BN81" i="18"/>
  <c r="BO81" i="18"/>
  <c r="BP81" i="18"/>
  <c r="BQ81" i="18"/>
  <c r="BR81" i="18"/>
  <c r="BS81" i="18"/>
  <c r="BT81" i="18"/>
  <c r="B82" i="18"/>
  <c r="C82" i="18"/>
  <c r="D82" i="18"/>
  <c r="E82" i="18"/>
  <c r="F82" i="18"/>
  <c r="G82" i="18"/>
  <c r="H82" i="18"/>
  <c r="I82" i="18"/>
  <c r="J82" i="18"/>
  <c r="K82" i="18"/>
  <c r="L82" i="18"/>
  <c r="M82" i="18"/>
  <c r="N82" i="18"/>
  <c r="O82" i="18"/>
  <c r="P82" i="18"/>
  <c r="Q82" i="18"/>
  <c r="R82" i="18"/>
  <c r="S82" i="18"/>
  <c r="T82" i="18"/>
  <c r="U82" i="18"/>
  <c r="V82" i="18"/>
  <c r="W82" i="18"/>
  <c r="X82" i="18"/>
  <c r="Y82" i="18"/>
  <c r="Z82" i="18"/>
  <c r="AA82" i="18"/>
  <c r="AB82" i="18"/>
  <c r="AC82" i="18"/>
  <c r="AD82" i="18"/>
  <c r="AE82" i="18"/>
  <c r="AF82" i="18"/>
  <c r="AG82" i="18"/>
  <c r="AH82" i="18"/>
  <c r="AI82" i="18"/>
  <c r="AJ82" i="18"/>
  <c r="AK82" i="18"/>
  <c r="AL82" i="18"/>
  <c r="AM82" i="18"/>
  <c r="AN82" i="18"/>
  <c r="AO82" i="18"/>
  <c r="AP82" i="18"/>
  <c r="AQ82" i="18"/>
  <c r="AR82" i="18"/>
  <c r="AS82" i="18"/>
  <c r="AT82" i="18"/>
  <c r="AU82" i="18"/>
  <c r="AV82" i="18"/>
  <c r="AW82" i="18"/>
  <c r="AX82" i="18"/>
  <c r="AY82" i="18"/>
  <c r="AZ82" i="18"/>
  <c r="BA82" i="18"/>
  <c r="BB82" i="18"/>
  <c r="BC82" i="18"/>
  <c r="BD82" i="18"/>
  <c r="BE82" i="18"/>
  <c r="BF82" i="18"/>
  <c r="G82" i="14" s="1"/>
  <c r="BG82" i="18"/>
  <c r="BH82" i="18"/>
  <c r="BI82" i="18"/>
  <c r="BJ82" i="18"/>
  <c r="BK82" i="18"/>
  <c r="BL82" i="18"/>
  <c r="BM82" i="18"/>
  <c r="BN82" i="18"/>
  <c r="BO82" i="18"/>
  <c r="BP82" i="18"/>
  <c r="BQ82" i="18"/>
  <c r="BR82" i="18"/>
  <c r="BS82" i="18"/>
  <c r="BT82" i="18"/>
  <c r="B83" i="18"/>
  <c r="C83" i="18"/>
  <c r="D83" i="18"/>
  <c r="E83" i="18"/>
  <c r="F83" i="18"/>
  <c r="G83" i="18"/>
  <c r="H83" i="18"/>
  <c r="I83" i="18"/>
  <c r="J83" i="18"/>
  <c r="K83" i="18"/>
  <c r="L83" i="18"/>
  <c r="M83" i="18"/>
  <c r="N83" i="18"/>
  <c r="O83" i="18"/>
  <c r="P83" i="18"/>
  <c r="Q83" i="18"/>
  <c r="R83" i="18"/>
  <c r="S83" i="18"/>
  <c r="T83" i="18"/>
  <c r="U83" i="18"/>
  <c r="V83" i="18"/>
  <c r="W83" i="18"/>
  <c r="X83" i="18"/>
  <c r="Y83" i="18"/>
  <c r="Z83" i="18"/>
  <c r="AA83" i="18"/>
  <c r="AB83" i="18"/>
  <c r="AC83" i="18"/>
  <c r="AD83" i="18"/>
  <c r="AE83" i="18"/>
  <c r="AF83" i="18"/>
  <c r="AG83" i="18"/>
  <c r="AH83" i="18"/>
  <c r="AI83" i="18"/>
  <c r="AJ83" i="18"/>
  <c r="AK83" i="18"/>
  <c r="AL83" i="18"/>
  <c r="AM83" i="18"/>
  <c r="AN83" i="18"/>
  <c r="AO83" i="18"/>
  <c r="AP83" i="18"/>
  <c r="AQ83" i="18"/>
  <c r="AR83" i="18"/>
  <c r="AS83" i="18"/>
  <c r="AT83" i="18"/>
  <c r="AU83" i="18"/>
  <c r="AV83" i="18"/>
  <c r="AW83" i="18"/>
  <c r="AX83" i="18"/>
  <c r="AY83" i="18"/>
  <c r="AZ83" i="18"/>
  <c r="BA83" i="18"/>
  <c r="BB83" i="18"/>
  <c r="BC83" i="18"/>
  <c r="BD83" i="18"/>
  <c r="BE83" i="18"/>
  <c r="BF83" i="18"/>
  <c r="G83" i="14" s="1"/>
  <c r="BG83" i="18"/>
  <c r="BH83" i="18"/>
  <c r="BI83" i="18"/>
  <c r="BJ83" i="18"/>
  <c r="BK83" i="18"/>
  <c r="BL83" i="18"/>
  <c r="BM83" i="18"/>
  <c r="BN83" i="18"/>
  <c r="BO83" i="18"/>
  <c r="BP83" i="18"/>
  <c r="BQ83" i="18"/>
  <c r="BR83" i="18"/>
  <c r="BS83" i="18"/>
  <c r="BT83" i="18"/>
  <c r="B84" i="18"/>
  <c r="C84" i="18"/>
  <c r="D84" i="18"/>
  <c r="E84" i="18"/>
  <c r="F84" i="18"/>
  <c r="G84" i="18"/>
  <c r="H84" i="18"/>
  <c r="I84" i="18"/>
  <c r="J84" i="18"/>
  <c r="K84" i="18"/>
  <c r="L84" i="18"/>
  <c r="M84" i="18"/>
  <c r="N84" i="18"/>
  <c r="O84" i="18"/>
  <c r="P84" i="18"/>
  <c r="Q84" i="18"/>
  <c r="R84" i="18"/>
  <c r="S84" i="18"/>
  <c r="T84" i="18"/>
  <c r="U84" i="18"/>
  <c r="V84" i="18"/>
  <c r="W84" i="18"/>
  <c r="X84" i="18"/>
  <c r="Y84" i="18"/>
  <c r="Z84" i="18"/>
  <c r="AA84" i="18"/>
  <c r="AB84" i="18"/>
  <c r="AC84" i="18"/>
  <c r="AD84" i="18"/>
  <c r="AE84" i="18"/>
  <c r="AF84" i="18"/>
  <c r="AG84" i="18"/>
  <c r="AH84" i="18"/>
  <c r="AI84" i="18"/>
  <c r="AJ84" i="18"/>
  <c r="AK84" i="18"/>
  <c r="AL84" i="18"/>
  <c r="AM84" i="18"/>
  <c r="AN84" i="18"/>
  <c r="AO84" i="18"/>
  <c r="AP84" i="18"/>
  <c r="AQ84" i="18"/>
  <c r="AR84" i="18"/>
  <c r="AS84" i="18"/>
  <c r="AT84" i="18"/>
  <c r="AU84" i="18"/>
  <c r="AV84" i="18"/>
  <c r="AW84" i="18"/>
  <c r="AX84" i="18"/>
  <c r="AY84" i="18"/>
  <c r="AZ84" i="18"/>
  <c r="BA84" i="18"/>
  <c r="BB84" i="18"/>
  <c r="BC84" i="18"/>
  <c r="BD84" i="18"/>
  <c r="BE84" i="18"/>
  <c r="BF84" i="18"/>
  <c r="G84" i="14" s="1"/>
  <c r="BG84" i="18"/>
  <c r="BH84" i="18"/>
  <c r="BI84" i="18"/>
  <c r="BJ84" i="18"/>
  <c r="BK84" i="18"/>
  <c r="BL84" i="18"/>
  <c r="BM84" i="18"/>
  <c r="BN84" i="18"/>
  <c r="BO84" i="18"/>
  <c r="BP84" i="18"/>
  <c r="BQ84" i="18"/>
  <c r="BR84" i="18"/>
  <c r="BS84" i="18"/>
  <c r="BT84" i="18"/>
  <c r="B85" i="18"/>
  <c r="C85" i="18"/>
  <c r="D85" i="18"/>
  <c r="E85" i="18"/>
  <c r="F85" i="18"/>
  <c r="G85" i="18"/>
  <c r="H85" i="18"/>
  <c r="I85" i="18"/>
  <c r="J85" i="18"/>
  <c r="K85" i="18"/>
  <c r="L85" i="18"/>
  <c r="M85" i="18"/>
  <c r="N85" i="18"/>
  <c r="O85" i="18"/>
  <c r="P85" i="18"/>
  <c r="Q85" i="18"/>
  <c r="R85" i="18"/>
  <c r="S85" i="18"/>
  <c r="T85" i="18"/>
  <c r="U85" i="18"/>
  <c r="V85" i="18"/>
  <c r="W85" i="18"/>
  <c r="X85" i="18"/>
  <c r="Y85" i="18"/>
  <c r="Z85" i="18"/>
  <c r="AA85" i="18"/>
  <c r="AB85" i="18"/>
  <c r="AC85" i="18"/>
  <c r="AD85" i="18"/>
  <c r="AE85" i="18"/>
  <c r="AF85" i="18"/>
  <c r="AG85" i="18"/>
  <c r="AH85" i="18"/>
  <c r="AI85" i="18"/>
  <c r="AJ85" i="18"/>
  <c r="AK85" i="18"/>
  <c r="AL85" i="18"/>
  <c r="AM85" i="18"/>
  <c r="AN85" i="18"/>
  <c r="AO85" i="18"/>
  <c r="AP85" i="18"/>
  <c r="AQ85" i="18"/>
  <c r="AR85" i="18"/>
  <c r="AS85" i="18"/>
  <c r="AT85" i="18"/>
  <c r="AU85" i="18"/>
  <c r="AV85" i="18"/>
  <c r="AW85" i="18"/>
  <c r="AX85" i="18"/>
  <c r="AY85" i="18"/>
  <c r="AZ85" i="18"/>
  <c r="BA85" i="18"/>
  <c r="BB85" i="18"/>
  <c r="BC85" i="18"/>
  <c r="BD85" i="18"/>
  <c r="BE85" i="18"/>
  <c r="BF85" i="18"/>
  <c r="G85" i="14" s="1"/>
  <c r="BG85" i="18"/>
  <c r="BH85" i="18"/>
  <c r="BI85" i="18"/>
  <c r="BJ85" i="18"/>
  <c r="BK85" i="18"/>
  <c r="BL85" i="18"/>
  <c r="BM85" i="18"/>
  <c r="BN85" i="18"/>
  <c r="BO85" i="18"/>
  <c r="BP85" i="18"/>
  <c r="BQ85" i="18"/>
  <c r="BR85" i="18"/>
  <c r="BS85" i="18"/>
  <c r="BT85" i="18"/>
  <c r="B86" i="18"/>
  <c r="C86" i="18"/>
  <c r="D86" i="18"/>
  <c r="E86" i="18"/>
  <c r="F86" i="18"/>
  <c r="G86" i="18"/>
  <c r="H86" i="18"/>
  <c r="I86" i="18"/>
  <c r="J86" i="18"/>
  <c r="K86" i="18"/>
  <c r="L86" i="18"/>
  <c r="M86" i="18"/>
  <c r="N86" i="18"/>
  <c r="O86" i="18"/>
  <c r="P86" i="18"/>
  <c r="Q86" i="18"/>
  <c r="R86" i="18"/>
  <c r="S86" i="18"/>
  <c r="T86" i="18"/>
  <c r="U86" i="18"/>
  <c r="V86" i="18"/>
  <c r="W86" i="18"/>
  <c r="X86" i="18"/>
  <c r="Y86" i="18"/>
  <c r="Z86" i="18"/>
  <c r="AA86" i="18"/>
  <c r="AB86" i="18"/>
  <c r="AC86" i="18"/>
  <c r="AD86" i="18"/>
  <c r="AE86" i="18"/>
  <c r="AF86" i="18"/>
  <c r="AG86" i="18"/>
  <c r="AH86" i="18"/>
  <c r="AI86" i="18"/>
  <c r="AJ86" i="18"/>
  <c r="AK86" i="18"/>
  <c r="AL86" i="18"/>
  <c r="AM86" i="18"/>
  <c r="AN86" i="18"/>
  <c r="AO86" i="18"/>
  <c r="AP86" i="18"/>
  <c r="AQ86" i="18"/>
  <c r="AR86" i="18"/>
  <c r="AS86" i="18"/>
  <c r="AT86" i="18"/>
  <c r="AU86" i="18"/>
  <c r="AV86" i="18"/>
  <c r="AW86" i="18"/>
  <c r="AX86" i="18"/>
  <c r="AY86" i="18"/>
  <c r="AZ86" i="18"/>
  <c r="BA86" i="18"/>
  <c r="BB86" i="18"/>
  <c r="BC86" i="18"/>
  <c r="BD86" i="18"/>
  <c r="BE86" i="18"/>
  <c r="BF86" i="18"/>
  <c r="G86" i="14" s="1"/>
  <c r="BG86" i="18"/>
  <c r="BH86" i="18"/>
  <c r="BI86" i="18"/>
  <c r="BJ86" i="18"/>
  <c r="BK86" i="18"/>
  <c r="BL86" i="18"/>
  <c r="BM86" i="18"/>
  <c r="BN86" i="18"/>
  <c r="BO86" i="18"/>
  <c r="BP86" i="18"/>
  <c r="BQ86" i="18"/>
  <c r="BR86" i="18"/>
  <c r="BS86" i="18"/>
  <c r="BT86" i="18"/>
  <c r="B87" i="18"/>
  <c r="C87" i="18"/>
  <c r="D87" i="18"/>
  <c r="E87" i="18"/>
  <c r="F87" i="18"/>
  <c r="G87" i="18"/>
  <c r="H87" i="18"/>
  <c r="I87" i="18"/>
  <c r="J87" i="18"/>
  <c r="K87" i="18"/>
  <c r="L87" i="18"/>
  <c r="M87" i="18"/>
  <c r="N87" i="18"/>
  <c r="O87" i="18"/>
  <c r="P87" i="18"/>
  <c r="Q87" i="18"/>
  <c r="R87" i="18"/>
  <c r="S87" i="18"/>
  <c r="T87" i="18"/>
  <c r="U87" i="18"/>
  <c r="V87" i="18"/>
  <c r="W87" i="18"/>
  <c r="X87" i="18"/>
  <c r="Y87" i="18"/>
  <c r="Z87" i="18"/>
  <c r="AA87" i="18"/>
  <c r="AB87" i="18"/>
  <c r="AC87" i="18"/>
  <c r="AD87" i="18"/>
  <c r="AE87" i="18"/>
  <c r="AF87" i="18"/>
  <c r="AG87" i="18"/>
  <c r="AH87" i="18"/>
  <c r="AI87" i="18"/>
  <c r="AJ87" i="18"/>
  <c r="AK87" i="18"/>
  <c r="AL87" i="18"/>
  <c r="AM87" i="18"/>
  <c r="AN87" i="18"/>
  <c r="AO87" i="18"/>
  <c r="AP87" i="18"/>
  <c r="AQ87" i="18"/>
  <c r="AR87" i="18"/>
  <c r="AS87" i="18"/>
  <c r="AT87" i="18"/>
  <c r="AU87" i="18"/>
  <c r="AV87" i="18"/>
  <c r="AW87" i="18"/>
  <c r="AX87" i="18"/>
  <c r="AY87" i="18"/>
  <c r="AZ87" i="18"/>
  <c r="BA87" i="18"/>
  <c r="BB87" i="18"/>
  <c r="BC87" i="18"/>
  <c r="BD87" i="18"/>
  <c r="BE87" i="18"/>
  <c r="BF87" i="18"/>
  <c r="G87" i="14" s="1"/>
  <c r="BG87" i="18"/>
  <c r="BH87" i="18"/>
  <c r="BI87" i="18"/>
  <c r="BJ87" i="18"/>
  <c r="BK87" i="18"/>
  <c r="BL87" i="18"/>
  <c r="BM87" i="18"/>
  <c r="BN87" i="18"/>
  <c r="BO87" i="18"/>
  <c r="BP87" i="18"/>
  <c r="BQ87" i="18"/>
  <c r="BR87" i="18"/>
  <c r="BS87" i="18"/>
  <c r="BT87" i="18"/>
  <c r="B88" i="18"/>
  <c r="C88" i="18"/>
  <c r="D88" i="18"/>
  <c r="E88" i="18"/>
  <c r="F88" i="18"/>
  <c r="G88" i="18"/>
  <c r="H88" i="18"/>
  <c r="I88" i="18"/>
  <c r="J88" i="18"/>
  <c r="K88" i="18"/>
  <c r="L88" i="18"/>
  <c r="M88" i="18"/>
  <c r="N88" i="18"/>
  <c r="O88" i="18"/>
  <c r="P88" i="18"/>
  <c r="Q88" i="18"/>
  <c r="R88" i="18"/>
  <c r="S88" i="18"/>
  <c r="T88" i="18"/>
  <c r="U88" i="18"/>
  <c r="V88" i="18"/>
  <c r="W88" i="18"/>
  <c r="X88" i="18"/>
  <c r="Y88" i="18"/>
  <c r="Z88" i="18"/>
  <c r="AA88" i="18"/>
  <c r="AB88" i="18"/>
  <c r="AC88" i="18"/>
  <c r="AD88" i="18"/>
  <c r="AE88" i="18"/>
  <c r="AF88" i="18"/>
  <c r="AG88" i="18"/>
  <c r="AH88" i="18"/>
  <c r="AI88" i="18"/>
  <c r="AJ88" i="18"/>
  <c r="AK88" i="18"/>
  <c r="AL88" i="18"/>
  <c r="AM88" i="18"/>
  <c r="AN88" i="18"/>
  <c r="AO88" i="18"/>
  <c r="AP88" i="18"/>
  <c r="AQ88" i="18"/>
  <c r="AR88" i="18"/>
  <c r="AS88" i="18"/>
  <c r="AT88" i="18"/>
  <c r="AU88" i="18"/>
  <c r="AV88" i="18"/>
  <c r="AW88" i="18"/>
  <c r="AX88" i="18"/>
  <c r="AY88" i="18"/>
  <c r="AZ88" i="18"/>
  <c r="BA88" i="18"/>
  <c r="BB88" i="18"/>
  <c r="BC88" i="18"/>
  <c r="BD88" i="18"/>
  <c r="BE88" i="18"/>
  <c r="BF88" i="18"/>
  <c r="G88" i="14" s="1"/>
  <c r="BG88" i="18"/>
  <c r="BH88" i="18"/>
  <c r="BI88" i="18"/>
  <c r="BJ88" i="18"/>
  <c r="BK88" i="18"/>
  <c r="BL88" i="18"/>
  <c r="BM88" i="18"/>
  <c r="BN88" i="18"/>
  <c r="BO88" i="18"/>
  <c r="BP88" i="18"/>
  <c r="BQ88" i="18"/>
  <c r="BR88" i="18"/>
  <c r="BS88" i="18"/>
  <c r="BT88" i="18"/>
  <c r="B89" i="18"/>
  <c r="C89" i="18"/>
  <c r="D89" i="18"/>
  <c r="E89" i="18"/>
  <c r="F89" i="18"/>
  <c r="G89" i="18"/>
  <c r="H89" i="18"/>
  <c r="I89" i="18"/>
  <c r="J89" i="18"/>
  <c r="K89" i="18"/>
  <c r="L89" i="18"/>
  <c r="M89" i="18"/>
  <c r="N89" i="18"/>
  <c r="O89" i="18"/>
  <c r="P89" i="18"/>
  <c r="Q89" i="18"/>
  <c r="R89" i="18"/>
  <c r="S89" i="18"/>
  <c r="T89" i="18"/>
  <c r="U89" i="18"/>
  <c r="V89" i="18"/>
  <c r="W89" i="18"/>
  <c r="X89" i="18"/>
  <c r="Y89" i="18"/>
  <c r="Z89" i="18"/>
  <c r="AA89" i="18"/>
  <c r="AB89" i="18"/>
  <c r="AC89" i="18"/>
  <c r="AD89" i="18"/>
  <c r="AE89" i="18"/>
  <c r="AF89" i="18"/>
  <c r="AG89" i="18"/>
  <c r="AH89" i="18"/>
  <c r="AI89" i="18"/>
  <c r="AJ89" i="18"/>
  <c r="AK89" i="18"/>
  <c r="AL89" i="18"/>
  <c r="AM89" i="18"/>
  <c r="AN89" i="18"/>
  <c r="AO89" i="18"/>
  <c r="AP89" i="18"/>
  <c r="AQ89" i="18"/>
  <c r="AR89" i="18"/>
  <c r="AS89" i="18"/>
  <c r="AT89" i="18"/>
  <c r="AU89" i="18"/>
  <c r="AV89" i="18"/>
  <c r="AW89" i="18"/>
  <c r="AX89" i="18"/>
  <c r="AY89" i="18"/>
  <c r="AZ89" i="18"/>
  <c r="BA89" i="18"/>
  <c r="BB89" i="18"/>
  <c r="BC89" i="18"/>
  <c r="BD89" i="18"/>
  <c r="BE89" i="18"/>
  <c r="BF89" i="18"/>
  <c r="G89" i="14" s="1"/>
  <c r="BG89" i="18"/>
  <c r="BH89" i="18"/>
  <c r="BI89" i="18"/>
  <c r="BJ89" i="18"/>
  <c r="BK89" i="18"/>
  <c r="BL89" i="18"/>
  <c r="BM89" i="18"/>
  <c r="BN89" i="18"/>
  <c r="BO89" i="18"/>
  <c r="BP89" i="18"/>
  <c r="BQ89" i="18"/>
  <c r="BR89" i="18"/>
  <c r="BS89" i="18"/>
  <c r="BT89" i="18"/>
  <c r="B90" i="18"/>
  <c r="C90" i="18"/>
  <c r="D90" i="18"/>
  <c r="E90" i="18"/>
  <c r="F90" i="18"/>
  <c r="G90" i="18"/>
  <c r="H90" i="18"/>
  <c r="I90" i="18"/>
  <c r="J90" i="18"/>
  <c r="K90" i="18"/>
  <c r="L90" i="18"/>
  <c r="M90" i="18"/>
  <c r="N90" i="18"/>
  <c r="O90" i="18"/>
  <c r="P90" i="18"/>
  <c r="Q90" i="18"/>
  <c r="R90" i="18"/>
  <c r="S90" i="18"/>
  <c r="T90" i="18"/>
  <c r="U90" i="18"/>
  <c r="V90" i="18"/>
  <c r="W90" i="18"/>
  <c r="X90" i="18"/>
  <c r="Y90" i="18"/>
  <c r="Z90" i="18"/>
  <c r="AA90" i="18"/>
  <c r="AB90" i="18"/>
  <c r="AC90" i="18"/>
  <c r="AD90" i="18"/>
  <c r="AE90" i="18"/>
  <c r="AF90" i="18"/>
  <c r="AG90" i="18"/>
  <c r="AH90" i="18"/>
  <c r="AI90" i="18"/>
  <c r="AJ90" i="18"/>
  <c r="AK90" i="18"/>
  <c r="AL90" i="18"/>
  <c r="AM90" i="18"/>
  <c r="AN90" i="18"/>
  <c r="AO90" i="18"/>
  <c r="AP90" i="18"/>
  <c r="AQ90" i="18"/>
  <c r="AR90" i="18"/>
  <c r="AS90" i="18"/>
  <c r="AT90" i="18"/>
  <c r="AU90" i="18"/>
  <c r="AV90" i="18"/>
  <c r="AW90" i="18"/>
  <c r="AX90" i="18"/>
  <c r="AY90" i="18"/>
  <c r="AZ90" i="18"/>
  <c r="BA90" i="18"/>
  <c r="BB90" i="18"/>
  <c r="BC90" i="18"/>
  <c r="BD90" i="18"/>
  <c r="BE90" i="18"/>
  <c r="BF90" i="18"/>
  <c r="G90" i="14" s="1"/>
  <c r="BG90" i="18"/>
  <c r="BH90" i="18"/>
  <c r="BI90" i="18"/>
  <c r="BJ90" i="18"/>
  <c r="BK90" i="18"/>
  <c r="BL90" i="18"/>
  <c r="BM90" i="18"/>
  <c r="BN90" i="18"/>
  <c r="BO90" i="18"/>
  <c r="BP90" i="18"/>
  <c r="BQ90" i="18"/>
  <c r="BR90" i="18"/>
  <c r="BS90" i="18"/>
  <c r="BT90" i="18"/>
  <c r="B91" i="18"/>
  <c r="C91" i="18"/>
  <c r="D91" i="18"/>
  <c r="E91" i="18"/>
  <c r="F91" i="18"/>
  <c r="G91" i="18"/>
  <c r="H91" i="18"/>
  <c r="I91" i="18"/>
  <c r="J91" i="18"/>
  <c r="K91" i="18"/>
  <c r="L91" i="18"/>
  <c r="M91" i="18"/>
  <c r="N91" i="18"/>
  <c r="O91" i="18"/>
  <c r="P91" i="18"/>
  <c r="Q91" i="18"/>
  <c r="R91" i="18"/>
  <c r="S91" i="18"/>
  <c r="T91" i="18"/>
  <c r="U91" i="18"/>
  <c r="V91" i="18"/>
  <c r="W91" i="18"/>
  <c r="X91" i="18"/>
  <c r="Y91" i="18"/>
  <c r="Z91" i="18"/>
  <c r="AA91" i="18"/>
  <c r="AB91" i="18"/>
  <c r="AC91" i="18"/>
  <c r="AD91" i="18"/>
  <c r="AE91" i="18"/>
  <c r="AF91" i="18"/>
  <c r="AG91" i="18"/>
  <c r="AH91" i="18"/>
  <c r="AI91" i="18"/>
  <c r="AJ91" i="18"/>
  <c r="AK91" i="18"/>
  <c r="AL91" i="18"/>
  <c r="AM91" i="18"/>
  <c r="AN91" i="18"/>
  <c r="AO91" i="18"/>
  <c r="AP91" i="18"/>
  <c r="AQ91" i="18"/>
  <c r="AR91" i="18"/>
  <c r="AS91" i="18"/>
  <c r="AT91" i="18"/>
  <c r="AU91" i="18"/>
  <c r="AV91" i="18"/>
  <c r="AW91" i="18"/>
  <c r="AX91" i="18"/>
  <c r="AY91" i="18"/>
  <c r="AZ91" i="18"/>
  <c r="BA91" i="18"/>
  <c r="BB91" i="18"/>
  <c r="BC91" i="18"/>
  <c r="BD91" i="18"/>
  <c r="BE91" i="18"/>
  <c r="BF91" i="18"/>
  <c r="G91" i="14" s="1"/>
  <c r="BG91" i="18"/>
  <c r="BH91" i="18"/>
  <c r="BI91" i="18"/>
  <c r="BJ91" i="18"/>
  <c r="BK91" i="18"/>
  <c r="BL91" i="18"/>
  <c r="BM91" i="18"/>
  <c r="BN91" i="18"/>
  <c r="BO91" i="18"/>
  <c r="BP91" i="18"/>
  <c r="BQ91" i="18"/>
  <c r="BR91" i="18"/>
  <c r="BS91" i="18"/>
  <c r="BT91" i="18"/>
  <c r="B92" i="18"/>
  <c r="C92" i="18"/>
  <c r="D92" i="18"/>
  <c r="E92" i="18"/>
  <c r="F92" i="18"/>
  <c r="G92" i="18"/>
  <c r="H92" i="18"/>
  <c r="I92" i="18"/>
  <c r="J92" i="18"/>
  <c r="K92" i="18"/>
  <c r="L92" i="18"/>
  <c r="M92" i="18"/>
  <c r="N92" i="18"/>
  <c r="O92" i="18"/>
  <c r="P92" i="18"/>
  <c r="Q92" i="18"/>
  <c r="R92" i="18"/>
  <c r="S92" i="18"/>
  <c r="T92" i="18"/>
  <c r="U92" i="18"/>
  <c r="V92" i="18"/>
  <c r="W92" i="18"/>
  <c r="X92" i="18"/>
  <c r="Y92" i="18"/>
  <c r="Z92" i="18"/>
  <c r="AA92" i="18"/>
  <c r="AB92" i="18"/>
  <c r="AC92" i="18"/>
  <c r="AD92" i="18"/>
  <c r="AE92" i="18"/>
  <c r="AF92" i="18"/>
  <c r="AG92" i="18"/>
  <c r="AH92" i="18"/>
  <c r="AI92" i="18"/>
  <c r="AJ92" i="18"/>
  <c r="AK92" i="18"/>
  <c r="AL92" i="18"/>
  <c r="AM92" i="18"/>
  <c r="AN92" i="18"/>
  <c r="AO92" i="18"/>
  <c r="AP92" i="18"/>
  <c r="AQ92" i="18"/>
  <c r="AR92" i="18"/>
  <c r="AS92" i="18"/>
  <c r="AT92" i="18"/>
  <c r="AU92" i="18"/>
  <c r="AV92" i="18"/>
  <c r="AW92" i="18"/>
  <c r="AX92" i="18"/>
  <c r="AY92" i="18"/>
  <c r="AZ92" i="18"/>
  <c r="BA92" i="18"/>
  <c r="BB92" i="18"/>
  <c r="BC92" i="18"/>
  <c r="BD92" i="18"/>
  <c r="BE92" i="18"/>
  <c r="BF92" i="18"/>
  <c r="G92" i="14" s="1"/>
  <c r="BG92" i="18"/>
  <c r="BH92" i="18"/>
  <c r="BI92" i="18"/>
  <c r="BJ92" i="18"/>
  <c r="BK92" i="18"/>
  <c r="BL92" i="18"/>
  <c r="BM92" i="18"/>
  <c r="BN92" i="18"/>
  <c r="BO92" i="18"/>
  <c r="BP92" i="18"/>
  <c r="BQ92" i="18"/>
  <c r="BR92" i="18"/>
  <c r="BS92" i="18"/>
  <c r="BT92" i="18"/>
  <c r="B93" i="18"/>
  <c r="C93" i="18"/>
  <c r="D93" i="18"/>
  <c r="E93" i="18"/>
  <c r="F93" i="18"/>
  <c r="G93" i="18"/>
  <c r="H93" i="18"/>
  <c r="I93" i="18"/>
  <c r="J93" i="18"/>
  <c r="K93" i="18"/>
  <c r="L93" i="18"/>
  <c r="M93" i="18"/>
  <c r="N93" i="18"/>
  <c r="O93" i="18"/>
  <c r="P93" i="18"/>
  <c r="Q93" i="18"/>
  <c r="R93" i="18"/>
  <c r="S93" i="18"/>
  <c r="T93" i="18"/>
  <c r="U93" i="18"/>
  <c r="V93" i="18"/>
  <c r="W93" i="18"/>
  <c r="X93" i="18"/>
  <c r="Y93" i="18"/>
  <c r="Z93" i="18"/>
  <c r="AA93" i="18"/>
  <c r="AB93" i="18"/>
  <c r="AC93" i="18"/>
  <c r="AD93" i="18"/>
  <c r="AE93" i="18"/>
  <c r="AF93" i="18"/>
  <c r="AG93" i="18"/>
  <c r="AH93" i="18"/>
  <c r="AI93" i="18"/>
  <c r="AJ93" i="18"/>
  <c r="AK93" i="18"/>
  <c r="AL93" i="18"/>
  <c r="AM93" i="18"/>
  <c r="AN93" i="18"/>
  <c r="AO93" i="18"/>
  <c r="AP93" i="18"/>
  <c r="AQ93" i="18"/>
  <c r="AR93" i="18"/>
  <c r="AS93" i="18"/>
  <c r="AT93" i="18"/>
  <c r="AU93" i="18"/>
  <c r="AV93" i="18"/>
  <c r="AW93" i="18"/>
  <c r="AX93" i="18"/>
  <c r="AY93" i="18"/>
  <c r="AZ93" i="18"/>
  <c r="BA93" i="18"/>
  <c r="BB93" i="18"/>
  <c r="BC93" i="18"/>
  <c r="BD93" i="18"/>
  <c r="BE93" i="18"/>
  <c r="BF93" i="18"/>
  <c r="G93" i="14" s="1"/>
  <c r="BG93" i="18"/>
  <c r="BH93" i="18"/>
  <c r="BI93" i="18"/>
  <c r="BJ93" i="18"/>
  <c r="BK93" i="18"/>
  <c r="BL93" i="18"/>
  <c r="BM93" i="18"/>
  <c r="BN93" i="18"/>
  <c r="BO93" i="18"/>
  <c r="BP93" i="18"/>
  <c r="BQ93" i="18"/>
  <c r="BR93" i="18"/>
  <c r="BS93" i="18"/>
  <c r="BT93" i="18"/>
  <c r="B94" i="18"/>
  <c r="C94" i="18"/>
  <c r="D94" i="18"/>
  <c r="E94" i="18"/>
  <c r="F94" i="18"/>
  <c r="G94" i="18"/>
  <c r="H94" i="18"/>
  <c r="I94" i="18"/>
  <c r="J94" i="18"/>
  <c r="K94" i="18"/>
  <c r="L94" i="18"/>
  <c r="M94" i="18"/>
  <c r="N94" i="18"/>
  <c r="O94" i="18"/>
  <c r="P94" i="18"/>
  <c r="Q94" i="18"/>
  <c r="R94" i="18"/>
  <c r="S94" i="18"/>
  <c r="T94" i="18"/>
  <c r="U94" i="18"/>
  <c r="V94" i="18"/>
  <c r="W94" i="18"/>
  <c r="X94" i="18"/>
  <c r="Y94" i="18"/>
  <c r="Z94" i="18"/>
  <c r="AA94" i="18"/>
  <c r="AB94" i="18"/>
  <c r="AC94" i="18"/>
  <c r="AD94" i="18"/>
  <c r="AE94" i="18"/>
  <c r="AF94" i="18"/>
  <c r="AG94" i="18"/>
  <c r="AH94" i="18"/>
  <c r="AI94" i="18"/>
  <c r="AJ94" i="18"/>
  <c r="AK94" i="18"/>
  <c r="AL94" i="18"/>
  <c r="AM94" i="18"/>
  <c r="AN94" i="18"/>
  <c r="AO94" i="18"/>
  <c r="AP94" i="18"/>
  <c r="AQ94" i="18"/>
  <c r="AR94" i="18"/>
  <c r="AS94" i="18"/>
  <c r="AT94" i="18"/>
  <c r="AU94" i="18"/>
  <c r="AV94" i="18"/>
  <c r="AW94" i="18"/>
  <c r="AX94" i="18"/>
  <c r="AY94" i="18"/>
  <c r="AZ94" i="18"/>
  <c r="BA94" i="18"/>
  <c r="BB94" i="18"/>
  <c r="BC94" i="18"/>
  <c r="BD94" i="18"/>
  <c r="BE94" i="18"/>
  <c r="BF94" i="18"/>
  <c r="G94" i="14" s="1"/>
  <c r="BG94" i="18"/>
  <c r="BH94" i="18"/>
  <c r="BI94" i="18"/>
  <c r="BJ94" i="18"/>
  <c r="BK94" i="18"/>
  <c r="BL94" i="18"/>
  <c r="BM94" i="18"/>
  <c r="BN94" i="18"/>
  <c r="BO94" i="18"/>
  <c r="BP94" i="18"/>
  <c r="BQ94" i="18"/>
  <c r="BR94" i="18"/>
  <c r="BS94" i="18"/>
  <c r="BT94" i="18"/>
  <c r="B95" i="18"/>
  <c r="C95" i="18"/>
  <c r="D95" i="18"/>
  <c r="E95" i="18"/>
  <c r="F95" i="18"/>
  <c r="G95" i="18"/>
  <c r="H95" i="18"/>
  <c r="I95" i="18"/>
  <c r="J95" i="18"/>
  <c r="K95" i="18"/>
  <c r="L95" i="18"/>
  <c r="M95" i="18"/>
  <c r="N95" i="18"/>
  <c r="O95" i="18"/>
  <c r="P95" i="18"/>
  <c r="Q95" i="18"/>
  <c r="R95" i="18"/>
  <c r="S95" i="18"/>
  <c r="T95" i="18"/>
  <c r="U95" i="18"/>
  <c r="V95" i="18"/>
  <c r="W95" i="18"/>
  <c r="X95" i="18"/>
  <c r="Y95" i="18"/>
  <c r="Z95" i="18"/>
  <c r="AA95" i="18"/>
  <c r="AB95" i="18"/>
  <c r="AC95" i="18"/>
  <c r="AD95" i="18"/>
  <c r="AE95" i="18"/>
  <c r="AF95" i="18"/>
  <c r="AG95" i="18"/>
  <c r="AH95" i="18"/>
  <c r="AI95" i="18"/>
  <c r="AJ95" i="18"/>
  <c r="AK95" i="18"/>
  <c r="AL95" i="18"/>
  <c r="AM95" i="18"/>
  <c r="AN95" i="18"/>
  <c r="AO95" i="18"/>
  <c r="AP95" i="18"/>
  <c r="AQ95" i="18"/>
  <c r="AR95" i="18"/>
  <c r="AS95" i="18"/>
  <c r="AT95" i="18"/>
  <c r="AU95" i="18"/>
  <c r="AV95" i="18"/>
  <c r="AW95" i="18"/>
  <c r="AX95" i="18"/>
  <c r="AY95" i="18"/>
  <c r="AZ95" i="18"/>
  <c r="BA95" i="18"/>
  <c r="BB95" i="18"/>
  <c r="BC95" i="18"/>
  <c r="BD95" i="18"/>
  <c r="BE95" i="18"/>
  <c r="BF95" i="18"/>
  <c r="G95" i="14" s="1"/>
  <c r="BG95" i="18"/>
  <c r="BH95" i="18"/>
  <c r="BI95" i="18"/>
  <c r="BJ95" i="18"/>
  <c r="BK95" i="18"/>
  <c r="BL95" i="18"/>
  <c r="BM95" i="18"/>
  <c r="BN95" i="18"/>
  <c r="BO95" i="18"/>
  <c r="BP95" i="18"/>
  <c r="BQ95" i="18"/>
  <c r="BR95" i="18"/>
  <c r="BS95" i="18"/>
  <c r="BT95" i="18"/>
  <c r="B96" i="18"/>
  <c r="C96" i="18"/>
  <c r="D96" i="18"/>
  <c r="E96" i="18"/>
  <c r="F96" i="18"/>
  <c r="G96" i="18"/>
  <c r="H96" i="18"/>
  <c r="I96" i="18"/>
  <c r="J96" i="18"/>
  <c r="K96" i="18"/>
  <c r="L96" i="18"/>
  <c r="M96" i="18"/>
  <c r="N96" i="18"/>
  <c r="O96" i="18"/>
  <c r="P96" i="18"/>
  <c r="Q96" i="18"/>
  <c r="R96" i="18"/>
  <c r="S96" i="18"/>
  <c r="T96" i="18"/>
  <c r="U96" i="18"/>
  <c r="V96" i="18"/>
  <c r="W96" i="18"/>
  <c r="X96" i="18"/>
  <c r="Y96" i="18"/>
  <c r="Z96" i="18"/>
  <c r="AA96" i="18"/>
  <c r="AB96" i="18"/>
  <c r="AC96" i="18"/>
  <c r="AD96" i="18"/>
  <c r="AE96" i="18"/>
  <c r="AF96" i="18"/>
  <c r="AG96" i="18"/>
  <c r="AH96" i="18"/>
  <c r="AI96" i="18"/>
  <c r="AJ96" i="18"/>
  <c r="AK96" i="18"/>
  <c r="AL96" i="18"/>
  <c r="AM96" i="18"/>
  <c r="AN96" i="18"/>
  <c r="AO96" i="18"/>
  <c r="AP96" i="18"/>
  <c r="AQ96" i="18"/>
  <c r="AR96" i="18"/>
  <c r="AS96" i="18"/>
  <c r="AT96" i="18"/>
  <c r="AU96" i="18"/>
  <c r="AV96" i="18"/>
  <c r="AW96" i="18"/>
  <c r="AX96" i="18"/>
  <c r="AY96" i="18"/>
  <c r="AZ96" i="18"/>
  <c r="BA96" i="18"/>
  <c r="BB96" i="18"/>
  <c r="BC96" i="18"/>
  <c r="BD96" i="18"/>
  <c r="BE96" i="18"/>
  <c r="BF96" i="18"/>
  <c r="G96" i="14" s="1"/>
  <c r="BG96" i="18"/>
  <c r="BH96" i="18"/>
  <c r="BI96" i="18"/>
  <c r="BJ96" i="18"/>
  <c r="BK96" i="18"/>
  <c r="BL96" i="18"/>
  <c r="BM96" i="18"/>
  <c r="BN96" i="18"/>
  <c r="BO96" i="18"/>
  <c r="BP96" i="18"/>
  <c r="BQ96" i="18"/>
  <c r="BR96" i="18"/>
  <c r="BS96" i="18"/>
  <c r="BT96" i="18"/>
  <c r="B97" i="18"/>
  <c r="C97" i="18"/>
  <c r="D97" i="18"/>
  <c r="E97" i="18"/>
  <c r="F97" i="18"/>
  <c r="G97" i="18"/>
  <c r="H97" i="18"/>
  <c r="I97" i="18"/>
  <c r="J97" i="18"/>
  <c r="K97" i="18"/>
  <c r="L97" i="18"/>
  <c r="M97" i="18"/>
  <c r="N97" i="18"/>
  <c r="O97" i="18"/>
  <c r="P97" i="18"/>
  <c r="Q97" i="18"/>
  <c r="R97" i="18"/>
  <c r="S97" i="18"/>
  <c r="T97" i="18"/>
  <c r="U97" i="18"/>
  <c r="V97" i="18"/>
  <c r="W97" i="18"/>
  <c r="X97" i="18"/>
  <c r="Y97" i="18"/>
  <c r="Z97" i="18"/>
  <c r="AA97" i="18"/>
  <c r="AB97" i="18"/>
  <c r="AC97" i="18"/>
  <c r="AD97" i="18"/>
  <c r="AE97" i="18"/>
  <c r="AF97" i="18"/>
  <c r="AG97" i="18"/>
  <c r="AH97" i="18"/>
  <c r="AI97" i="18"/>
  <c r="AJ97" i="18"/>
  <c r="AK97" i="18"/>
  <c r="AL97" i="18"/>
  <c r="AM97" i="18"/>
  <c r="AN97" i="18"/>
  <c r="AO97" i="18"/>
  <c r="AP97" i="18"/>
  <c r="AQ97" i="18"/>
  <c r="AR97" i="18"/>
  <c r="AS97" i="18"/>
  <c r="AT97" i="18"/>
  <c r="AU97" i="18"/>
  <c r="AV97" i="18"/>
  <c r="AW97" i="18"/>
  <c r="AX97" i="18"/>
  <c r="AY97" i="18"/>
  <c r="AZ97" i="18"/>
  <c r="BA97" i="18"/>
  <c r="BB97" i="18"/>
  <c r="BC97" i="18"/>
  <c r="BD97" i="18"/>
  <c r="BE97" i="18"/>
  <c r="BF97" i="18"/>
  <c r="G97" i="14" s="1"/>
  <c r="BG97" i="18"/>
  <c r="BH97" i="18"/>
  <c r="BI97" i="18"/>
  <c r="BJ97" i="18"/>
  <c r="BK97" i="18"/>
  <c r="BL97" i="18"/>
  <c r="BM97" i="18"/>
  <c r="BN97" i="18"/>
  <c r="BO97" i="18"/>
  <c r="BP97" i="18"/>
  <c r="BQ97" i="18"/>
  <c r="BR97" i="18"/>
  <c r="BS97" i="18"/>
  <c r="BT97" i="18"/>
  <c r="B98" i="18"/>
  <c r="C98" i="18"/>
  <c r="D98" i="18"/>
  <c r="E98" i="18"/>
  <c r="F98" i="18"/>
  <c r="G98" i="18"/>
  <c r="H98" i="18"/>
  <c r="I98" i="18"/>
  <c r="J98" i="18"/>
  <c r="K98" i="18"/>
  <c r="L98" i="18"/>
  <c r="M98" i="18"/>
  <c r="N98" i="18"/>
  <c r="O98" i="18"/>
  <c r="P98" i="18"/>
  <c r="Q98" i="18"/>
  <c r="R98" i="18"/>
  <c r="S98" i="18"/>
  <c r="T98" i="18"/>
  <c r="U98" i="18"/>
  <c r="V98" i="18"/>
  <c r="W98" i="18"/>
  <c r="X98" i="18"/>
  <c r="Y98" i="18"/>
  <c r="Z98" i="18"/>
  <c r="AA98" i="18"/>
  <c r="AB98" i="18"/>
  <c r="AC98" i="18"/>
  <c r="AD98" i="18"/>
  <c r="AE98" i="18"/>
  <c r="AF98" i="18"/>
  <c r="AG98" i="18"/>
  <c r="AH98" i="18"/>
  <c r="AI98" i="18"/>
  <c r="AJ98" i="18"/>
  <c r="AK98" i="18"/>
  <c r="AL98" i="18"/>
  <c r="AM98" i="18"/>
  <c r="AN98" i="18"/>
  <c r="AO98" i="18"/>
  <c r="AP98" i="18"/>
  <c r="AQ98" i="18"/>
  <c r="AR98" i="18"/>
  <c r="AS98" i="18"/>
  <c r="AT98" i="18"/>
  <c r="AU98" i="18"/>
  <c r="AV98" i="18"/>
  <c r="AW98" i="18"/>
  <c r="AX98" i="18"/>
  <c r="AY98" i="18"/>
  <c r="AZ98" i="18"/>
  <c r="BA98" i="18"/>
  <c r="BB98" i="18"/>
  <c r="BC98" i="18"/>
  <c r="BD98" i="18"/>
  <c r="BE98" i="18"/>
  <c r="BF98" i="18"/>
  <c r="G98" i="14" s="1"/>
  <c r="BG98" i="18"/>
  <c r="BH98" i="18"/>
  <c r="BI98" i="18"/>
  <c r="BJ98" i="18"/>
  <c r="BK98" i="18"/>
  <c r="BL98" i="18"/>
  <c r="BM98" i="18"/>
  <c r="BN98" i="18"/>
  <c r="BO98" i="18"/>
  <c r="BP98" i="18"/>
  <c r="BQ98" i="18"/>
  <c r="BR98" i="18"/>
  <c r="BS98" i="18"/>
  <c r="BT98" i="18"/>
  <c r="B99" i="18"/>
  <c r="C99" i="18"/>
  <c r="D99" i="18"/>
  <c r="E99" i="18"/>
  <c r="F99" i="18"/>
  <c r="G99" i="18"/>
  <c r="H99" i="18"/>
  <c r="I99" i="18"/>
  <c r="J99" i="18"/>
  <c r="K99" i="18"/>
  <c r="L99" i="18"/>
  <c r="M99" i="18"/>
  <c r="N99" i="18"/>
  <c r="O99" i="18"/>
  <c r="P99" i="18"/>
  <c r="Q99" i="18"/>
  <c r="R99" i="18"/>
  <c r="S99" i="18"/>
  <c r="T99" i="18"/>
  <c r="U99" i="18"/>
  <c r="V99" i="18"/>
  <c r="W99" i="18"/>
  <c r="X99" i="18"/>
  <c r="Y99" i="18"/>
  <c r="Z99" i="18"/>
  <c r="AA99" i="18"/>
  <c r="AB99" i="18"/>
  <c r="AC99" i="18"/>
  <c r="AD99" i="18"/>
  <c r="AE99" i="18"/>
  <c r="AF99" i="18"/>
  <c r="AG99" i="18"/>
  <c r="AH99" i="18"/>
  <c r="AI99" i="18"/>
  <c r="AJ99" i="18"/>
  <c r="AK99" i="18"/>
  <c r="AL99" i="18"/>
  <c r="AM99" i="18"/>
  <c r="AN99" i="18"/>
  <c r="AO99" i="18"/>
  <c r="AP99" i="18"/>
  <c r="AQ99" i="18"/>
  <c r="AR99" i="18"/>
  <c r="AS99" i="18"/>
  <c r="AT99" i="18"/>
  <c r="AU99" i="18"/>
  <c r="AV99" i="18"/>
  <c r="AW99" i="18"/>
  <c r="AX99" i="18"/>
  <c r="AY99" i="18"/>
  <c r="AZ99" i="18"/>
  <c r="BA99" i="18"/>
  <c r="BB99" i="18"/>
  <c r="BC99" i="18"/>
  <c r="BD99" i="18"/>
  <c r="BE99" i="18"/>
  <c r="BF99" i="18"/>
  <c r="G99" i="14" s="1"/>
  <c r="BG99" i="18"/>
  <c r="BH99" i="18"/>
  <c r="BI99" i="18"/>
  <c r="BJ99" i="18"/>
  <c r="BK99" i="18"/>
  <c r="BL99" i="18"/>
  <c r="BM99" i="18"/>
  <c r="BN99" i="18"/>
  <c r="BO99" i="18"/>
  <c r="BP99" i="18"/>
  <c r="BQ99" i="18"/>
  <c r="BR99" i="18"/>
  <c r="BS99" i="18"/>
  <c r="BT99" i="18"/>
  <c r="B100" i="18"/>
  <c r="C100" i="18"/>
  <c r="D100" i="18"/>
  <c r="E100" i="18"/>
  <c r="F100" i="18"/>
  <c r="G100" i="18"/>
  <c r="H100" i="18"/>
  <c r="I100" i="18"/>
  <c r="J100" i="18"/>
  <c r="K100" i="18"/>
  <c r="L100" i="18"/>
  <c r="M100" i="18"/>
  <c r="N100" i="18"/>
  <c r="O100" i="18"/>
  <c r="P100" i="18"/>
  <c r="Q100" i="18"/>
  <c r="R100" i="18"/>
  <c r="S100" i="18"/>
  <c r="T100" i="18"/>
  <c r="U100" i="18"/>
  <c r="V100" i="18"/>
  <c r="W100" i="18"/>
  <c r="X100" i="18"/>
  <c r="Y100" i="18"/>
  <c r="Z100" i="18"/>
  <c r="AA100" i="18"/>
  <c r="AB100" i="18"/>
  <c r="AC100" i="18"/>
  <c r="AD100" i="18"/>
  <c r="AE100" i="18"/>
  <c r="AF100" i="18"/>
  <c r="AG100" i="18"/>
  <c r="AH100" i="18"/>
  <c r="AI100" i="18"/>
  <c r="AJ100" i="18"/>
  <c r="AK100" i="18"/>
  <c r="AL100" i="18"/>
  <c r="AM100" i="18"/>
  <c r="AN100" i="18"/>
  <c r="AO100" i="18"/>
  <c r="AP100" i="18"/>
  <c r="AQ100" i="18"/>
  <c r="AR100" i="18"/>
  <c r="AS100" i="18"/>
  <c r="AT100" i="18"/>
  <c r="AU100" i="18"/>
  <c r="AV100" i="18"/>
  <c r="AW100" i="18"/>
  <c r="AX100" i="18"/>
  <c r="AY100" i="18"/>
  <c r="AZ100" i="18"/>
  <c r="BA100" i="18"/>
  <c r="BB100" i="18"/>
  <c r="BC100" i="18"/>
  <c r="BD100" i="18"/>
  <c r="BE100" i="18"/>
  <c r="BF100" i="18"/>
  <c r="G100" i="14" s="1"/>
  <c r="BG100" i="18"/>
  <c r="BH100" i="18"/>
  <c r="BI100" i="18"/>
  <c r="BJ100" i="18"/>
  <c r="BK100" i="18"/>
  <c r="BL100" i="18"/>
  <c r="BM100" i="18"/>
  <c r="BN100" i="18"/>
  <c r="BO100" i="18"/>
  <c r="BP100" i="18"/>
  <c r="BQ100" i="18"/>
  <c r="BR100" i="18"/>
  <c r="BS100" i="18"/>
  <c r="BT100" i="18"/>
  <c r="B101" i="18"/>
  <c r="C101" i="18"/>
  <c r="D101" i="18"/>
  <c r="E101" i="18"/>
  <c r="F101" i="18"/>
  <c r="G101" i="18"/>
  <c r="H101" i="18"/>
  <c r="I101" i="18"/>
  <c r="J101" i="18"/>
  <c r="K101" i="18"/>
  <c r="L101" i="18"/>
  <c r="M101" i="18"/>
  <c r="N101" i="18"/>
  <c r="O101" i="18"/>
  <c r="P101" i="18"/>
  <c r="Q101" i="18"/>
  <c r="R101" i="18"/>
  <c r="S101" i="18"/>
  <c r="T101" i="18"/>
  <c r="U101" i="18"/>
  <c r="V101" i="18"/>
  <c r="W101" i="18"/>
  <c r="X101" i="18"/>
  <c r="Y101" i="18"/>
  <c r="Z101" i="18"/>
  <c r="AA101" i="18"/>
  <c r="AB101" i="18"/>
  <c r="AC101" i="18"/>
  <c r="AD101" i="18"/>
  <c r="AE101" i="18"/>
  <c r="AF101" i="18"/>
  <c r="AG101" i="18"/>
  <c r="AH101" i="18"/>
  <c r="AI101" i="18"/>
  <c r="AJ101" i="18"/>
  <c r="AK101" i="18"/>
  <c r="AL101" i="18"/>
  <c r="AM101" i="18"/>
  <c r="AN101" i="18"/>
  <c r="AO101" i="18"/>
  <c r="AP101" i="18"/>
  <c r="AQ101" i="18"/>
  <c r="AR101" i="18"/>
  <c r="AS101" i="18"/>
  <c r="AT101" i="18"/>
  <c r="AU101" i="18"/>
  <c r="AV101" i="18"/>
  <c r="AW101" i="18"/>
  <c r="AX101" i="18"/>
  <c r="AY101" i="18"/>
  <c r="AZ101" i="18"/>
  <c r="BA101" i="18"/>
  <c r="BB101" i="18"/>
  <c r="BC101" i="18"/>
  <c r="BD101" i="18"/>
  <c r="BE101" i="18"/>
  <c r="BF101" i="18"/>
  <c r="G101" i="14" s="1"/>
  <c r="BG101" i="18"/>
  <c r="BH101" i="18"/>
  <c r="BI101" i="18"/>
  <c r="BJ101" i="18"/>
  <c r="BK101" i="18"/>
  <c r="BL101" i="18"/>
  <c r="BM101" i="18"/>
  <c r="BN101" i="18"/>
  <c r="BO101" i="18"/>
  <c r="BP101" i="18"/>
  <c r="BQ101" i="18"/>
  <c r="BR101" i="18"/>
  <c r="BS101" i="18"/>
  <c r="BT101" i="18"/>
  <c r="B102" i="18"/>
  <c r="C102" i="18"/>
  <c r="D102" i="18"/>
  <c r="E102" i="18"/>
  <c r="F102" i="18"/>
  <c r="G102" i="18"/>
  <c r="H102" i="18"/>
  <c r="I102" i="18"/>
  <c r="J102" i="18"/>
  <c r="K102" i="18"/>
  <c r="L102" i="18"/>
  <c r="M102" i="18"/>
  <c r="N102" i="18"/>
  <c r="O102" i="18"/>
  <c r="P102" i="18"/>
  <c r="Q102" i="18"/>
  <c r="R102" i="18"/>
  <c r="S102" i="18"/>
  <c r="T102" i="18"/>
  <c r="U102" i="18"/>
  <c r="V102" i="18"/>
  <c r="W102" i="18"/>
  <c r="X102" i="18"/>
  <c r="Y102" i="18"/>
  <c r="Z102" i="18"/>
  <c r="AA102" i="18"/>
  <c r="AB102" i="18"/>
  <c r="AC102" i="18"/>
  <c r="AD102" i="18"/>
  <c r="AE102" i="18"/>
  <c r="AF102" i="18"/>
  <c r="AG102" i="18"/>
  <c r="AH102" i="18"/>
  <c r="AI102" i="18"/>
  <c r="AJ102" i="18"/>
  <c r="AK102" i="18"/>
  <c r="AL102" i="18"/>
  <c r="AM102" i="18"/>
  <c r="AN102" i="18"/>
  <c r="AO102" i="18"/>
  <c r="AP102" i="18"/>
  <c r="AQ102" i="18"/>
  <c r="AR102" i="18"/>
  <c r="AS102" i="18"/>
  <c r="AT102" i="18"/>
  <c r="AU102" i="18"/>
  <c r="AV102" i="18"/>
  <c r="AW102" i="18"/>
  <c r="AX102" i="18"/>
  <c r="AY102" i="18"/>
  <c r="AZ102" i="18"/>
  <c r="BA102" i="18"/>
  <c r="BB102" i="18"/>
  <c r="BC102" i="18"/>
  <c r="BD102" i="18"/>
  <c r="BE102" i="18"/>
  <c r="BF102" i="18"/>
  <c r="G102" i="14" s="1"/>
  <c r="BG102" i="18"/>
  <c r="BH102" i="18"/>
  <c r="BI102" i="18"/>
  <c r="BJ102" i="18"/>
  <c r="BK102" i="18"/>
  <c r="BL102" i="18"/>
  <c r="BM102" i="18"/>
  <c r="BN102" i="18"/>
  <c r="BO102" i="18"/>
  <c r="BP102" i="18"/>
  <c r="BQ102" i="18"/>
  <c r="BR102" i="18"/>
  <c r="BS102" i="18"/>
  <c r="BT102" i="18"/>
  <c r="B103" i="18"/>
  <c r="C103" i="18"/>
  <c r="D103" i="18"/>
  <c r="E103" i="18"/>
  <c r="F103" i="18"/>
  <c r="G103" i="18"/>
  <c r="H103" i="18"/>
  <c r="I103" i="18"/>
  <c r="J103" i="18"/>
  <c r="K103" i="18"/>
  <c r="L103" i="18"/>
  <c r="M103" i="18"/>
  <c r="N103" i="18"/>
  <c r="O103" i="18"/>
  <c r="P103" i="18"/>
  <c r="Q103" i="18"/>
  <c r="R103" i="18"/>
  <c r="S103" i="18"/>
  <c r="T103" i="18"/>
  <c r="U103" i="18"/>
  <c r="V103" i="18"/>
  <c r="W103" i="18"/>
  <c r="X103" i="18"/>
  <c r="Y103" i="18"/>
  <c r="Z103" i="18"/>
  <c r="AA103" i="18"/>
  <c r="AB103" i="18"/>
  <c r="AC103" i="18"/>
  <c r="AD103" i="18"/>
  <c r="AE103" i="18"/>
  <c r="AF103" i="18"/>
  <c r="AG103" i="18"/>
  <c r="AH103" i="18"/>
  <c r="AI103" i="18"/>
  <c r="AJ103" i="18"/>
  <c r="AK103" i="18"/>
  <c r="AL103" i="18"/>
  <c r="AM103" i="18"/>
  <c r="AN103" i="18"/>
  <c r="AO103" i="18"/>
  <c r="AP103" i="18"/>
  <c r="AQ103" i="18"/>
  <c r="AR103" i="18"/>
  <c r="AS103" i="18"/>
  <c r="AT103" i="18"/>
  <c r="AU103" i="18"/>
  <c r="AV103" i="18"/>
  <c r="AW103" i="18"/>
  <c r="AX103" i="18"/>
  <c r="AY103" i="18"/>
  <c r="AZ103" i="18"/>
  <c r="BA103" i="18"/>
  <c r="BB103" i="18"/>
  <c r="BC103" i="18"/>
  <c r="BD103" i="18"/>
  <c r="BE103" i="18"/>
  <c r="BF103" i="18"/>
  <c r="G103" i="14" s="1"/>
  <c r="BG103" i="18"/>
  <c r="BH103" i="18"/>
  <c r="BI103" i="18"/>
  <c r="BJ103" i="18"/>
  <c r="BK103" i="18"/>
  <c r="BL103" i="18"/>
  <c r="BM103" i="18"/>
  <c r="BN103" i="18"/>
  <c r="BO103" i="18"/>
  <c r="BP103" i="18"/>
  <c r="BQ103" i="18"/>
  <c r="BR103" i="18"/>
  <c r="BS103" i="18"/>
  <c r="BT103" i="18"/>
  <c r="B104" i="18"/>
  <c r="C104" i="18"/>
  <c r="D104" i="18"/>
  <c r="E104" i="18"/>
  <c r="F104" i="18"/>
  <c r="G104" i="18"/>
  <c r="H104" i="18"/>
  <c r="I104" i="18"/>
  <c r="J104" i="18"/>
  <c r="K104" i="18"/>
  <c r="L104" i="18"/>
  <c r="M104" i="18"/>
  <c r="N104" i="18"/>
  <c r="O104" i="18"/>
  <c r="P104" i="18"/>
  <c r="Q104" i="18"/>
  <c r="R104" i="18"/>
  <c r="S104" i="18"/>
  <c r="T104" i="18"/>
  <c r="U104" i="18"/>
  <c r="V104" i="18"/>
  <c r="W104" i="18"/>
  <c r="X104" i="18"/>
  <c r="Y104" i="18"/>
  <c r="Z104" i="18"/>
  <c r="AA104" i="18"/>
  <c r="AB104" i="18"/>
  <c r="AC104" i="18"/>
  <c r="AD104" i="18"/>
  <c r="AE104" i="18"/>
  <c r="AF104" i="18"/>
  <c r="AG104" i="18"/>
  <c r="AH104" i="18"/>
  <c r="AI104" i="18"/>
  <c r="AJ104" i="18"/>
  <c r="AK104" i="18"/>
  <c r="AL104" i="18"/>
  <c r="AM104" i="18"/>
  <c r="AN104" i="18"/>
  <c r="AO104" i="18"/>
  <c r="AP104" i="18"/>
  <c r="AQ104" i="18"/>
  <c r="AR104" i="18"/>
  <c r="AS104" i="18"/>
  <c r="AT104" i="18"/>
  <c r="AU104" i="18"/>
  <c r="AV104" i="18"/>
  <c r="AW104" i="18"/>
  <c r="AX104" i="18"/>
  <c r="AY104" i="18"/>
  <c r="AZ104" i="18"/>
  <c r="BA104" i="18"/>
  <c r="BB104" i="18"/>
  <c r="BC104" i="18"/>
  <c r="BD104" i="18"/>
  <c r="BE104" i="18"/>
  <c r="BF104" i="18"/>
  <c r="G104" i="14" s="1"/>
  <c r="BG104" i="18"/>
  <c r="BH104" i="18"/>
  <c r="BI104" i="18"/>
  <c r="BJ104" i="18"/>
  <c r="BK104" i="18"/>
  <c r="BL104" i="18"/>
  <c r="BM104" i="18"/>
  <c r="BN104" i="18"/>
  <c r="BO104" i="18"/>
  <c r="BP104" i="18"/>
  <c r="BQ104" i="18"/>
  <c r="BR104" i="18"/>
  <c r="BS104" i="18"/>
  <c r="BT104" i="18"/>
  <c r="B105" i="18"/>
  <c r="C105" i="18"/>
  <c r="D105" i="18"/>
  <c r="E105" i="18"/>
  <c r="F105" i="18"/>
  <c r="G105" i="18"/>
  <c r="H105" i="18"/>
  <c r="I105" i="18"/>
  <c r="J105" i="18"/>
  <c r="K105" i="18"/>
  <c r="L105" i="18"/>
  <c r="M105" i="18"/>
  <c r="N105" i="18"/>
  <c r="O105" i="18"/>
  <c r="P105" i="18"/>
  <c r="Q105" i="18"/>
  <c r="R105" i="18"/>
  <c r="S105" i="18"/>
  <c r="T105" i="18"/>
  <c r="U105" i="18"/>
  <c r="V105" i="18"/>
  <c r="W105" i="18"/>
  <c r="X105" i="18"/>
  <c r="Y105" i="18"/>
  <c r="Z105" i="18"/>
  <c r="AA105" i="18"/>
  <c r="AB105" i="18"/>
  <c r="AC105" i="18"/>
  <c r="AD105" i="18"/>
  <c r="AE105" i="18"/>
  <c r="AF105" i="18"/>
  <c r="AG105" i="18"/>
  <c r="AH105" i="18"/>
  <c r="AI105" i="18"/>
  <c r="AJ105" i="18"/>
  <c r="AK105" i="18"/>
  <c r="AL105" i="18"/>
  <c r="AM105" i="18"/>
  <c r="AN105" i="18"/>
  <c r="AO105" i="18"/>
  <c r="AP105" i="18"/>
  <c r="AQ105" i="18"/>
  <c r="AR105" i="18"/>
  <c r="AS105" i="18"/>
  <c r="AT105" i="18"/>
  <c r="AU105" i="18"/>
  <c r="AV105" i="18"/>
  <c r="AW105" i="18"/>
  <c r="AX105" i="18"/>
  <c r="AY105" i="18"/>
  <c r="AZ105" i="18"/>
  <c r="BA105" i="18"/>
  <c r="BB105" i="18"/>
  <c r="BC105" i="18"/>
  <c r="BD105" i="18"/>
  <c r="BE105" i="18"/>
  <c r="BF105" i="18"/>
  <c r="G105" i="14" s="1"/>
  <c r="BG105" i="18"/>
  <c r="BH105" i="18"/>
  <c r="BI105" i="18"/>
  <c r="BJ105" i="18"/>
  <c r="BK105" i="18"/>
  <c r="BL105" i="18"/>
  <c r="BM105" i="18"/>
  <c r="BN105" i="18"/>
  <c r="BO105" i="18"/>
  <c r="BP105" i="18"/>
  <c r="BQ105" i="18"/>
  <c r="BR105" i="18"/>
  <c r="BS105" i="18"/>
  <c r="BT105" i="18"/>
  <c r="B106" i="18"/>
  <c r="C106" i="18"/>
  <c r="D106" i="18"/>
  <c r="E106" i="18"/>
  <c r="F106" i="18"/>
  <c r="G106" i="18"/>
  <c r="H106" i="18"/>
  <c r="I106" i="18"/>
  <c r="J106" i="18"/>
  <c r="K106" i="18"/>
  <c r="L106" i="18"/>
  <c r="M106" i="18"/>
  <c r="N106" i="18"/>
  <c r="O106" i="18"/>
  <c r="P106" i="18"/>
  <c r="Q106" i="18"/>
  <c r="R106" i="18"/>
  <c r="S106" i="18"/>
  <c r="T106" i="18"/>
  <c r="U106" i="18"/>
  <c r="V106" i="18"/>
  <c r="W106" i="18"/>
  <c r="X106" i="18"/>
  <c r="Y106" i="18"/>
  <c r="Z106" i="18"/>
  <c r="AA106" i="18"/>
  <c r="AB106" i="18"/>
  <c r="AC106" i="18"/>
  <c r="AD106" i="18"/>
  <c r="AE106" i="18"/>
  <c r="AF106" i="18"/>
  <c r="AG106" i="18"/>
  <c r="AH106" i="18"/>
  <c r="AI106" i="18"/>
  <c r="AJ106" i="18"/>
  <c r="AK106" i="18"/>
  <c r="AL106" i="18"/>
  <c r="AM106" i="18"/>
  <c r="AN106" i="18"/>
  <c r="AO106" i="18"/>
  <c r="AP106" i="18"/>
  <c r="AQ106" i="18"/>
  <c r="AR106" i="18"/>
  <c r="AS106" i="18"/>
  <c r="AT106" i="18"/>
  <c r="AU106" i="18"/>
  <c r="AV106" i="18"/>
  <c r="AW106" i="18"/>
  <c r="AX106" i="18"/>
  <c r="AY106" i="18"/>
  <c r="AZ106" i="18"/>
  <c r="BA106" i="18"/>
  <c r="BB106" i="18"/>
  <c r="BC106" i="18"/>
  <c r="BD106" i="18"/>
  <c r="BE106" i="18"/>
  <c r="BF106" i="18"/>
  <c r="G106" i="14" s="1"/>
  <c r="BG106" i="18"/>
  <c r="BH106" i="18"/>
  <c r="BI106" i="18"/>
  <c r="BJ106" i="18"/>
  <c r="BK106" i="18"/>
  <c r="BL106" i="18"/>
  <c r="BM106" i="18"/>
  <c r="BN106" i="18"/>
  <c r="BO106" i="18"/>
  <c r="BP106" i="18"/>
  <c r="BQ106" i="18"/>
  <c r="BR106" i="18"/>
  <c r="BS106" i="18"/>
  <c r="BT106" i="18"/>
  <c r="B107" i="18"/>
  <c r="C107" i="18"/>
  <c r="D107" i="18"/>
  <c r="E107" i="18"/>
  <c r="F107" i="18"/>
  <c r="G107" i="18"/>
  <c r="H107" i="18"/>
  <c r="I107" i="18"/>
  <c r="J107" i="18"/>
  <c r="K107" i="18"/>
  <c r="L107" i="18"/>
  <c r="M107" i="18"/>
  <c r="N107" i="18"/>
  <c r="O107" i="18"/>
  <c r="P107" i="18"/>
  <c r="Q107" i="18"/>
  <c r="R107" i="18"/>
  <c r="S107" i="18"/>
  <c r="T107" i="18"/>
  <c r="U107" i="18"/>
  <c r="V107" i="18"/>
  <c r="W107" i="18"/>
  <c r="X107" i="18"/>
  <c r="Y107" i="18"/>
  <c r="Z107" i="18"/>
  <c r="AA107" i="18"/>
  <c r="AB107" i="18"/>
  <c r="AC107" i="18"/>
  <c r="AD107" i="18"/>
  <c r="AE107" i="18"/>
  <c r="AF107" i="18"/>
  <c r="AG107" i="18"/>
  <c r="AH107" i="18"/>
  <c r="AI107" i="18"/>
  <c r="AJ107" i="18"/>
  <c r="AK107" i="18"/>
  <c r="AL107" i="18"/>
  <c r="AM107" i="18"/>
  <c r="AN107" i="18"/>
  <c r="AO107" i="18"/>
  <c r="AP107" i="18"/>
  <c r="AQ107" i="18"/>
  <c r="AR107" i="18"/>
  <c r="AS107" i="18"/>
  <c r="AT107" i="18"/>
  <c r="AU107" i="18"/>
  <c r="AV107" i="18"/>
  <c r="AW107" i="18"/>
  <c r="AX107" i="18"/>
  <c r="AY107" i="18"/>
  <c r="AZ107" i="18"/>
  <c r="BA107" i="18"/>
  <c r="BB107" i="18"/>
  <c r="BC107" i="18"/>
  <c r="BD107" i="18"/>
  <c r="BE107" i="18"/>
  <c r="BF107" i="18"/>
  <c r="G107" i="14" s="1"/>
  <c r="BG107" i="18"/>
  <c r="BH107" i="18"/>
  <c r="BI107" i="18"/>
  <c r="BJ107" i="18"/>
  <c r="BK107" i="18"/>
  <c r="BL107" i="18"/>
  <c r="BM107" i="18"/>
  <c r="BN107" i="18"/>
  <c r="BO107" i="18"/>
  <c r="BP107" i="18"/>
  <c r="BQ107" i="18"/>
  <c r="BR107" i="18"/>
  <c r="BS107" i="18"/>
  <c r="BT107" i="18"/>
  <c r="B108" i="18"/>
  <c r="C108" i="18"/>
  <c r="D108" i="18"/>
  <c r="E108" i="18"/>
  <c r="F108" i="18"/>
  <c r="G108" i="18"/>
  <c r="H108" i="18"/>
  <c r="I108" i="18"/>
  <c r="J108" i="18"/>
  <c r="K108" i="18"/>
  <c r="L108" i="18"/>
  <c r="M108" i="18"/>
  <c r="N108" i="18"/>
  <c r="O108" i="18"/>
  <c r="P108" i="18"/>
  <c r="Q108" i="18"/>
  <c r="R108" i="18"/>
  <c r="S108" i="18"/>
  <c r="T108" i="18"/>
  <c r="U108" i="18"/>
  <c r="V108" i="18"/>
  <c r="W108" i="18"/>
  <c r="X108" i="18"/>
  <c r="Y108" i="18"/>
  <c r="Z108" i="18"/>
  <c r="AA108" i="18"/>
  <c r="AB108" i="18"/>
  <c r="AC108" i="18"/>
  <c r="AD108" i="18"/>
  <c r="AE108" i="18"/>
  <c r="AF108" i="18"/>
  <c r="AG108" i="18"/>
  <c r="AH108" i="18"/>
  <c r="AI108" i="18"/>
  <c r="AJ108" i="18"/>
  <c r="AK108" i="18"/>
  <c r="AL108" i="18"/>
  <c r="AM108" i="18"/>
  <c r="AN108" i="18"/>
  <c r="AO108" i="18"/>
  <c r="AP108" i="18"/>
  <c r="AQ108" i="18"/>
  <c r="AR108" i="18"/>
  <c r="AS108" i="18"/>
  <c r="AT108" i="18"/>
  <c r="AU108" i="18"/>
  <c r="AV108" i="18"/>
  <c r="AW108" i="18"/>
  <c r="AX108" i="18"/>
  <c r="AY108" i="18"/>
  <c r="AZ108" i="18"/>
  <c r="BA108" i="18"/>
  <c r="BB108" i="18"/>
  <c r="BC108" i="18"/>
  <c r="BD108" i="18"/>
  <c r="BE108" i="18"/>
  <c r="BF108" i="18"/>
  <c r="G108" i="14" s="1"/>
  <c r="BG108" i="18"/>
  <c r="BH108" i="18"/>
  <c r="BI108" i="18"/>
  <c r="BJ108" i="18"/>
  <c r="BK108" i="18"/>
  <c r="BL108" i="18"/>
  <c r="BM108" i="18"/>
  <c r="BN108" i="18"/>
  <c r="BO108" i="18"/>
  <c r="BP108" i="18"/>
  <c r="BQ108" i="18"/>
  <c r="BR108" i="18"/>
  <c r="BS108" i="18"/>
  <c r="BT108" i="18"/>
  <c r="B109" i="18"/>
  <c r="C109" i="18"/>
  <c r="D109" i="18"/>
  <c r="E109" i="18"/>
  <c r="F109" i="18"/>
  <c r="G109" i="18"/>
  <c r="H109" i="18"/>
  <c r="I109" i="18"/>
  <c r="J109" i="18"/>
  <c r="K109" i="18"/>
  <c r="L109" i="18"/>
  <c r="M109" i="18"/>
  <c r="N109" i="18"/>
  <c r="O109" i="18"/>
  <c r="P109" i="18"/>
  <c r="Q109" i="18"/>
  <c r="R109" i="18"/>
  <c r="S109" i="18"/>
  <c r="T109" i="18"/>
  <c r="U109" i="18"/>
  <c r="V109" i="18"/>
  <c r="W109" i="18"/>
  <c r="X109" i="18"/>
  <c r="Y109" i="18"/>
  <c r="Z109" i="18"/>
  <c r="AA109" i="18"/>
  <c r="AB109" i="18"/>
  <c r="AC109" i="18"/>
  <c r="AD109" i="18"/>
  <c r="AE109" i="18"/>
  <c r="AF109" i="18"/>
  <c r="AG109" i="18"/>
  <c r="AH109" i="18"/>
  <c r="AI109" i="18"/>
  <c r="AJ109" i="18"/>
  <c r="AK109" i="18"/>
  <c r="AL109" i="18"/>
  <c r="AM109" i="18"/>
  <c r="AN109" i="18"/>
  <c r="AO109" i="18"/>
  <c r="AP109" i="18"/>
  <c r="AQ109" i="18"/>
  <c r="AR109" i="18"/>
  <c r="AS109" i="18"/>
  <c r="AT109" i="18"/>
  <c r="AU109" i="18"/>
  <c r="AV109" i="18"/>
  <c r="AW109" i="18"/>
  <c r="AX109" i="18"/>
  <c r="AY109" i="18"/>
  <c r="AZ109" i="18"/>
  <c r="BA109" i="18"/>
  <c r="BB109" i="18"/>
  <c r="BC109" i="18"/>
  <c r="BD109" i="18"/>
  <c r="BE109" i="18"/>
  <c r="BF109" i="18"/>
  <c r="G109" i="14" s="1"/>
  <c r="BG109" i="18"/>
  <c r="BH109" i="18"/>
  <c r="BI109" i="18"/>
  <c r="BJ109" i="18"/>
  <c r="BK109" i="18"/>
  <c r="BL109" i="18"/>
  <c r="BM109" i="18"/>
  <c r="BN109" i="18"/>
  <c r="BO109" i="18"/>
  <c r="BP109" i="18"/>
  <c r="BQ109" i="18"/>
  <c r="BR109" i="18"/>
  <c r="BS109" i="18"/>
  <c r="BT109" i="18"/>
  <c r="B110" i="18"/>
  <c r="C110" i="18"/>
  <c r="D110" i="18"/>
  <c r="E110" i="18"/>
  <c r="F110" i="18"/>
  <c r="G110" i="18"/>
  <c r="H110" i="18"/>
  <c r="I110" i="18"/>
  <c r="J110" i="18"/>
  <c r="K110" i="18"/>
  <c r="L110" i="18"/>
  <c r="M110" i="18"/>
  <c r="N110" i="18"/>
  <c r="O110" i="18"/>
  <c r="P110" i="18"/>
  <c r="Q110" i="18"/>
  <c r="R110" i="18"/>
  <c r="S110" i="18"/>
  <c r="T110" i="18"/>
  <c r="U110" i="18"/>
  <c r="V110" i="18"/>
  <c r="W110" i="18"/>
  <c r="X110" i="18"/>
  <c r="Y110" i="18"/>
  <c r="Z110" i="18"/>
  <c r="AA110" i="18"/>
  <c r="AB110" i="18"/>
  <c r="AC110" i="18"/>
  <c r="AD110" i="18"/>
  <c r="AE110" i="18"/>
  <c r="AF110" i="18"/>
  <c r="AG110" i="18"/>
  <c r="AH110" i="18"/>
  <c r="AI110" i="18"/>
  <c r="AJ110" i="18"/>
  <c r="AK110" i="18"/>
  <c r="AL110" i="18"/>
  <c r="AM110" i="18"/>
  <c r="AN110" i="18"/>
  <c r="AO110" i="18"/>
  <c r="AP110" i="18"/>
  <c r="AQ110" i="18"/>
  <c r="AR110" i="18"/>
  <c r="AS110" i="18"/>
  <c r="AT110" i="18"/>
  <c r="AU110" i="18"/>
  <c r="AV110" i="18"/>
  <c r="AW110" i="18"/>
  <c r="AX110" i="18"/>
  <c r="AY110" i="18"/>
  <c r="AZ110" i="18"/>
  <c r="BA110" i="18"/>
  <c r="BB110" i="18"/>
  <c r="BC110" i="18"/>
  <c r="BD110" i="18"/>
  <c r="BE110" i="18"/>
  <c r="BF110" i="18"/>
  <c r="G110" i="14" s="1"/>
  <c r="BG110" i="18"/>
  <c r="BH110" i="18"/>
  <c r="BI110" i="18"/>
  <c r="BJ110" i="18"/>
  <c r="BK110" i="18"/>
  <c r="BL110" i="18"/>
  <c r="BM110" i="18"/>
  <c r="BN110" i="18"/>
  <c r="BO110" i="18"/>
  <c r="BP110" i="18"/>
  <c r="BQ110" i="18"/>
  <c r="BR110" i="18"/>
  <c r="BS110" i="18"/>
  <c r="BT110" i="18"/>
  <c r="B111" i="18"/>
  <c r="C111" i="18"/>
  <c r="D111" i="18"/>
  <c r="E111" i="18"/>
  <c r="F111" i="18"/>
  <c r="G111" i="18"/>
  <c r="H111" i="18"/>
  <c r="I111" i="18"/>
  <c r="J111" i="18"/>
  <c r="K111" i="18"/>
  <c r="L111" i="18"/>
  <c r="M111" i="18"/>
  <c r="N111" i="18"/>
  <c r="O111" i="18"/>
  <c r="P111" i="18"/>
  <c r="Q111" i="18"/>
  <c r="R111" i="18"/>
  <c r="S111" i="18"/>
  <c r="T111" i="18"/>
  <c r="U111" i="18"/>
  <c r="V111" i="18"/>
  <c r="W111" i="18"/>
  <c r="X111" i="18"/>
  <c r="Y111" i="18"/>
  <c r="Z111" i="18"/>
  <c r="AA111" i="18"/>
  <c r="AB111" i="18"/>
  <c r="AC111" i="18"/>
  <c r="AD111" i="18"/>
  <c r="AE111" i="18"/>
  <c r="AF111" i="18"/>
  <c r="AG111" i="18"/>
  <c r="AH111" i="18"/>
  <c r="AI111" i="18"/>
  <c r="AJ111" i="18"/>
  <c r="AK111" i="18"/>
  <c r="AL111" i="18"/>
  <c r="AM111" i="18"/>
  <c r="AN111" i="18"/>
  <c r="AO111" i="18"/>
  <c r="AP111" i="18"/>
  <c r="AQ111" i="18"/>
  <c r="AR111" i="18"/>
  <c r="AS111" i="18"/>
  <c r="AT111" i="18"/>
  <c r="AU111" i="18"/>
  <c r="AV111" i="18"/>
  <c r="AW111" i="18"/>
  <c r="AX111" i="18"/>
  <c r="AY111" i="18"/>
  <c r="AZ111" i="18"/>
  <c r="BA111" i="18"/>
  <c r="BB111" i="18"/>
  <c r="BC111" i="18"/>
  <c r="BD111" i="18"/>
  <c r="BE111" i="18"/>
  <c r="BF111" i="18"/>
  <c r="G111" i="14" s="1"/>
  <c r="BG111" i="18"/>
  <c r="BH111" i="18"/>
  <c r="BI111" i="18"/>
  <c r="BJ111" i="18"/>
  <c r="BK111" i="18"/>
  <c r="BL111" i="18"/>
  <c r="BM111" i="18"/>
  <c r="BN111" i="18"/>
  <c r="BO111" i="18"/>
  <c r="BP111" i="18"/>
  <c r="BQ111" i="18"/>
  <c r="BR111" i="18"/>
  <c r="BS111" i="18"/>
  <c r="BT111" i="18"/>
  <c r="B112" i="18"/>
  <c r="C112" i="18"/>
  <c r="D112" i="18"/>
  <c r="E112" i="18"/>
  <c r="F112" i="18"/>
  <c r="G112" i="18"/>
  <c r="H112" i="18"/>
  <c r="I112" i="18"/>
  <c r="J112" i="18"/>
  <c r="K112" i="18"/>
  <c r="L112" i="18"/>
  <c r="M112" i="18"/>
  <c r="N112" i="18"/>
  <c r="O112" i="18"/>
  <c r="P112" i="18"/>
  <c r="Q112" i="18"/>
  <c r="R112" i="18"/>
  <c r="S112" i="18"/>
  <c r="T112" i="18"/>
  <c r="U112" i="18"/>
  <c r="V112" i="18"/>
  <c r="W112" i="18"/>
  <c r="X112" i="18"/>
  <c r="Y112" i="18"/>
  <c r="Z112" i="18"/>
  <c r="AA112" i="18"/>
  <c r="AB112" i="18"/>
  <c r="AC112" i="18"/>
  <c r="AD112" i="18"/>
  <c r="AE112" i="18"/>
  <c r="AF112" i="18"/>
  <c r="AG112" i="18"/>
  <c r="AH112" i="18"/>
  <c r="AI112" i="18"/>
  <c r="AJ112" i="18"/>
  <c r="AK112" i="18"/>
  <c r="AL112" i="18"/>
  <c r="AM112" i="18"/>
  <c r="AN112" i="18"/>
  <c r="AO112" i="18"/>
  <c r="AP112" i="18"/>
  <c r="AQ112" i="18"/>
  <c r="AR112" i="18"/>
  <c r="AS112" i="18"/>
  <c r="AT112" i="18"/>
  <c r="AU112" i="18"/>
  <c r="AV112" i="18"/>
  <c r="AW112" i="18"/>
  <c r="AX112" i="18"/>
  <c r="AY112" i="18"/>
  <c r="AZ112" i="18"/>
  <c r="BA112" i="18"/>
  <c r="BB112" i="18"/>
  <c r="BC112" i="18"/>
  <c r="BD112" i="18"/>
  <c r="BE112" i="18"/>
  <c r="BF112" i="18"/>
  <c r="G112" i="14" s="1"/>
  <c r="BG112" i="18"/>
  <c r="BH112" i="18"/>
  <c r="BI112" i="18"/>
  <c r="BJ112" i="18"/>
  <c r="BK112" i="18"/>
  <c r="BL112" i="18"/>
  <c r="BM112" i="18"/>
  <c r="BN112" i="18"/>
  <c r="BO112" i="18"/>
  <c r="BP112" i="18"/>
  <c r="BQ112" i="18"/>
  <c r="BR112" i="18"/>
  <c r="BS112" i="18"/>
  <c r="BT112" i="18"/>
  <c r="B113" i="18"/>
  <c r="C113" i="18"/>
  <c r="D113" i="18"/>
  <c r="E113" i="18"/>
  <c r="F113" i="18"/>
  <c r="G113" i="18"/>
  <c r="H113" i="18"/>
  <c r="I113" i="18"/>
  <c r="J113" i="18"/>
  <c r="K113" i="18"/>
  <c r="L113" i="18"/>
  <c r="M113" i="18"/>
  <c r="N113" i="18"/>
  <c r="O113" i="18"/>
  <c r="P113" i="18"/>
  <c r="Q113" i="18"/>
  <c r="R113" i="18"/>
  <c r="S113" i="18"/>
  <c r="T113" i="18"/>
  <c r="U113" i="18"/>
  <c r="V113" i="18"/>
  <c r="W113" i="18"/>
  <c r="X113" i="18"/>
  <c r="Y113" i="18"/>
  <c r="Z113" i="18"/>
  <c r="AA113" i="18"/>
  <c r="AB113" i="18"/>
  <c r="AC113" i="18"/>
  <c r="AD113" i="18"/>
  <c r="AE113" i="18"/>
  <c r="AF113" i="18"/>
  <c r="AG113" i="18"/>
  <c r="AH113" i="18"/>
  <c r="AI113" i="18"/>
  <c r="AJ113" i="18"/>
  <c r="AK113" i="18"/>
  <c r="AL113" i="18"/>
  <c r="AM113" i="18"/>
  <c r="AN113" i="18"/>
  <c r="AO113" i="18"/>
  <c r="AP113" i="18"/>
  <c r="AQ113" i="18"/>
  <c r="AR113" i="18"/>
  <c r="AS113" i="18"/>
  <c r="AT113" i="18"/>
  <c r="AU113" i="18"/>
  <c r="AV113" i="18"/>
  <c r="AW113" i="18"/>
  <c r="AX113" i="18"/>
  <c r="AY113" i="18"/>
  <c r="AZ113" i="18"/>
  <c r="BA113" i="18"/>
  <c r="BB113" i="18"/>
  <c r="BC113" i="18"/>
  <c r="BD113" i="18"/>
  <c r="BE113" i="18"/>
  <c r="BF113" i="18"/>
  <c r="G113" i="14" s="1"/>
  <c r="BG113" i="18"/>
  <c r="BH113" i="18"/>
  <c r="BI113" i="18"/>
  <c r="BJ113" i="18"/>
  <c r="BK113" i="18"/>
  <c r="BL113" i="18"/>
  <c r="BM113" i="18"/>
  <c r="BN113" i="18"/>
  <c r="BO113" i="18"/>
  <c r="BP113" i="18"/>
  <c r="BQ113" i="18"/>
  <c r="BR113" i="18"/>
  <c r="BS113" i="18"/>
  <c r="BT113" i="18"/>
  <c r="B114" i="18"/>
  <c r="C114" i="18"/>
  <c r="D114" i="18"/>
  <c r="E114" i="18"/>
  <c r="F114" i="18"/>
  <c r="G114" i="18"/>
  <c r="H114" i="18"/>
  <c r="I114" i="18"/>
  <c r="J114" i="18"/>
  <c r="K114" i="18"/>
  <c r="L114" i="18"/>
  <c r="M114" i="18"/>
  <c r="N114" i="18"/>
  <c r="O114" i="18"/>
  <c r="P114" i="18"/>
  <c r="Q114" i="18"/>
  <c r="R114" i="18"/>
  <c r="S114" i="18"/>
  <c r="T114" i="18"/>
  <c r="U114" i="18"/>
  <c r="V114" i="18"/>
  <c r="W114" i="18"/>
  <c r="X114" i="18"/>
  <c r="Y114" i="18"/>
  <c r="Z114" i="18"/>
  <c r="AA114" i="18"/>
  <c r="AB114" i="18"/>
  <c r="AC114" i="18"/>
  <c r="AD114" i="18"/>
  <c r="AE114" i="18"/>
  <c r="AF114" i="18"/>
  <c r="AG114" i="18"/>
  <c r="AH114" i="18"/>
  <c r="AI114" i="18"/>
  <c r="AJ114" i="18"/>
  <c r="AK114" i="18"/>
  <c r="AL114" i="18"/>
  <c r="AM114" i="18"/>
  <c r="AN114" i="18"/>
  <c r="AO114" i="18"/>
  <c r="AP114" i="18"/>
  <c r="AQ114" i="18"/>
  <c r="AR114" i="18"/>
  <c r="AS114" i="18"/>
  <c r="AT114" i="18"/>
  <c r="AU114" i="18"/>
  <c r="AV114" i="18"/>
  <c r="AW114" i="18"/>
  <c r="AX114" i="18"/>
  <c r="AY114" i="18"/>
  <c r="AZ114" i="18"/>
  <c r="BA114" i="18"/>
  <c r="BB114" i="18"/>
  <c r="BC114" i="18"/>
  <c r="BD114" i="18"/>
  <c r="BE114" i="18"/>
  <c r="BF114" i="18"/>
  <c r="G114" i="14" s="1"/>
  <c r="BG114" i="18"/>
  <c r="BH114" i="18"/>
  <c r="BI114" i="18"/>
  <c r="BJ114" i="18"/>
  <c r="BK114" i="18"/>
  <c r="BL114" i="18"/>
  <c r="BM114" i="18"/>
  <c r="BN114" i="18"/>
  <c r="BO114" i="18"/>
  <c r="BP114" i="18"/>
  <c r="BQ114" i="18"/>
  <c r="BR114" i="18"/>
  <c r="BS114" i="18"/>
  <c r="BT114" i="18"/>
  <c r="B115" i="18"/>
  <c r="C115" i="18"/>
  <c r="D115" i="18"/>
  <c r="E115" i="18"/>
  <c r="F115" i="18"/>
  <c r="G115" i="18"/>
  <c r="H115" i="18"/>
  <c r="I115" i="18"/>
  <c r="J115" i="18"/>
  <c r="K115" i="18"/>
  <c r="L115" i="18"/>
  <c r="M115" i="18"/>
  <c r="N115" i="18"/>
  <c r="O115" i="18"/>
  <c r="P115" i="18"/>
  <c r="Q115" i="18"/>
  <c r="R115" i="18"/>
  <c r="S115" i="18"/>
  <c r="T115" i="18"/>
  <c r="U115" i="18"/>
  <c r="V115" i="18"/>
  <c r="W115" i="18"/>
  <c r="X115" i="18"/>
  <c r="Y115" i="18"/>
  <c r="Z115" i="18"/>
  <c r="AA115" i="18"/>
  <c r="AB115" i="18"/>
  <c r="AC115" i="18"/>
  <c r="AD115" i="18"/>
  <c r="AE115" i="18"/>
  <c r="AF115" i="18"/>
  <c r="AG115" i="18"/>
  <c r="AH115" i="18"/>
  <c r="AI115" i="18"/>
  <c r="AJ115" i="18"/>
  <c r="AK115" i="18"/>
  <c r="AL115" i="18"/>
  <c r="AM115" i="18"/>
  <c r="AN115" i="18"/>
  <c r="AO115" i="18"/>
  <c r="AP115" i="18"/>
  <c r="AQ115" i="18"/>
  <c r="AR115" i="18"/>
  <c r="AS115" i="18"/>
  <c r="AT115" i="18"/>
  <c r="AU115" i="18"/>
  <c r="AV115" i="18"/>
  <c r="AW115" i="18"/>
  <c r="AX115" i="18"/>
  <c r="AY115" i="18"/>
  <c r="AZ115" i="18"/>
  <c r="BA115" i="18"/>
  <c r="BB115" i="18"/>
  <c r="BC115" i="18"/>
  <c r="BD115" i="18"/>
  <c r="BE115" i="18"/>
  <c r="BF115" i="18"/>
  <c r="G115" i="14" s="1"/>
  <c r="BG115" i="18"/>
  <c r="BH115" i="18"/>
  <c r="BI115" i="18"/>
  <c r="BJ115" i="18"/>
  <c r="BK115" i="18"/>
  <c r="BL115" i="18"/>
  <c r="BM115" i="18"/>
  <c r="BN115" i="18"/>
  <c r="BO115" i="18"/>
  <c r="BP115" i="18"/>
  <c r="BQ115" i="18"/>
  <c r="BR115" i="18"/>
  <c r="BS115" i="18"/>
  <c r="BT115" i="18"/>
  <c r="B116" i="18"/>
  <c r="C116" i="18"/>
  <c r="D116" i="18"/>
  <c r="E116" i="18"/>
  <c r="F116" i="18"/>
  <c r="G116" i="18"/>
  <c r="H116" i="18"/>
  <c r="I116" i="18"/>
  <c r="J116" i="18"/>
  <c r="K116" i="18"/>
  <c r="L116" i="18"/>
  <c r="M116" i="18"/>
  <c r="N116" i="18"/>
  <c r="O116" i="18"/>
  <c r="P116" i="18"/>
  <c r="Q116" i="18"/>
  <c r="R116" i="18"/>
  <c r="S116" i="18"/>
  <c r="T116" i="18"/>
  <c r="U116" i="18"/>
  <c r="V116" i="18"/>
  <c r="W116" i="18"/>
  <c r="X116" i="18"/>
  <c r="Y116" i="18"/>
  <c r="Z116" i="18"/>
  <c r="AA116" i="18"/>
  <c r="AB116" i="18"/>
  <c r="AC116" i="18"/>
  <c r="AD116" i="18"/>
  <c r="AE116" i="18"/>
  <c r="AF116" i="18"/>
  <c r="AG116" i="18"/>
  <c r="AH116" i="18"/>
  <c r="AI116" i="18"/>
  <c r="AJ116" i="18"/>
  <c r="AK116" i="18"/>
  <c r="AL116" i="18"/>
  <c r="AM116" i="18"/>
  <c r="AN116" i="18"/>
  <c r="AO116" i="18"/>
  <c r="AP116" i="18"/>
  <c r="AQ116" i="18"/>
  <c r="AR116" i="18"/>
  <c r="AS116" i="18"/>
  <c r="AT116" i="18"/>
  <c r="AU116" i="18"/>
  <c r="AV116" i="18"/>
  <c r="AW116" i="18"/>
  <c r="AX116" i="18"/>
  <c r="AY116" i="18"/>
  <c r="AZ116" i="18"/>
  <c r="BA116" i="18"/>
  <c r="BB116" i="18"/>
  <c r="BC116" i="18"/>
  <c r="BD116" i="18"/>
  <c r="BE116" i="18"/>
  <c r="BF116" i="18"/>
  <c r="G116" i="14" s="1"/>
  <c r="BG116" i="18"/>
  <c r="BH116" i="18"/>
  <c r="BI116" i="18"/>
  <c r="BJ116" i="18"/>
  <c r="BK116" i="18"/>
  <c r="BL116" i="18"/>
  <c r="BM116" i="18"/>
  <c r="BN116" i="18"/>
  <c r="BO116" i="18"/>
  <c r="BP116" i="18"/>
  <c r="BQ116" i="18"/>
  <c r="BR116" i="18"/>
  <c r="BS116" i="18"/>
  <c r="BT116" i="18"/>
  <c r="B117" i="18"/>
  <c r="C117" i="18"/>
  <c r="D117" i="18"/>
  <c r="E117" i="18"/>
  <c r="F117" i="18"/>
  <c r="G117" i="18"/>
  <c r="H117" i="18"/>
  <c r="I117" i="18"/>
  <c r="J117" i="18"/>
  <c r="K117" i="18"/>
  <c r="L117" i="18"/>
  <c r="M117" i="18"/>
  <c r="N117" i="18"/>
  <c r="O117" i="18"/>
  <c r="P117" i="18"/>
  <c r="Q117" i="18"/>
  <c r="R117" i="18"/>
  <c r="S117" i="18"/>
  <c r="T117" i="18"/>
  <c r="U117" i="18"/>
  <c r="V117" i="18"/>
  <c r="W117" i="18"/>
  <c r="X117" i="18"/>
  <c r="Y117" i="18"/>
  <c r="Z117" i="18"/>
  <c r="AA117" i="18"/>
  <c r="AB117" i="18"/>
  <c r="AC117" i="18"/>
  <c r="AD117" i="18"/>
  <c r="AE117" i="18"/>
  <c r="AF117" i="18"/>
  <c r="AG117" i="18"/>
  <c r="AH117" i="18"/>
  <c r="AI117" i="18"/>
  <c r="AJ117" i="18"/>
  <c r="AK117" i="18"/>
  <c r="AL117" i="18"/>
  <c r="AM117" i="18"/>
  <c r="AN117" i="18"/>
  <c r="AO117" i="18"/>
  <c r="AP117" i="18"/>
  <c r="AQ117" i="18"/>
  <c r="AR117" i="18"/>
  <c r="AS117" i="18"/>
  <c r="AT117" i="18"/>
  <c r="AU117" i="18"/>
  <c r="AV117" i="18"/>
  <c r="AW117" i="18"/>
  <c r="AX117" i="18"/>
  <c r="AY117" i="18"/>
  <c r="AZ117" i="18"/>
  <c r="BA117" i="18"/>
  <c r="BB117" i="18"/>
  <c r="BC117" i="18"/>
  <c r="BD117" i="18"/>
  <c r="BE117" i="18"/>
  <c r="BF117" i="18"/>
  <c r="G117" i="14" s="1"/>
  <c r="BG117" i="18"/>
  <c r="BH117" i="18"/>
  <c r="BI117" i="18"/>
  <c r="BJ117" i="18"/>
  <c r="BK117" i="18"/>
  <c r="BL117" i="18"/>
  <c r="BM117" i="18"/>
  <c r="BN117" i="18"/>
  <c r="BO117" i="18"/>
  <c r="BP117" i="18"/>
  <c r="BQ117" i="18"/>
  <c r="BR117" i="18"/>
  <c r="BS117" i="18"/>
  <c r="BT117" i="18"/>
  <c r="B118" i="18"/>
  <c r="C118" i="18"/>
  <c r="D118" i="18"/>
  <c r="E118" i="18"/>
  <c r="F118" i="18"/>
  <c r="G118" i="18"/>
  <c r="H118" i="18"/>
  <c r="I118" i="18"/>
  <c r="J118" i="18"/>
  <c r="K118" i="18"/>
  <c r="L118" i="18"/>
  <c r="M118" i="18"/>
  <c r="N118" i="18"/>
  <c r="O118" i="18"/>
  <c r="P118" i="18"/>
  <c r="Q118" i="18"/>
  <c r="R118" i="18"/>
  <c r="S118" i="18"/>
  <c r="T118" i="18"/>
  <c r="U118" i="18"/>
  <c r="V118" i="18"/>
  <c r="W118" i="18"/>
  <c r="X118" i="18"/>
  <c r="Y118" i="18"/>
  <c r="Z118" i="18"/>
  <c r="AA118" i="18"/>
  <c r="AB118" i="18"/>
  <c r="AC118" i="18"/>
  <c r="AD118" i="18"/>
  <c r="AE118" i="18"/>
  <c r="AF118" i="18"/>
  <c r="AG118" i="18"/>
  <c r="AH118" i="18"/>
  <c r="AI118" i="18"/>
  <c r="AJ118" i="18"/>
  <c r="AK118" i="18"/>
  <c r="AL118" i="18"/>
  <c r="AM118" i="18"/>
  <c r="AN118" i="18"/>
  <c r="AO118" i="18"/>
  <c r="AP118" i="18"/>
  <c r="AQ118" i="18"/>
  <c r="AR118" i="18"/>
  <c r="AS118" i="18"/>
  <c r="AT118" i="18"/>
  <c r="AU118" i="18"/>
  <c r="AV118" i="18"/>
  <c r="AW118" i="18"/>
  <c r="AX118" i="18"/>
  <c r="AY118" i="18"/>
  <c r="AZ118" i="18"/>
  <c r="BA118" i="18"/>
  <c r="BB118" i="18"/>
  <c r="BC118" i="18"/>
  <c r="BD118" i="18"/>
  <c r="BE118" i="18"/>
  <c r="BF118" i="18"/>
  <c r="G118" i="14" s="1"/>
  <c r="BG118" i="18"/>
  <c r="BH118" i="18"/>
  <c r="BI118" i="18"/>
  <c r="BJ118" i="18"/>
  <c r="BK118" i="18"/>
  <c r="BL118" i="18"/>
  <c r="BM118" i="18"/>
  <c r="BN118" i="18"/>
  <c r="BO118" i="18"/>
  <c r="BP118" i="18"/>
  <c r="BQ118" i="18"/>
  <c r="BR118" i="18"/>
  <c r="BS118" i="18"/>
  <c r="BT118" i="18"/>
  <c r="B119" i="18"/>
  <c r="C119" i="18"/>
  <c r="D119" i="18"/>
  <c r="E119" i="18"/>
  <c r="F119" i="18"/>
  <c r="G119" i="18"/>
  <c r="H119" i="18"/>
  <c r="I119" i="18"/>
  <c r="J119" i="18"/>
  <c r="K119" i="18"/>
  <c r="L119" i="18"/>
  <c r="M119" i="18"/>
  <c r="N119" i="18"/>
  <c r="O119" i="18"/>
  <c r="P119" i="18"/>
  <c r="Q119" i="18"/>
  <c r="R119" i="18"/>
  <c r="S119" i="18"/>
  <c r="T119" i="18"/>
  <c r="U119" i="18"/>
  <c r="V119" i="18"/>
  <c r="W119" i="18"/>
  <c r="X119" i="18"/>
  <c r="Y119" i="18"/>
  <c r="Z119" i="18"/>
  <c r="AA119" i="18"/>
  <c r="AB119" i="18"/>
  <c r="AC119" i="18"/>
  <c r="AD119" i="18"/>
  <c r="AE119" i="18"/>
  <c r="AF119" i="18"/>
  <c r="AG119" i="18"/>
  <c r="AH119" i="18"/>
  <c r="AI119" i="18"/>
  <c r="AJ119" i="18"/>
  <c r="AK119" i="18"/>
  <c r="AL119" i="18"/>
  <c r="AM119" i="18"/>
  <c r="AN119" i="18"/>
  <c r="AO119" i="18"/>
  <c r="AP119" i="18"/>
  <c r="AQ119" i="18"/>
  <c r="AR119" i="18"/>
  <c r="AS119" i="18"/>
  <c r="AT119" i="18"/>
  <c r="AU119" i="18"/>
  <c r="AV119" i="18"/>
  <c r="AW119" i="18"/>
  <c r="AX119" i="18"/>
  <c r="AY119" i="18"/>
  <c r="AZ119" i="18"/>
  <c r="BA119" i="18"/>
  <c r="BB119" i="18"/>
  <c r="BC119" i="18"/>
  <c r="BD119" i="18"/>
  <c r="BE119" i="18"/>
  <c r="BF119" i="18"/>
  <c r="G119" i="14" s="1"/>
  <c r="BG119" i="18"/>
  <c r="BH119" i="18"/>
  <c r="BI119" i="18"/>
  <c r="BJ119" i="18"/>
  <c r="BK119" i="18"/>
  <c r="BL119" i="18"/>
  <c r="BM119" i="18"/>
  <c r="BN119" i="18"/>
  <c r="BO119" i="18"/>
  <c r="BP119" i="18"/>
  <c r="BQ119" i="18"/>
  <c r="BR119" i="18"/>
  <c r="BS119" i="18"/>
  <c r="BT119" i="18"/>
  <c r="B120" i="18"/>
  <c r="C120" i="18"/>
  <c r="D120" i="18"/>
  <c r="E120" i="18"/>
  <c r="F120" i="18"/>
  <c r="G120" i="18"/>
  <c r="H120" i="18"/>
  <c r="I120" i="18"/>
  <c r="J120" i="18"/>
  <c r="K120" i="18"/>
  <c r="L120" i="18"/>
  <c r="M120" i="18"/>
  <c r="N120" i="18"/>
  <c r="O120" i="18"/>
  <c r="P120" i="18"/>
  <c r="Q120" i="18"/>
  <c r="R120" i="18"/>
  <c r="S120" i="18"/>
  <c r="T120" i="18"/>
  <c r="U120" i="18"/>
  <c r="V120" i="18"/>
  <c r="W120" i="18"/>
  <c r="X120" i="18"/>
  <c r="Y120" i="18"/>
  <c r="Z120" i="18"/>
  <c r="AA120" i="18"/>
  <c r="AB120" i="18"/>
  <c r="AC120" i="18"/>
  <c r="AD120" i="18"/>
  <c r="AE120" i="18"/>
  <c r="AF120" i="18"/>
  <c r="AG120" i="18"/>
  <c r="AH120" i="18"/>
  <c r="AI120" i="18"/>
  <c r="AJ120" i="18"/>
  <c r="AK120" i="18"/>
  <c r="AL120" i="18"/>
  <c r="AM120" i="18"/>
  <c r="AN120" i="18"/>
  <c r="AO120" i="18"/>
  <c r="AP120" i="18"/>
  <c r="AQ120" i="18"/>
  <c r="AR120" i="18"/>
  <c r="AS120" i="18"/>
  <c r="AT120" i="18"/>
  <c r="AU120" i="18"/>
  <c r="AV120" i="18"/>
  <c r="AW120" i="18"/>
  <c r="AX120" i="18"/>
  <c r="AY120" i="18"/>
  <c r="AZ120" i="18"/>
  <c r="BA120" i="18"/>
  <c r="BB120" i="18"/>
  <c r="BC120" i="18"/>
  <c r="BD120" i="18"/>
  <c r="BE120" i="18"/>
  <c r="BF120" i="18"/>
  <c r="G120" i="14" s="1"/>
  <c r="BG120" i="18"/>
  <c r="BH120" i="18"/>
  <c r="BI120" i="18"/>
  <c r="BJ120" i="18"/>
  <c r="BK120" i="18"/>
  <c r="BL120" i="18"/>
  <c r="BM120" i="18"/>
  <c r="BN120" i="18"/>
  <c r="BO120" i="18"/>
  <c r="BP120" i="18"/>
  <c r="BQ120" i="18"/>
  <c r="BR120" i="18"/>
  <c r="BS120" i="18"/>
  <c r="BT120" i="18"/>
  <c r="B121" i="18"/>
  <c r="C121" i="18"/>
  <c r="D121" i="18"/>
  <c r="E121" i="18"/>
  <c r="F121" i="18"/>
  <c r="G121" i="18"/>
  <c r="H121" i="18"/>
  <c r="I121" i="18"/>
  <c r="J121" i="18"/>
  <c r="K121" i="18"/>
  <c r="L121" i="18"/>
  <c r="M121" i="18"/>
  <c r="N121" i="18"/>
  <c r="O121" i="18"/>
  <c r="P121" i="18"/>
  <c r="Q121" i="18"/>
  <c r="R121" i="18"/>
  <c r="S121" i="18"/>
  <c r="T121" i="18"/>
  <c r="U121" i="18"/>
  <c r="V121" i="18"/>
  <c r="W121" i="18"/>
  <c r="X121" i="18"/>
  <c r="Y121" i="18"/>
  <c r="Z121" i="18"/>
  <c r="AA121" i="18"/>
  <c r="AB121" i="18"/>
  <c r="AC121" i="18"/>
  <c r="AD121" i="18"/>
  <c r="AE121" i="18"/>
  <c r="AF121" i="18"/>
  <c r="AG121" i="18"/>
  <c r="AH121" i="18"/>
  <c r="AI121" i="18"/>
  <c r="AJ121" i="18"/>
  <c r="AK121" i="18"/>
  <c r="AL121" i="18"/>
  <c r="AM121" i="18"/>
  <c r="AN121" i="18"/>
  <c r="AO121" i="18"/>
  <c r="AP121" i="18"/>
  <c r="AQ121" i="18"/>
  <c r="AR121" i="18"/>
  <c r="AS121" i="18"/>
  <c r="AT121" i="18"/>
  <c r="AU121" i="18"/>
  <c r="AV121" i="18"/>
  <c r="AW121" i="18"/>
  <c r="AX121" i="18"/>
  <c r="AY121" i="18"/>
  <c r="AZ121" i="18"/>
  <c r="BA121" i="18"/>
  <c r="BB121" i="18"/>
  <c r="BC121" i="18"/>
  <c r="BD121" i="18"/>
  <c r="BE121" i="18"/>
  <c r="BF121" i="18"/>
  <c r="G121" i="14" s="1"/>
  <c r="BG121" i="18"/>
  <c r="BH121" i="18"/>
  <c r="BI121" i="18"/>
  <c r="BJ121" i="18"/>
  <c r="BK121" i="18"/>
  <c r="BL121" i="18"/>
  <c r="BM121" i="18"/>
  <c r="BN121" i="18"/>
  <c r="BO121" i="18"/>
  <c r="BP121" i="18"/>
  <c r="BQ121" i="18"/>
  <c r="BR121" i="18"/>
  <c r="BS121" i="18"/>
  <c r="BT121" i="18"/>
  <c r="B122" i="18"/>
  <c r="C122" i="18"/>
  <c r="D122" i="18"/>
  <c r="E122" i="18"/>
  <c r="F122" i="18"/>
  <c r="G122" i="18"/>
  <c r="H122" i="18"/>
  <c r="I122" i="18"/>
  <c r="J122" i="18"/>
  <c r="K122" i="18"/>
  <c r="L122" i="18"/>
  <c r="M122" i="18"/>
  <c r="N122" i="18"/>
  <c r="O122" i="18"/>
  <c r="P122" i="18"/>
  <c r="Q122" i="18"/>
  <c r="R122" i="18"/>
  <c r="S122" i="18"/>
  <c r="T122" i="18"/>
  <c r="U122" i="18"/>
  <c r="V122" i="18"/>
  <c r="W122" i="18"/>
  <c r="X122" i="18"/>
  <c r="Y122" i="18"/>
  <c r="Z122" i="18"/>
  <c r="AA122" i="18"/>
  <c r="AB122" i="18"/>
  <c r="AC122" i="18"/>
  <c r="AD122" i="18"/>
  <c r="AE122" i="18"/>
  <c r="AF122" i="18"/>
  <c r="AG122" i="18"/>
  <c r="AH122" i="18"/>
  <c r="AI122" i="18"/>
  <c r="AJ122" i="18"/>
  <c r="AK122" i="18"/>
  <c r="AL122" i="18"/>
  <c r="AM122" i="18"/>
  <c r="AN122" i="18"/>
  <c r="AO122" i="18"/>
  <c r="AP122" i="18"/>
  <c r="AQ122" i="18"/>
  <c r="AR122" i="18"/>
  <c r="AS122" i="18"/>
  <c r="AT122" i="18"/>
  <c r="AU122" i="18"/>
  <c r="AV122" i="18"/>
  <c r="AW122" i="18"/>
  <c r="AX122" i="18"/>
  <c r="AY122" i="18"/>
  <c r="AZ122" i="18"/>
  <c r="BA122" i="18"/>
  <c r="BB122" i="18"/>
  <c r="BC122" i="18"/>
  <c r="BD122" i="18"/>
  <c r="BE122" i="18"/>
  <c r="BF122" i="18"/>
  <c r="G122" i="14" s="1"/>
  <c r="BG122" i="18"/>
  <c r="BH122" i="18"/>
  <c r="BI122" i="18"/>
  <c r="BJ122" i="18"/>
  <c r="BK122" i="18"/>
  <c r="BL122" i="18"/>
  <c r="BM122" i="18"/>
  <c r="BN122" i="18"/>
  <c r="BO122" i="18"/>
  <c r="BP122" i="18"/>
  <c r="BQ122" i="18"/>
  <c r="BR122" i="18"/>
  <c r="BS122" i="18"/>
  <c r="BT122" i="18"/>
  <c r="B123" i="18"/>
  <c r="C123" i="18"/>
  <c r="D123" i="18"/>
  <c r="E123" i="18"/>
  <c r="F123" i="18"/>
  <c r="G123" i="18"/>
  <c r="H123" i="18"/>
  <c r="I123" i="18"/>
  <c r="J123" i="18"/>
  <c r="K123" i="18"/>
  <c r="L123" i="18"/>
  <c r="M123" i="18"/>
  <c r="N123" i="18"/>
  <c r="O123" i="18"/>
  <c r="P123" i="18"/>
  <c r="Q123" i="18"/>
  <c r="R123" i="18"/>
  <c r="S123" i="18"/>
  <c r="T123" i="18"/>
  <c r="U123" i="18"/>
  <c r="V123" i="18"/>
  <c r="W123" i="18"/>
  <c r="X123" i="18"/>
  <c r="Y123" i="18"/>
  <c r="Z123" i="18"/>
  <c r="AA123" i="18"/>
  <c r="AB123" i="18"/>
  <c r="AC123" i="18"/>
  <c r="AD123" i="18"/>
  <c r="AE123" i="18"/>
  <c r="AF123" i="18"/>
  <c r="AG123" i="18"/>
  <c r="AH123" i="18"/>
  <c r="AI123" i="18"/>
  <c r="AJ123" i="18"/>
  <c r="AK123" i="18"/>
  <c r="AL123" i="18"/>
  <c r="AM123" i="18"/>
  <c r="AN123" i="18"/>
  <c r="AO123" i="18"/>
  <c r="AP123" i="18"/>
  <c r="AQ123" i="18"/>
  <c r="AR123" i="18"/>
  <c r="AS123" i="18"/>
  <c r="AT123" i="18"/>
  <c r="AU123" i="18"/>
  <c r="AV123" i="18"/>
  <c r="AW123" i="18"/>
  <c r="AX123" i="18"/>
  <c r="AY123" i="18"/>
  <c r="AZ123" i="18"/>
  <c r="BA123" i="18"/>
  <c r="BB123" i="18"/>
  <c r="BC123" i="18"/>
  <c r="BD123" i="18"/>
  <c r="BE123" i="18"/>
  <c r="BF123" i="18"/>
  <c r="G123" i="14" s="1"/>
  <c r="BG123" i="18"/>
  <c r="BH123" i="18"/>
  <c r="BI123" i="18"/>
  <c r="BJ123" i="18"/>
  <c r="BK123" i="18"/>
  <c r="BL123" i="18"/>
  <c r="BM123" i="18"/>
  <c r="BN123" i="18"/>
  <c r="BO123" i="18"/>
  <c r="BP123" i="18"/>
  <c r="BQ123" i="18"/>
  <c r="BR123" i="18"/>
  <c r="BS123" i="18"/>
  <c r="BT123" i="18"/>
  <c r="B124" i="18"/>
  <c r="C124" i="18"/>
  <c r="D124" i="18"/>
  <c r="E124" i="18"/>
  <c r="F124" i="18"/>
  <c r="G124" i="18"/>
  <c r="H124" i="18"/>
  <c r="I124" i="18"/>
  <c r="J124" i="18"/>
  <c r="K124" i="18"/>
  <c r="L124" i="18"/>
  <c r="M124" i="18"/>
  <c r="N124" i="18"/>
  <c r="O124" i="18"/>
  <c r="P124" i="18"/>
  <c r="Q124" i="18"/>
  <c r="R124" i="18"/>
  <c r="S124" i="18"/>
  <c r="T124" i="18"/>
  <c r="U124" i="18"/>
  <c r="V124" i="18"/>
  <c r="W124" i="18"/>
  <c r="X124" i="18"/>
  <c r="Y124" i="18"/>
  <c r="Z124" i="18"/>
  <c r="AA124" i="18"/>
  <c r="AB124" i="18"/>
  <c r="AC124" i="18"/>
  <c r="AD124" i="18"/>
  <c r="AE124" i="18"/>
  <c r="AF124" i="18"/>
  <c r="AG124" i="18"/>
  <c r="AH124" i="18"/>
  <c r="AI124" i="18"/>
  <c r="AJ124" i="18"/>
  <c r="AK124" i="18"/>
  <c r="AL124" i="18"/>
  <c r="AM124" i="18"/>
  <c r="AN124" i="18"/>
  <c r="AO124" i="18"/>
  <c r="AP124" i="18"/>
  <c r="AQ124" i="18"/>
  <c r="AR124" i="18"/>
  <c r="AS124" i="18"/>
  <c r="AT124" i="18"/>
  <c r="AU124" i="18"/>
  <c r="AV124" i="18"/>
  <c r="AW124" i="18"/>
  <c r="AX124" i="18"/>
  <c r="AY124" i="18"/>
  <c r="AZ124" i="18"/>
  <c r="BA124" i="18"/>
  <c r="BB124" i="18"/>
  <c r="BC124" i="18"/>
  <c r="BD124" i="18"/>
  <c r="BE124" i="18"/>
  <c r="BF124" i="18"/>
  <c r="G124" i="14" s="1"/>
  <c r="BG124" i="18"/>
  <c r="BH124" i="18"/>
  <c r="BI124" i="18"/>
  <c r="BJ124" i="18"/>
  <c r="BK124" i="18"/>
  <c r="BL124" i="18"/>
  <c r="BM124" i="18"/>
  <c r="BN124" i="18"/>
  <c r="BO124" i="18"/>
  <c r="BP124" i="18"/>
  <c r="BQ124" i="18"/>
  <c r="BR124" i="18"/>
  <c r="BS124" i="18"/>
  <c r="BT124" i="18"/>
  <c r="B125" i="18"/>
  <c r="C125" i="18"/>
  <c r="D125" i="18"/>
  <c r="E125" i="18"/>
  <c r="F125" i="18"/>
  <c r="G125" i="18"/>
  <c r="H125" i="18"/>
  <c r="I125" i="18"/>
  <c r="J125" i="18"/>
  <c r="K125" i="18"/>
  <c r="L125" i="18"/>
  <c r="M125" i="18"/>
  <c r="N125" i="18"/>
  <c r="O125" i="18"/>
  <c r="P125" i="18"/>
  <c r="Q125" i="18"/>
  <c r="R125" i="18"/>
  <c r="S125" i="18"/>
  <c r="T125" i="18"/>
  <c r="U125" i="18"/>
  <c r="V125" i="18"/>
  <c r="W125" i="18"/>
  <c r="X125" i="18"/>
  <c r="Y125" i="18"/>
  <c r="Z125" i="18"/>
  <c r="AA125" i="18"/>
  <c r="AB125" i="18"/>
  <c r="AC125" i="18"/>
  <c r="AD125" i="18"/>
  <c r="AE125" i="18"/>
  <c r="AF125" i="18"/>
  <c r="AG125" i="18"/>
  <c r="AH125" i="18"/>
  <c r="AI125" i="18"/>
  <c r="AJ125" i="18"/>
  <c r="AK125" i="18"/>
  <c r="AL125" i="18"/>
  <c r="AM125" i="18"/>
  <c r="AN125" i="18"/>
  <c r="AO125" i="18"/>
  <c r="AP125" i="18"/>
  <c r="AQ125" i="18"/>
  <c r="AR125" i="18"/>
  <c r="AS125" i="18"/>
  <c r="AT125" i="18"/>
  <c r="AU125" i="18"/>
  <c r="AV125" i="18"/>
  <c r="AW125" i="18"/>
  <c r="AX125" i="18"/>
  <c r="AY125" i="18"/>
  <c r="AZ125" i="18"/>
  <c r="BA125" i="18"/>
  <c r="BB125" i="18"/>
  <c r="BC125" i="18"/>
  <c r="BD125" i="18"/>
  <c r="BE125" i="18"/>
  <c r="BF125" i="18"/>
  <c r="G125" i="14" s="1"/>
  <c r="BG125" i="18"/>
  <c r="BH125" i="18"/>
  <c r="BI125" i="18"/>
  <c r="BJ125" i="18"/>
  <c r="BK125" i="18"/>
  <c r="BL125" i="18"/>
  <c r="BM125" i="18"/>
  <c r="BN125" i="18"/>
  <c r="BO125" i="18"/>
  <c r="BP125" i="18"/>
  <c r="BQ125" i="18"/>
  <c r="BR125" i="18"/>
  <c r="BS125" i="18"/>
  <c r="BT125" i="18"/>
  <c r="B126" i="18"/>
  <c r="C126" i="18"/>
  <c r="D126" i="18"/>
  <c r="E126" i="18"/>
  <c r="F126" i="18"/>
  <c r="G126" i="18"/>
  <c r="H126" i="18"/>
  <c r="I126" i="18"/>
  <c r="J126" i="18"/>
  <c r="K126" i="18"/>
  <c r="L126" i="18"/>
  <c r="M126" i="18"/>
  <c r="N126" i="18"/>
  <c r="O126" i="18"/>
  <c r="P126" i="18"/>
  <c r="Q126" i="18"/>
  <c r="R126" i="18"/>
  <c r="S126" i="18"/>
  <c r="T126" i="18"/>
  <c r="U126" i="18"/>
  <c r="V126" i="18"/>
  <c r="W126" i="18"/>
  <c r="X126" i="18"/>
  <c r="Y126" i="18"/>
  <c r="Z126" i="18"/>
  <c r="AA126" i="18"/>
  <c r="AB126" i="18"/>
  <c r="AC126" i="18"/>
  <c r="AD126" i="18"/>
  <c r="AE126" i="18"/>
  <c r="AF126" i="18"/>
  <c r="AG126" i="18"/>
  <c r="AH126" i="18"/>
  <c r="AI126" i="18"/>
  <c r="AJ126" i="18"/>
  <c r="AK126" i="18"/>
  <c r="AL126" i="18"/>
  <c r="AM126" i="18"/>
  <c r="AN126" i="18"/>
  <c r="AO126" i="18"/>
  <c r="AP126" i="18"/>
  <c r="AQ126" i="18"/>
  <c r="AR126" i="18"/>
  <c r="AS126" i="18"/>
  <c r="AT126" i="18"/>
  <c r="AU126" i="18"/>
  <c r="AV126" i="18"/>
  <c r="AW126" i="18"/>
  <c r="AX126" i="18"/>
  <c r="AY126" i="18"/>
  <c r="AZ126" i="18"/>
  <c r="BA126" i="18"/>
  <c r="BB126" i="18"/>
  <c r="BC126" i="18"/>
  <c r="BD126" i="18"/>
  <c r="BE126" i="18"/>
  <c r="BF126" i="18"/>
  <c r="G126" i="14" s="1"/>
  <c r="BG126" i="18"/>
  <c r="BH126" i="18"/>
  <c r="BI126" i="18"/>
  <c r="BJ126" i="18"/>
  <c r="BK126" i="18"/>
  <c r="BL126" i="18"/>
  <c r="BM126" i="18"/>
  <c r="BN126" i="18"/>
  <c r="BO126" i="18"/>
  <c r="BP126" i="18"/>
  <c r="BQ126" i="18"/>
  <c r="BR126" i="18"/>
  <c r="BS126" i="18"/>
  <c r="BT126" i="18"/>
  <c r="BT2" i="18"/>
  <c r="BS2" i="18"/>
  <c r="BR2" i="18"/>
  <c r="BQ2" i="18"/>
  <c r="BP2" i="18"/>
  <c r="BO2" i="18"/>
  <c r="BN2" i="18"/>
  <c r="BM2" i="18"/>
  <c r="BL2" i="18"/>
  <c r="BK2" i="18"/>
  <c r="BJ2" i="18"/>
  <c r="BI2" i="18"/>
  <c r="BH2" i="18"/>
  <c r="BG2" i="18"/>
  <c r="BF2" i="18"/>
  <c r="G2" i="14" s="1"/>
  <c r="BE2" i="18"/>
  <c r="BD2" i="18"/>
  <c r="BC2" i="18"/>
  <c r="BB2" i="18"/>
  <c r="BA2" i="18"/>
  <c r="AZ2" i="18"/>
  <c r="AY2" i="18"/>
  <c r="AX2" i="18"/>
  <c r="AW2" i="18"/>
  <c r="AV2" i="18"/>
  <c r="AU2" i="18"/>
  <c r="AT2" i="18"/>
  <c r="AS2" i="18"/>
  <c r="AR2" i="18"/>
  <c r="AQ2" i="18"/>
  <c r="AP2" i="18"/>
  <c r="AO2" i="18"/>
  <c r="AN2" i="18"/>
  <c r="AM2" i="18"/>
  <c r="AL2" i="18"/>
  <c r="AK2" i="18"/>
  <c r="AJ2" i="18"/>
  <c r="AI2" i="18"/>
  <c r="AH2" i="18"/>
  <c r="AG2" i="18"/>
  <c r="AF2" i="18"/>
  <c r="AE2" i="18"/>
  <c r="AD2" i="18"/>
  <c r="AC2" i="18"/>
  <c r="AB2" i="18"/>
  <c r="AA2" i="18"/>
  <c r="Z2" i="18"/>
  <c r="Y2" i="18"/>
  <c r="X2" i="18"/>
  <c r="W2" i="18"/>
  <c r="V2" i="18"/>
  <c r="U2" i="18"/>
  <c r="T2" i="18"/>
  <c r="S2" i="18"/>
  <c r="R2" i="18"/>
  <c r="Q2" i="18"/>
  <c r="P2" i="18"/>
  <c r="O2" i="18"/>
  <c r="N2" i="18"/>
  <c r="M2" i="18"/>
  <c r="L2" i="18"/>
  <c r="K2" i="18"/>
  <c r="J2" i="18"/>
  <c r="I2" i="18"/>
  <c r="H2" i="18"/>
  <c r="G2" i="18"/>
  <c r="F2" i="18"/>
  <c r="E2" i="18"/>
  <c r="D2" i="18"/>
  <c r="C2" i="18"/>
  <c r="B2" i="18"/>
  <c r="N61" i="13"/>
  <c r="N62" i="13"/>
  <c r="N63" i="13"/>
  <c r="K62" i="13"/>
  <c r="K63" i="13"/>
  <c r="B1" i="13" l="1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A3" i="8"/>
  <c r="A4" i="8" s="1"/>
  <c r="A2" i="8"/>
  <c r="C3" i="8"/>
  <c r="C4" i="8"/>
  <c r="C5" i="8"/>
  <c r="D5" i="8"/>
  <c r="C6" i="8"/>
  <c r="D6" i="8"/>
  <c r="C12" i="8"/>
  <c r="D12" i="8"/>
  <c r="C14" i="8"/>
  <c r="D14" i="8"/>
  <c r="C7" i="8"/>
  <c r="D7" i="8"/>
  <c r="C8" i="8"/>
  <c r="D8" i="8"/>
  <c r="C9" i="8"/>
  <c r="D9" i="8"/>
  <c r="C10" i="8"/>
  <c r="D10" i="8"/>
  <c r="C11" i="8"/>
  <c r="D11" i="8"/>
  <c r="C13" i="8"/>
  <c r="D13" i="8"/>
  <c r="C15" i="8"/>
  <c r="D15" i="8"/>
  <c r="C16" i="8"/>
  <c r="D16" i="8"/>
  <c r="C17" i="8"/>
  <c r="D17" i="8"/>
  <c r="C18" i="8"/>
  <c r="D18" i="8"/>
  <c r="C19" i="8"/>
  <c r="D19" i="8"/>
  <c r="C20" i="8"/>
  <c r="D20" i="8"/>
  <c r="C21" i="8"/>
  <c r="D21" i="8"/>
  <c r="C22" i="8"/>
  <c r="D22" i="8"/>
  <c r="C23" i="8"/>
  <c r="D23" i="8"/>
  <c r="C24" i="8"/>
  <c r="D24" i="8"/>
  <c r="C25" i="8"/>
  <c r="D25" i="8"/>
  <c r="C26" i="8"/>
  <c r="D26" i="8"/>
  <c r="C27" i="8"/>
  <c r="D27" i="8"/>
  <c r="C28" i="8"/>
  <c r="D28" i="8"/>
  <c r="C29" i="8"/>
  <c r="D29" i="8"/>
  <c r="C30" i="8"/>
  <c r="D30" i="8"/>
  <c r="C31" i="8"/>
  <c r="D31" i="8"/>
  <c r="C32" i="8"/>
  <c r="D32" i="8"/>
  <c r="C33" i="8"/>
  <c r="D33" i="8"/>
  <c r="C34" i="8"/>
  <c r="D34" i="8"/>
  <c r="C35" i="8"/>
  <c r="D35" i="8"/>
  <c r="C37" i="8"/>
  <c r="D37" i="8"/>
  <c r="C38" i="8"/>
  <c r="D38" i="8"/>
  <c r="C39" i="8"/>
  <c r="D39" i="8"/>
  <c r="C40" i="8"/>
  <c r="D40" i="8"/>
  <c r="C42" i="8"/>
  <c r="D42" i="8"/>
  <c r="C43" i="8"/>
  <c r="D43" i="8"/>
  <c r="C44" i="8"/>
  <c r="D44" i="8"/>
  <c r="C45" i="8"/>
  <c r="D45" i="8"/>
  <c r="C46" i="8"/>
  <c r="D46" i="8"/>
  <c r="C47" i="8"/>
  <c r="D47" i="8"/>
  <c r="C48" i="8"/>
  <c r="D48" i="8"/>
  <c r="C49" i="8"/>
  <c r="D49" i="8"/>
  <c r="C51" i="8"/>
  <c r="D51" i="8"/>
  <c r="C52" i="8"/>
  <c r="D52" i="8"/>
  <c r="C55" i="8"/>
  <c r="D55" i="8"/>
  <c r="C36" i="8"/>
  <c r="D36" i="8"/>
  <c r="C41" i="8"/>
  <c r="D41" i="8"/>
  <c r="C50" i="8"/>
  <c r="D50" i="8"/>
  <c r="C53" i="8"/>
  <c r="D53" i="8"/>
  <c r="C54" i="8"/>
  <c r="D54" i="8"/>
  <c r="C56" i="8"/>
  <c r="D56" i="8"/>
  <c r="E56" i="8"/>
  <c r="F56" i="8"/>
  <c r="C57" i="8"/>
  <c r="D57" i="8"/>
  <c r="E57" i="8"/>
  <c r="F57" i="8"/>
  <c r="C58" i="8"/>
  <c r="D58" i="8"/>
  <c r="E58" i="8"/>
  <c r="F58" i="8"/>
  <c r="C59" i="8"/>
  <c r="D59" i="8"/>
  <c r="E59" i="8"/>
  <c r="F59" i="8"/>
  <c r="C60" i="8"/>
  <c r="D60" i="8"/>
  <c r="E60" i="8"/>
  <c r="F60" i="8"/>
  <c r="C61" i="8"/>
  <c r="D61" i="8"/>
  <c r="E61" i="8"/>
  <c r="F61" i="8"/>
  <c r="C62" i="8"/>
  <c r="D62" i="8"/>
  <c r="E62" i="8"/>
  <c r="F62" i="8"/>
  <c r="C63" i="8"/>
  <c r="D63" i="8"/>
  <c r="E63" i="8"/>
  <c r="F63" i="8"/>
  <c r="C64" i="8"/>
  <c r="D64" i="8"/>
  <c r="E64" i="8"/>
  <c r="F64" i="8"/>
  <c r="C65" i="8"/>
  <c r="D65" i="8"/>
  <c r="E65" i="8"/>
  <c r="F65" i="8"/>
  <c r="C66" i="8"/>
  <c r="D66" i="8"/>
  <c r="E66" i="8"/>
  <c r="F66" i="8"/>
  <c r="C67" i="8"/>
  <c r="D67" i="8"/>
  <c r="E67" i="8"/>
  <c r="F67" i="8"/>
  <c r="C68" i="8"/>
  <c r="D68" i="8"/>
  <c r="E68" i="8"/>
  <c r="F68" i="8"/>
  <c r="C69" i="8"/>
  <c r="D69" i="8"/>
  <c r="E69" i="8"/>
  <c r="F69" i="8"/>
  <c r="C70" i="8"/>
  <c r="D70" i="8"/>
  <c r="E70" i="8"/>
  <c r="F70" i="8"/>
  <c r="C71" i="8"/>
  <c r="D71" i="8"/>
  <c r="E71" i="8"/>
  <c r="F71" i="8"/>
  <c r="C72" i="8"/>
  <c r="D72" i="8"/>
  <c r="E72" i="8"/>
  <c r="F72" i="8"/>
  <c r="C73" i="8"/>
  <c r="D73" i="8"/>
  <c r="E73" i="8"/>
  <c r="F73" i="8"/>
  <c r="C74" i="8"/>
  <c r="D74" i="8"/>
  <c r="E74" i="8"/>
  <c r="F74" i="8"/>
  <c r="C75" i="8"/>
  <c r="D75" i="8"/>
  <c r="E75" i="8"/>
  <c r="F75" i="8"/>
  <c r="C76" i="8"/>
  <c r="D76" i="8"/>
  <c r="E76" i="8"/>
  <c r="F76" i="8"/>
  <c r="C77" i="8"/>
  <c r="D77" i="8"/>
  <c r="E77" i="8"/>
  <c r="F77" i="8"/>
  <c r="C78" i="8"/>
  <c r="D78" i="8"/>
  <c r="E78" i="8"/>
  <c r="F78" i="8"/>
  <c r="C79" i="8"/>
  <c r="D79" i="8"/>
  <c r="E79" i="8"/>
  <c r="F79" i="8"/>
  <c r="C80" i="8"/>
  <c r="D80" i="8"/>
  <c r="E80" i="8"/>
  <c r="F80" i="8"/>
  <c r="C81" i="8"/>
  <c r="D81" i="8"/>
  <c r="E81" i="8"/>
  <c r="F81" i="8"/>
  <c r="C82" i="8"/>
  <c r="D82" i="8"/>
  <c r="E82" i="8"/>
  <c r="F82" i="8"/>
  <c r="C83" i="8"/>
  <c r="D83" i="8"/>
  <c r="E83" i="8"/>
  <c r="F83" i="8"/>
  <c r="C84" i="8"/>
  <c r="D84" i="8"/>
  <c r="E84" i="8"/>
  <c r="F84" i="8"/>
  <c r="C85" i="8"/>
  <c r="D85" i="8"/>
  <c r="E85" i="8"/>
  <c r="F85" i="8"/>
  <c r="C86" i="8"/>
  <c r="D86" i="8"/>
  <c r="E86" i="8"/>
  <c r="F86" i="8"/>
  <c r="C87" i="8"/>
  <c r="D87" i="8"/>
  <c r="E87" i="8"/>
  <c r="F87" i="8"/>
  <c r="C88" i="8"/>
  <c r="D88" i="8"/>
  <c r="E88" i="8"/>
  <c r="F88" i="8"/>
  <c r="C89" i="8"/>
  <c r="D89" i="8"/>
  <c r="E89" i="8"/>
  <c r="F89" i="8"/>
  <c r="C90" i="8"/>
  <c r="D90" i="8"/>
  <c r="E90" i="8"/>
  <c r="F90" i="8"/>
  <c r="C91" i="8"/>
  <c r="D91" i="8"/>
  <c r="E91" i="8"/>
  <c r="F91" i="8"/>
  <c r="C92" i="8"/>
  <c r="D92" i="8"/>
  <c r="E92" i="8"/>
  <c r="F92" i="8"/>
  <c r="C93" i="8"/>
  <c r="D93" i="8"/>
  <c r="E93" i="8"/>
  <c r="F93" i="8"/>
  <c r="C94" i="8"/>
  <c r="D94" i="8"/>
  <c r="E94" i="8"/>
  <c r="F94" i="8"/>
  <c r="C95" i="8"/>
  <c r="D95" i="8"/>
  <c r="E95" i="8"/>
  <c r="F95" i="8"/>
  <c r="C96" i="8"/>
  <c r="D96" i="8"/>
  <c r="E96" i="8"/>
  <c r="F96" i="8"/>
  <c r="C97" i="8"/>
  <c r="D97" i="8"/>
  <c r="E97" i="8"/>
  <c r="F97" i="8"/>
  <c r="C98" i="8"/>
  <c r="D98" i="8"/>
  <c r="E98" i="8"/>
  <c r="F98" i="8"/>
  <c r="C99" i="8"/>
  <c r="D99" i="8"/>
  <c r="E99" i="8"/>
  <c r="F99" i="8"/>
  <c r="C100" i="8"/>
  <c r="D100" i="8"/>
  <c r="E100" i="8"/>
  <c r="F100" i="8"/>
  <c r="C101" i="8"/>
  <c r="D101" i="8"/>
  <c r="E101" i="8"/>
  <c r="F101" i="8"/>
  <c r="C102" i="8"/>
  <c r="D102" i="8"/>
  <c r="E102" i="8"/>
  <c r="F102" i="8"/>
  <c r="C103" i="8"/>
  <c r="D103" i="8"/>
  <c r="E103" i="8"/>
  <c r="F103" i="8"/>
  <c r="C104" i="8"/>
  <c r="D104" i="8"/>
  <c r="E104" i="8"/>
  <c r="F104" i="8"/>
  <c r="C105" i="8"/>
  <c r="D105" i="8"/>
  <c r="E105" i="8"/>
  <c r="F105" i="8"/>
  <c r="C106" i="8"/>
  <c r="D106" i="8"/>
  <c r="E106" i="8"/>
  <c r="F106" i="8"/>
  <c r="C107" i="8"/>
  <c r="D107" i="8"/>
  <c r="E107" i="8"/>
  <c r="F107" i="8"/>
  <c r="C108" i="8"/>
  <c r="D108" i="8"/>
  <c r="E108" i="8"/>
  <c r="F108" i="8"/>
  <c r="C109" i="8"/>
  <c r="D109" i="8"/>
  <c r="E109" i="8"/>
  <c r="F109" i="8"/>
  <c r="C110" i="8"/>
  <c r="D110" i="8"/>
  <c r="E110" i="8"/>
  <c r="F110" i="8"/>
  <c r="C111" i="8"/>
  <c r="D111" i="8"/>
  <c r="E111" i="8"/>
  <c r="F111" i="8"/>
  <c r="C112" i="8"/>
  <c r="D112" i="8"/>
  <c r="E112" i="8"/>
  <c r="F112" i="8"/>
  <c r="C113" i="8"/>
  <c r="D113" i="8"/>
  <c r="E113" i="8"/>
  <c r="F113" i="8"/>
  <c r="C114" i="8"/>
  <c r="D114" i="8"/>
  <c r="E114" i="8"/>
  <c r="F114" i="8"/>
  <c r="C115" i="8"/>
  <c r="D115" i="8"/>
  <c r="E115" i="8"/>
  <c r="F115" i="8"/>
  <c r="C116" i="8"/>
  <c r="D116" i="8"/>
  <c r="E116" i="8"/>
  <c r="F116" i="8"/>
  <c r="C117" i="8"/>
  <c r="D117" i="8"/>
  <c r="E117" i="8"/>
  <c r="F117" i="8"/>
  <c r="C118" i="8"/>
  <c r="D118" i="8"/>
  <c r="E118" i="8"/>
  <c r="F118" i="8"/>
  <c r="C119" i="8"/>
  <c r="D119" i="8"/>
  <c r="E119" i="8"/>
  <c r="F119" i="8"/>
  <c r="C120" i="8"/>
  <c r="D120" i="8"/>
  <c r="E120" i="8"/>
  <c r="F120" i="8"/>
  <c r="C121" i="8"/>
  <c r="D121" i="8"/>
  <c r="E121" i="8"/>
  <c r="F121" i="8"/>
  <c r="C122" i="8"/>
  <c r="D122" i="8"/>
  <c r="E122" i="8"/>
  <c r="F122" i="8"/>
  <c r="C123" i="8"/>
  <c r="D123" i="8"/>
  <c r="E123" i="8"/>
  <c r="F123" i="8"/>
  <c r="C124" i="8"/>
  <c r="D124" i="8"/>
  <c r="E124" i="8"/>
  <c r="F124" i="8"/>
  <c r="C125" i="8"/>
  <c r="D125" i="8"/>
  <c r="E125" i="8"/>
  <c r="F125" i="8"/>
  <c r="C126" i="8"/>
  <c r="D126" i="8"/>
  <c r="E126" i="8"/>
  <c r="F126" i="8"/>
  <c r="C127" i="8"/>
  <c r="D127" i="8"/>
  <c r="E127" i="8"/>
  <c r="F127" i="8"/>
  <c r="C128" i="8"/>
  <c r="D128" i="8"/>
  <c r="E128" i="8"/>
  <c r="F128" i="8"/>
  <c r="C129" i="8"/>
  <c r="D129" i="8"/>
  <c r="E129" i="8"/>
  <c r="F129" i="8"/>
  <c r="C130" i="8"/>
  <c r="D130" i="8"/>
  <c r="E130" i="8"/>
  <c r="F130" i="8"/>
  <c r="C131" i="8"/>
  <c r="D131" i="8"/>
  <c r="E131" i="8"/>
  <c r="F131" i="8"/>
  <c r="C132" i="8"/>
  <c r="D132" i="8"/>
  <c r="E132" i="8"/>
  <c r="F132" i="8"/>
  <c r="C133" i="8"/>
  <c r="D133" i="8"/>
  <c r="E133" i="8"/>
  <c r="F133" i="8"/>
  <c r="C134" i="8"/>
  <c r="D134" i="8"/>
  <c r="E134" i="8"/>
  <c r="F134" i="8"/>
  <c r="C135" i="8"/>
  <c r="D135" i="8"/>
  <c r="E135" i="8"/>
  <c r="F135" i="8"/>
  <c r="C136" i="8"/>
  <c r="D136" i="8"/>
  <c r="E136" i="8"/>
  <c r="F136" i="8"/>
  <c r="C137" i="8"/>
  <c r="D137" i="8"/>
  <c r="E137" i="8"/>
  <c r="F137" i="8"/>
  <c r="C138" i="8"/>
  <c r="D138" i="8"/>
  <c r="E138" i="8"/>
  <c r="F138" i="8"/>
  <c r="C139" i="8"/>
  <c r="D139" i="8"/>
  <c r="E139" i="8"/>
  <c r="F139" i="8"/>
  <c r="C140" i="8"/>
  <c r="D140" i="8"/>
  <c r="E140" i="8"/>
  <c r="F140" i="8"/>
  <c r="C141" i="8"/>
  <c r="D141" i="8"/>
  <c r="E141" i="8"/>
  <c r="F141" i="8"/>
  <c r="C142" i="8"/>
  <c r="D142" i="8"/>
  <c r="E142" i="8"/>
  <c r="F142" i="8"/>
  <c r="C143" i="8"/>
  <c r="D143" i="8"/>
  <c r="E143" i="8"/>
  <c r="F143" i="8"/>
  <c r="C144" i="8"/>
  <c r="D144" i="8"/>
  <c r="E144" i="8"/>
  <c r="F144" i="8"/>
  <c r="C145" i="8"/>
  <c r="D145" i="8"/>
  <c r="E145" i="8"/>
  <c r="F145" i="8"/>
  <c r="C146" i="8"/>
  <c r="D146" i="8"/>
  <c r="E146" i="8"/>
  <c r="F146" i="8"/>
  <c r="C147" i="8"/>
  <c r="D147" i="8"/>
  <c r="E147" i="8"/>
  <c r="F147" i="8"/>
  <c r="C148" i="8"/>
  <c r="D148" i="8"/>
  <c r="E148" i="8"/>
  <c r="F148" i="8"/>
  <c r="C149" i="8"/>
  <c r="D149" i="8"/>
  <c r="E149" i="8"/>
  <c r="F149" i="8"/>
  <c r="C150" i="8"/>
  <c r="D150" i="8"/>
  <c r="E150" i="8"/>
  <c r="F150" i="8"/>
  <c r="C151" i="8"/>
  <c r="D151" i="8"/>
  <c r="E151" i="8"/>
  <c r="F151" i="8"/>
  <c r="C152" i="8"/>
  <c r="D152" i="8"/>
  <c r="E152" i="8"/>
  <c r="F152" i="8"/>
  <c r="C153" i="8"/>
  <c r="D153" i="8"/>
  <c r="E153" i="8"/>
  <c r="F153" i="8"/>
  <c r="C154" i="8"/>
  <c r="D154" i="8"/>
  <c r="E154" i="8"/>
  <c r="F154" i="8"/>
  <c r="C155" i="8"/>
  <c r="D155" i="8"/>
  <c r="E155" i="8"/>
  <c r="F155" i="8"/>
  <c r="C156" i="8"/>
  <c r="D156" i="8"/>
  <c r="E156" i="8"/>
  <c r="F156" i="8"/>
  <c r="C157" i="8"/>
  <c r="D157" i="8"/>
  <c r="E157" i="8"/>
  <c r="F157" i="8"/>
  <c r="C158" i="8"/>
  <c r="D158" i="8"/>
  <c r="E158" i="8"/>
  <c r="F158" i="8"/>
  <c r="C159" i="8"/>
  <c r="D159" i="8"/>
  <c r="E159" i="8"/>
  <c r="F159" i="8"/>
  <c r="C160" i="8"/>
  <c r="D160" i="8"/>
  <c r="E160" i="8"/>
  <c r="F160" i="8"/>
  <c r="C161" i="8"/>
  <c r="D161" i="8"/>
  <c r="E161" i="8"/>
  <c r="F161" i="8"/>
  <c r="C162" i="8"/>
  <c r="D162" i="8"/>
  <c r="E162" i="8"/>
  <c r="F162" i="8"/>
  <c r="C163" i="8"/>
  <c r="D163" i="8"/>
  <c r="E163" i="8"/>
  <c r="F163" i="8"/>
  <c r="C164" i="8"/>
  <c r="D164" i="8"/>
  <c r="E164" i="8"/>
  <c r="F164" i="8"/>
  <c r="C165" i="8"/>
  <c r="D165" i="8"/>
  <c r="E165" i="8"/>
  <c r="F165" i="8"/>
  <c r="C166" i="8"/>
  <c r="D166" i="8"/>
  <c r="E166" i="8"/>
  <c r="F166" i="8"/>
  <c r="C167" i="8"/>
  <c r="D167" i="8"/>
  <c r="E167" i="8"/>
  <c r="F167" i="8"/>
  <c r="C168" i="8"/>
  <c r="D168" i="8"/>
  <c r="E168" i="8"/>
  <c r="F168" i="8"/>
  <c r="C169" i="8"/>
  <c r="D169" i="8"/>
  <c r="E169" i="8"/>
  <c r="F169" i="8"/>
  <c r="C170" i="8"/>
  <c r="D170" i="8"/>
  <c r="E170" i="8"/>
  <c r="F170" i="8"/>
  <c r="C171" i="8"/>
  <c r="D171" i="8"/>
  <c r="E171" i="8"/>
  <c r="F171" i="8"/>
  <c r="C172" i="8"/>
  <c r="D172" i="8"/>
  <c r="E172" i="8"/>
  <c r="F172" i="8"/>
  <c r="C173" i="8"/>
  <c r="D173" i="8"/>
  <c r="E173" i="8"/>
  <c r="F173" i="8"/>
  <c r="C174" i="8"/>
  <c r="D174" i="8"/>
  <c r="E174" i="8"/>
  <c r="F174" i="8"/>
  <c r="C175" i="8"/>
  <c r="D175" i="8"/>
  <c r="E175" i="8"/>
  <c r="F175" i="8"/>
  <c r="C176" i="8"/>
  <c r="D176" i="8"/>
  <c r="E176" i="8"/>
  <c r="F176" i="8"/>
  <c r="C177" i="8"/>
  <c r="D177" i="8"/>
  <c r="E177" i="8"/>
  <c r="F177" i="8"/>
  <c r="C178" i="8"/>
  <c r="D178" i="8"/>
  <c r="E178" i="8"/>
  <c r="F178" i="8"/>
  <c r="C179" i="8"/>
  <c r="D179" i="8"/>
  <c r="E179" i="8"/>
  <c r="F179" i="8"/>
  <c r="C180" i="8"/>
  <c r="D180" i="8"/>
  <c r="E180" i="8"/>
  <c r="F180" i="8"/>
  <c r="C181" i="8"/>
  <c r="D181" i="8"/>
  <c r="E181" i="8"/>
  <c r="F181" i="8"/>
  <c r="C182" i="8"/>
  <c r="D182" i="8"/>
  <c r="E182" i="8"/>
  <c r="F182" i="8"/>
  <c r="C183" i="8"/>
  <c r="D183" i="8"/>
  <c r="E183" i="8"/>
  <c r="F183" i="8"/>
  <c r="C184" i="8"/>
  <c r="D184" i="8"/>
  <c r="E184" i="8"/>
  <c r="F184" i="8"/>
  <c r="C185" i="8"/>
  <c r="D185" i="8"/>
  <c r="E185" i="8"/>
  <c r="F185" i="8"/>
  <c r="C186" i="8"/>
  <c r="D186" i="8"/>
  <c r="E186" i="8"/>
  <c r="F186" i="8"/>
  <c r="C187" i="8"/>
  <c r="D187" i="8"/>
  <c r="E187" i="8"/>
  <c r="F187" i="8"/>
  <c r="C188" i="8"/>
  <c r="D188" i="8"/>
  <c r="E188" i="8"/>
  <c r="F188" i="8"/>
  <c r="C189" i="8"/>
  <c r="D189" i="8"/>
  <c r="E189" i="8"/>
  <c r="F189" i="8"/>
  <c r="C190" i="8"/>
  <c r="D190" i="8"/>
  <c r="E190" i="8"/>
  <c r="F190" i="8"/>
  <c r="C191" i="8"/>
  <c r="D191" i="8"/>
  <c r="E191" i="8"/>
  <c r="F191" i="8"/>
  <c r="C192" i="8"/>
  <c r="D192" i="8"/>
  <c r="E192" i="8"/>
  <c r="F192" i="8"/>
  <c r="C193" i="8"/>
  <c r="D193" i="8"/>
  <c r="E193" i="8"/>
  <c r="F193" i="8"/>
  <c r="C194" i="8"/>
  <c r="D194" i="8"/>
  <c r="E194" i="8"/>
  <c r="F194" i="8"/>
  <c r="C195" i="8"/>
  <c r="D195" i="8"/>
  <c r="E195" i="8"/>
  <c r="F195" i="8"/>
  <c r="C196" i="8"/>
  <c r="D196" i="8"/>
  <c r="E196" i="8"/>
  <c r="F196" i="8"/>
  <c r="C197" i="8"/>
  <c r="D197" i="8"/>
  <c r="E197" i="8"/>
  <c r="F197" i="8"/>
  <c r="C198" i="8"/>
  <c r="D198" i="8"/>
  <c r="E198" i="8"/>
  <c r="F198" i="8"/>
  <c r="C199" i="8"/>
  <c r="D199" i="8"/>
  <c r="E199" i="8"/>
  <c r="F199" i="8"/>
  <c r="C200" i="8"/>
  <c r="D200" i="8"/>
  <c r="E200" i="8"/>
  <c r="F200" i="8"/>
  <c r="A5" i="8" l="1"/>
  <c r="N42" i="13"/>
  <c r="O42" i="13" s="1"/>
  <c r="N60" i="13"/>
  <c r="O60" i="13" s="1"/>
  <c r="N59" i="13"/>
  <c r="O59" i="13" s="1"/>
  <c r="E5" i="8" l="1"/>
  <c r="A6" i="8"/>
  <c r="N48" i="13"/>
  <c r="O48" i="13" s="1"/>
  <c r="A7" i="8" l="1"/>
  <c r="E6" i="8"/>
  <c r="N41" i="13"/>
  <c r="O41" i="13" s="1"/>
  <c r="N38" i="13"/>
  <c r="O38" i="13" s="1"/>
  <c r="N46" i="13"/>
  <c r="O46" i="13" s="1"/>
  <c r="N47" i="13"/>
  <c r="O47" i="13" s="1"/>
  <c r="N33" i="13"/>
  <c r="O33" i="13" s="1"/>
  <c r="N53" i="13"/>
  <c r="O53" i="13" s="1"/>
  <c r="N50" i="13"/>
  <c r="O50" i="13" s="1"/>
  <c r="N34" i="13"/>
  <c r="O34" i="13" s="1"/>
  <c r="N39" i="13"/>
  <c r="O39" i="13" s="1"/>
  <c r="N58" i="13"/>
  <c r="O58" i="13" s="1"/>
  <c r="N57" i="13"/>
  <c r="O57" i="13" s="1"/>
  <c r="N31" i="13"/>
  <c r="O31" i="13" s="1"/>
  <c r="N51" i="13"/>
  <c r="O51" i="13" s="1"/>
  <c r="N54" i="13"/>
  <c r="O54" i="13" s="1"/>
  <c r="N30" i="13"/>
  <c r="O30" i="13" s="1"/>
  <c r="N36" i="13"/>
  <c r="O36" i="13" s="1"/>
  <c r="N55" i="13"/>
  <c r="O55" i="13" s="1"/>
  <c r="N56" i="13"/>
  <c r="O56" i="13" s="1"/>
  <c r="N49" i="13"/>
  <c r="O49" i="13" s="1"/>
  <c r="N52" i="13"/>
  <c r="O52" i="13" s="1"/>
  <c r="N32" i="13"/>
  <c r="O32" i="13" s="1"/>
  <c r="N35" i="13"/>
  <c r="O35" i="13" s="1"/>
  <c r="N37" i="13"/>
  <c r="O37" i="13" s="1"/>
  <c r="N40" i="13"/>
  <c r="O40" i="13" s="1"/>
  <c r="N44" i="13"/>
  <c r="O44" i="13" s="1"/>
  <c r="N45" i="13"/>
  <c r="O45" i="13" s="1"/>
  <c r="N43" i="13"/>
  <c r="O43" i="13" s="1"/>
  <c r="C39" i="15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E38" i="14" s="1"/>
  <c r="D39" i="14"/>
  <c r="D40" i="14"/>
  <c r="D41" i="14"/>
  <c r="D42" i="14"/>
  <c r="D43" i="14"/>
  <c r="D44" i="14"/>
  <c r="D45" i="14"/>
  <c r="D46" i="14"/>
  <c r="D47" i="14"/>
  <c r="D48" i="14"/>
  <c r="D49" i="14"/>
  <c r="E49" i="14" s="1"/>
  <c r="D50" i="14"/>
  <c r="E50" i="14" s="1"/>
  <c r="D51" i="14"/>
  <c r="D52" i="14"/>
  <c r="D53" i="14"/>
  <c r="E53" i="14" s="1"/>
  <c r="D54" i="14"/>
  <c r="E54" i="14" s="1"/>
  <c r="D55" i="14"/>
  <c r="D56" i="14"/>
  <c r="E56" i="14" s="1"/>
  <c r="D57" i="14"/>
  <c r="E57" i="14" s="1"/>
  <c r="D58" i="14"/>
  <c r="E58" i="14" s="1"/>
  <c r="D59" i="14"/>
  <c r="E59" i="14" s="1"/>
  <c r="D60" i="14"/>
  <c r="D61" i="14"/>
  <c r="D62" i="14"/>
  <c r="E62" i="14" s="1"/>
  <c r="D63" i="14"/>
  <c r="E63" i="14" s="1"/>
  <c r="D64" i="14"/>
  <c r="E64" i="14" s="1"/>
  <c r="D65" i="14"/>
  <c r="E65" i="14" s="1"/>
  <c r="D66" i="14"/>
  <c r="E66" i="14" s="1"/>
  <c r="D67" i="14"/>
  <c r="E67" i="14" s="1"/>
  <c r="D68" i="14"/>
  <c r="E68" i="14" s="1"/>
  <c r="D69" i="14"/>
  <c r="E69" i="14" s="1"/>
  <c r="D70" i="14"/>
  <c r="E70" i="14" s="1"/>
  <c r="D71" i="14"/>
  <c r="E71" i="14" s="1"/>
  <c r="D72" i="14"/>
  <c r="E72" i="14" s="1"/>
  <c r="D73" i="14"/>
  <c r="E73" i="14" s="1"/>
  <c r="D74" i="14"/>
  <c r="E74" i="14" s="1"/>
  <c r="D75" i="14"/>
  <c r="E75" i="14" s="1"/>
  <c r="D76" i="14"/>
  <c r="E76" i="14" s="1"/>
  <c r="D77" i="14"/>
  <c r="E77" i="14" s="1"/>
  <c r="D78" i="14"/>
  <c r="E78" i="14" s="1"/>
  <c r="D79" i="14"/>
  <c r="E79" i="14" s="1"/>
  <c r="D80" i="14"/>
  <c r="E80" i="14" s="1"/>
  <c r="D81" i="14"/>
  <c r="E81" i="14" s="1"/>
  <c r="D82" i="14"/>
  <c r="E82" i="14" s="1"/>
  <c r="D83" i="14"/>
  <c r="E83" i="14" s="1"/>
  <c r="D84" i="14"/>
  <c r="E84" i="14" s="1"/>
  <c r="D85" i="14"/>
  <c r="E85" i="14" s="1"/>
  <c r="D86" i="14"/>
  <c r="E86" i="14" s="1"/>
  <c r="D87" i="14"/>
  <c r="E87" i="14" s="1"/>
  <c r="D88" i="14"/>
  <c r="E88" i="14" s="1"/>
  <c r="D89" i="14"/>
  <c r="E89" i="14" s="1"/>
  <c r="D90" i="14"/>
  <c r="E90" i="14" s="1"/>
  <c r="D91" i="14"/>
  <c r="E91" i="14" s="1"/>
  <c r="D92" i="14"/>
  <c r="E92" i="14" s="1"/>
  <c r="D93" i="14"/>
  <c r="E93" i="14" s="1"/>
  <c r="D94" i="14"/>
  <c r="E94" i="14" s="1"/>
  <c r="D95" i="14"/>
  <c r="E95" i="14" s="1"/>
  <c r="D96" i="14"/>
  <c r="E96" i="14" s="1"/>
  <c r="D97" i="14"/>
  <c r="E97" i="14" s="1"/>
  <c r="D98" i="14"/>
  <c r="E98" i="14" s="1"/>
  <c r="D99" i="14"/>
  <c r="E99" i="14" s="1"/>
  <c r="D100" i="14"/>
  <c r="E100" i="14" s="1"/>
  <c r="D101" i="14"/>
  <c r="E101" i="14" s="1"/>
  <c r="D102" i="14"/>
  <c r="E102" i="14" s="1"/>
  <c r="D103" i="14"/>
  <c r="E103" i="14" s="1"/>
  <c r="D104" i="14"/>
  <c r="E104" i="14" s="1"/>
  <c r="D105" i="14"/>
  <c r="E105" i="14" s="1"/>
  <c r="D106" i="14"/>
  <c r="E106" i="14" s="1"/>
  <c r="D107" i="14"/>
  <c r="E107" i="14" s="1"/>
  <c r="D108" i="14"/>
  <c r="E108" i="14" s="1"/>
  <c r="D109" i="14"/>
  <c r="E109" i="14" s="1"/>
  <c r="D110" i="14"/>
  <c r="E110" i="14" s="1"/>
  <c r="D111" i="14"/>
  <c r="E111" i="14" s="1"/>
  <c r="D112" i="14"/>
  <c r="E112" i="14" s="1"/>
  <c r="D113" i="14"/>
  <c r="E113" i="14" s="1"/>
  <c r="D114" i="14"/>
  <c r="E114" i="14" s="1"/>
  <c r="D115" i="14"/>
  <c r="E115" i="14" s="1"/>
  <c r="D116" i="14"/>
  <c r="E116" i="14" s="1"/>
  <c r="D117" i="14"/>
  <c r="E117" i="14" s="1"/>
  <c r="D118" i="14"/>
  <c r="E118" i="14" s="1"/>
  <c r="D119" i="14"/>
  <c r="E119" i="14" s="1"/>
  <c r="D120" i="14"/>
  <c r="E120" i="14" s="1"/>
  <c r="D121" i="14"/>
  <c r="E121" i="14" s="1"/>
  <c r="D122" i="14"/>
  <c r="E122" i="14" s="1"/>
  <c r="D123" i="14"/>
  <c r="E123" i="14" s="1"/>
  <c r="D124" i="14"/>
  <c r="E124" i="14" s="1"/>
  <c r="D125" i="14"/>
  <c r="E125" i="14" s="1"/>
  <c r="C126" i="14"/>
  <c r="D126" i="14" s="1"/>
  <c r="E12" i="8" l="1"/>
  <c r="A8" i="8"/>
  <c r="E14" i="8" l="1"/>
  <c r="A9" i="8"/>
  <c r="H4" i="13"/>
  <c r="F1" i="8"/>
  <c r="F14" i="8" s="1"/>
  <c r="C2" i="8"/>
  <c r="AY15" i="3"/>
  <c r="BB3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B4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B6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B7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B8" i="3"/>
  <c r="BC8" i="3"/>
  <c r="BD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B9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B10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B11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B12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B13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B14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B15" i="3"/>
  <c r="BD15" i="3"/>
  <c r="BE15" i="3"/>
  <c r="BF15" i="3"/>
  <c r="BG15" i="3"/>
  <c r="BH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B16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B17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B18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B19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B20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B21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B22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B23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B24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B25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B26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B27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B28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B29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B30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B31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B32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B33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B34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B35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B36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B37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B38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B70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B71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B72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B73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B74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B75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B76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B77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B78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B79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B80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B81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B82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B83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B84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B85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B86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B87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B88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B89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B90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B91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B92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B93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B94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B95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B96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B97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B98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B99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B100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B101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B102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B103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B104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B105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B106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B107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B108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B109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B110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B111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B112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B113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B114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B115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B116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B117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B118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B119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B120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B121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B122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B123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B124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B125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B126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B2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K35" i="13" l="1"/>
  <c r="K37" i="13"/>
  <c r="K40" i="13"/>
  <c r="K44" i="13"/>
  <c r="K45" i="13"/>
  <c r="K42" i="13"/>
  <c r="F5" i="8"/>
  <c r="G5" i="8" s="1"/>
  <c r="K59" i="13" s="1"/>
  <c r="F6" i="8"/>
  <c r="G6" i="8" s="1"/>
  <c r="K38" i="13" s="1"/>
  <c r="F12" i="8"/>
  <c r="G12" i="8" s="1"/>
  <c r="K30" i="13" s="1"/>
  <c r="G14" i="8"/>
  <c r="K51" i="13" s="1"/>
  <c r="E7" i="8"/>
  <c r="F7" i="8"/>
  <c r="A10" i="8"/>
  <c r="I4" i="13"/>
  <c r="J2" i="8"/>
  <c r="J3" i="8"/>
  <c r="J4" i="8"/>
  <c r="R21" i="12"/>
  <c r="R22" i="12" s="1"/>
  <c r="R23" i="12" s="1"/>
  <c r="R24" i="12" s="1"/>
  <c r="R25" i="12" s="1"/>
  <c r="R26" i="12" s="1"/>
  <c r="R27" i="12" s="1"/>
  <c r="R28" i="12" s="1"/>
  <c r="R29" i="12" s="1"/>
  <c r="G7" i="8" l="1"/>
  <c r="A11" i="8"/>
  <c r="E8" i="8"/>
  <c r="F8" i="8"/>
  <c r="J4" i="13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K3" i="8"/>
  <c r="J1" i="8"/>
  <c r="B10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49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126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73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96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102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38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15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BA15" i="3"/>
  <c r="B9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50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AY45" i="3"/>
  <c r="AZ45" i="3"/>
  <c r="BA45" i="3"/>
  <c r="AY85" i="3"/>
  <c r="AZ85" i="3"/>
  <c r="BA85" i="3"/>
  <c r="AY56" i="3"/>
  <c r="AZ56" i="3"/>
  <c r="BA56" i="3"/>
  <c r="AY64" i="3"/>
  <c r="AZ64" i="3"/>
  <c r="BA64" i="3"/>
  <c r="AY110" i="3"/>
  <c r="AZ110" i="3"/>
  <c r="BA110" i="3"/>
  <c r="AY111" i="3"/>
  <c r="AZ111" i="3"/>
  <c r="BA111" i="3"/>
  <c r="AY59" i="3"/>
  <c r="AZ59" i="3"/>
  <c r="BA59" i="3"/>
  <c r="AY83" i="3"/>
  <c r="AZ83" i="3"/>
  <c r="BA83" i="3"/>
  <c r="AY103" i="3"/>
  <c r="AZ103" i="3"/>
  <c r="BA103" i="3"/>
  <c r="AY21" i="3"/>
  <c r="AZ21" i="3"/>
  <c r="BA21" i="3"/>
  <c r="AY19" i="3"/>
  <c r="AZ19" i="3"/>
  <c r="BA19" i="3"/>
  <c r="AY74" i="3"/>
  <c r="AZ74" i="3"/>
  <c r="BA74" i="3"/>
  <c r="AY26" i="3"/>
  <c r="AZ26" i="3"/>
  <c r="BA26" i="3"/>
  <c r="AY99" i="3"/>
  <c r="AZ99" i="3"/>
  <c r="BA99" i="3"/>
  <c r="AY62" i="3"/>
  <c r="AZ62" i="3"/>
  <c r="BA62" i="3"/>
  <c r="AY18" i="3"/>
  <c r="AZ18" i="3"/>
  <c r="BA18" i="3"/>
  <c r="AY112" i="3"/>
  <c r="AZ112" i="3"/>
  <c r="BA112" i="3"/>
  <c r="AY100" i="3"/>
  <c r="AZ100" i="3"/>
  <c r="BA100" i="3"/>
  <c r="AY77" i="3"/>
  <c r="AZ77" i="3"/>
  <c r="BA77" i="3"/>
  <c r="AY29" i="3"/>
  <c r="AZ29" i="3"/>
  <c r="BA29" i="3"/>
  <c r="AY53" i="3"/>
  <c r="AZ53" i="3"/>
  <c r="BA53" i="3"/>
  <c r="AY67" i="3"/>
  <c r="AZ67" i="3"/>
  <c r="BA67" i="3"/>
  <c r="AY104" i="3"/>
  <c r="AZ104" i="3"/>
  <c r="BA104" i="3"/>
  <c r="AY91" i="3"/>
  <c r="AZ91" i="3"/>
  <c r="BA91" i="3"/>
  <c r="AY105" i="3"/>
  <c r="AZ105" i="3"/>
  <c r="BA105" i="3"/>
  <c r="AY24" i="3"/>
  <c r="AZ24" i="3"/>
  <c r="BA24" i="3"/>
  <c r="AY113" i="3"/>
  <c r="AZ113" i="3"/>
  <c r="BA113" i="3"/>
  <c r="AY52" i="3"/>
  <c r="AZ52" i="3"/>
  <c r="BA52" i="3"/>
  <c r="AY2" i="3"/>
  <c r="AZ2" i="3"/>
  <c r="BA2" i="3"/>
  <c r="AY78" i="3"/>
  <c r="AZ78" i="3"/>
  <c r="BA78" i="3"/>
  <c r="AY106" i="3"/>
  <c r="AZ106" i="3"/>
  <c r="BA106" i="3"/>
  <c r="AY68" i="3"/>
  <c r="AZ68" i="3"/>
  <c r="BA68" i="3"/>
  <c r="AY114" i="3"/>
  <c r="AZ114" i="3"/>
  <c r="BA114" i="3"/>
  <c r="AY57" i="3"/>
  <c r="AZ57" i="3"/>
  <c r="BA57" i="3"/>
  <c r="AY17" i="3"/>
  <c r="AZ17" i="3"/>
  <c r="BA17" i="3"/>
  <c r="AY97" i="3"/>
  <c r="AZ97" i="3"/>
  <c r="BA97" i="3"/>
  <c r="AY75" i="3"/>
  <c r="AZ75" i="3"/>
  <c r="BA75" i="3"/>
  <c r="AY30" i="3"/>
  <c r="AZ30" i="3"/>
  <c r="BA30" i="3"/>
  <c r="AY13" i="3"/>
  <c r="AZ13" i="3"/>
  <c r="BA13" i="3"/>
  <c r="AY92" i="3"/>
  <c r="AZ92" i="3"/>
  <c r="BA92" i="3"/>
  <c r="AY71" i="3"/>
  <c r="AZ71" i="3"/>
  <c r="BA71" i="3"/>
  <c r="AY40" i="3"/>
  <c r="AZ40" i="3"/>
  <c r="BA40" i="3"/>
  <c r="AY43" i="3"/>
  <c r="AZ43" i="3"/>
  <c r="BA43" i="3"/>
  <c r="AY115" i="3"/>
  <c r="AZ115" i="3"/>
  <c r="BA115" i="3"/>
  <c r="AY28" i="3"/>
  <c r="AZ28" i="3"/>
  <c r="BA28" i="3"/>
  <c r="AY8" i="3"/>
  <c r="AZ8" i="3"/>
  <c r="BA8" i="3"/>
  <c r="AY93" i="3"/>
  <c r="AZ93" i="3"/>
  <c r="BA93" i="3"/>
  <c r="AY65" i="3"/>
  <c r="AZ65" i="3"/>
  <c r="BA65" i="3"/>
  <c r="AY7" i="3"/>
  <c r="AZ7" i="3"/>
  <c r="BA7" i="3"/>
  <c r="AY25" i="3"/>
  <c r="AZ25" i="3"/>
  <c r="BA25" i="3"/>
  <c r="AY116" i="3"/>
  <c r="AZ116" i="3"/>
  <c r="BA116" i="3"/>
  <c r="AY117" i="3"/>
  <c r="AZ117" i="3"/>
  <c r="BA117" i="3"/>
  <c r="AY118" i="3"/>
  <c r="AZ118" i="3"/>
  <c r="BA118" i="3"/>
  <c r="AY119" i="3"/>
  <c r="AZ119" i="3"/>
  <c r="BA119" i="3"/>
  <c r="AY107" i="3"/>
  <c r="AZ107" i="3"/>
  <c r="BA107" i="3"/>
  <c r="AY69" i="3"/>
  <c r="AZ69" i="3"/>
  <c r="BA69" i="3"/>
  <c r="AY32" i="3"/>
  <c r="AZ32" i="3"/>
  <c r="BA32" i="3"/>
  <c r="AY39" i="3"/>
  <c r="AZ39" i="3"/>
  <c r="BA39" i="3"/>
  <c r="AY46" i="3"/>
  <c r="AZ46" i="3"/>
  <c r="BA46" i="3"/>
  <c r="AY4" i="3"/>
  <c r="AZ4" i="3"/>
  <c r="BA4" i="3"/>
  <c r="AY34" i="3"/>
  <c r="AZ34" i="3"/>
  <c r="BA34" i="3"/>
  <c r="AY35" i="3"/>
  <c r="AZ35" i="3"/>
  <c r="BA35" i="3"/>
  <c r="AY27" i="3"/>
  <c r="AZ27" i="3"/>
  <c r="BA27" i="3"/>
  <c r="AY3" i="3"/>
  <c r="AZ3" i="3"/>
  <c r="BA3" i="3"/>
  <c r="AY84" i="3"/>
  <c r="AZ84" i="3"/>
  <c r="BA84" i="3"/>
  <c r="AY16" i="3"/>
  <c r="AZ16" i="3"/>
  <c r="BA16" i="3"/>
  <c r="AY120" i="3"/>
  <c r="AZ120" i="3"/>
  <c r="BA120" i="3"/>
  <c r="AY98" i="3"/>
  <c r="AZ98" i="3"/>
  <c r="BA98" i="3"/>
  <c r="AY121" i="3"/>
  <c r="AZ121" i="3"/>
  <c r="BA121" i="3"/>
  <c r="AY5" i="3"/>
  <c r="AZ5" i="3"/>
  <c r="BA5" i="3"/>
  <c r="AY41" i="3"/>
  <c r="AZ41" i="3"/>
  <c r="BA41" i="3"/>
  <c r="AY72" i="3"/>
  <c r="AZ72" i="3"/>
  <c r="BA72" i="3"/>
  <c r="AY44" i="3"/>
  <c r="AZ44" i="3"/>
  <c r="BA44" i="3"/>
  <c r="AY122" i="3"/>
  <c r="AZ122" i="3"/>
  <c r="BA122" i="3"/>
  <c r="AY87" i="3"/>
  <c r="AZ87" i="3"/>
  <c r="BA87" i="3"/>
  <c r="AY55" i="3"/>
  <c r="AZ55" i="3"/>
  <c r="BA55" i="3"/>
  <c r="AY23" i="3"/>
  <c r="AZ23" i="3"/>
  <c r="BA23" i="3"/>
  <c r="AY82" i="3"/>
  <c r="AZ82" i="3"/>
  <c r="BA82" i="3"/>
  <c r="AY79" i="3"/>
  <c r="AZ79" i="3"/>
  <c r="BA79" i="3"/>
  <c r="AY101" i="3"/>
  <c r="AZ101" i="3"/>
  <c r="BA101" i="3"/>
  <c r="AY80" i="3"/>
  <c r="AZ80" i="3"/>
  <c r="BA80" i="3"/>
  <c r="AY88" i="3"/>
  <c r="AZ88" i="3"/>
  <c r="BA88" i="3"/>
  <c r="AY108" i="3"/>
  <c r="AZ108" i="3"/>
  <c r="BA108" i="3"/>
  <c r="AY123" i="3"/>
  <c r="AZ123" i="3"/>
  <c r="BA123" i="3"/>
  <c r="AY86" i="3"/>
  <c r="AZ86" i="3"/>
  <c r="BA86" i="3"/>
  <c r="AY124" i="3"/>
  <c r="AZ124" i="3"/>
  <c r="BA124" i="3"/>
  <c r="AY14" i="3"/>
  <c r="AZ14" i="3"/>
  <c r="BA14" i="3"/>
  <c r="AY94" i="3"/>
  <c r="AZ94" i="3"/>
  <c r="BA94" i="3"/>
  <c r="AY109" i="3"/>
  <c r="AZ109" i="3"/>
  <c r="BA109" i="3"/>
  <c r="AY76" i="3"/>
  <c r="AZ76" i="3"/>
  <c r="BA76" i="3"/>
  <c r="AY11" i="3"/>
  <c r="AZ11" i="3"/>
  <c r="BA11" i="3"/>
  <c r="AY70" i="3"/>
  <c r="AZ70" i="3"/>
  <c r="BA70" i="3"/>
  <c r="AY60" i="3"/>
  <c r="AZ60" i="3"/>
  <c r="BA60" i="3"/>
  <c r="AY63" i="3"/>
  <c r="AZ63" i="3"/>
  <c r="BA63" i="3"/>
  <c r="AY89" i="3"/>
  <c r="AZ89" i="3"/>
  <c r="BA89" i="3"/>
  <c r="AY61" i="3"/>
  <c r="AZ61" i="3"/>
  <c r="BA61" i="3"/>
  <c r="AY48" i="3"/>
  <c r="AZ48" i="3"/>
  <c r="BA48" i="3"/>
  <c r="AY47" i="3"/>
  <c r="AZ47" i="3"/>
  <c r="BA47" i="3"/>
  <c r="AY33" i="3"/>
  <c r="AZ33" i="3"/>
  <c r="BA33" i="3"/>
  <c r="AY20" i="3"/>
  <c r="AZ20" i="3"/>
  <c r="BA20" i="3"/>
  <c r="AY95" i="3"/>
  <c r="AZ95" i="3"/>
  <c r="BA95" i="3"/>
  <c r="AY36" i="3"/>
  <c r="AZ36" i="3"/>
  <c r="BA36" i="3"/>
  <c r="AY51" i="3"/>
  <c r="AZ51" i="3"/>
  <c r="BA51" i="3"/>
  <c r="AY42" i="3"/>
  <c r="AZ42" i="3"/>
  <c r="BA42" i="3"/>
  <c r="AY37" i="3"/>
  <c r="AZ37" i="3"/>
  <c r="BA37" i="3"/>
  <c r="AY81" i="3"/>
  <c r="AZ81" i="3"/>
  <c r="BA81" i="3"/>
  <c r="AY54" i="3"/>
  <c r="AZ54" i="3"/>
  <c r="BA54" i="3"/>
  <c r="AY22" i="3"/>
  <c r="AZ22" i="3"/>
  <c r="BA22" i="3"/>
  <c r="AY58" i="3"/>
  <c r="AZ58" i="3"/>
  <c r="BA58" i="3"/>
  <c r="AY31" i="3"/>
  <c r="AZ31" i="3"/>
  <c r="BA31" i="3"/>
  <c r="AY66" i="3"/>
  <c r="AZ66" i="3"/>
  <c r="BA66" i="3"/>
  <c r="AY6" i="3"/>
  <c r="AZ6" i="3"/>
  <c r="BA6" i="3"/>
  <c r="AY90" i="3"/>
  <c r="AZ90" i="3"/>
  <c r="BA90" i="3"/>
  <c r="AY125" i="3"/>
  <c r="AZ125" i="3"/>
  <c r="BA125" i="3"/>
  <c r="AY12" i="3"/>
  <c r="AZ12" i="3"/>
  <c r="BA12" i="3"/>
  <c r="B85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B56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B64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B110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B111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B59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B83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B10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B21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B19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B74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B26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B99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B62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B18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B112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B100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B77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B29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B53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B67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B104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B91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B105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B24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B113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B52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B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X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B78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B106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B68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B114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B57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B1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B9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B75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B30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B13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B92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B71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B40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B43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B115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B28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B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B93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B65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B7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B25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B116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B117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B118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B119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B107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B69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B32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B39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B46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B4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B3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B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B27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B3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B84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B16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B120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B98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B121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B5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B41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B72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B44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B122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B87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B55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B23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B82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B79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B101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B80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B88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B10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B123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B86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B124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B1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B9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B109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B76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B11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B70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B6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B63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B89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B61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B48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B47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B33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B20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B95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B36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B51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B42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B37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B81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B54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B22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B58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B31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B66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B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B90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B125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B12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C45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B45" i="3"/>
  <c r="E61" i="14" l="1"/>
  <c r="E51" i="14"/>
  <c r="F15" i="14"/>
  <c r="E55" i="14"/>
  <c r="F4" i="8"/>
  <c r="G4" i="8" s="1"/>
  <c r="L3" i="8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F3" i="8"/>
  <c r="E4" i="8"/>
  <c r="D4" i="8"/>
  <c r="G8" i="8"/>
  <c r="K43" i="13" s="1"/>
  <c r="A12" i="8"/>
  <c r="E9" i="8"/>
  <c r="F9" i="8"/>
  <c r="F125" i="14"/>
  <c r="F81" i="14"/>
  <c r="E47" i="14"/>
  <c r="F47" i="14"/>
  <c r="I49" i="13" s="1"/>
  <c r="J49" i="13" s="1"/>
  <c r="F76" i="14"/>
  <c r="F88" i="14"/>
  <c r="F122" i="14"/>
  <c r="E16" i="14"/>
  <c r="F16" i="14"/>
  <c r="I48" i="13" s="1"/>
  <c r="J48" i="13" s="1"/>
  <c r="E39" i="14"/>
  <c r="F39" i="14"/>
  <c r="I60" i="13" s="1"/>
  <c r="J60" i="13" s="1"/>
  <c r="E25" i="14"/>
  <c r="F25" i="14"/>
  <c r="I56" i="13" s="1"/>
  <c r="J56" i="13" s="1"/>
  <c r="E40" i="14"/>
  <c r="F40" i="14"/>
  <c r="F57" i="14"/>
  <c r="I62" i="13" s="1"/>
  <c r="J62" i="13" s="1"/>
  <c r="L62" i="13" s="1"/>
  <c r="E24" i="14"/>
  <c r="F24" i="14"/>
  <c r="F100" i="14"/>
  <c r="E21" i="14"/>
  <c r="F21" i="14"/>
  <c r="F85" i="14"/>
  <c r="F90" i="14"/>
  <c r="E37" i="14"/>
  <c r="F37" i="14"/>
  <c r="E48" i="14"/>
  <c r="F48" i="14"/>
  <c r="F109" i="14"/>
  <c r="F80" i="14"/>
  <c r="E44" i="14"/>
  <c r="F44" i="14"/>
  <c r="F84" i="14"/>
  <c r="E32" i="14"/>
  <c r="F32" i="14"/>
  <c r="I46" i="13" s="1"/>
  <c r="J46" i="13" s="1"/>
  <c r="E7" i="14"/>
  <c r="F7" i="14"/>
  <c r="I31" i="13" s="1"/>
  <c r="J31" i="13" s="1"/>
  <c r="F71" i="14"/>
  <c r="F114" i="14"/>
  <c r="F105" i="14"/>
  <c r="F112" i="14"/>
  <c r="F103" i="14"/>
  <c r="E9" i="14"/>
  <c r="F9" i="14"/>
  <c r="I30" i="13" s="1"/>
  <c r="J30" i="13" s="1"/>
  <c r="E6" i="14"/>
  <c r="F6" i="14"/>
  <c r="I43" i="13" s="1"/>
  <c r="J43" i="13" s="1"/>
  <c r="E42" i="14"/>
  <c r="F42" i="14"/>
  <c r="F61" i="14"/>
  <c r="F94" i="14"/>
  <c r="F101" i="14"/>
  <c r="F72" i="14"/>
  <c r="I44" i="13" s="1"/>
  <c r="J44" i="13" s="1"/>
  <c r="L44" i="13" s="1"/>
  <c r="E3" i="14"/>
  <c r="F3" i="14"/>
  <c r="I38" i="13" s="1"/>
  <c r="J38" i="13" s="1"/>
  <c r="F69" i="14"/>
  <c r="I37" i="13" s="1"/>
  <c r="J37" i="13" s="1"/>
  <c r="L37" i="13" s="1"/>
  <c r="F65" i="14"/>
  <c r="F92" i="14"/>
  <c r="F68" i="14"/>
  <c r="F91" i="14"/>
  <c r="E18" i="14"/>
  <c r="F18" i="14"/>
  <c r="I34" i="13" s="1"/>
  <c r="J34" i="13" s="1"/>
  <c r="F83" i="14"/>
  <c r="F66" i="14"/>
  <c r="F51" i="14"/>
  <c r="F89" i="14"/>
  <c r="E14" i="14"/>
  <c r="F14" i="14"/>
  <c r="I53" i="13" s="1"/>
  <c r="J53" i="13" s="1"/>
  <c r="F79" i="14"/>
  <c r="E41" i="14"/>
  <c r="F41" i="14"/>
  <c r="E27" i="14"/>
  <c r="F27" i="14"/>
  <c r="F107" i="14"/>
  <c r="F93" i="14"/>
  <c r="E13" i="14"/>
  <c r="F13" i="14"/>
  <c r="I50" i="13" s="1"/>
  <c r="J50" i="13" s="1"/>
  <c r="F106" i="14"/>
  <c r="F104" i="14"/>
  <c r="F62" i="14"/>
  <c r="F59" i="14"/>
  <c r="E15" i="14"/>
  <c r="F102" i="14"/>
  <c r="F73" i="14"/>
  <c r="F49" i="14"/>
  <c r="E31" i="14"/>
  <c r="F31" i="14"/>
  <c r="I54" i="13" s="1"/>
  <c r="J54" i="13" s="1"/>
  <c r="E36" i="14"/>
  <c r="F36" i="14"/>
  <c r="F63" i="14"/>
  <c r="F124" i="14"/>
  <c r="F82" i="14"/>
  <c r="E5" i="14"/>
  <c r="F5" i="14"/>
  <c r="I42" i="13" s="1"/>
  <c r="E35" i="14"/>
  <c r="F35" i="14"/>
  <c r="I52" i="13" s="1"/>
  <c r="J52" i="13" s="1"/>
  <c r="F119" i="14"/>
  <c r="E8" i="14"/>
  <c r="F8" i="14"/>
  <c r="I39" i="13" s="1"/>
  <c r="J39" i="13" s="1"/>
  <c r="E30" i="14"/>
  <c r="F30" i="14"/>
  <c r="I40" i="13" s="1"/>
  <c r="J40" i="13" s="1"/>
  <c r="L40" i="13" s="1"/>
  <c r="F78" i="14"/>
  <c r="F67" i="14"/>
  <c r="I63" i="13" s="1"/>
  <c r="J63" i="13" s="1"/>
  <c r="L63" i="13" s="1"/>
  <c r="F99" i="14"/>
  <c r="F111" i="14"/>
  <c r="F58" i="14"/>
  <c r="I45" i="13" s="1"/>
  <c r="J45" i="13" s="1"/>
  <c r="L45" i="13" s="1"/>
  <c r="F95" i="14"/>
  <c r="E60" i="14"/>
  <c r="F60" i="14"/>
  <c r="F86" i="14"/>
  <c r="E23" i="14"/>
  <c r="F23" i="14"/>
  <c r="F121" i="14"/>
  <c r="E34" i="14"/>
  <c r="F34" i="14"/>
  <c r="F118" i="14"/>
  <c r="E28" i="14"/>
  <c r="F28" i="14"/>
  <c r="I55" i="13" s="1"/>
  <c r="J55" i="13" s="1"/>
  <c r="F75" i="14"/>
  <c r="E2" i="14"/>
  <c r="F2" i="14"/>
  <c r="I59" i="13" s="1"/>
  <c r="J59" i="13" s="1"/>
  <c r="F53" i="14"/>
  <c r="E26" i="14"/>
  <c r="F26" i="14"/>
  <c r="F110" i="14"/>
  <c r="F50" i="14"/>
  <c r="E45" i="14"/>
  <c r="F45" i="14"/>
  <c r="E22" i="14"/>
  <c r="F22" i="14"/>
  <c r="E20" i="14"/>
  <c r="F20" i="14"/>
  <c r="F70" i="14"/>
  <c r="F123" i="14"/>
  <c r="F55" i="14"/>
  <c r="I32" i="13" s="1"/>
  <c r="J32" i="13" s="1"/>
  <c r="F98" i="14"/>
  <c r="E4" i="14"/>
  <c r="F4" i="14"/>
  <c r="F117" i="14"/>
  <c r="F115" i="14"/>
  <c r="F97" i="14"/>
  <c r="E52" i="14"/>
  <c r="G3" i="13" s="1"/>
  <c r="F52" i="14"/>
  <c r="I61" i="13" s="1"/>
  <c r="J61" i="13" s="1"/>
  <c r="E29" i="14"/>
  <c r="F29" i="14"/>
  <c r="F74" i="14"/>
  <c r="F64" i="14"/>
  <c r="E12" i="14"/>
  <c r="F12" i="14"/>
  <c r="I57" i="13" s="1"/>
  <c r="J57" i="13" s="1"/>
  <c r="F54" i="14"/>
  <c r="E33" i="14"/>
  <c r="F33" i="14"/>
  <c r="I58" i="13" s="1"/>
  <c r="J58" i="13" s="1"/>
  <c r="E11" i="14"/>
  <c r="F11" i="14"/>
  <c r="I47" i="13" s="1"/>
  <c r="J47" i="13" s="1"/>
  <c r="F108" i="14"/>
  <c r="F87" i="14"/>
  <c r="I35" i="13" s="1"/>
  <c r="J35" i="13" s="1"/>
  <c r="F120" i="14"/>
  <c r="E46" i="14"/>
  <c r="F46" i="14"/>
  <c r="F116" i="14"/>
  <c r="E43" i="14"/>
  <c r="F43" i="14"/>
  <c r="I36" i="13" s="1"/>
  <c r="J36" i="13" s="1"/>
  <c r="E17" i="14"/>
  <c r="F17" i="14"/>
  <c r="F113" i="14"/>
  <c r="F77" i="14"/>
  <c r="E19" i="14"/>
  <c r="F19" i="14"/>
  <c r="I33" i="13" s="1"/>
  <c r="J33" i="13" s="1"/>
  <c r="F56" i="14"/>
  <c r="F38" i="14"/>
  <c r="F96" i="14"/>
  <c r="E126" i="14"/>
  <c r="E10" i="14"/>
  <c r="F10" i="14"/>
  <c r="I41" i="13" s="1"/>
  <c r="J41" i="13" s="1"/>
  <c r="K1" i="8"/>
  <c r="K4" i="13"/>
  <c r="D2" i="8"/>
  <c r="E3" i="8" l="1"/>
  <c r="G3" i="8" s="1"/>
  <c r="D3" i="8"/>
  <c r="G9" i="8"/>
  <c r="K31" i="13" s="1"/>
  <c r="F10" i="8"/>
  <c r="A13" i="8"/>
  <c r="E10" i="8"/>
  <c r="J42" i="13"/>
  <c r="L42" i="13" s="1"/>
  <c r="L1" i="8"/>
  <c r="L4" i="13"/>
  <c r="G10" i="8" l="1"/>
  <c r="A14" i="8"/>
  <c r="E11" i="8"/>
  <c r="F11" i="8"/>
  <c r="M1" i="8"/>
  <c r="M4" i="13"/>
  <c r="G11" i="8" l="1"/>
  <c r="K39" i="13" s="1"/>
  <c r="F13" i="8"/>
  <c r="A15" i="8"/>
  <c r="E13" i="8"/>
  <c r="N1" i="8"/>
  <c r="N4" i="13"/>
  <c r="G13" i="8" l="1"/>
  <c r="K41" i="13" s="1"/>
  <c r="E15" i="8"/>
  <c r="F15" i="8"/>
  <c r="A16" i="8"/>
  <c r="O1" i="8"/>
  <c r="O4" i="13"/>
  <c r="G15" i="8" l="1"/>
  <c r="K53" i="13" s="1"/>
  <c r="F16" i="8"/>
  <c r="A17" i="8"/>
  <c r="E16" i="8"/>
  <c r="P1" i="8"/>
  <c r="P4" i="13"/>
  <c r="G16" i="8" l="1"/>
  <c r="K47" i="13" s="1"/>
  <c r="F17" i="8"/>
  <c r="E17" i="8"/>
  <c r="A18" i="8"/>
  <c r="Q1" i="8"/>
  <c r="Q4" i="13"/>
  <c r="G17" i="8" l="1"/>
  <c r="K33" i="13" s="1"/>
  <c r="A19" i="8"/>
  <c r="E18" i="8"/>
  <c r="F18" i="8"/>
  <c r="R1" i="8"/>
  <c r="R4" i="13"/>
  <c r="G18" i="8" l="1"/>
  <c r="K34" i="13" s="1"/>
  <c r="A20" i="8"/>
  <c r="E19" i="8"/>
  <c r="F19" i="8"/>
  <c r="S1" i="8"/>
  <c r="S4" i="13"/>
  <c r="G19" i="8" l="1"/>
  <c r="K57" i="13" s="1"/>
  <c r="E20" i="8"/>
  <c r="A21" i="8"/>
  <c r="F20" i="8"/>
  <c r="T1" i="8"/>
  <c r="U1" i="8" s="1"/>
  <c r="V1" i="8" s="1"/>
  <c r="W1" i="8" s="1"/>
  <c r="X1" i="8" s="1"/>
  <c r="Y1" i="8" s="1"/>
  <c r="Z1" i="8" s="1"/>
  <c r="AA1" i="8" s="1"/>
  <c r="AB1" i="8" s="1"/>
  <c r="AC1" i="8" s="1"/>
  <c r="AD1" i="8" s="1"/>
  <c r="AE1" i="8" s="1"/>
  <c r="AF1" i="8" s="1"/>
  <c r="AG1" i="8" s="1"/>
  <c r="AH1" i="8" s="1"/>
  <c r="AI1" i="8" s="1"/>
  <c r="AJ1" i="8" s="1"/>
  <c r="AK1" i="8" s="1"/>
  <c r="AL1" i="8" s="1"/>
  <c r="AM1" i="8" s="1"/>
  <c r="AN1" i="8" s="1"/>
  <c r="AO1" i="8" s="1"/>
  <c r="AP1" i="8" s="1"/>
  <c r="AQ1" i="8" s="1"/>
  <c r="AR1" i="8" s="1"/>
  <c r="AS1" i="8" s="1"/>
  <c r="AT1" i="8" s="1"/>
  <c r="AU1" i="8" s="1"/>
  <c r="AV1" i="8" s="1"/>
  <c r="AW1" i="8" s="1"/>
  <c r="AX1" i="8" s="1"/>
  <c r="AY1" i="8" s="1"/>
  <c r="AZ1" i="8" s="1"/>
  <c r="BA1" i="8" s="1"/>
  <c r="BB1" i="8" s="1"/>
  <c r="BC1" i="8" s="1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F2" i="8"/>
  <c r="G2" i="8" s="1"/>
  <c r="E2" i="8"/>
  <c r="T4" i="13"/>
  <c r="G20" i="8" l="1"/>
  <c r="A22" i="8"/>
  <c r="E21" i="8"/>
  <c r="F21" i="8"/>
  <c r="L35" i="13"/>
  <c r="U4" i="13"/>
  <c r="K50" i="13" l="1"/>
  <c r="L50" i="13" s="1"/>
  <c r="G21" i="8"/>
  <c r="E22" i="8"/>
  <c r="F22" i="8"/>
  <c r="A23" i="8"/>
  <c r="L53" i="13"/>
  <c r="L57" i="13"/>
  <c r="L31" i="13"/>
  <c r="L30" i="13"/>
  <c r="L43" i="13"/>
  <c r="L38" i="13"/>
  <c r="L39" i="13"/>
  <c r="L33" i="13"/>
  <c r="L34" i="13"/>
  <c r="V4" i="13"/>
  <c r="K48" i="13" l="1"/>
  <c r="L48" i="13" s="1"/>
  <c r="G22" i="8"/>
  <c r="A24" i="8"/>
  <c r="E23" i="8"/>
  <c r="F23" i="8"/>
  <c r="L41" i="13"/>
  <c r="L47" i="13"/>
  <c r="L59" i="13"/>
  <c r="W4" i="13"/>
  <c r="G23" i="8" l="1"/>
  <c r="E24" i="8"/>
  <c r="F24" i="8"/>
  <c r="A25" i="8"/>
  <c r="X4" i="13"/>
  <c r="G24" i="8" l="1"/>
  <c r="E25" i="8"/>
  <c r="F25" i="8"/>
  <c r="A26" i="8"/>
  <c r="Y4" i="13"/>
  <c r="G25" i="8" l="1"/>
  <c r="A27" i="8"/>
  <c r="E26" i="8"/>
  <c r="F26" i="8"/>
  <c r="Z4" i="13"/>
  <c r="G26" i="8" l="1"/>
  <c r="F27" i="8"/>
  <c r="A28" i="8"/>
  <c r="E27" i="8"/>
  <c r="AA4" i="13"/>
  <c r="K58" i="13" l="1"/>
  <c r="L58" i="13" s="1"/>
  <c r="G27" i="8"/>
  <c r="F28" i="8"/>
  <c r="A29" i="8"/>
  <c r="E28" i="8"/>
  <c r="AB4" i="13"/>
  <c r="G28" i="8" l="1"/>
  <c r="F29" i="8"/>
  <c r="A30" i="8"/>
  <c r="E29" i="8"/>
  <c r="AC4" i="13"/>
  <c r="G29" i="8" l="1"/>
  <c r="F30" i="8"/>
  <c r="E30" i="8"/>
  <c r="A31" i="8"/>
  <c r="AD4" i="13"/>
  <c r="K56" i="13" l="1"/>
  <c r="L56" i="13" s="1"/>
  <c r="G30" i="8"/>
  <c r="F31" i="8"/>
  <c r="A32" i="8"/>
  <c r="E31" i="8"/>
  <c r="AE4" i="13"/>
  <c r="G31" i="8" l="1"/>
  <c r="E32" i="8"/>
  <c r="F32" i="8"/>
  <c r="A33" i="8"/>
  <c r="AF4" i="13"/>
  <c r="K55" i="13" l="1"/>
  <c r="L55" i="13" s="1"/>
  <c r="G32" i="8"/>
  <c r="F33" i="8"/>
  <c r="A34" i="8"/>
  <c r="E33" i="8"/>
  <c r="AG4" i="13"/>
  <c r="G33" i="8" l="1"/>
  <c r="A35" i="8"/>
  <c r="E34" i="8"/>
  <c r="F34" i="8"/>
  <c r="AH4" i="13"/>
  <c r="K54" i="13" l="1"/>
  <c r="L54" i="13" s="1"/>
  <c r="G34" i="8"/>
  <c r="A36" i="8"/>
  <c r="E35" i="8"/>
  <c r="F35" i="8"/>
  <c r="AI4" i="13"/>
  <c r="G35" i="8" l="1"/>
  <c r="A37" i="8"/>
  <c r="E37" i="8"/>
  <c r="F37" i="8"/>
  <c r="AJ4" i="13"/>
  <c r="K49" i="13" l="1"/>
  <c r="L49" i="13" s="1"/>
  <c r="G37" i="8"/>
  <c r="E38" i="8"/>
  <c r="F38" i="8"/>
  <c r="A38" i="8"/>
  <c r="AK4" i="13"/>
  <c r="G38" i="8" l="1"/>
  <c r="A39" i="8"/>
  <c r="E39" i="8"/>
  <c r="F39" i="8"/>
  <c r="AL4" i="13"/>
  <c r="K36" i="13" l="1"/>
  <c r="L36" i="13" s="1"/>
  <c r="G39" i="8"/>
  <c r="E40" i="8"/>
  <c r="F40" i="8"/>
  <c r="A40" i="8"/>
  <c r="AM4" i="13"/>
  <c r="K52" i="13" l="1"/>
  <c r="L52" i="13" s="1"/>
  <c r="G40" i="8"/>
  <c r="E42" i="8"/>
  <c r="A41" i="8"/>
  <c r="F42" i="8"/>
  <c r="AN4" i="13"/>
  <c r="K46" i="13" l="1"/>
  <c r="L46" i="13" s="1"/>
  <c r="G42" i="8"/>
  <c r="E43" i="8"/>
  <c r="F43" i="8"/>
  <c r="A42" i="8"/>
  <c r="AO4" i="13"/>
  <c r="G43" i="8" l="1"/>
  <c r="A43" i="8"/>
  <c r="E44" i="8"/>
  <c r="F44" i="8"/>
  <c r="AP4" i="13"/>
  <c r="G44" i="8" l="1"/>
  <c r="F45" i="8"/>
  <c r="A44" i="8"/>
  <c r="E45" i="8"/>
  <c r="AQ4" i="13"/>
  <c r="G45" i="8" l="1"/>
  <c r="F46" i="8"/>
  <c r="A45" i="8"/>
  <c r="E46" i="8"/>
  <c r="AR4" i="13"/>
  <c r="G46" i="8" l="1"/>
  <c r="F47" i="8"/>
  <c r="A46" i="8"/>
  <c r="E47" i="8"/>
  <c r="AS4" i="13"/>
  <c r="G47" i="8" l="1"/>
  <c r="E48" i="8"/>
  <c r="F48" i="8"/>
  <c r="A47" i="8"/>
  <c r="AT4" i="13"/>
  <c r="G48" i="8" l="1"/>
  <c r="E49" i="8"/>
  <c r="A48" i="8"/>
  <c r="F49" i="8"/>
  <c r="AU4" i="13"/>
  <c r="G49" i="8" l="1"/>
  <c r="E51" i="8"/>
  <c r="F51" i="8"/>
  <c r="A49" i="8"/>
  <c r="AV4" i="13"/>
  <c r="K60" i="13" l="1"/>
  <c r="L60" i="13" s="1"/>
  <c r="G51" i="8"/>
  <c r="E52" i="8"/>
  <c r="F52" i="8"/>
  <c r="A50" i="8"/>
  <c r="AW4" i="13"/>
  <c r="G52" i="8" l="1"/>
  <c r="A51" i="8"/>
  <c r="E55" i="8"/>
  <c r="F55" i="8"/>
  <c r="AX4" i="13"/>
  <c r="G55" i="8" l="1"/>
  <c r="A52" i="8"/>
  <c r="E36" i="8"/>
  <c r="F36" i="8"/>
  <c r="AY4" i="13"/>
  <c r="G36" i="8" l="1"/>
  <c r="A53" i="8"/>
  <c r="E41" i="8"/>
  <c r="F41" i="8"/>
  <c r="AZ4" i="13"/>
  <c r="G41" i="8" l="1"/>
  <c r="A54" i="8"/>
  <c r="F50" i="8"/>
  <c r="E50" i="8"/>
  <c r="BA4" i="13"/>
  <c r="K61" i="13" l="1"/>
  <c r="L61" i="13" s="1"/>
  <c r="G50" i="8"/>
  <c r="F53" i="8"/>
  <c r="E53" i="8"/>
  <c r="A55" i="8"/>
  <c r="BB4" i="13"/>
  <c r="K32" i="13" l="1"/>
  <c r="L32" i="13" s="1"/>
  <c r="G53" i="8"/>
  <c r="F54" i="8"/>
  <c r="E54" i="8"/>
  <c r="A56" i="8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BC4" i="13"/>
  <c r="G54" i="8" l="1"/>
  <c r="B126" i="14" s="1"/>
  <c r="BD4" i="13"/>
  <c r="B2" i="13" l="1"/>
  <c r="G5" i="13" s="1"/>
  <c r="I51" i="13"/>
  <c r="J51" i="13" s="1"/>
  <c r="L51" i="13" s="1"/>
  <c r="C28" i="13"/>
  <c r="BE4" i="13"/>
  <c r="C23" i="13" l="1"/>
  <c r="C24" i="15" s="1"/>
  <c r="C22" i="13"/>
  <c r="C22" i="15" s="1"/>
  <c r="C4" i="13"/>
  <c r="C8" i="13"/>
  <c r="C16" i="15" s="1"/>
  <c r="C7" i="13"/>
  <c r="C14" i="15" s="1"/>
  <c r="BD5" i="13"/>
  <c r="C18" i="13"/>
  <c r="C20" i="13" s="1"/>
  <c r="C15" i="13"/>
  <c r="BE5" i="13"/>
  <c r="D28" i="13"/>
  <c r="H3" i="13"/>
  <c r="G23" i="13"/>
  <c r="B34" i="13"/>
  <c r="B29" i="15" s="1"/>
  <c r="B33" i="13"/>
  <c r="H5" i="13"/>
  <c r="I5" i="13"/>
  <c r="J5" i="13"/>
  <c r="K5" i="13"/>
  <c r="L5" i="13"/>
  <c r="C11" i="13"/>
  <c r="C20" i="15" s="1"/>
  <c r="M5" i="13"/>
  <c r="N5" i="13"/>
  <c r="O5" i="13"/>
  <c r="P5" i="13"/>
  <c r="Q5" i="13"/>
  <c r="R5" i="13"/>
  <c r="S5" i="13"/>
  <c r="T5" i="13"/>
  <c r="U5" i="13"/>
  <c r="V5" i="13"/>
  <c r="W5" i="13"/>
  <c r="X5" i="13"/>
  <c r="Y5" i="13"/>
  <c r="Z5" i="13"/>
  <c r="AA5" i="13"/>
  <c r="AB5" i="13"/>
  <c r="AC5" i="13"/>
  <c r="AD5" i="13"/>
  <c r="AE5" i="13"/>
  <c r="AF5" i="13"/>
  <c r="AG5" i="13"/>
  <c r="AH5" i="13"/>
  <c r="AI5" i="13"/>
  <c r="AJ5" i="13"/>
  <c r="AK5" i="13"/>
  <c r="AL5" i="13"/>
  <c r="AM5" i="13"/>
  <c r="AN5" i="13"/>
  <c r="AO5" i="13"/>
  <c r="AP5" i="13"/>
  <c r="AQ5" i="13"/>
  <c r="AR5" i="13"/>
  <c r="AS5" i="13"/>
  <c r="AT5" i="13"/>
  <c r="AU5" i="13"/>
  <c r="AV5" i="13"/>
  <c r="AW5" i="13"/>
  <c r="AX5" i="13"/>
  <c r="AY5" i="13"/>
  <c r="AZ5" i="13"/>
  <c r="BA5" i="13"/>
  <c r="BB5" i="13"/>
  <c r="BC5" i="13"/>
  <c r="BF4" i="13"/>
  <c r="BF5" i="13" s="1"/>
  <c r="C6" i="13" l="1"/>
  <c r="G26" i="13"/>
  <c r="G27" i="13" s="1"/>
  <c r="AN17" i="13"/>
  <c r="FV17" i="13"/>
  <c r="EH17" i="13"/>
  <c r="HH17" i="13"/>
  <c r="GM17" i="13"/>
  <c r="FG17" i="13"/>
  <c r="HY17" i="13"/>
  <c r="DL17" i="13"/>
  <c r="GB17" i="13"/>
  <c r="FQ17" i="13"/>
  <c r="EC17" i="13"/>
  <c r="GC17" i="13"/>
  <c r="FZ17" i="13"/>
  <c r="EL17" i="13"/>
  <c r="IL17" i="13"/>
  <c r="FK17" i="13"/>
  <c r="DW17" i="13"/>
  <c r="GR17" i="13"/>
  <c r="CV17" i="13"/>
  <c r="BY17" i="13"/>
  <c r="CQ17" i="13"/>
  <c r="CZ17" i="13"/>
  <c r="BU17" i="13"/>
  <c r="BN17" i="13"/>
  <c r="GE17" i="13"/>
  <c r="GD17" i="13"/>
  <c r="EP17" i="13"/>
  <c r="HP17" i="13"/>
  <c r="GU17" i="13"/>
  <c r="HM17" i="13"/>
  <c r="IG17" i="13"/>
  <c r="DT17" i="13"/>
  <c r="EF17" i="13"/>
  <c r="FY17" i="13"/>
  <c r="EK17" i="13"/>
  <c r="HC17" i="13"/>
  <c r="GH17" i="13"/>
  <c r="ET17" i="13"/>
  <c r="HA17" i="13"/>
  <c r="FS17" i="13"/>
  <c r="EE17" i="13"/>
  <c r="DP17" i="13"/>
  <c r="BP17" i="13"/>
  <c r="CG17" i="13"/>
  <c r="CY17" i="13"/>
  <c r="BT17" i="13"/>
  <c r="CC17" i="13"/>
  <c r="BO17" i="13"/>
  <c r="HQ17" i="13"/>
  <c r="HG17" i="13"/>
  <c r="GL17" i="13"/>
  <c r="EX17" i="13"/>
  <c r="HX17" i="13"/>
  <c r="DK17" i="13"/>
  <c r="DX17" i="13"/>
  <c r="FP17" i="13"/>
  <c r="EB17" i="13"/>
  <c r="FM17" i="13"/>
  <c r="GG17" i="13"/>
  <c r="ES17" i="13"/>
  <c r="HK17" i="13"/>
  <c r="GP17" i="13"/>
  <c r="FB17" i="13"/>
  <c r="EG17" i="13"/>
  <c r="GA17" i="13"/>
  <c r="EM17" i="13"/>
  <c r="EV17" i="13"/>
  <c r="BX17" i="13"/>
  <c r="CE17" i="13"/>
  <c r="BS17" i="13"/>
  <c r="CB17" i="13"/>
  <c r="CK17" i="13"/>
  <c r="EY17" i="13"/>
  <c r="HO17" i="13"/>
  <c r="GT17" i="13"/>
  <c r="FF17" i="13"/>
  <c r="IF17" i="13"/>
  <c r="DS17" i="13"/>
  <c r="HV17" i="13"/>
  <c r="FX17" i="13"/>
  <c r="EJ17" i="13"/>
  <c r="EW17" i="13"/>
  <c r="GO17" i="13"/>
  <c r="FA17" i="13"/>
  <c r="HS17" i="13"/>
  <c r="GX17" i="13"/>
  <c r="HU17" i="13"/>
  <c r="HD17" i="13"/>
  <c r="GI17" i="13"/>
  <c r="EU17" i="13"/>
  <c r="ID17" i="13"/>
  <c r="CF17" i="13"/>
  <c r="CP17" i="13"/>
  <c r="CA17" i="13"/>
  <c r="CJ17" i="13"/>
  <c r="CT17" i="13"/>
  <c r="DU17" i="13"/>
  <c r="HW17" i="13"/>
  <c r="HB17" i="13"/>
  <c r="HF17" i="13"/>
  <c r="IN17" i="13"/>
  <c r="EA17" i="13"/>
  <c r="GK17" i="13"/>
  <c r="GF17" i="13"/>
  <c r="ER17" i="13"/>
  <c r="HJ17" i="13"/>
  <c r="GW17" i="13"/>
  <c r="FI17" i="13"/>
  <c r="IA17" i="13"/>
  <c r="DF17" i="13"/>
  <c r="FT17" i="13"/>
  <c r="HL17" i="13"/>
  <c r="GQ17" i="13"/>
  <c r="FC17" i="13"/>
  <c r="GS17" i="13"/>
  <c r="CM17" i="13"/>
  <c r="CX17" i="13"/>
  <c r="CI17" i="13"/>
  <c r="CU17" i="13"/>
  <c r="BV17" i="13"/>
  <c r="EO17" i="13"/>
  <c r="IE17" i="13"/>
  <c r="DJ17" i="13"/>
  <c r="FU17" i="13"/>
  <c r="FO17" i="13"/>
  <c r="EI17" i="13"/>
  <c r="DY17" i="13"/>
  <c r="GN17" i="13"/>
  <c r="EZ17" i="13"/>
  <c r="HR17" i="13"/>
  <c r="DE17" i="13"/>
  <c r="IK17" i="13"/>
  <c r="II17" i="13"/>
  <c r="DN17" i="13"/>
  <c r="DH17" i="13"/>
  <c r="HT17" i="13"/>
  <c r="GY17" i="13"/>
  <c r="IC17" i="13"/>
  <c r="DQ17" i="13"/>
  <c r="CO17" i="13"/>
  <c r="BR17" i="13"/>
  <c r="BW17" i="13"/>
  <c r="DC17" i="13"/>
  <c r="CD17" i="13"/>
  <c r="DZ17" i="13"/>
  <c r="IH17" i="13"/>
  <c r="FR17" i="13"/>
  <c r="IJ17" i="13"/>
  <c r="CN17" i="13"/>
  <c r="CH17" i="13"/>
  <c r="CR17" i="13"/>
  <c r="IM17" i="13"/>
  <c r="DR17" i="13"/>
  <c r="DI17" i="13"/>
  <c r="FW17" i="13"/>
  <c r="EQ17" i="13"/>
  <c r="HI17" i="13"/>
  <c r="GV17" i="13"/>
  <c r="FH17" i="13"/>
  <c r="HZ17" i="13"/>
  <c r="DM17" i="13"/>
  <c r="GZ17" i="13"/>
  <c r="FJ17" i="13"/>
  <c r="DV17" i="13"/>
  <c r="EN17" i="13"/>
  <c r="IB17" i="13"/>
  <c r="DG17" i="13"/>
  <c r="FL17" i="13"/>
  <c r="FE17" i="13"/>
  <c r="CW17" i="13"/>
  <c r="BZ17" i="13"/>
  <c r="DB17" i="13"/>
  <c r="CS17" i="13"/>
  <c r="CL17" i="13"/>
  <c r="FN17" i="13"/>
  <c r="HE17" i="13"/>
  <c r="ED17" i="13"/>
  <c r="HN17" i="13"/>
  <c r="GJ17" i="13"/>
  <c r="BQ17" i="13"/>
  <c r="DA17" i="13"/>
  <c r="DD17" i="13"/>
  <c r="FD17" i="13"/>
  <c r="DO17" i="13"/>
  <c r="BM17" i="13"/>
  <c r="V17" i="13"/>
  <c r="AL17" i="13"/>
  <c r="Z17" i="13"/>
  <c r="W17" i="13"/>
  <c r="AF17" i="13"/>
  <c r="AY17" i="13"/>
  <c r="BL17" i="13"/>
  <c r="BK17" i="13"/>
  <c r="AO17" i="13"/>
  <c r="AS17" i="13"/>
  <c r="AK17" i="13"/>
  <c r="AJ17" i="13"/>
  <c r="X17" i="13"/>
  <c r="AG17" i="13"/>
  <c r="BF17" i="13"/>
  <c r="BC17" i="13"/>
  <c r="M17" i="13"/>
  <c r="BJ17" i="13"/>
  <c r="Y17" i="13"/>
  <c r="AQ17" i="13"/>
  <c r="R17" i="13"/>
  <c r="BD17" i="13"/>
  <c r="AX17" i="13"/>
  <c r="BE17" i="13"/>
  <c r="D26" i="13"/>
  <c r="Q17" i="13"/>
  <c r="J17" i="13"/>
  <c r="AR17" i="13"/>
  <c r="O17" i="13"/>
  <c r="G17" i="13"/>
  <c r="AP17" i="13"/>
  <c r="AV17" i="13"/>
  <c r="T17" i="13"/>
  <c r="S17" i="13"/>
  <c r="C37" i="15"/>
  <c r="AD17" i="13"/>
  <c r="P17" i="13"/>
  <c r="AI17" i="13"/>
  <c r="AU17" i="13"/>
  <c r="BA17" i="13"/>
  <c r="BH17" i="13"/>
  <c r="AE17" i="13"/>
  <c r="BI17" i="13"/>
  <c r="U17" i="13"/>
  <c r="H17" i="13"/>
  <c r="AA17" i="13"/>
  <c r="AZ17" i="13"/>
  <c r="K17" i="13"/>
  <c r="AW17" i="13"/>
  <c r="N17" i="13"/>
  <c r="L17" i="13"/>
  <c r="AC17" i="13"/>
  <c r="AT17" i="13"/>
  <c r="I17" i="13"/>
  <c r="AH17" i="13"/>
  <c r="AB17" i="13"/>
  <c r="AM17" i="13"/>
  <c r="BG17" i="13"/>
  <c r="BB17" i="13"/>
  <c r="AS25" i="13"/>
  <c r="M25" i="13"/>
  <c r="AG25" i="13"/>
  <c r="BB25" i="13"/>
  <c r="AT25" i="13"/>
  <c r="AL25" i="13"/>
  <c r="AD25" i="13"/>
  <c r="V25" i="13"/>
  <c r="N25" i="13"/>
  <c r="G15" i="13"/>
  <c r="G13" i="13"/>
  <c r="G9" i="13"/>
  <c r="G11" i="13"/>
  <c r="H26" i="13"/>
  <c r="H27" i="13" s="1"/>
  <c r="I3" i="13"/>
  <c r="H23" i="13"/>
  <c r="AJ25" i="13"/>
  <c r="T25" i="13"/>
  <c r="AY25" i="13"/>
  <c r="AQ25" i="13"/>
  <c r="AI25" i="13"/>
  <c r="AA25" i="13"/>
  <c r="S25" i="13"/>
  <c r="L25" i="13"/>
  <c r="C10" i="15"/>
  <c r="C13" i="13"/>
  <c r="C18" i="15" s="1"/>
  <c r="BE25" i="13"/>
  <c r="AK25" i="13"/>
  <c r="AR25" i="13"/>
  <c r="AB25" i="13"/>
  <c r="F18" i="13"/>
  <c r="F6" i="13"/>
  <c r="G6" i="13" s="1"/>
  <c r="G7" i="13" s="1"/>
  <c r="G18" i="13" s="1"/>
  <c r="AX25" i="13"/>
  <c r="AP25" i="13"/>
  <c r="AH25" i="13"/>
  <c r="Z25" i="13"/>
  <c r="R25" i="13"/>
  <c r="K25" i="13"/>
  <c r="BA25" i="13"/>
  <c r="U25" i="13"/>
  <c r="AZ25" i="13"/>
  <c r="AO25" i="13"/>
  <c r="Y25" i="13"/>
  <c r="Q25" i="13"/>
  <c r="J25" i="13"/>
  <c r="AV25" i="13"/>
  <c r="AN25" i="13"/>
  <c r="AF25" i="13"/>
  <c r="X25" i="13"/>
  <c r="P25" i="13"/>
  <c r="I25" i="13"/>
  <c r="AC25" i="13"/>
  <c r="AW25" i="13"/>
  <c r="BF25" i="13"/>
  <c r="BC25" i="13"/>
  <c r="AU25" i="13"/>
  <c r="AM25" i="13"/>
  <c r="AE25" i="13"/>
  <c r="W25" i="13"/>
  <c r="O25" i="13"/>
  <c r="H25" i="13"/>
  <c r="G25" i="13" s="1"/>
  <c r="H11" i="13"/>
  <c r="H6" i="13"/>
  <c r="H7" i="13" s="1"/>
  <c r="H18" i="13" s="1"/>
  <c r="BD25" i="13"/>
  <c r="BG4" i="13"/>
  <c r="BG5" i="13" s="1"/>
  <c r="BG25" i="13" s="1"/>
  <c r="G16" i="13" l="1"/>
  <c r="G22" i="13" s="1"/>
  <c r="H12" i="13"/>
  <c r="H20" i="13" s="1"/>
  <c r="G14" i="13"/>
  <c r="G21" i="13" s="1"/>
  <c r="G12" i="13"/>
  <c r="G20" i="13" s="1"/>
  <c r="I11" i="13"/>
  <c r="J11" i="13" s="1"/>
  <c r="J12" i="13" s="1"/>
  <c r="G10" i="13"/>
  <c r="G19" i="13" s="1"/>
  <c r="H9" i="13"/>
  <c r="I9" i="13" s="1"/>
  <c r="I10" i="13" s="1"/>
  <c r="H13" i="13"/>
  <c r="I13" i="13" s="1"/>
  <c r="I14" i="13" s="1"/>
  <c r="H24" i="13"/>
  <c r="G24" i="13"/>
  <c r="G8" i="13"/>
  <c r="H8" i="13"/>
  <c r="I26" i="13"/>
  <c r="I27" i="13" s="1"/>
  <c r="J3" i="13"/>
  <c r="I23" i="13"/>
  <c r="I6" i="13"/>
  <c r="H15" i="13"/>
  <c r="H16" i="13" s="1"/>
  <c r="BH4" i="13"/>
  <c r="BH5" i="13" s="1"/>
  <c r="BH25" i="13" s="1"/>
  <c r="H14" i="13" l="1"/>
  <c r="H21" i="13" s="1"/>
  <c r="H10" i="13"/>
  <c r="H19" i="13" s="1"/>
  <c r="I12" i="13"/>
  <c r="I20" i="13" s="1"/>
  <c r="H22" i="13"/>
  <c r="I15" i="13"/>
  <c r="I16" i="13" s="1"/>
  <c r="J20" i="13"/>
  <c r="K11" i="13"/>
  <c r="K12" i="13" s="1"/>
  <c r="I19" i="13"/>
  <c r="J9" i="13"/>
  <c r="J10" i="13" s="1"/>
  <c r="I7" i="13"/>
  <c r="J6" i="13"/>
  <c r="I21" i="13"/>
  <c r="J13" i="13"/>
  <c r="J14" i="13" s="1"/>
  <c r="J23" i="13"/>
  <c r="K3" i="13"/>
  <c r="J26" i="13"/>
  <c r="J27" i="13" s="1"/>
  <c r="BI4" i="13"/>
  <c r="BI5" i="13" s="1"/>
  <c r="BI25" i="13" s="1"/>
  <c r="I18" i="13" l="1"/>
  <c r="I24" i="13" s="1"/>
  <c r="I8" i="13"/>
  <c r="J7" i="13"/>
  <c r="K6" i="13"/>
  <c r="K26" i="13"/>
  <c r="K27" i="13" s="1"/>
  <c r="L3" i="13"/>
  <c r="K23" i="13"/>
  <c r="K20" i="13"/>
  <c r="L11" i="13"/>
  <c r="L12" i="13" s="1"/>
  <c r="J19" i="13"/>
  <c r="K9" i="13"/>
  <c r="K10" i="13" s="1"/>
  <c r="J21" i="13"/>
  <c r="K13" i="13"/>
  <c r="K14" i="13" s="1"/>
  <c r="I22" i="13"/>
  <c r="J15" i="13"/>
  <c r="J16" i="13" s="1"/>
  <c r="BJ4" i="13"/>
  <c r="BJ5" i="13" s="1"/>
  <c r="BJ25" i="13" s="1"/>
  <c r="J18" i="13" l="1"/>
  <c r="J24" i="13" s="1"/>
  <c r="J8" i="13"/>
  <c r="L20" i="13"/>
  <c r="M11" i="13"/>
  <c r="M12" i="13" s="1"/>
  <c r="L23" i="13"/>
  <c r="L26" i="13"/>
  <c r="L27" i="13" s="1"/>
  <c r="M3" i="13"/>
  <c r="K21" i="13"/>
  <c r="L13" i="13"/>
  <c r="L14" i="13" s="1"/>
  <c r="L6" i="13"/>
  <c r="K7" i="13"/>
  <c r="J22" i="13"/>
  <c r="K15" i="13"/>
  <c r="K16" i="13" s="1"/>
  <c r="K19" i="13"/>
  <c r="L9" i="13"/>
  <c r="L10" i="13" s="1"/>
  <c r="BK4" i="13"/>
  <c r="BK5" i="13" s="1"/>
  <c r="BK25" i="13" s="1"/>
  <c r="K18" i="13" l="1"/>
  <c r="K24" i="13" s="1"/>
  <c r="K8" i="13"/>
  <c r="L7" i="13"/>
  <c r="M6" i="13"/>
  <c r="L21" i="13"/>
  <c r="M13" i="13"/>
  <c r="M14" i="13" s="1"/>
  <c r="L19" i="13"/>
  <c r="M9" i="13"/>
  <c r="M10" i="13" s="1"/>
  <c r="M26" i="13"/>
  <c r="M27" i="13" s="1"/>
  <c r="N3" i="13"/>
  <c r="M23" i="13"/>
  <c r="K22" i="13"/>
  <c r="L15" i="13"/>
  <c r="L16" i="13" s="1"/>
  <c r="M20" i="13"/>
  <c r="N11" i="13"/>
  <c r="N12" i="13" s="1"/>
  <c r="BL4" i="13"/>
  <c r="BL5" i="13" s="1"/>
  <c r="BL25" i="13" l="1"/>
  <c r="C5" i="13"/>
  <c r="L18" i="13"/>
  <c r="L24" i="13" s="1"/>
  <c r="L8" i="13"/>
  <c r="M19" i="13"/>
  <c r="N9" i="13"/>
  <c r="N10" i="13" s="1"/>
  <c r="N20" i="13"/>
  <c r="O11" i="13"/>
  <c r="O12" i="13" s="1"/>
  <c r="M21" i="13"/>
  <c r="N13" i="13"/>
  <c r="N14" i="13" s="1"/>
  <c r="L22" i="13"/>
  <c r="M15" i="13"/>
  <c r="M16" i="13" s="1"/>
  <c r="N26" i="13"/>
  <c r="N27" i="13" s="1"/>
  <c r="N23" i="13"/>
  <c r="O3" i="13"/>
  <c r="M7" i="13"/>
  <c r="N6" i="13"/>
  <c r="BM4" i="13"/>
  <c r="BM5" i="13" s="1"/>
  <c r="BM25" i="13" s="1"/>
  <c r="M18" i="13" l="1"/>
  <c r="M24" i="13" s="1"/>
  <c r="M8" i="13"/>
  <c r="M22" i="13"/>
  <c r="N15" i="13"/>
  <c r="N16" i="13" s="1"/>
  <c r="N21" i="13"/>
  <c r="O13" i="13"/>
  <c r="O14" i="13" s="1"/>
  <c r="O6" i="13"/>
  <c r="N7" i="13"/>
  <c r="O20" i="13"/>
  <c r="P11" i="13"/>
  <c r="P12" i="13" s="1"/>
  <c r="P3" i="13"/>
  <c r="O23" i="13"/>
  <c r="O26" i="13"/>
  <c r="O27" i="13" s="1"/>
  <c r="N19" i="13"/>
  <c r="O9" i="13"/>
  <c r="O10" i="13" s="1"/>
  <c r="BN4" i="13"/>
  <c r="BN5" i="13" s="1"/>
  <c r="BN25" i="13" s="1"/>
  <c r="N18" i="13" l="1"/>
  <c r="N24" i="13" s="1"/>
  <c r="N8" i="13"/>
  <c r="P20" i="13"/>
  <c r="Q11" i="13"/>
  <c r="Q12" i="13" s="1"/>
  <c r="O7" i="13"/>
  <c r="P6" i="13"/>
  <c r="P7" i="13" s="1"/>
  <c r="O21" i="13"/>
  <c r="P13" i="13"/>
  <c r="P14" i="13" s="1"/>
  <c r="O19" i="13"/>
  <c r="P9" i="13"/>
  <c r="P10" i="13" s="1"/>
  <c r="N22" i="13"/>
  <c r="O15" i="13"/>
  <c r="O16" i="13" s="1"/>
  <c r="P26" i="13"/>
  <c r="P27" i="13" s="1"/>
  <c r="Q3" i="13"/>
  <c r="P23" i="13"/>
  <c r="BN8" i="13"/>
  <c r="BO4" i="13"/>
  <c r="O18" i="13" l="1"/>
  <c r="O24" i="13" s="1"/>
  <c r="O8" i="13"/>
  <c r="P19" i="13"/>
  <c r="Q9" i="13"/>
  <c r="Q10" i="13" s="1"/>
  <c r="P21" i="13"/>
  <c r="Q13" i="13"/>
  <c r="Q14" i="13" s="1"/>
  <c r="Q6" i="13"/>
  <c r="Q7" i="13" s="1"/>
  <c r="O22" i="13"/>
  <c r="P15" i="13"/>
  <c r="P16" i="13" s="1"/>
  <c r="Q20" i="13"/>
  <c r="R11" i="13"/>
  <c r="R12" i="13" s="1"/>
  <c r="R3" i="13"/>
  <c r="Q26" i="13"/>
  <c r="Q27" i="13" s="1"/>
  <c r="Q23" i="13"/>
  <c r="BP4" i="13"/>
  <c r="BO5" i="13"/>
  <c r="BO25" i="13" s="1"/>
  <c r="P18" i="13" l="1"/>
  <c r="P24" i="13" s="1"/>
  <c r="P8" i="13"/>
  <c r="P22" i="13"/>
  <c r="Q15" i="13"/>
  <c r="Q16" i="13" s="1"/>
  <c r="R6" i="13"/>
  <c r="R7" i="13" s="1"/>
  <c r="Q21" i="13"/>
  <c r="R13" i="13"/>
  <c r="R14" i="13" s="1"/>
  <c r="R23" i="13"/>
  <c r="S3" i="13"/>
  <c r="R26" i="13"/>
  <c r="R27" i="13" s="1"/>
  <c r="Q19" i="13"/>
  <c r="R9" i="13"/>
  <c r="R10" i="13" s="1"/>
  <c r="R20" i="13"/>
  <c r="S11" i="13"/>
  <c r="S12" i="13" s="1"/>
  <c r="BO8" i="13"/>
  <c r="BQ4" i="13"/>
  <c r="BP5" i="13"/>
  <c r="BP25" i="13" s="1"/>
  <c r="Q18" i="13" l="1"/>
  <c r="Q24" i="13" s="1"/>
  <c r="Q8" i="13"/>
  <c r="R21" i="13"/>
  <c r="S13" i="13"/>
  <c r="S14" i="13" s="1"/>
  <c r="S26" i="13"/>
  <c r="S27" i="13" s="1"/>
  <c r="T3" i="13"/>
  <c r="S23" i="13"/>
  <c r="S20" i="13"/>
  <c r="T11" i="13"/>
  <c r="T12" i="13" s="1"/>
  <c r="S6" i="13"/>
  <c r="S7" i="13" s="1"/>
  <c r="Q22" i="13"/>
  <c r="R15" i="13"/>
  <c r="R16" i="13" s="1"/>
  <c r="R19" i="13"/>
  <c r="S9" i="13"/>
  <c r="S10" i="13" s="1"/>
  <c r="BP8" i="13"/>
  <c r="BR4" i="13"/>
  <c r="BQ5" i="13"/>
  <c r="BQ25" i="13" s="1"/>
  <c r="R18" i="13" l="1"/>
  <c r="R24" i="13" s="1"/>
  <c r="R8" i="13"/>
  <c r="T20" i="13"/>
  <c r="U11" i="13"/>
  <c r="U12" i="13" s="1"/>
  <c r="S19" i="13"/>
  <c r="T9" i="13"/>
  <c r="T10" i="13" s="1"/>
  <c r="U3" i="13"/>
  <c r="T23" i="13"/>
  <c r="T26" i="13"/>
  <c r="T27" i="13" s="1"/>
  <c r="R22" i="13"/>
  <c r="S15" i="13"/>
  <c r="S16" i="13" s="1"/>
  <c r="T6" i="13"/>
  <c r="T7" i="13" s="1"/>
  <c r="D6" i="13" s="1"/>
  <c r="S21" i="13"/>
  <c r="T13" i="13"/>
  <c r="T14" i="13" s="1"/>
  <c r="BQ8" i="13"/>
  <c r="BR5" i="13"/>
  <c r="BR25" i="13" s="1"/>
  <c r="BS4" i="13"/>
  <c r="S18" i="13" l="1"/>
  <c r="S24" i="13" s="1"/>
  <c r="S8" i="13"/>
  <c r="U26" i="13"/>
  <c r="U27" i="13" s="1"/>
  <c r="V3" i="13"/>
  <c r="U23" i="13"/>
  <c r="T19" i="13"/>
  <c r="U9" i="13"/>
  <c r="U10" i="13" s="1"/>
  <c r="U6" i="13"/>
  <c r="U7" i="13" s="1"/>
  <c r="C12" i="15"/>
  <c r="U20" i="13"/>
  <c r="V11" i="13"/>
  <c r="V12" i="13" s="1"/>
  <c r="T21" i="13"/>
  <c r="U13" i="13"/>
  <c r="U14" i="13" s="1"/>
  <c r="S22" i="13"/>
  <c r="T15" i="13"/>
  <c r="T16" i="13" s="1"/>
  <c r="BR8" i="13"/>
  <c r="BS5" i="13"/>
  <c r="BS25" i="13" s="1"/>
  <c r="BT4" i="13"/>
  <c r="T18" i="13" l="1"/>
  <c r="T24" i="13" s="1"/>
  <c r="T8" i="13"/>
  <c r="V6" i="13"/>
  <c r="V7" i="13" s="1"/>
  <c r="U19" i="13"/>
  <c r="V9" i="13"/>
  <c r="V10" i="13" s="1"/>
  <c r="U21" i="13"/>
  <c r="V13" i="13"/>
  <c r="V14" i="13" s="1"/>
  <c r="V26" i="13"/>
  <c r="V27" i="13" s="1"/>
  <c r="V23" i="13"/>
  <c r="W3" i="13"/>
  <c r="T22" i="13"/>
  <c r="U15" i="13"/>
  <c r="U16" i="13" s="1"/>
  <c r="V20" i="13"/>
  <c r="W11" i="13"/>
  <c r="W12" i="13" s="1"/>
  <c r="BT5" i="13"/>
  <c r="BT25" i="13" s="1"/>
  <c r="BU4" i="13"/>
  <c r="BS8" i="13"/>
  <c r="U18" i="13" l="1"/>
  <c r="U24" i="13" s="1"/>
  <c r="U8" i="13"/>
  <c r="V21" i="13"/>
  <c r="W13" i="13"/>
  <c r="W14" i="13" s="1"/>
  <c r="W20" i="13"/>
  <c r="X11" i="13"/>
  <c r="X12" i="13" s="1"/>
  <c r="V19" i="13"/>
  <c r="W9" i="13"/>
  <c r="W10" i="13" s="1"/>
  <c r="U22" i="13"/>
  <c r="V15" i="13"/>
  <c r="V16" i="13" s="1"/>
  <c r="W6" i="13"/>
  <c r="W7" i="13" s="1"/>
  <c r="W26" i="13"/>
  <c r="W27" i="13" s="1"/>
  <c r="W23" i="13"/>
  <c r="X3" i="13"/>
  <c r="BU5" i="13"/>
  <c r="BU25" i="13" s="1"/>
  <c r="BV4" i="13"/>
  <c r="BT8" i="13"/>
  <c r="V18" i="13" l="1"/>
  <c r="V24" i="13" s="1"/>
  <c r="V8" i="13"/>
  <c r="V22" i="13"/>
  <c r="W15" i="13"/>
  <c r="W16" i="13" s="1"/>
  <c r="W19" i="13"/>
  <c r="X9" i="13"/>
  <c r="X10" i="13" s="1"/>
  <c r="X26" i="13"/>
  <c r="X27" i="13" s="1"/>
  <c r="Y3" i="13"/>
  <c r="X23" i="13"/>
  <c r="X20" i="13"/>
  <c r="Y11" i="13"/>
  <c r="Y12" i="13" s="1"/>
  <c r="W21" i="13"/>
  <c r="X13" i="13"/>
  <c r="X14" i="13" s="1"/>
  <c r="X6" i="13"/>
  <c r="X7" i="13" s="1"/>
  <c r="BV5" i="13"/>
  <c r="BV25" i="13" s="1"/>
  <c r="BW4" i="13"/>
  <c r="BU8" i="13"/>
  <c r="W18" i="13" l="1"/>
  <c r="W24" i="13" s="1"/>
  <c r="W8" i="13"/>
  <c r="Y26" i="13"/>
  <c r="Y27" i="13" s="1"/>
  <c r="Y23" i="13"/>
  <c r="Z3" i="13"/>
  <c r="Y6" i="13"/>
  <c r="Y7" i="13" s="1"/>
  <c r="X19" i="13"/>
  <c r="Y9" i="13"/>
  <c r="Y10" i="13" s="1"/>
  <c r="Y13" i="13"/>
  <c r="Y14" i="13" s="1"/>
  <c r="X21" i="13"/>
  <c r="W22" i="13"/>
  <c r="X15" i="13"/>
  <c r="X16" i="13" s="1"/>
  <c r="Y20" i="13"/>
  <c r="Z11" i="13"/>
  <c r="Z12" i="13" s="1"/>
  <c r="BW5" i="13"/>
  <c r="BW25" i="13" s="1"/>
  <c r="BX4" i="13"/>
  <c r="BV8" i="13"/>
  <c r="X18" i="13" l="1"/>
  <c r="X24" i="13" s="1"/>
  <c r="X8" i="13"/>
  <c r="Y19" i="13"/>
  <c r="Z9" i="13"/>
  <c r="Z10" i="13" s="1"/>
  <c r="AA11" i="13"/>
  <c r="AA12" i="13" s="1"/>
  <c r="Z20" i="13"/>
  <c r="Z6" i="13"/>
  <c r="Z7" i="13" s="1"/>
  <c r="X22" i="13"/>
  <c r="Y15" i="13"/>
  <c r="Y16" i="13" s="1"/>
  <c r="AA3" i="13"/>
  <c r="Z26" i="13"/>
  <c r="Z27" i="13" s="1"/>
  <c r="Z23" i="13"/>
  <c r="Y21" i="13"/>
  <c r="Z13" i="13"/>
  <c r="Z14" i="13" s="1"/>
  <c r="BX5" i="13"/>
  <c r="BX25" i="13" s="1"/>
  <c r="BY4" i="13"/>
  <c r="BW8" i="13"/>
  <c r="Y18" i="13" l="1"/>
  <c r="Y24" i="13" s="1"/>
  <c r="Y8" i="13"/>
  <c r="Y22" i="13"/>
  <c r="Z15" i="13"/>
  <c r="Z16" i="13" s="1"/>
  <c r="AA6" i="13"/>
  <c r="AA7" i="13" s="1"/>
  <c r="Z21" i="13"/>
  <c r="AA13" i="13"/>
  <c r="AA14" i="13" s="1"/>
  <c r="AA20" i="13"/>
  <c r="AB11" i="13"/>
  <c r="AB12" i="13" s="1"/>
  <c r="Z19" i="13"/>
  <c r="AA9" i="13"/>
  <c r="AA10" i="13" s="1"/>
  <c r="AA26" i="13"/>
  <c r="AA27" i="13" s="1"/>
  <c r="AB3" i="13"/>
  <c r="AA23" i="13"/>
  <c r="BY5" i="13"/>
  <c r="BY25" i="13" s="1"/>
  <c r="BZ4" i="13"/>
  <c r="BX8" i="13"/>
  <c r="Z18" i="13" l="1"/>
  <c r="Z24" i="13" s="1"/>
  <c r="Z8" i="13"/>
  <c r="AB20" i="13"/>
  <c r="AC11" i="13"/>
  <c r="AC12" i="13" s="1"/>
  <c r="AA21" i="13"/>
  <c r="AB13" i="13"/>
  <c r="AB14" i="13" s="1"/>
  <c r="AB26" i="13"/>
  <c r="AB27" i="13" s="1"/>
  <c r="AC3" i="13"/>
  <c r="AB23" i="13"/>
  <c r="AB6" i="13"/>
  <c r="AB7" i="13" s="1"/>
  <c r="AA19" i="13"/>
  <c r="AB9" i="13"/>
  <c r="AB10" i="13" s="1"/>
  <c r="Z22" i="13"/>
  <c r="AA15" i="13"/>
  <c r="AA16" i="13" s="1"/>
  <c r="BZ5" i="13"/>
  <c r="BZ25" i="13" s="1"/>
  <c r="CA4" i="13"/>
  <c r="BY8" i="13"/>
  <c r="AA18" i="13" l="1"/>
  <c r="AA24" i="13" s="1"/>
  <c r="AA8" i="13"/>
  <c r="AA22" i="13"/>
  <c r="AB15" i="13"/>
  <c r="AB16" i="13" s="1"/>
  <c r="AB21" i="13"/>
  <c r="AC13" i="13"/>
  <c r="AC14" i="13" s="1"/>
  <c r="AC26" i="13"/>
  <c r="AC27" i="13" s="1"/>
  <c r="AC23" i="13"/>
  <c r="AD3" i="13"/>
  <c r="AB19" i="13"/>
  <c r="AC9" i="13"/>
  <c r="AC10" i="13" s="1"/>
  <c r="AC20" i="13"/>
  <c r="AD11" i="13"/>
  <c r="AD12" i="13" s="1"/>
  <c r="AC6" i="13"/>
  <c r="AC7" i="13" s="1"/>
  <c r="CA5" i="13"/>
  <c r="CA25" i="13" s="1"/>
  <c r="CB4" i="13"/>
  <c r="BZ8" i="13"/>
  <c r="AB18" i="13" l="1"/>
  <c r="AB24" i="13" s="1"/>
  <c r="AB8" i="13"/>
  <c r="AD26" i="13"/>
  <c r="AD27" i="13" s="1"/>
  <c r="AE3" i="13"/>
  <c r="AD23" i="13"/>
  <c r="AD6" i="13"/>
  <c r="AD7" i="13" s="1"/>
  <c r="AC21" i="13"/>
  <c r="AD13" i="13"/>
  <c r="AD14" i="13" s="1"/>
  <c r="AD20" i="13"/>
  <c r="AE11" i="13"/>
  <c r="AE12" i="13" s="1"/>
  <c r="AB22" i="13"/>
  <c r="AC15" i="13"/>
  <c r="AC16" i="13" s="1"/>
  <c r="AC19" i="13"/>
  <c r="AD9" i="13"/>
  <c r="AD10" i="13" s="1"/>
  <c r="AF8" i="13"/>
  <c r="CB5" i="13"/>
  <c r="CB25" i="13" s="1"/>
  <c r="CC4" i="13"/>
  <c r="CA8" i="13"/>
  <c r="AC18" i="13" l="1"/>
  <c r="AC24" i="13" s="1"/>
  <c r="AC8" i="13"/>
  <c r="AD21" i="13"/>
  <c r="AE13" i="13"/>
  <c r="AE14" i="13" s="1"/>
  <c r="AD19" i="13"/>
  <c r="AE9" i="13"/>
  <c r="AE10" i="13" s="1"/>
  <c r="AE6" i="13"/>
  <c r="AE7" i="13" s="1"/>
  <c r="AC22" i="13"/>
  <c r="AD15" i="13"/>
  <c r="AD16" i="13" s="1"/>
  <c r="AE23" i="13"/>
  <c r="AE26" i="13"/>
  <c r="AE27" i="13" s="1"/>
  <c r="AF3" i="13"/>
  <c r="AE20" i="13"/>
  <c r="AF11" i="13"/>
  <c r="AF12" i="13" s="1"/>
  <c r="AG8" i="13"/>
  <c r="BK8" i="13"/>
  <c r="CC5" i="13"/>
  <c r="CC25" i="13" s="1"/>
  <c r="CD4" i="13"/>
  <c r="CB8" i="13"/>
  <c r="AD18" i="13" l="1"/>
  <c r="AD24" i="13" s="1"/>
  <c r="AD8" i="13"/>
  <c r="AD22" i="13"/>
  <c r="AE15" i="13"/>
  <c r="AE16" i="13" s="1"/>
  <c r="AF20" i="13"/>
  <c r="AG11" i="13"/>
  <c r="AG12" i="13" s="1"/>
  <c r="AF6" i="13"/>
  <c r="AF7" i="13" s="1"/>
  <c r="AE19" i="13"/>
  <c r="AF9" i="13"/>
  <c r="AF10" i="13" s="1"/>
  <c r="AF26" i="13"/>
  <c r="AF27" i="13" s="1"/>
  <c r="AG3" i="13"/>
  <c r="AF23" i="13"/>
  <c r="AE21" i="13"/>
  <c r="AF13" i="13"/>
  <c r="AF14" i="13" s="1"/>
  <c r="AH8" i="13"/>
  <c r="BL8" i="13"/>
  <c r="CD5" i="13"/>
  <c r="CD25" i="13" s="1"/>
  <c r="CE4" i="13"/>
  <c r="CC8" i="13"/>
  <c r="AE18" i="13" l="1"/>
  <c r="AE24" i="13" s="1"/>
  <c r="AE8" i="13"/>
  <c r="AF21" i="13"/>
  <c r="AG13" i="13"/>
  <c r="AG14" i="13" s="1"/>
  <c r="AG6" i="13"/>
  <c r="AG7" i="13" s="1"/>
  <c r="AF18" i="13"/>
  <c r="AG20" i="13"/>
  <c r="AH11" i="13"/>
  <c r="AH12" i="13" s="1"/>
  <c r="AG9" i="13"/>
  <c r="AG10" i="13" s="1"/>
  <c r="AF19" i="13"/>
  <c r="AG23" i="13"/>
  <c r="AG26" i="13"/>
  <c r="AG27" i="13" s="1"/>
  <c r="AH3" i="13"/>
  <c r="AE22" i="13"/>
  <c r="AF15" i="13"/>
  <c r="AF16" i="13" s="1"/>
  <c r="AI8" i="13"/>
  <c r="BM8" i="13"/>
  <c r="CE5" i="13"/>
  <c r="CE25" i="13" s="1"/>
  <c r="CF4" i="13"/>
  <c r="CD8" i="13"/>
  <c r="AF24" i="13" l="1"/>
  <c r="AG19" i="13"/>
  <c r="AH9" i="13"/>
  <c r="AH10" i="13" s="1"/>
  <c r="AH20" i="13"/>
  <c r="AI11" i="13"/>
  <c r="AI12" i="13" s="1"/>
  <c r="AF22" i="13"/>
  <c r="AG15" i="13"/>
  <c r="AG16" i="13" s="1"/>
  <c r="AH26" i="13"/>
  <c r="AH27" i="13" s="1"/>
  <c r="AH23" i="13"/>
  <c r="AI3" i="13"/>
  <c r="AG18" i="13"/>
  <c r="AG24" i="13" s="1"/>
  <c r="AH6" i="13"/>
  <c r="AH7" i="13" s="1"/>
  <c r="AG21" i="13"/>
  <c r="AH13" i="13"/>
  <c r="AH14" i="13" s="1"/>
  <c r="AJ8" i="13"/>
  <c r="CE8" i="13"/>
  <c r="CF5" i="13"/>
  <c r="CF25" i="13" s="1"/>
  <c r="CG4" i="13"/>
  <c r="AG22" i="13" l="1"/>
  <c r="AH15" i="13"/>
  <c r="AH16" i="13" s="1"/>
  <c r="AH21" i="13"/>
  <c r="AI13" i="13"/>
  <c r="AI14" i="13" s="1"/>
  <c r="AI20" i="13"/>
  <c r="AJ11" i="13"/>
  <c r="AJ12" i="13" s="1"/>
  <c r="AH18" i="13"/>
  <c r="AH24" i="13" s="1"/>
  <c r="AI6" i="13"/>
  <c r="AI7" i="13" s="1"/>
  <c r="AH19" i="13"/>
  <c r="AI9" i="13"/>
  <c r="AI10" i="13" s="1"/>
  <c r="AJ3" i="13"/>
  <c r="AI23" i="13"/>
  <c r="AI26" i="13"/>
  <c r="AI27" i="13" s="1"/>
  <c r="AK8" i="13"/>
  <c r="CF8" i="13"/>
  <c r="CG5" i="13"/>
  <c r="CG25" i="13" s="1"/>
  <c r="CH4" i="13"/>
  <c r="AJ6" i="13" l="1"/>
  <c r="AJ7" i="13" s="1"/>
  <c r="AI18" i="13"/>
  <c r="AI24" i="13" s="1"/>
  <c r="AJ20" i="13"/>
  <c r="AK11" i="13"/>
  <c r="AK12" i="13" s="1"/>
  <c r="AI21" i="13"/>
  <c r="AJ13" i="13"/>
  <c r="AJ14" i="13" s="1"/>
  <c r="AJ23" i="13"/>
  <c r="AJ26" i="13"/>
  <c r="AJ27" i="13" s="1"/>
  <c r="AK3" i="13"/>
  <c r="AH22" i="13"/>
  <c r="AI15" i="13"/>
  <c r="AI16" i="13" s="1"/>
  <c r="AI19" i="13"/>
  <c r="AJ9" i="13"/>
  <c r="AJ10" i="13" s="1"/>
  <c r="AL8" i="13"/>
  <c r="CG8" i="13"/>
  <c r="CH5" i="13"/>
  <c r="CH25" i="13" s="1"/>
  <c r="CI4" i="13"/>
  <c r="AJ21" i="13" l="1"/>
  <c r="AK13" i="13"/>
  <c r="AK14" i="13" s="1"/>
  <c r="AJ19" i="13"/>
  <c r="AK9" i="13"/>
  <c r="AK10" i="13" s="1"/>
  <c r="AK20" i="13"/>
  <c r="AL11" i="13"/>
  <c r="AL12" i="13" s="1"/>
  <c r="AI22" i="13"/>
  <c r="AJ15" i="13"/>
  <c r="AJ16" i="13" s="1"/>
  <c r="AK26" i="13"/>
  <c r="AK27" i="13" s="1"/>
  <c r="AL3" i="13"/>
  <c r="AK23" i="13"/>
  <c r="AK6" i="13"/>
  <c r="AK7" i="13" s="1"/>
  <c r="AJ18" i="13"/>
  <c r="AJ24" i="13" s="1"/>
  <c r="AM8" i="13"/>
  <c r="CH8" i="13"/>
  <c r="CI5" i="13"/>
  <c r="CI25" i="13" s="1"/>
  <c r="CJ4" i="13"/>
  <c r="AL20" i="13" l="1"/>
  <c r="AM11" i="13"/>
  <c r="AM12" i="13" s="1"/>
  <c r="AK18" i="13"/>
  <c r="AK24" i="13" s="1"/>
  <c r="AL6" i="13"/>
  <c r="AL7" i="13" s="1"/>
  <c r="AK19" i="13"/>
  <c r="AL9" i="13"/>
  <c r="AL10" i="13" s="1"/>
  <c r="AJ22" i="13"/>
  <c r="AK15" i="13"/>
  <c r="AK16" i="13" s="1"/>
  <c r="AL26" i="13"/>
  <c r="AL27" i="13" s="1"/>
  <c r="AM3" i="13"/>
  <c r="AL23" i="13"/>
  <c r="AK21" i="13"/>
  <c r="AL13" i="13"/>
  <c r="AL14" i="13" s="1"/>
  <c r="AN8" i="13"/>
  <c r="CI8" i="13"/>
  <c r="CJ5" i="13"/>
  <c r="CJ25" i="13" s="1"/>
  <c r="CK4" i="13"/>
  <c r="AL21" i="13" l="1"/>
  <c r="AM13" i="13"/>
  <c r="AM14" i="13" s="1"/>
  <c r="AM6" i="13"/>
  <c r="AM7" i="13" s="1"/>
  <c r="AL18" i="13"/>
  <c r="AL24" i="13" s="1"/>
  <c r="AK22" i="13"/>
  <c r="AL15" i="13"/>
  <c r="AL16" i="13" s="1"/>
  <c r="AL19" i="13"/>
  <c r="AM9" i="13"/>
  <c r="AM10" i="13" s="1"/>
  <c r="AM20" i="13"/>
  <c r="AN11" i="13"/>
  <c r="AN12" i="13" s="1"/>
  <c r="AM23" i="13"/>
  <c r="AM26" i="13"/>
  <c r="AM27" i="13" s="1"/>
  <c r="AN3" i="13"/>
  <c r="AO8" i="13"/>
  <c r="CK5" i="13"/>
  <c r="CK25" i="13" s="1"/>
  <c r="CL4" i="13"/>
  <c r="CJ8" i="13"/>
  <c r="AM19" i="13" l="1"/>
  <c r="AN9" i="13"/>
  <c r="AN10" i="13" s="1"/>
  <c r="AL22" i="13"/>
  <c r="AM15" i="13"/>
  <c r="AM16" i="13" s="1"/>
  <c r="AN26" i="13"/>
  <c r="AN27" i="13" s="1"/>
  <c r="AN23" i="13"/>
  <c r="AO3" i="13"/>
  <c r="AN6" i="13"/>
  <c r="AN7" i="13" s="1"/>
  <c r="AM18" i="13"/>
  <c r="AM24" i="13" s="1"/>
  <c r="AN20" i="13"/>
  <c r="AO11" i="13"/>
  <c r="AO12" i="13" s="1"/>
  <c r="AM21" i="13"/>
  <c r="AN13" i="13"/>
  <c r="AN14" i="13" s="1"/>
  <c r="AP8" i="13"/>
  <c r="CL5" i="13"/>
  <c r="CL25" i="13" s="1"/>
  <c r="CM4" i="13"/>
  <c r="CK8" i="13"/>
  <c r="AO6" i="13" l="1"/>
  <c r="AO7" i="13" s="1"/>
  <c r="AN18" i="13"/>
  <c r="AN24" i="13" s="1"/>
  <c r="AP3" i="13"/>
  <c r="AO26" i="13"/>
  <c r="AO27" i="13" s="1"/>
  <c r="AO23" i="13"/>
  <c r="AN21" i="13"/>
  <c r="AO13" i="13"/>
  <c r="AO14" i="13" s="1"/>
  <c r="AM22" i="13"/>
  <c r="AN15" i="13"/>
  <c r="AN16" i="13" s="1"/>
  <c r="AO20" i="13"/>
  <c r="AP11" i="13"/>
  <c r="AP12" i="13" s="1"/>
  <c r="AN19" i="13"/>
  <c r="AO9" i="13"/>
  <c r="AO10" i="13" s="1"/>
  <c r="AQ8" i="13"/>
  <c r="CN4" i="13"/>
  <c r="CM5" i="13"/>
  <c r="CM25" i="13" s="1"/>
  <c r="CL8" i="13"/>
  <c r="AO21" i="13" l="1"/>
  <c r="AP13" i="13"/>
  <c r="AP14" i="13" s="1"/>
  <c r="AO19" i="13"/>
  <c r="AP9" i="13"/>
  <c r="AP10" i="13" s="1"/>
  <c r="AP20" i="13"/>
  <c r="AQ11" i="13"/>
  <c r="AQ12" i="13" s="1"/>
  <c r="AP23" i="13"/>
  <c r="AQ3" i="13"/>
  <c r="AP26" i="13"/>
  <c r="AP27" i="13" s="1"/>
  <c r="AN22" i="13"/>
  <c r="AO15" i="13"/>
  <c r="AO16" i="13" s="1"/>
  <c r="AO18" i="13"/>
  <c r="AO24" i="13" s="1"/>
  <c r="AP6" i="13"/>
  <c r="AP7" i="13" s="1"/>
  <c r="AR8" i="13"/>
  <c r="CM8" i="13"/>
  <c r="CO4" i="13"/>
  <c r="CN5" i="13"/>
  <c r="CN25" i="13" s="1"/>
  <c r="AQ23" i="13" l="1"/>
  <c r="AR3" i="13"/>
  <c r="AQ26" i="13"/>
  <c r="AQ27" i="13" s="1"/>
  <c r="AQ20" i="13"/>
  <c r="AR11" i="13"/>
  <c r="AR12" i="13" s="1"/>
  <c r="AQ6" i="13"/>
  <c r="AQ7" i="13" s="1"/>
  <c r="AP18" i="13"/>
  <c r="AP24" i="13" s="1"/>
  <c r="AP19" i="13"/>
  <c r="AQ9" i="13"/>
  <c r="AQ10" i="13" s="1"/>
  <c r="AO22" i="13"/>
  <c r="AP15" i="13"/>
  <c r="AP16" i="13" s="1"/>
  <c r="AP21" i="13"/>
  <c r="AQ13" i="13"/>
  <c r="AQ14" i="13" s="1"/>
  <c r="AS8" i="13"/>
  <c r="CP4" i="13"/>
  <c r="CO5" i="13"/>
  <c r="CO25" i="13" s="1"/>
  <c r="CN8" i="13"/>
  <c r="AQ18" i="13" l="1"/>
  <c r="AQ24" i="13" s="1"/>
  <c r="AR6" i="13"/>
  <c r="AR7" i="13" s="1"/>
  <c r="AQ21" i="13"/>
  <c r="AR13" i="13"/>
  <c r="AR14" i="13" s="1"/>
  <c r="AR20" i="13"/>
  <c r="AS11" i="13"/>
  <c r="AS12" i="13" s="1"/>
  <c r="AP22" i="13"/>
  <c r="AQ15" i="13"/>
  <c r="AQ16" i="13" s="1"/>
  <c r="AS3" i="13"/>
  <c r="AR26" i="13"/>
  <c r="AR27" i="13" s="1"/>
  <c r="AR23" i="13"/>
  <c r="AQ19" i="13"/>
  <c r="AR9" i="13"/>
  <c r="AR10" i="13" s="1"/>
  <c r="AT8" i="13"/>
  <c r="CO8" i="13"/>
  <c r="CP5" i="13"/>
  <c r="CP25" i="13" s="1"/>
  <c r="CQ4" i="13"/>
  <c r="AQ22" i="13" l="1"/>
  <c r="AR15" i="13"/>
  <c r="AR16" i="13" s="1"/>
  <c r="AS20" i="13"/>
  <c r="AT11" i="13"/>
  <c r="AT12" i="13" s="1"/>
  <c r="AR19" i="13"/>
  <c r="AS9" i="13"/>
  <c r="AS10" i="13" s="1"/>
  <c r="AR21" i="13"/>
  <c r="AS13" i="13"/>
  <c r="AS14" i="13" s="1"/>
  <c r="AS6" i="13"/>
  <c r="AS7" i="13" s="1"/>
  <c r="AR18" i="13"/>
  <c r="AR24" i="13" s="1"/>
  <c r="AS26" i="13"/>
  <c r="AS27" i="13" s="1"/>
  <c r="AS23" i="13"/>
  <c r="AT3" i="13"/>
  <c r="AU8" i="13"/>
  <c r="CQ5" i="13"/>
  <c r="CQ25" i="13" s="1"/>
  <c r="CR4" i="13"/>
  <c r="CP8" i="13"/>
  <c r="AS19" i="13" l="1"/>
  <c r="AT9" i="13"/>
  <c r="AT10" i="13" s="1"/>
  <c r="AT26" i="13"/>
  <c r="AT27" i="13" s="1"/>
  <c r="AT23" i="13"/>
  <c r="AU3" i="13"/>
  <c r="AS21" i="13"/>
  <c r="AT13" i="13"/>
  <c r="AT14" i="13" s="1"/>
  <c r="AT20" i="13"/>
  <c r="AU11" i="13"/>
  <c r="AU12" i="13" s="1"/>
  <c r="AR22" i="13"/>
  <c r="AS15" i="13"/>
  <c r="AS16" i="13" s="1"/>
  <c r="AS18" i="13"/>
  <c r="AS24" i="13" s="1"/>
  <c r="AT6" i="13"/>
  <c r="AT7" i="13" s="1"/>
  <c r="AV8" i="13"/>
  <c r="CR5" i="13"/>
  <c r="CR25" i="13" s="1"/>
  <c r="CS4" i="13"/>
  <c r="CQ8" i="13"/>
  <c r="AT21" i="13" l="1"/>
  <c r="AU13" i="13"/>
  <c r="AU14" i="13" s="1"/>
  <c r="AT18" i="13"/>
  <c r="AT24" i="13" s="1"/>
  <c r="AU6" i="13"/>
  <c r="AU7" i="13" s="1"/>
  <c r="AU26" i="13"/>
  <c r="AU27" i="13" s="1"/>
  <c r="AV3" i="13"/>
  <c r="AU23" i="13"/>
  <c r="AS22" i="13"/>
  <c r="AT15" i="13"/>
  <c r="AT16" i="13" s="1"/>
  <c r="AT19" i="13"/>
  <c r="AU9" i="13"/>
  <c r="AU10" i="13" s="1"/>
  <c r="AU20" i="13"/>
  <c r="AV11" i="13"/>
  <c r="AV12" i="13" s="1"/>
  <c r="AW8" i="13"/>
  <c r="CS5" i="13"/>
  <c r="CS25" i="13" s="1"/>
  <c r="CT4" i="13"/>
  <c r="CR8" i="13"/>
  <c r="AV23" i="13" l="1"/>
  <c r="AV26" i="13"/>
  <c r="AV27" i="13" s="1"/>
  <c r="AW3" i="13"/>
  <c r="AV20" i="13"/>
  <c r="AW11" i="13"/>
  <c r="AW12" i="13" s="1"/>
  <c r="AV6" i="13"/>
  <c r="AV7" i="13" s="1"/>
  <c r="AU18" i="13"/>
  <c r="AU24" i="13" s="1"/>
  <c r="AU19" i="13"/>
  <c r="AV9" i="13"/>
  <c r="AV10" i="13" s="1"/>
  <c r="AU21" i="13"/>
  <c r="AV13" i="13"/>
  <c r="AV14" i="13" s="1"/>
  <c r="AT22" i="13"/>
  <c r="AU15" i="13"/>
  <c r="AU16" i="13" s="1"/>
  <c r="AX8" i="13"/>
  <c r="CT5" i="13"/>
  <c r="CT25" i="13" s="1"/>
  <c r="CU4" i="13"/>
  <c r="CU5" i="13" s="1"/>
  <c r="CU25" i="13" s="1"/>
  <c r="CS8" i="13"/>
  <c r="AW6" i="13" l="1"/>
  <c r="AW7" i="13" s="1"/>
  <c r="AV18" i="13"/>
  <c r="AV24" i="13" s="1"/>
  <c r="AU22" i="13"/>
  <c r="AV15" i="13"/>
  <c r="AV16" i="13" s="1"/>
  <c r="AW20" i="13"/>
  <c r="AX11" i="13"/>
  <c r="AX12" i="13" s="1"/>
  <c r="AV21" i="13"/>
  <c r="AW13" i="13"/>
  <c r="AW14" i="13" s="1"/>
  <c r="AW26" i="13"/>
  <c r="AW27" i="13" s="1"/>
  <c r="AW23" i="13"/>
  <c r="AX3" i="13"/>
  <c r="AV19" i="13"/>
  <c r="AW9" i="13"/>
  <c r="AW10" i="13" s="1"/>
  <c r="AY8" i="13"/>
  <c r="CV4" i="13"/>
  <c r="CV5" i="13" s="1"/>
  <c r="CV25" i="13" s="1"/>
  <c r="CT8" i="13"/>
  <c r="AW21" i="13" l="1"/>
  <c r="AX13" i="13"/>
  <c r="AX14" i="13" s="1"/>
  <c r="AX20" i="13"/>
  <c r="AY11" i="13"/>
  <c r="AY12" i="13" s="1"/>
  <c r="AW19" i="13"/>
  <c r="AX9" i="13"/>
  <c r="AX10" i="13" s="1"/>
  <c r="AV22" i="13"/>
  <c r="AW15" i="13"/>
  <c r="AW16" i="13" s="1"/>
  <c r="AX23" i="13"/>
  <c r="AX26" i="13"/>
  <c r="AX27" i="13" s="1"/>
  <c r="AY3" i="13"/>
  <c r="AX6" i="13"/>
  <c r="AX7" i="13" s="1"/>
  <c r="AW18" i="13"/>
  <c r="AW24" i="13" s="1"/>
  <c r="AZ8" i="13"/>
  <c r="CW4" i="13"/>
  <c r="CW5" i="13" s="1"/>
  <c r="CW25" i="13" s="1"/>
  <c r="CU8" i="13"/>
  <c r="AW22" i="13" l="1"/>
  <c r="AX15" i="13"/>
  <c r="AX16" i="13" s="1"/>
  <c r="AX19" i="13"/>
  <c r="AY9" i="13"/>
  <c r="AY10" i="13" s="1"/>
  <c r="AY6" i="13"/>
  <c r="AY7" i="13" s="1"/>
  <c r="AX18" i="13"/>
  <c r="AX24" i="13" s="1"/>
  <c r="AY20" i="13"/>
  <c r="AZ11" i="13"/>
  <c r="AZ12" i="13" s="1"/>
  <c r="AZ3" i="13"/>
  <c r="AY23" i="13"/>
  <c r="AY26" i="13"/>
  <c r="AY27" i="13" s="1"/>
  <c r="AX21" i="13"/>
  <c r="AY13" i="13"/>
  <c r="AY14" i="13" s="1"/>
  <c r="BA8" i="13"/>
  <c r="CX4" i="13"/>
  <c r="CX5" i="13" s="1"/>
  <c r="CX25" i="13" s="1"/>
  <c r="CV8" i="13"/>
  <c r="AZ20" i="13" l="1"/>
  <c r="BA11" i="13"/>
  <c r="BA12" i="13" s="1"/>
  <c r="AY21" i="13"/>
  <c r="AZ13" i="13"/>
  <c r="AZ14" i="13" s="1"/>
  <c r="AZ6" i="13"/>
  <c r="AZ7" i="13" s="1"/>
  <c r="AY18" i="13"/>
  <c r="AY24" i="13" s="1"/>
  <c r="AY19" i="13"/>
  <c r="AZ9" i="13"/>
  <c r="AZ10" i="13" s="1"/>
  <c r="AX22" i="13"/>
  <c r="AY15" i="13"/>
  <c r="AY16" i="13" s="1"/>
  <c r="AZ23" i="13"/>
  <c r="BA3" i="13"/>
  <c r="AZ26" i="13"/>
  <c r="AZ27" i="13" s="1"/>
  <c r="BB8" i="13"/>
  <c r="CY4" i="13"/>
  <c r="CY5" i="13" s="1"/>
  <c r="CY25" i="13" s="1"/>
  <c r="CW8" i="13"/>
  <c r="AZ19" i="13" l="1"/>
  <c r="BA9" i="13"/>
  <c r="BA10" i="13" s="1"/>
  <c r="AZ18" i="13"/>
  <c r="AZ24" i="13" s="1"/>
  <c r="BA6" i="13"/>
  <c r="BA7" i="13" s="1"/>
  <c r="AZ21" i="13"/>
  <c r="BA13" i="13"/>
  <c r="BA14" i="13" s="1"/>
  <c r="BA26" i="13"/>
  <c r="BA27" i="13" s="1"/>
  <c r="BA23" i="13"/>
  <c r="BB3" i="13"/>
  <c r="BA20" i="13"/>
  <c r="BB11" i="13"/>
  <c r="BB12" i="13" s="1"/>
  <c r="AY22" i="13"/>
  <c r="AZ15" i="13"/>
  <c r="AZ16" i="13" s="1"/>
  <c r="BC8" i="13"/>
  <c r="CZ4" i="13"/>
  <c r="CZ5" i="13" s="1"/>
  <c r="CZ25" i="13" s="1"/>
  <c r="CX8" i="13"/>
  <c r="AZ22" i="13" l="1"/>
  <c r="BA15" i="13"/>
  <c r="BA16" i="13" s="1"/>
  <c r="BA21" i="13"/>
  <c r="BB13" i="13"/>
  <c r="BB14" i="13" s="1"/>
  <c r="BA18" i="13"/>
  <c r="BA24" i="13" s="1"/>
  <c r="BB6" i="13"/>
  <c r="BB7" i="13" s="1"/>
  <c r="BB20" i="13"/>
  <c r="BC11" i="13"/>
  <c r="BC12" i="13" s="1"/>
  <c r="BA19" i="13"/>
  <c r="BB9" i="13"/>
  <c r="BB10" i="13" s="1"/>
  <c r="BB26" i="13"/>
  <c r="BB27" i="13" s="1"/>
  <c r="BB23" i="13"/>
  <c r="BC3" i="13"/>
  <c r="BD8" i="13"/>
  <c r="DA4" i="13"/>
  <c r="DA5" i="13" s="1"/>
  <c r="DA25" i="13" s="1"/>
  <c r="CY8" i="13"/>
  <c r="BC20" i="13" l="1"/>
  <c r="BD11" i="13"/>
  <c r="BD12" i="13" s="1"/>
  <c r="BB18" i="13"/>
  <c r="BB24" i="13" s="1"/>
  <c r="BC6" i="13"/>
  <c r="BC7" i="13" s="1"/>
  <c r="BC26" i="13"/>
  <c r="BC27" i="13" s="1"/>
  <c r="BD3" i="13"/>
  <c r="BC23" i="13"/>
  <c r="BB21" i="13"/>
  <c r="BC13" i="13"/>
  <c r="BC14" i="13" s="1"/>
  <c r="BA22" i="13"/>
  <c r="BB15" i="13"/>
  <c r="BB16" i="13" s="1"/>
  <c r="BB19" i="13"/>
  <c r="BC9" i="13"/>
  <c r="BC10" i="13" s="1"/>
  <c r="BE8" i="13"/>
  <c r="DB4" i="13"/>
  <c r="DB5" i="13" s="1"/>
  <c r="DB25" i="13" s="1"/>
  <c r="CZ8" i="13"/>
  <c r="BC19" i="13" l="1"/>
  <c r="BD9" i="13"/>
  <c r="BD10" i="13" s="1"/>
  <c r="BC18" i="13"/>
  <c r="BC24" i="13" s="1"/>
  <c r="BD6" i="13"/>
  <c r="BD7" i="13" s="1"/>
  <c r="BD26" i="13"/>
  <c r="BD27" i="13" s="1"/>
  <c r="BD23" i="13"/>
  <c r="BE3" i="13"/>
  <c r="BD20" i="13"/>
  <c r="BE11" i="13"/>
  <c r="BE12" i="13" s="1"/>
  <c r="BB22" i="13"/>
  <c r="BC15" i="13"/>
  <c r="BC16" i="13" s="1"/>
  <c r="BC21" i="13"/>
  <c r="BD13" i="13"/>
  <c r="BD14" i="13" s="1"/>
  <c r="BF8" i="13"/>
  <c r="DC4" i="13"/>
  <c r="DA8" i="13"/>
  <c r="BE23" i="13" l="1"/>
  <c r="BE26" i="13"/>
  <c r="BE27" i="13" s="1"/>
  <c r="BF3" i="13"/>
  <c r="BD18" i="13"/>
  <c r="BD24" i="13" s="1"/>
  <c r="BE6" i="13"/>
  <c r="BE7" i="13" s="1"/>
  <c r="BC22" i="13"/>
  <c r="BD15" i="13"/>
  <c r="BD16" i="13" s="1"/>
  <c r="BE9" i="13"/>
  <c r="BE10" i="13" s="1"/>
  <c r="BD19" i="13"/>
  <c r="BD21" i="13"/>
  <c r="BE13" i="13"/>
  <c r="BE14" i="13" s="1"/>
  <c r="BF11" i="13"/>
  <c r="BF12" i="13" s="1"/>
  <c r="BE20" i="13"/>
  <c r="BG8" i="13"/>
  <c r="DD4" i="13"/>
  <c r="DC5" i="13"/>
  <c r="DC25" i="13" s="1"/>
  <c r="DB8" i="13"/>
  <c r="BD22" i="13" l="1"/>
  <c r="BE15" i="13"/>
  <c r="BE16" i="13" s="1"/>
  <c r="BE18" i="13"/>
  <c r="BE24" i="13" s="1"/>
  <c r="BF6" i="13"/>
  <c r="BF7" i="13" s="1"/>
  <c r="BF20" i="13"/>
  <c r="BG11" i="13"/>
  <c r="BG12" i="13" s="1"/>
  <c r="BE21" i="13"/>
  <c r="BF13" i="13"/>
  <c r="BF14" i="13" s="1"/>
  <c r="BF23" i="13"/>
  <c r="BG3" i="13"/>
  <c r="BF26" i="13"/>
  <c r="BF27" i="13" s="1"/>
  <c r="BE19" i="13"/>
  <c r="BF9" i="13"/>
  <c r="BF10" i="13" s="1"/>
  <c r="BH8" i="13"/>
  <c r="DC8" i="13"/>
  <c r="DD5" i="13"/>
  <c r="DD25" i="13" s="1"/>
  <c r="DE4" i="13"/>
  <c r="BF21" i="13" l="1"/>
  <c r="BG13" i="13"/>
  <c r="BG14" i="13" s="1"/>
  <c r="BH11" i="13"/>
  <c r="BH12" i="13" s="1"/>
  <c r="BG20" i="13"/>
  <c r="BG6" i="13"/>
  <c r="BG7" i="13" s="1"/>
  <c r="BF18" i="13"/>
  <c r="BF24" i="13" s="1"/>
  <c r="BF19" i="13"/>
  <c r="BG9" i="13"/>
  <c r="BG10" i="13" s="1"/>
  <c r="BG23" i="13"/>
  <c r="BH3" i="13"/>
  <c r="BG26" i="13"/>
  <c r="BG27" i="13" s="1"/>
  <c r="BE22" i="13"/>
  <c r="BF15" i="13"/>
  <c r="BF16" i="13" s="1"/>
  <c r="BI8" i="13"/>
  <c r="DD8" i="13"/>
  <c r="DE5" i="13"/>
  <c r="DE25" i="13" s="1"/>
  <c r="DF4" i="13"/>
  <c r="BF22" i="13" l="1"/>
  <c r="BG15" i="13"/>
  <c r="BG16" i="13" s="1"/>
  <c r="BH6" i="13"/>
  <c r="BH7" i="13" s="1"/>
  <c r="BG18" i="13"/>
  <c r="BG24" i="13" s="1"/>
  <c r="BG19" i="13"/>
  <c r="BH9" i="13"/>
  <c r="BH10" i="13" s="1"/>
  <c r="BI11" i="13"/>
  <c r="BI12" i="13" s="1"/>
  <c r="BH20" i="13"/>
  <c r="BH23" i="13"/>
  <c r="BI3" i="13"/>
  <c r="BH26" i="13"/>
  <c r="BH27" i="13" s="1"/>
  <c r="BH13" i="13"/>
  <c r="BH14" i="13" s="1"/>
  <c r="BG21" i="13"/>
  <c r="BJ8" i="13"/>
  <c r="DE8" i="13"/>
  <c r="DF5" i="13"/>
  <c r="DF25" i="13" s="1"/>
  <c r="DG4" i="13"/>
  <c r="BJ11" i="13" l="1"/>
  <c r="BJ12" i="13" s="1"/>
  <c r="BI20" i="13"/>
  <c r="BI9" i="13"/>
  <c r="BI10" i="13" s="1"/>
  <c r="BH19" i="13"/>
  <c r="BI6" i="13"/>
  <c r="BI7" i="13" s="1"/>
  <c r="BH18" i="13"/>
  <c r="BH24" i="13" s="1"/>
  <c r="BI13" i="13"/>
  <c r="BI14" i="13" s="1"/>
  <c r="BH21" i="13"/>
  <c r="BI23" i="13"/>
  <c r="BJ3" i="13"/>
  <c r="BI26" i="13"/>
  <c r="BI27" i="13" s="1"/>
  <c r="BG22" i="13"/>
  <c r="BH15" i="13"/>
  <c r="BH16" i="13" s="1"/>
  <c r="DF8" i="13"/>
  <c r="DG5" i="13"/>
  <c r="DG25" i="13" s="1"/>
  <c r="DH4" i="13"/>
  <c r="BH22" i="13" l="1"/>
  <c r="BI15" i="13"/>
  <c r="BI16" i="13" s="1"/>
  <c r="BI18" i="13"/>
  <c r="BI24" i="13" s="1"/>
  <c r="BJ6" i="13"/>
  <c r="BJ7" i="13" s="1"/>
  <c r="BI21" i="13"/>
  <c r="BJ13" i="13"/>
  <c r="BJ14" i="13" s="1"/>
  <c r="BI19" i="13"/>
  <c r="BJ9" i="13"/>
  <c r="BJ10" i="13" s="1"/>
  <c r="BJ23" i="13"/>
  <c r="BK3" i="13"/>
  <c r="BJ26" i="13"/>
  <c r="BJ27" i="13" s="1"/>
  <c r="BJ20" i="13"/>
  <c r="BK11" i="13"/>
  <c r="BK12" i="13" s="1"/>
  <c r="DG8" i="13"/>
  <c r="DH5" i="13"/>
  <c r="DH25" i="13" s="1"/>
  <c r="DI4" i="13"/>
  <c r="BJ19" i="13" l="1"/>
  <c r="BK9" i="13"/>
  <c r="BK10" i="13" s="1"/>
  <c r="BK13" i="13"/>
  <c r="BK14" i="13" s="1"/>
  <c r="BJ21" i="13"/>
  <c r="BK20" i="13"/>
  <c r="BL11" i="13"/>
  <c r="BL12" i="13" s="1"/>
  <c r="BK6" i="13"/>
  <c r="BK7" i="13" s="1"/>
  <c r="BJ18" i="13"/>
  <c r="BJ24" i="13" s="1"/>
  <c r="BK23" i="13"/>
  <c r="BL3" i="13"/>
  <c r="BK26" i="13"/>
  <c r="BK27" i="13" s="1"/>
  <c r="C41" i="15"/>
  <c r="BI22" i="13"/>
  <c r="BJ15" i="13"/>
  <c r="BJ16" i="13" s="1"/>
  <c r="DH8" i="13"/>
  <c r="DI5" i="13"/>
  <c r="DI25" i="13" s="1"/>
  <c r="DJ4" i="13"/>
  <c r="BJ22" i="13" l="1"/>
  <c r="BK15" i="13"/>
  <c r="BK16" i="13" s="1"/>
  <c r="BL20" i="13"/>
  <c r="BM11" i="13"/>
  <c r="BM12" i="13" s="1"/>
  <c r="BL6" i="13"/>
  <c r="BL7" i="13" s="1"/>
  <c r="BK18" i="13"/>
  <c r="BK24" i="13" s="1"/>
  <c r="BK21" i="13"/>
  <c r="BL13" i="13"/>
  <c r="BL14" i="13" s="1"/>
  <c r="BM3" i="13"/>
  <c r="BL23" i="13"/>
  <c r="BL26" i="13"/>
  <c r="BL27" i="13" s="1"/>
  <c r="BK19" i="13"/>
  <c r="BL9" i="13"/>
  <c r="BL10" i="13" s="1"/>
  <c r="DI8" i="13"/>
  <c r="DJ5" i="13"/>
  <c r="DJ25" i="13" s="1"/>
  <c r="DK4" i="13"/>
  <c r="BL21" i="13" l="1"/>
  <c r="BM13" i="13"/>
  <c r="BM14" i="13" s="1"/>
  <c r="BM6" i="13"/>
  <c r="BM7" i="13" s="1"/>
  <c r="BL18" i="13"/>
  <c r="BL24" i="13" s="1"/>
  <c r="BM20" i="13"/>
  <c r="BN11" i="13"/>
  <c r="BN12" i="13" s="1"/>
  <c r="BL19" i="13"/>
  <c r="BM9" i="13"/>
  <c r="BM10" i="13" s="1"/>
  <c r="BK22" i="13"/>
  <c r="BL15" i="13"/>
  <c r="BL16" i="13" s="1"/>
  <c r="BM23" i="13"/>
  <c r="BN3" i="13"/>
  <c r="BM26" i="13"/>
  <c r="BM27" i="13" s="1"/>
  <c r="DJ8" i="13"/>
  <c r="DK5" i="13"/>
  <c r="DK25" i="13" s="1"/>
  <c r="DL4" i="13"/>
  <c r="BN9" i="13" l="1"/>
  <c r="BN10" i="13" s="1"/>
  <c r="BM19" i="13"/>
  <c r="BN20" i="13"/>
  <c r="BO11" i="13"/>
  <c r="BO12" i="13" s="1"/>
  <c r="BO3" i="13"/>
  <c r="BN26" i="13"/>
  <c r="BN27" i="13" s="1"/>
  <c r="BN23" i="13"/>
  <c r="BN6" i="13"/>
  <c r="BN7" i="13" s="1"/>
  <c r="BM18" i="13"/>
  <c r="BM24" i="13" s="1"/>
  <c r="BL22" i="13"/>
  <c r="BM15" i="13"/>
  <c r="BM16" i="13" s="1"/>
  <c r="BM21" i="13"/>
  <c r="BN13" i="13"/>
  <c r="BN14" i="13" s="1"/>
  <c r="DK8" i="13"/>
  <c r="DL5" i="13"/>
  <c r="DL25" i="13" s="1"/>
  <c r="DM4" i="13"/>
  <c r="BN21" i="13" l="1"/>
  <c r="BO13" i="13"/>
  <c r="BO14" i="13" s="1"/>
  <c r="BP3" i="13"/>
  <c r="BO23" i="13"/>
  <c r="BO26" i="13"/>
  <c r="BO27" i="13" s="1"/>
  <c r="BO20" i="13"/>
  <c r="BP11" i="13"/>
  <c r="BP12" i="13" s="1"/>
  <c r="BM22" i="13"/>
  <c r="BN15" i="13"/>
  <c r="BN16" i="13" s="1"/>
  <c r="BN18" i="13"/>
  <c r="BN24" i="13" s="1"/>
  <c r="BO6" i="13"/>
  <c r="BO7" i="13" s="1"/>
  <c r="BN19" i="13"/>
  <c r="BO9" i="13"/>
  <c r="BO10" i="13" s="1"/>
  <c r="DL8" i="13"/>
  <c r="DM5" i="13"/>
  <c r="DM25" i="13" s="1"/>
  <c r="DN4" i="13"/>
  <c r="BQ11" i="13" l="1"/>
  <c r="BQ12" i="13" s="1"/>
  <c r="BP20" i="13"/>
  <c r="BP9" i="13"/>
  <c r="BP10" i="13" s="1"/>
  <c r="BO19" i="13"/>
  <c r="BO18" i="13"/>
  <c r="BO24" i="13" s="1"/>
  <c r="BP6" i="13"/>
  <c r="BP7" i="13" s="1"/>
  <c r="BP23" i="13"/>
  <c r="BQ3" i="13"/>
  <c r="BP26" i="13"/>
  <c r="BP27" i="13" s="1"/>
  <c r="BO21" i="13"/>
  <c r="BP13" i="13"/>
  <c r="BP14" i="13" s="1"/>
  <c r="BN22" i="13"/>
  <c r="BO15" i="13"/>
  <c r="BO16" i="13" s="1"/>
  <c r="DM8" i="13"/>
  <c r="DN5" i="13"/>
  <c r="DN25" i="13" s="1"/>
  <c r="DO4" i="13"/>
  <c r="BQ23" i="13" l="1"/>
  <c r="BR3" i="13"/>
  <c r="BQ26" i="13"/>
  <c r="BQ27" i="13" s="1"/>
  <c r="BQ6" i="13"/>
  <c r="BQ7" i="13" s="1"/>
  <c r="BP18" i="13"/>
  <c r="BP24" i="13" s="1"/>
  <c r="BO22" i="13"/>
  <c r="BP15" i="13"/>
  <c r="BP16" i="13" s="1"/>
  <c r="BQ13" i="13"/>
  <c r="BQ14" i="13" s="1"/>
  <c r="BP21" i="13"/>
  <c r="BQ9" i="13"/>
  <c r="BQ10" i="13" s="1"/>
  <c r="BP19" i="13"/>
  <c r="BR11" i="13"/>
  <c r="BR12" i="13" s="1"/>
  <c r="BQ20" i="13"/>
  <c r="DN8" i="13"/>
  <c r="DO5" i="13"/>
  <c r="DO25" i="13" s="1"/>
  <c r="DP4" i="13"/>
  <c r="BQ21" i="13" l="1"/>
  <c r="BR13" i="13"/>
  <c r="BR14" i="13" s="1"/>
  <c r="BP22" i="13"/>
  <c r="BQ15" i="13"/>
  <c r="BQ16" i="13" s="1"/>
  <c r="BQ18" i="13"/>
  <c r="BQ24" i="13" s="1"/>
  <c r="BR6" i="13"/>
  <c r="BR7" i="13" s="1"/>
  <c r="BS11" i="13"/>
  <c r="BS12" i="13" s="1"/>
  <c r="BR20" i="13"/>
  <c r="BQ19" i="13"/>
  <c r="BR9" i="13"/>
  <c r="BR10" i="13" s="1"/>
  <c r="BR23" i="13"/>
  <c r="BS3" i="13"/>
  <c r="BR26" i="13"/>
  <c r="BR27" i="13" s="1"/>
  <c r="DO8" i="13"/>
  <c r="DP5" i="13"/>
  <c r="DP25" i="13" s="1"/>
  <c r="DQ4" i="13"/>
  <c r="BS20" i="13" l="1"/>
  <c r="BT11" i="13"/>
  <c r="BT12" i="13" s="1"/>
  <c r="BR18" i="13"/>
  <c r="BR24" i="13" s="1"/>
  <c r="BS6" i="13"/>
  <c r="BS7" i="13" s="1"/>
  <c r="BS23" i="13"/>
  <c r="BT3" i="13"/>
  <c r="BS26" i="13"/>
  <c r="BS27" i="13" s="1"/>
  <c r="BQ22" i="13"/>
  <c r="BR15" i="13"/>
  <c r="BR16" i="13" s="1"/>
  <c r="BR21" i="13"/>
  <c r="BS13" i="13"/>
  <c r="BS14" i="13" s="1"/>
  <c r="BR19" i="13"/>
  <c r="BS9" i="13"/>
  <c r="BS10" i="13" s="1"/>
  <c r="DP8" i="13"/>
  <c r="DQ5" i="13"/>
  <c r="DQ25" i="13" s="1"/>
  <c r="DR4" i="13"/>
  <c r="BT23" i="13" l="1"/>
  <c r="BT26" i="13"/>
  <c r="BT27" i="13" s="1"/>
  <c r="BU3" i="13"/>
  <c r="BS19" i="13"/>
  <c r="BT9" i="13"/>
  <c r="BT10" i="13" s="1"/>
  <c r="BS18" i="13"/>
  <c r="BS24" i="13" s="1"/>
  <c r="BT6" i="13"/>
  <c r="BT7" i="13" s="1"/>
  <c r="BT13" i="13"/>
  <c r="BT14" i="13" s="1"/>
  <c r="BS21" i="13"/>
  <c r="BU11" i="13"/>
  <c r="BU12" i="13" s="1"/>
  <c r="BT20" i="13"/>
  <c r="BS15" i="13"/>
  <c r="BS16" i="13" s="1"/>
  <c r="BR22" i="13"/>
  <c r="DQ8" i="13"/>
  <c r="DR5" i="13"/>
  <c r="DR25" i="13" s="1"/>
  <c r="DS4" i="13"/>
  <c r="BU6" i="13" l="1"/>
  <c r="BU7" i="13" s="1"/>
  <c r="BT18" i="13"/>
  <c r="BT24" i="13" s="1"/>
  <c r="BU13" i="13"/>
  <c r="BU14" i="13" s="1"/>
  <c r="BT21" i="13"/>
  <c r="BT19" i="13"/>
  <c r="BU9" i="13"/>
  <c r="BU10" i="13" s="1"/>
  <c r="BT15" i="13"/>
  <c r="BT16" i="13" s="1"/>
  <c r="BS22" i="13"/>
  <c r="BU23" i="13"/>
  <c r="BV3" i="13"/>
  <c r="BU26" i="13"/>
  <c r="BU27" i="13" s="1"/>
  <c r="BV11" i="13"/>
  <c r="BV12" i="13" s="1"/>
  <c r="BU20" i="13"/>
  <c r="DR8" i="13"/>
  <c r="DS5" i="13"/>
  <c r="DS25" i="13" s="1"/>
  <c r="DT4" i="13"/>
  <c r="BU15" i="13" l="1"/>
  <c r="BU16" i="13" s="1"/>
  <c r="BT22" i="13"/>
  <c r="BU19" i="13"/>
  <c r="BV9" i="13"/>
  <c r="BV10" i="13" s="1"/>
  <c r="BW11" i="13"/>
  <c r="BW12" i="13" s="1"/>
  <c r="BV20" i="13"/>
  <c r="BV13" i="13"/>
  <c r="BV14" i="13" s="1"/>
  <c r="BU21" i="13"/>
  <c r="BV23" i="13"/>
  <c r="BW3" i="13"/>
  <c r="BV26" i="13"/>
  <c r="BV27" i="13" s="1"/>
  <c r="BU18" i="13"/>
  <c r="BU24" i="13" s="1"/>
  <c r="BV6" i="13"/>
  <c r="BV7" i="13" s="1"/>
  <c r="DS8" i="13"/>
  <c r="DT5" i="13"/>
  <c r="DT25" i="13" s="1"/>
  <c r="DU4" i="13"/>
  <c r="BW20" i="13" l="1"/>
  <c r="BX11" i="13"/>
  <c r="BX12" i="13" s="1"/>
  <c r="BV19" i="13"/>
  <c r="BW9" i="13"/>
  <c r="BW10" i="13" s="1"/>
  <c r="BV21" i="13"/>
  <c r="BW13" i="13"/>
  <c r="BW14" i="13" s="1"/>
  <c r="BV18" i="13"/>
  <c r="BV24" i="13" s="1"/>
  <c r="BW6" i="13"/>
  <c r="BW7" i="13" s="1"/>
  <c r="BX3" i="13"/>
  <c r="BW26" i="13"/>
  <c r="BW27" i="13" s="1"/>
  <c r="BW23" i="13"/>
  <c r="BU22" i="13"/>
  <c r="BV15" i="13"/>
  <c r="BV16" i="13" s="1"/>
  <c r="DT8" i="13"/>
  <c r="DU5" i="13"/>
  <c r="DU25" i="13" s="1"/>
  <c r="DV4" i="13"/>
  <c r="BW21" i="13" l="1"/>
  <c r="BX13" i="13"/>
  <c r="BX14" i="13" s="1"/>
  <c r="BV22" i="13"/>
  <c r="BW15" i="13"/>
  <c r="BW16" i="13" s="1"/>
  <c r="BW19" i="13"/>
  <c r="BX9" i="13"/>
  <c r="BX10" i="13" s="1"/>
  <c r="BX6" i="13"/>
  <c r="BX7" i="13" s="1"/>
  <c r="BW18" i="13"/>
  <c r="BW24" i="13" s="1"/>
  <c r="BX20" i="13"/>
  <c r="BY11" i="13"/>
  <c r="BY12" i="13" s="1"/>
  <c r="BX23" i="13"/>
  <c r="BY3" i="13"/>
  <c r="BX26" i="13"/>
  <c r="BX27" i="13" s="1"/>
  <c r="DU8" i="13"/>
  <c r="DV5" i="13"/>
  <c r="DV25" i="13" s="1"/>
  <c r="DW4" i="13"/>
  <c r="BX18" i="13" l="1"/>
  <c r="BX24" i="13" s="1"/>
  <c r="BY6" i="13"/>
  <c r="BY7" i="13" s="1"/>
  <c r="BY9" i="13"/>
  <c r="BY10" i="13" s="1"/>
  <c r="BX19" i="13"/>
  <c r="BY23" i="13"/>
  <c r="BZ3" i="13"/>
  <c r="BY26" i="13"/>
  <c r="BY27" i="13" s="1"/>
  <c r="BX15" i="13"/>
  <c r="BX16" i="13" s="1"/>
  <c r="BW22" i="13"/>
  <c r="BY13" i="13"/>
  <c r="BY14" i="13" s="1"/>
  <c r="BX21" i="13"/>
  <c r="BY20" i="13"/>
  <c r="BZ11" i="13"/>
  <c r="BZ12" i="13" s="1"/>
  <c r="DV8" i="13"/>
  <c r="DW5" i="13"/>
  <c r="DW25" i="13" s="1"/>
  <c r="DX4" i="13"/>
  <c r="BY15" i="13" l="1"/>
  <c r="BY16" i="13" s="1"/>
  <c r="BX22" i="13"/>
  <c r="BZ23" i="13"/>
  <c r="CA3" i="13"/>
  <c r="BZ26" i="13"/>
  <c r="BZ27" i="13" s="1"/>
  <c r="CA11" i="13"/>
  <c r="CA12" i="13" s="1"/>
  <c r="BZ20" i="13"/>
  <c r="BZ9" i="13"/>
  <c r="BZ10" i="13" s="1"/>
  <c r="BY19" i="13"/>
  <c r="BZ13" i="13"/>
  <c r="BZ14" i="13" s="1"/>
  <c r="BY21" i="13"/>
  <c r="BY18" i="13"/>
  <c r="BY24" i="13" s="1"/>
  <c r="BZ6" i="13"/>
  <c r="BZ7" i="13" s="1"/>
  <c r="DW8" i="13"/>
  <c r="DX5" i="13"/>
  <c r="DX25" i="13" s="1"/>
  <c r="DY4" i="13"/>
  <c r="CA9" i="13" l="1"/>
  <c r="CA10" i="13" s="1"/>
  <c r="BZ19" i="13"/>
  <c r="CB11" i="13"/>
  <c r="CB12" i="13" s="1"/>
  <c r="CA20" i="13"/>
  <c r="CA6" i="13"/>
  <c r="CA7" i="13" s="1"/>
  <c r="BZ18" i="13"/>
  <c r="BZ24" i="13" s="1"/>
  <c r="CA23" i="13"/>
  <c r="CB3" i="13"/>
  <c r="CA26" i="13"/>
  <c r="CA27" i="13" s="1"/>
  <c r="CA13" i="13"/>
  <c r="CA14" i="13" s="1"/>
  <c r="BZ21" i="13"/>
  <c r="BZ15" i="13"/>
  <c r="BZ16" i="13" s="1"/>
  <c r="BY22" i="13"/>
  <c r="DX8" i="13"/>
  <c r="DY5" i="13"/>
  <c r="DY25" i="13" s="1"/>
  <c r="DZ4" i="13"/>
  <c r="CB23" i="13" l="1"/>
  <c r="CC3" i="13"/>
  <c r="CB26" i="13"/>
  <c r="CB27" i="13" s="1"/>
  <c r="CB6" i="13"/>
  <c r="CB7" i="13" s="1"/>
  <c r="CA18" i="13"/>
  <c r="CA24" i="13" s="1"/>
  <c r="BZ22" i="13"/>
  <c r="CA15" i="13"/>
  <c r="CA16" i="13" s="1"/>
  <c r="CB20" i="13"/>
  <c r="CC11" i="13"/>
  <c r="CC12" i="13" s="1"/>
  <c r="CB13" i="13"/>
  <c r="CB14" i="13" s="1"/>
  <c r="CA21" i="13"/>
  <c r="CB9" i="13"/>
  <c r="CB10" i="13" s="1"/>
  <c r="CA19" i="13"/>
  <c r="DY8" i="13"/>
  <c r="DZ5" i="13"/>
  <c r="DZ25" i="13" s="1"/>
  <c r="EA4" i="13"/>
  <c r="CA22" i="13" l="1"/>
  <c r="CB15" i="13"/>
  <c r="CB16" i="13" s="1"/>
  <c r="CC9" i="13"/>
  <c r="CC10" i="13" s="1"/>
  <c r="CB19" i="13"/>
  <c r="CB18" i="13"/>
  <c r="CB24" i="13" s="1"/>
  <c r="CC6" i="13"/>
  <c r="CC7" i="13" s="1"/>
  <c r="CB21" i="13"/>
  <c r="CC13" i="13"/>
  <c r="CC14" i="13" s="1"/>
  <c r="CC23" i="13"/>
  <c r="CC26" i="13"/>
  <c r="CC27" i="13" s="1"/>
  <c r="CD3" i="13"/>
  <c r="CD11" i="13"/>
  <c r="CD12" i="13" s="1"/>
  <c r="CC20" i="13"/>
  <c r="DZ8" i="13"/>
  <c r="EA5" i="13"/>
  <c r="EA25" i="13" s="1"/>
  <c r="EB4" i="13"/>
  <c r="CD13" i="13" l="1"/>
  <c r="CD14" i="13" s="1"/>
  <c r="CC21" i="13"/>
  <c r="CC18" i="13"/>
  <c r="CC24" i="13" s="1"/>
  <c r="CD6" i="13"/>
  <c r="CD7" i="13" s="1"/>
  <c r="CE11" i="13"/>
  <c r="CE12" i="13" s="1"/>
  <c r="CD20" i="13"/>
  <c r="CD23" i="13"/>
  <c r="CE3" i="13"/>
  <c r="CD26" i="13"/>
  <c r="CD27" i="13" s="1"/>
  <c r="CC19" i="13"/>
  <c r="CD9" i="13"/>
  <c r="CD10" i="13" s="1"/>
  <c r="CB22" i="13"/>
  <c r="CC15" i="13"/>
  <c r="CC16" i="13" s="1"/>
  <c r="EA8" i="13"/>
  <c r="EB5" i="13"/>
  <c r="EB25" i="13" s="1"/>
  <c r="EC4" i="13"/>
  <c r="CE23" i="13" l="1"/>
  <c r="CE26" i="13"/>
  <c r="CE27" i="13" s="1"/>
  <c r="CF3" i="13"/>
  <c r="CC22" i="13"/>
  <c r="CD15" i="13"/>
  <c r="CD16" i="13" s="1"/>
  <c r="CF11" i="13"/>
  <c r="CF12" i="13" s="1"/>
  <c r="CE20" i="13"/>
  <c r="CE6" i="13"/>
  <c r="CE7" i="13" s="1"/>
  <c r="CD18" i="13"/>
  <c r="CD24" i="13" s="1"/>
  <c r="CD19" i="13"/>
  <c r="CE9" i="13"/>
  <c r="CE10" i="13" s="1"/>
  <c r="CD21" i="13"/>
  <c r="CE13" i="13"/>
  <c r="CE14" i="13" s="1"/>
  <c r="EB8" i="13"/>
  <c r="EC5" i="13"/>
  <c r="EC25" i="13" s="1"/>
  <c r="ED4" i="13"/>
  <c r="CE18" i="13" l="1"/>
  <c r="CE24" i="13" s="1"/>
  <c r="CF6" i="13"/>
  <c r="CF7" i="13" s="1"/>
  <c r="CG11" i="13"/>
  <c r="CG12" i="13" s="1"/>
  <c r="CF20" i="13"/>
  <c r="CE21" i="13"/>
  <c r="CF13" i="13"/>
  <c r="CF14" i="13" s="1"/>
  <c r="CE15" i="13"/>
  <c r="CE16" i="13" s="1"/>
  <c r="CD22" i="13"/>
  <c r="CE19" i="13"/>
  <c r="CF9" i="13"/>
  <c r="CF10" i="13" s="1"/>
  <c r="CF26" i="13"/>
  <c r="CF27" i="13" s="1"/>
  <c r="CF23" i="13"/>
  <c r="CG3" i="13"/>
  <c r="EC8" i="13"/>
  <c r="ED5" i="13"/>
  <c r="ED25" i="13" s="1"/>
  <c r="EE4" i="13"/>
  <c r="CF15" i="13" l="1"/>
  <c r="CF16" i="13" s="1"/>
  <c r="CE22" i="13"/>
  <c r="CG13" i="13"/>
  <c r="CG14" i="13" s="1"/>
  <c r="CF21" i="13"/>
  <c r="CG26" i="13"/>
  <c r="CG27" i="13" s="1"/>
  <c r="CG23" i="13"/>
  <c r="CH3" i="13"/>
  <c r="CH11" i="13"/>
  <c r="CH12" i="13" s="1"/>
  <c r="CG20" i="13"/>
  <c r="CF19" i="13"/>
  <c r="CG9" i="13"/>
  <c r="CG10" i="13" s="1"/>
  <c r="CF18" i="13"/>
  <c r="CF24" i="13" s="1"/>
  <c r="CG6" i="13"/>
  <c r="CG7" i="13" s="1"/>
  <c r="ED8" i="13"/>
  <c r="EE5" i="13"/>
  <c r="EE25" i="13" s="1"/>
  <c r="EF4" i="13"/>
  <c r="CI11" i="13" l="1"/>
  <c r="CI12" i="13" s="1"/>
  <c r="CH20" i="13"/>
  <c r="CH26" i="13"/>
  <c r="CH27" i="13" s="1"/>
  <c r="CH23" i="13"/>
  <c r="CI3" i="13"/>
  <c r="CH6" i="13"/>
  <c r="CH7" i="13" s="1"/>
  <c r="CG18" i="13"/>
  <c r="CG24" i="13" s="1"/>
  <c r="CG19" i="13"/>
  <c r="CH9" i="13"/>
  <c r="CH10" i="13" s="1"/>
  <c r="CG21" i="13"/>
  <c r="CH13" i="13"/>
  <c r="CH14" i="13" s="1"/>
  <c r="CG15" i="13"/>
  <c r="CG16" i="13" s="1"/>
  <c r="CF22" i="13"/>
  <c r="EE8" i="13"/>
  <c r="EF5" i="13"/>
  <c r="EF25" i="13" s="1"/>
  <c r="EG4" i="13"/>
  <c r="CI23" i="13" l="1"/>
  <c r="CJ3" i="13"/>
  <c r="CI26" i="13"/>
  <c r="CI27" i="13" s="1"/>
  <c r="CI13" i="13"/>
  <c r="CI14" i="13" s="1"/>
  <c r="CH21" i="13"/>
  <c r="CI6" i="13"/>
  <c r="CI7" i="13" s="1"/>
  <c r="CH18" i="13"/>
  <c r="CH24" i="13" s="1"/>
  <c r="CH15" i="13"/>
  <c r="CH16" i="13" s="1"/>
  <c r="CG22" i="13"/>
  <c r="CH19" i="13"/>
  <c r="CI9" i="13"/>
  <c r="CI10" i="13" s="1"/>
  <c r="CI20" i="13"/>
  <c r="CJ11" i="13"/>
  <c r="CJ12" i="13" s="1"/>
  <c r="EF8" i="13"/>
  <c r="EG5" i="13"/>
  <c r="EG25" i="13" s="1"/>
  <c r="EH4" i="13"/>
  <c r="CI15" i="13" l="1"/>
  <c r="CI16" i="13" s="1"/>
  <c r="CH22" i="13"/>
  <c r="CJ6" i="13"/>
  <c r="CJ7" i="13" s="1"/>
  <c r="CI18" i="13"/>
  <c r="CI24" i="13" s="1"/>
  <c r="CK11" i="13"/>
  <c r="CK12" i="13" s="1"/>
  <c r="CJ20" i="13"/>
  <c r="CI21" i="13"/>
  <c r="CJ13" i="13"/>
  <c r="CJ14" i="13" s="1"/>
  <c r="CI19" i="13"/>
  <c r="CJ9" i="13"/>
  <c r="CJ10" i="13" s="1"/>
  <c r="CJ23" i="13"/>
  <c r="CK3" i="13"/>
  <c r="CJ26" i="13"/>
  <c r="CJ27" i="13" s="1"/>
  <c r="EG8" i="13"/>
  <c r="EH5" i="13"/>
  <c r="EH25" i="13" s="1"/>
  <c r="EI4" i="13"/>
  <c r="CL11" i="13" l="1"/>
  <c r="CL12" i="13" s="1"/>
  <c r="CK20" i="13"/>
  <c r="CK23" i="13"/>
  <c r="CK26" i="13"/>
  <c r="CK27" i="13" s="1"/>
  <c r="CL3" i="13"/>
  <c r="CJ21" i="13"/>
  <c r="CK13" i="13"/>
  <c r="CK14" i="13" s="1"/>
  <c r="CK6" i="13"/>
  <c r="CK7" i="13" s="1"/>
  <c r="CJ18" i="13"/>
  <c r="CJ24" i="13" s="1"/>
  <c r="CJ19" i="13"/>
  <c r="CK9" i="13"/>
  <c r="CK10" i="13" s="1"/>
  <c r="CJ15" i="13"/>
  <c r="CJ16" i="13" s="1"/>
  <c r="CI22" i="13"/>
  <c r="EH8" i="13"/>
  <c r="EI5" i="13"/>
  <c r="EI25" i="13" s="1"/>
  <c r="EJ4" i="13"/>
  <c r="CK21" i="13" l="1"/>
  <c r="CL13" i="13"/>
  <c r="CL14" i="13" s="1"/>
  <c r="CL26" i="13"/>
  <c r="CL27" i="13" s="1"/>
  <c r="CM3" i="13"/>
  <c r="CL23" i="13"/>
  <c r="CK15" i="13"/>
  <c r="CK16" i="13" s="1"/>
  <c r="CJ22" i="13"/>
  <c r="CL6" i="13"/>
  <c r="CL7" i="13" s="1"/>
  <c r="CK18" i="13"/>
  <c r="CK24" i="13" s="1"/>
  <c r="CK19" i="13"/>
  <c r="CL9" i="13"/>
  <c r="CL10" i="13" s="1"/>
  <c r="CL20" i="13"/>
  <c r="CM11" i="13"/>
  <c r="CM12" i="13" s="1"/>
  <c r="EI8" i="13"/>
  <c r="EJ5" i="13"/>
  <c r="EJ25" i="13" s="1"/>
  <c r="EK4" i="13"/>
  <c r="CM6" i="13" l="1"/>
  <c r="CM7" i="13" s="1"/>
  <c r="CL18" i="13"/>
  <c r="CL24" i="13" s="1"/>
  <c r="CK22" i="13"/>
  <c r="CL15" i="13"/>
  <c r="CL16" i="13" s="1"/>
  <c r="CM20" i="13"/>
  <c r="CN11" i="13"/>
  <c r="CN12" i="13" s="1"/>
  <c r="CN3" i="13"/>
  <c r="CM23" i="13"/>
  <c r="CM26" i="13"/>
  <c r="CM27" i="13" s="1"/>
  <c r="CM9" i="13"/>
  <c r="CM10" i="13" s="1"/>
  <c r="CL19" i="13"/>
  <c r="CM13" i="13"/>
  <c r="CM14" i="13" s="1"/>
  <c r="CL21" i="13"/>
  <c r="EJ8" i="13"/>
  <c r="EK5" i="13"/>
  <c r="EK25" i="13" s="1"/>
  <c r="EL4" i="13"/>
  <c r="CN13" i="13" l="1"/>
  <c r="CN14" i="13" s="1"/>
  <c r="CM21" i="13"/>
  <c r="CM15" i="13"/>
  <c r="CM16" i="13" s="1"/>
  <c r="CL22" i="13"/>
  <c r="CN23" i="13"/>
  <c r="CO3" i="13"/>
  <c r="CN26" i="13"/>
  <c r="CN27" i="13" s="1"/>
  <c r="CN20" i="13"/>
  <c r="CO11" i="13"/>
  <c r="CO12" i="13" s="1"/>
  <c r="CN9" i="13"/>
  <c r="CN10" i="13" s="1"/>
  <c r="CM19" i="13"/>
  <c r="CN6" i="13"/>
  <c r="CN7" i="13" s="1"/>
  <c r="CM18" i="13"/>
  <c r="CM24" i="13" s="1"/>
  <c r="EK8" i="13"/>
  <c r="EL5" i="13"/>
  <c r="EL25" i="13" s="1"/>
  <c r="EM4" i="13"/>
  <c r="CO23" i="13" l="1"/>
  <c r="CP3" i="13"/>
  <c r="CO26" i="13"/>
  <c r="CO27" i="13" s="1"/>
  <c r="CO6" i="13"/>
  <c r="CO7" i="13" s="1"/>
  <c r="CN18" i="13"/>
  <c r="CN24" i="13" s="1"/>
  <c r="CN15" i="13"/>
  <c r="CN16" i="13" s="1"/>
  <c r="CM22" i="13"/>
  <c r="CO9" i="13"/>
  <c r="CO10" i="13" s="1"/>
  <c r="CN19" i="13"/>
  <c r="CP11" i="13"/>
  <c r="CP12" i="13" s="1"/>
  <c r="CO20" i="13"/>
  <c r="CO13" i="13"/>
  <c r="CO14" i="13" s="1"/>
  <c r="CN21" i="13"/>
  <c r="EL8" i="13"/>
  <c r="EM5" i="13"/>
  <c r="EM25" i="13" s="1"/>
  <c r="EN4" i="13"/>
  <c r="CP6" i="13" l="1"/>
  <c r="CP7" i="13" s="1"/>
  <c r="CO18" i="13"/>
  <c r="CO24" i="13" s="1"/>
  <c r="CP9" i="13"/>
  <c r="CP10" i="13" s="1"/>
  <c r="CO19" i="13"/>
  <c r="CO21" i="13"/>
  <c r="CP13" i="13"/>
  <c r="CP14" i="13" s="1"/>
  <c r="CP20" i="13"/>
  <c r="CQ11" i="13"/>
  <c r="CQ12" i="13" s="1"/>
  <c r="CP23" i="13"/>
  <c r="CQ3" i="13"/>
  <c r="CP26" i="13"/>
  <c r="CP27" i="13" s="1"/>
  <c r="CN22" i="13"/>
  <c r="CO15" i="13"/>
  <c r="CO16" i="13" s="1"/>
  <c r="EM8" i="13"/>
  <c r="EN5" i="13"/>
  <c r="EN25" i="13" s="1"/>
  <c r="EO4" i="13"/>
  <c r="CR11" i="13" l="1"/>
  <c r="CR12" i="13" s="1"/>
  <c r="CQ20" i="13"/>
  <c r="CQ13" i="13"/>
  <c r="CQ14" i="13" s="1"/>
  <c r="CP21" i="13"/>
  <c r="CO22" i="13"/>
  <c r="CP15" i="13"/>
  <c r="CP16" i="13" s="1"/>
  <c r="CQ9" i="13"/>
  <c r="CQ10" i="13" s="1"/>
  <c r="CP19" i="13"/>
  <c r="CQ26" i="13"/>
  <c r="CQ27" i="13" s="1"/>
  <c r="CQ23" i="13"/>
  <c r="CR3" i="13"/>
  <c r="CP18" i="13"/>
  <c r="CP24" i="13" s="1"/>
  <c r="CQ6" i="13"/>
  <c r="CQ7" i="13" s="1"/>
  <c r="EN8" i="13"/>
  <c r="EO5" i="13"/>
  <c r="EO25" i="13" s="1"/>
  <c r="EP4" i="13"/>
  <c r="CR9" i="13" l="1"/>
  <c r="CR10" i="13" s="1"/>
  <c r="CQ19" i="13"/>
  <c r="CQ15" i="13"/>
  <c r="CQ16" i="13" s="1"/>
  <c r="CP22" i="13"/>
  <c r="CR6" i="13"/>
  <c r="CR7" i="13" s="1"/>
  <c r="CQ18" i="13"/>
  <c r="CQ24" i="13" s="1"/>
  <c r="CR23" i="13"/>
  <c r="CS3" i="13"/>
  <c r="CR26" i="13"/>
  <c r="CR27" i="13" s="1"/>
  <c r="CR13" i="13"/>
  <c r="CR14" i="13" s="1"/>
  <c r="CQ21" i="13"/>
  <c r="CR20" i="13"/>
  <c r="CS11" i="13"/>
  <c r="CS12" i="13" s="1"/>
  <c r="EO8" i="13"/>
  <c r="EP5" i="13"/>
  <c r="EP25" i="13" s="1"/>
  <c r="EQ4" i="13"/>
  <c r="CS23" i="13" l="1"/>
  <c r="CT3" i="13"/>
  <c r="CS26" i="13"/>
  <c r="CS27" i="13" s="1"/>
  <c r="CT11" i="13"/>
  <c r="CT12" i="13" s="1"/>
  <c r="CS20" i="13"/>
  <c r="CS6" i="13"/>
  <c r="CS7" i="13" s="1"/>
  <c r="CR18" i="13"/>
  <c r="CR24" i="13" s="1"/>
  <c r="CQ22" i="13"/>
  <c r="CR15" i="13"/>
  <c r="CR16" i="13" s="1"/>
  <c r="CS13" i="13"/>
  <c r="CS14" i="13" s="1"/>
  <c r="CR21" i="13"/>
  <c r="CS9" i="13"/>
  <c r="CS10" i="13" s="1"/>
  <c r="CR19" i="13"/>
  <c r="EP8" i="13"/>
  <c r="EQ5" i="13"/>
  <c r="EQ25" i="13" s="1"/>
  <c r="ER4" i="13"/>
  <c r="CT6" i="13" l="1"/>
  <c r="CT7" i="13" s="1"/>
  <c r="CS18" i="13"/>
  <c r="CS24" i="13" s="1"/>
  <c r="CU11" i="13"/>
  <c r="CU12" i="13" s="1"/>
  <c r="CT20" i="13"/>
  <c r="CT9" i="13"/>
  <c r="CT10" i="13" s="1"/>
  <c r="CS19" i="13"/>
  <c r="CS21" i="13"/>
  <c r="CT13" i="13"/>
  <c r="CT14" i="13" s="1"/>
  <c r="CU3" i="13"/>
  <c r="CT23" i="13"/>
  <c r="CT26" i="13"/>
  <c r="CT27" i="13" s="1"/>
  <c r="CS15" i="13"/>
  <c r="CS16" i="13" s="1"/>
  <c r="CR22" i="13"/>
  <c r="EQ8" i="13"/>
  <c r="ER5" i="13"/>
  <c r="ER25" i="13" s="1"/>
  <c r="ES4" i="13"/>
  <c r="CT21" i="13" l="1"/>
  <c r="CU13" i="13"/>
  <c r="CU14" i="13" s="1"/>
  <c r="CU9" i="13"/>
  <c r="CU10" i="13" s="1"/>
  <c r="CT19" i="13"/>
  <c r="CT15" i="13"/>
  <c r="CT16" i="13" s="1"/>
  <c r="CS22" i="13"/>
  <c r="CU20" i="13"/>
  <c r="CV11" i="13"/>
  <c r="CV12" i="13" s="1"/>
  <c r="CU23" i="13"/>
  <c r="CV3" i="13"/>
  <c r="CU26" i="13"/>
  <c r="CU27" i="13" s="1"/>
  <c r="CU6" i="13"/>
  <c r="CU7" i="13" s="1"/>
  <c r="CT18" i="13"/>
  <c r="CT24" i="13" s="1"/>
  <c r="ER8" i="13"/>
  <c r="ES5" i="13"/>
  <c r="ES25" i="13" s="1"/>
  <c r="ET4" i="13"/>
  <c r="CU15" i="13" l="1"/>
  <c r="CU16" i="13" s="1"/>
  <c r="CT22" i="13"/>
  <c r="CU18" i="13"/>
  <c r="CU24" i="13" s="1"/>
  <c r="CV6" i="13"/>
  <c r="CV7" i="13" s="1"/>
  <c r="CU19" i="13"/>
  <c r="CV9" i="13"/>
  <c r="CV10" i="13" s="1"/>
  <c r="CV23" i="13"/>
  <c r="CW3" i="13"/>
  <c r="CV26" i="13"/>
  <c r="CV27" i="13" s="1"/>
  <c r="CV13" i="13"/>
  <c r="CV14" i="13" s="1"/>
  <c r="CU21" i="13"/>
  <c r="CW11" i="13"/>
  <c r="CW12" i="13" s="1"/>
  <c r="CV20" i="13"/>
  <c r="ES8" i="13"/>
  <c r="ET5" i="13"/>
  <c r="ET25" i="13" s="1"/>
  <c r="EU4" i="13"/>
  <c r="CV19" i="13" l="1"/>
  <c r="CW9" i="13"/>
  <c r="CW10" i="13" s="1"/>
  <c r="CW26" i="13"/>
  <c r="CW27" i="13" s="1"/>
  <c r="CW23" i="13"/>
  <c r="CX3" i="13"/>
  <c r="CX11" i="13"/>
  <c r="CX12" i="13" s="1"/>
  <c r="CW20" i="13"/>
  <c r="CW6" i="13"/>
  <c r="CW7" i="13" s="1"/>
  <c r="CV18" i="13"/>
  <c r="CV24" i="13" s="1"/>
  <c r="CW13" i="13"/>
  <c r="CW14" i="13" s="1"/>
  <c r="CV21" i="13"/>
  <c r="CU22" i="13"/>
  <c r="CV15" i="13"/>
  <c r="CV16" i="13" s="1"/>
  <c r="ET8" i="13"/>
  <c r="EU5" i="13"/>
  <c r="EU25" i="13" s="1"/>
  <c r="EV4" i="13"/>
  <c r="CX6" i="13" l="1"/>
  <c r="CX7" i="13" s="1"/>
  <c r="CW18" i="13"/>
  <c r="CW24" i="13" s="1"/>
  <c r="CW15" i="13"/>
  <c r="CW16" i="13" s="1"/>
  <c r="CV22" i="13"/>
  <c r="CY3" i="13"/>
  <c r="CX26" i="13"/>
  <c r="CX27" i="13" s="1"/>
  <c r="CX23" i="13"/>
  <c r="CY11" i="13"/>
  <c r="CY12" i="13" s="1"/>
  <c r="CX20" i="13"/>
  <c r="CX13" i="13"/>
  <c r="CX14" i="13" s="1"/>
  <c r="CW21" i="13"/>
  <c r="CW19" i="13"/>
  <c r="CX9" i="13"/>
  <c r="CX10" i="13" s="1"/>
  <c r="EU8" i="13"/>
  <c r="EV5" i="13"/>
  <c r="EV25" i="13" s="1"/>
  <c r="EW4" i="13"/>
  <c r="CX19" i="13" l="1"/>
  <c r="CY9" i="13"/>
  <c r="CY10" i="13" s="1"/>
  <c r="CY23" i="13"/>
  <c r="CZ3" i="13"/>
  <c r="CY26" i="13"/>
  <c r="CY27" i="13" s="1"/>
  <c r="CX15" i="13"/>
  <c r="CX16" i="13" s="1"/>
  <c r="CW22" i="13"/>
  <c r="CZ11" i="13"/>
  <c r="CZ12" i="13" s="1"/>
  <c r="CY20" i="13"/>
  <c r="CY13" i="13"/>
  <c r="CY14" i="13" s="1"/>
  <c r="CX21" i="13"/>
  <c r="CX18" i="13"/>
  <c r="CX24" i="13" s="1"/>
  <c r="CY6" i="13"/>
  <c r="CY7" i="13" s="1"/>
  <c r="EV8" i="13"/>
  <c r="EW5" i="13"/>
  <c r="EW25" i="13" s="1"/>
  <c r="EX4" i="13"/>
  <c r="CX22" i="13" l="1"/>
  <c r="CY15" i="13"/>
  <c r="CY16" i="13" s="1"/>
  <c r="CZ20" i="13"/>
  <c r="DA11" i="13"/>
  <c r="DA12" i="13" s="1"/>
  <c r="CZ26" i="13"/>
  <c r="CZ27" i="13" s="1"/>
  <c r="CZ23" i="13"/>
  <c r="DA3" i="13"/>
  <c r="CZ6" i="13"/>
  <c r="CZ7" i="13" s="1"/>
  <c r="CY18" i="13"/>
  <c r="CY24" i="13" s="1"/>
  <c r="CZ13" i="13"/>
  <c r="CZ14" i="13" s="1"/>
  <c r="CY21" i="13"/>
  <c r="CY19" i="13"/>
  <c r="CZ9" i="13"/>
  <c r="CZ10" i="13" s="1"/>
  <c r="EW8" i="13"/>
  <c r="EX5" i="13"/>
  <c r="EX25" i="13" s="1"/>
  <c r="EY4" i="13"/>
  <c r="DB3" i="13" l="1"/>
  <c r="DA26" i="13"/>
  <c r="DA27" i="13" s="1"/>
  <c r="DA23" i="13"/>
  <c r="CZ19" i="13"/>
  <c r="DA9" i="13"/>
  <c r="DA10" i="13" s="1"/>
  <c r="DB11" i="13"/>
  <c r="DB12" i="13" s="1"/>
  <c r="DA20" i="13"/>
  <c r="DA6" i="13"/>
  <c r="DA7" i="13" s="1"/>
  <c r="CZ18" i="13"/>
  <c r="CZ24" i="13" s="1"/>
  <c r="DA13" i="13"/>
  <c r="DA14" i="13" s="1"/>
  <c r="CZ21" i="13"/>
  <c r="CY22" i="13"/>
  <c r="CZ15" i="13"/>
  <c r="CZ16" i="13" s="1"/>
  <c r="EX8" i="13"/>
  <c r="EY5" i="13"/>
  <c r="EY25" i="13" s="1"/>
  <c r="EZ4" i="13"/>
  <c r="DB6" i="13" l="1"/>
  <c r="DB7" i="13" s="1"/>
  <c r="DA18" i="13"/>
  <c r="DA24" i="13" s="1"/>
  <c r="DB20" i="13"/>
  <c r="DC11" i="13"/>
  <c r="DC12" i="13" s="1"/>
  <c r="DA15" i="13"/>
  <c r="DA16" i="13" s="1"/>
  <c r="CZ22" i="13"/>
  <c r="DA19" i="13"/>
  <c r="DB9" i="13"/>
  <c r="DB10" i="13" s="1"/>
  <c r="DB13" i="13"/>
  <c r="DB14" i="13" s="1"/>
  <c r="DA21" i="13"/>
  <c r="DB23" i="13"/>
  <c r="DC3" i="13"/>
  <c r="DB26" i="13"/>
  <c r="DB27" i="13" s="1"/>
  <c r="EY8" i="13"/>
  <c r="EZ5" i="13"/>
  <c r="EZ25" i="13" s="1"/>
  <c r="FA4" i="13"/>
  <c r="DB19" i="13" l="1"/>
  <c r="DC9" i="13"/>
  <c r="DC10" i="13" s="1"/>
  <c r="DA22" i="13"/>
  <c r="DB15" i="13"/>
  <c r="DB16" i="13" s="1"/>
  <c r="DD3" i="13"/>
  <c r="DC23" i="13"/>
  <c r="DC26" i="13"/>
  <c r="DC27" i="13" s="1"/>
  <c r="DC20" i="13"/>
  <c r="DD11" i="13"/>
  <c r="DD12" i="13" s="1"/>
  <c r="DB21" i="13"/>
  <c r="DC13" i="13"/>
  <c r="DC14" i="13" s="1"/>
  <c r="DB18" i="13"/>
  <c r="DB24" i="13" s="1"/>
  <c r="DC6" i="13"/>
  <c r="DC7" i="13" s="1"/>
  <c r="EZ8" i="13"/>
  <c r="FA5" i="13"/>
  <c r="FA25" i="13" s="1"/>
  <c r="FB4" i="13"/>
  <c r="DC18" i="13" l="1"/>
  <c r="DC24" i="13" s="1"/>
  <c r="DD6" i="13"/>
  <c r="DD7" i="13" s="1"/>
  <c r="DD23" i="13"/>
  <c r="DE3" i="13"/>
  <c r="DD26" i="13"/>
  <c r="DD27" i="13" s="1"/>
  <c r="DB22" i="13"/>
  <c r="DC15" i="13"/>
  <c r="DC16" i="13" s="1"/>
  <c r="DC21" i="13"/>
  <c r="DD13" i="13"/>
  <c r="DD14" i="13" s="1"/>
  <c r="DC19" i="13"/>
  <c r="DD9" i="13"/>
  <c r="DD10" i="13" s="1"/>
  <c r="DD20" i="13"/>
  <c r="DE11" i="13"/>
  <c r="DE12" i="13" s="1"/>
  <c r="FA8" i="13"/>
  <c r="FB5" i="13"/>
  <c r="FB25" i="13" s="1"/>
  <c r="FC4" i="13"/>
  <c r="DC22" i="13" l="1"/>
  <c r="DD15" i="13"/>
  <c r="DD16" i="13" s="1"/>
  <c r="DE20" i="13"/>
  <c r="DF11" i="13"/>
  <c r="DF12" i="13" s="1"/>
  <c r="DE23" i="13"/>
  <c r="DF3" i="13"/>
  <c r="DE26" i="13"/>
  <c r="DE27" i="13" s="1"/>
  <c r="DD19" i="13"/>
  <c r="DE9" i="13"/>
  <c r="DE10" i="13" s="1"/>
  <c r="DD18" i="13"/>
  <c r="DD24" i="13" s="1"/>
  <c r="DE6" i="13"/>
  <c r="DE7" i="13" s="1"/>
  <c r="DD21" i="13"/>
  <c r="DE13" i="13"/>
  <c r="DE14" i="13" s="1"/>
  <c r="FB8" i="13"/>
  <c r="FC5" i="13"/>
  <c r="FC25" i="13" s="1"/>
  <c r="FD4" i="13"/>
  <c r="DF23" i="13" l="1"/>
  <c r="DG3" i="13"/>
  <c r="DF26" i="13"/>
  <c r="DF27" i="13" s="1"/>
  <c r="DE21" i="13"/>
  <c r="DF13" i="13"/>
  <c r="DF14" i="13" s="1"/>
  <c r="DF20" i="13"/>
  <c r="DG11" i="13"/>
  <c r="DG12" i="13" s="1"/>
  <c r="DE18" i="13"/>
  <c r="DE24" i="13" s="1"/>
  <c r="DF6" i="13"/>
  <c r="DF7" i="13" s="1"/>
  <c r="DD22" i="13"/>
  <c r="DE15" i="13"/>
  <c r="DE16" i="13" s="1"/>
  <c r="DE19" i="13"/>
  <c r="DF9" i="13"/>
  <c r="DF10" i="13" s="1"/>
  <c r="FC8" i="13"/>
  <c r="FD5" i="13"/>
  <c r="FD25" i="13" s="1"/>
  <c r="FE4" i="13"/>
  <c r="DG20" i="13" l="1"/>
  <c r="DH11" i="13"/>
  <c r="DH12" i="13" s="1"/>
  <c r="DF19" i="13"/>
  <c r="DG9" i="13"/>
  <c r="DG10" i="13" s="1"/>
  <c r="DF21" i="13"/>
  <c r="DG13" i="13"/>
  <c r="DG14" i="13" s="1"/>
  <c r="DE22" i="13"/>
  <c r="DF15" i="13"/>
  <c r="DF16" i="13" s="1"/>
  <c r="DG23" i="13"/>
  <c r="DH3" i="13"/>
  <c r="DG26" i="13"/>
  <c r="DG27" i="13" s="1"/>
  <c r="DF18" i="13"/>
  <c r="DF24" i="13" s="1"/>
  <c r="DG6" i="13"/>
  <c r="DG7" i="13" s="1"/>
  <c r="FD8" i="13"/>
  <c r="FE5" i="13"/>
  <c r="FE25" i="13" s="1"/>
  <c r="FF4" i="13"/>
  <c r="DF22" i="13" l="1"/>
  <c r="DG15" i="13"/>
  <c r="DG16" i="13" s="1"/>
  <c r="DG21" i="13"/>
  <c r="DH13" i="13"/>
  <c r="DH14" i="13" s="1"/>
  <c r="DH6" i="13"/>
  <c r="DH7" i="13" s="1"/>
  <c r="DG18" i="13"/>
  <c r="DG24" i="13" s="1"/>
  <c r="DG19" i="13"/>
  <c r="DH9" i="13"/>
  <c r="DH10" i="13" s="1"/>
  <c r="DH26" i="13"/>
  <c r="DH27" i="13" s="1"/>
  <c r="DH23" i="13"/>
  <c r="DI3" i="13"/>
  <c r="DH20" i="13"/>
  <c r="DI11" i="13"/>
  <c r="DI12" i="13" s="1"/>
  <c r="FE8" i="13"/>
  <c r="FF5" i="13"/>
  <c r="FF25" i="13" s="1"/>
  <c r="FG4" i="13"/>
  <c r="DH19" i="13" l="1"/>
  <c r="DI9" i="13"/>
  <c r="DI10" i="13" s="1"/>
  <c r="DI20" i="13"/>
  <c r="DJ11" i="13"/>
  <c r="DJ12" i="13" s="1"/>
  <c r="DI6" i="13"/>
  <c r="DI7" i="13" s="1"/>
  <c r="DH18" i="13"/>
  <c r="DH24" i="13" s="1"/>
  <c r="DH21" i="13"/>
  <c r="DI13" i="13"/>
  <c r="DI14" i="13" s="1"/>
  <c r="DI23" i="13"/>
  <c r="DJ3" i="13"/>
  <c r="DI26" i="13"/>
  <c r="DI27" i="13" s="1"/>
  <c r="DG22" i="13"/>
  <c r="DH15" i="13"/>
  <c r="DH16" i="13" s="1"/>
  <c r="FF8" i="13"/>
  <c r="FG5" i="13"/>
  <c r="FG25" i="13" s="1"/>
  <c r="FH4" i="13"/>
  <c r="DI21" i="13" l="1"/>
  <c r="DJ13" i="13"/>
  <c r="DJ14" i="13" s="1"/>
  <c r="DH22" i="13"/>
  <c r="DI15" i="13"/>
  <c r="DI16" i="13" s="1"/>
  <c r="DI18" i="13"/>
  <c r="DI24" i="13" s="1"/>
  <c r="DJ6" i="13"/>
  <c r="DJ7" i="13" s="1"/>
  <c r="DJ20" i="13"/>
  <c r="DK11" i="13"/>
  <c r="DK12" i="13" s="1"/>
  <c r="DJ23" i="13"/>
  <c r="DK3" i="13"/>
  <c r="DJ26" i="13"/>
  <c r="DJ27" i="13" s="1"/>
  <c r="DI19" i="13"/>
  <c r="DJ9" i="13"/>
  <c r="DJ10" i="13" s="1"/>
  <c r="FG8" i="13"/>
  <c r="FH5" i="13"/>
  <c r="FH25" i="13" s="1"/>
  <c r="FI4" i="13"/>
  <c r="DK20" i="13" l="1"/>
  <c r="DL11" i="13"/>
  <c r="DL12" i="13" s="1"/>
  <c r="DK6" i="13"/>
  <c r="DK7" i="13" s="1"/>
  <c r="DJ18" i="13"/>
  <c r="DJ24" i="13" s="1"/>
  <c r="DJ19" i="13"/>
  <c r="DK9" i="13"/>
  <c r="DK10" i="13" s="1"/>
  <c r="DI22" i="13"/>
  <c r="DJ15" i="13"/>
  <c r="DJ16" i="13" s="1"/>
  <c r="DK23" i="13"/>
  <c r="DL3" i="13"/>
  <c r="DK26" i="13"/>
  <c r="DK27" i="13" s="1"/>
  <c r="DJ21" i="13"/>
  <c r="DK13" i="13"/>
  <c r="DK14" i="13" s="1"/>
  <c r="FH8" i="13"/>
  <c r="FJ4" i="13"/>
  <c r="FI5" i="13"/>
  <c r="FI25" i="13" s="1"/>
  <c r="DJ22" i="13" l="1"/>
  <c r="DK15" i="13"/>
  <c r="DK16" i="13" s="1"/>
  <c r="DK19" i="13"/>
  <c r="DL9" i="13"/>
  <c r="DL10" i="13" s="1"/>
  <c r="DK21" i="13"/>
  <c r="DL13" i="13"/>
  <c r="DL14" i="13" s="1"/>
  <c r="DK18" i="13"/>
  <c r="DK24" i="13" s="1"/>
  <c r="DL6" i="13"/>
  <c r="DL7" i="13" s="1"/>
  <c r="DL20" i="13"/>
  <c r="DM11" i="13"/>
  <c r="DM12" i="13" s="1"/>
  <c r="DM3" i="13"/>
  <c r="DL23" i="13"/>
  <c r="DL26" i="13"/>
  <c r="DL27" i="13" s="1"/>
  <c r="FI8" i="13"/>
  <c r="FK4" i="13"/>
  <c r="FJ5" i="13"/>
  <c r="FJ25" i="13" s="1"/>
  <c r="DM6" i="13" l="1"/>
  <c r="DM7" i="13" s="1"/>
  <c r="DL18" i="13"/>
  <c r="DL24" i="13" s="1"/>
  <c r="DL21" i="13"/>
  <c r="DM13" i="13"/>
  <c r="DM14" i="13" s="1"/>
  <c r="DL19" i="13"/>
  <c r="DM9" i="13"/>
  <c r="DM10" i="13" s="1"/>
  <c r="DM23" i="13"/>
  <c r="DN3" i="13"/>
  <c r="DM26" i="13"/>
  <c r="DM27" i="13" s="1"/>
  <c r="DM20" i="13"/>
  <c r="DN11" i="13"/>
  <c r="DN12" i="13" s="1"/>
  <c r="DK22" i="13"/>
  <c r="DL15" i="13"/>
  <c r="DL16" i="13" s="1"/>
  <c r="FJ8" i="13"/>
  <c r="FL4" i="13"/>
  <c r="FK5" i="13"/>
  <c r="FK25" i="13" s="1"/>
  <c r="DN23" i="13" l="1"/>
  <c r="DO3" i="13"/>
  <c r="DN26" i="13"/>
  <c r="DN27" i="13" s="1"/>
  <c r="DM19" i="13"/>
  <c r="DN9" i="13"/>
  <c r="DN10" i="13" s="1"/>
  <c r="DL22" i="13"/>
  <c r="DM15" i="13"/>
  <c r="DM16" i="13" s="1"/>
  <c r="DM21" i="13"/>
  <c r="DN13" i="13"/>
  <c r="DN14" i="13" s="1"/>
  <c r="DN20" i="13"/>
  <c r="DO11" i="13"/>
  <c r="DO12" i="13" s="1"/>
  <c r="DM18" i="13"/>
  <c r="DM24" i="13" s="1"/>
  <c r="DN6" i="13"/>
  <c r="DN7" i="13" s="1"/>
  <c r="FK8" i="13"/>
  <c r="FL5" i="13"/>
  <c r="FL25" i="13" s="1"/>
  <c r="FM4" i="13"/>
  <c r="DM22" i="13" l="1"/>
  <c r="DN15" i="13"/>
  <c r="DN16" i="13" s="1"/>
  <c r="DN18" i="13"/>
  <c r="DN24" i="13" s="1"/>
  <c r="DO6" i="13"/>
  <c r="DO7" i="13" s="1"/>
  <c r="DN19" i="13"/>
  <c r="DO9" i="13"/>
  <c r="DO10" i="13" s="1"/>
  <c r="DO20" i="13"/>
  <c r="DP11" i="13"/>
  <c r="DP12" i="13" s="1"/>
  <c r="DO23" i="13"/>
  <c r="DP3" i="13"/>
  <c r="DO26" i="13"/>
  <c r="DO27" i="13" s="1"/>
  <c r="DN21" i="13"/>
  <c r="DO13" i="13"/>
  <c r="DO14" i="13" s="1"/>
  <c r="FL8" i="13"/>
  <c r="FM5" i="13"/>
  <c r="FM25" i="13" s="1"/>
  <c r="FN4" i="13"/>
  <c r="DP20" i="13" l="1"/>
  <c r="DQ11" i="13"/>
  <c r="DQ12" i="13" s="1"/>
  <c r="DO19" i="13"/>
  <c r="DP9" i="13"/>
  <c r="DP10" i="13" s="1"/>
  <c r="DO21" i="13"/>
  <c r="DP13" i="13"/>
  <c r="DP14" i="13" s="1"/>
  <c r="DO18" i="13"/>
  <c r="DO24" i="13" s="1"/>
  <c r="DP6" i="13"/>
  <c r="DP7" i="13" s="1"/>
  <c r="DQ3" i="13"/>
  <c r="DP23" i="13"/>
  <c r="DP26" i="13"/>
  <c r="DP27" i="13" s="1"/>
  <c r="DN22" i="13"/>
  <c r="DO15" i="13"/>
  <c r="DO16" i="13" s="1"/>
  <c r="FM8" i="13"/>
  <c r="FN5" i="13"/>
  <c r="FN25" i="13" s="1"/>
  <c r="FO4" i="13"/>
  <c r="DQ6" i="13" l="1"/>
  <c r="DQ7" i="13" s="1"/>
  <c r="DP18" i="13"/>
  <c r="DP24" i="13" s="1"/>
  <c r="DP21" i="13"/>
  <c r="DQ13" i="13"/>
  <c r="DQ14" i="13" s="1"/>
  <c r="DO22" i="13"/>
  <c r="DP15" i="13"/>
  <c r="DP16" i="13" s="1"/>
  <c r="DP19" i="13"/>
  <c r="DQ9" i="13"/>
  <c r="DQ10" i="13" s="1"/>
  <c r="DQ20" i="13"/>
  <c r="DR11" i="13"/>
  <c r="DR12" i="13" s="1"/>
  <c r="DQ23" i="13"/>
  <c r="DQ26" i="13"/>
  <c r="DQ27" i="13" s="1"/>
  <c r="DR3" i="13"/>
  <c r="FN8" i="13"/>
  <c r="FO5" i="13"/>
  <c r="FO25" i="13" s="1"/>
  <c r="FP4" i="13"/>
  <c r="DQ19" i="13" l="1"/>
  <c r="DR9" i="13"/>
  <c r="DR10" i="13" s="1"/>
  <c r="DP22" i="13"/>
  <c r="DQ15" i="13"/>
  <c r="DQ16" i="13" s="1"/>
  <c r="DS3" i="13"/>
  <c r="DR23" i="13"/>
  <c r="DR26" i="13"/>
  <c r="DR27" i="13" s="1"/>
  <c r="DQ21" i="13"/>
  <c r="DR13" i="13"/>
  <c r="DR14" i="13" s="1"/>
  <c r="DR20" i="13"/>
  <c r="DS11" i="13"/>
  <c r="DS12" i="13" s="1"/>
  <c r="DQ18" i="13"/>
  <c r="DQ24" i="13" s="1"/>
  <c r="DR6" i="13"/>
  <c r="DR7" i="13" s="1"/>
  <c r="FO8" i="13"/>
  <c r="FP5" i="13"/>
  <c r="FP25" i="13" s="1"/>
  <c r="FQ4" i="13"/>
  <c r="DR18" i="13" l="1"/>
  <c r="DR24" i="13" s="1"/>
  <c r="DS6" i="13"/>
  <c r="DS7" i="13" s="1"/>
  <c r="DT3" i="13"/>
  <c r="DS23" i="13"/>
  <c r="DS26" i="13"/>
  <c r="DS27" i="13" s="1"/>
  <c r="DQ22" i="13"/>
  <c r="DR15" i="13"/>
  <c r="DR16" i="13" s="1"/>
  <c r="DS20" i="13"/>
  <c r="DT11" i="13"/>
  <c r="DT12" i="13" s="1"/>
  <c r="DR19" i="13"/>
  <c r="DS9" i="13"/>
  <c r="DS10" i="13" s="1"/>
  <c r="DR21" i="13"/>
  <c r="DS13" i="13"/>
  <c r="DS14" i="13" s="1"/>
  <c r="FP8" i="13"/>
  <c r="FQ5" i="13"/>
  <c r="FQ25" i="13" s="1"/>
  <c r="FR4" i="13"/>
  <c r="DR22" i="13" l="1"/>
  <c r="DS15" i="13"/>
  <c r="DS16" i="13" s="1"/>
  <c r="DS21" i="13"/>
  <c r="DT13" i="13"/>
  <c r="DT14" i="13" s="1"/>
  <c r="DS19" i="13"/>
  <c r="DT9" i="13"/>
  <c r="DT10" i="13" s="1"/>
  <c r="DT23" i="13"/>
  <c r="DU3" i="13"/>
  <c r="DT26" i="13"/>
  <c r="DT27" i="13" s="1"/>
  <c r="DT6" i="13"/>
  <c r="DT7" i="13" s="1"/>
  <c r="DS18" i="13"/>
  <c r="DS24" i="13" s="1"/>
  <c r="DT20" i="13"/>
  <c r="DU11" i="13"/>
  <c r="DU12" i="13" s="1"/>
  <c r="FQ8" i="13"/>
  <c r="FR5" i="13"/>
  <c r="FR25" i="13" s="1"/>
  <c r="FS4" i="13"/>
  <c r="DU23" i="13" l="1"/>
  <c r="DV3" i="13"/>
  <c r="DU26" i="13"/>
  <c r="DU27" i="13" s="1"/>
  <c r="DT19" i="13"/>
  <c r="DU9" i="13"/>
  <c r="DU10" i="13" s="1"/>
  <c r="DU20" i="13"/>
  <c r="DV11" i="13"/>
  <c r="DV12" i="13" s="1"/>
  <c r="DT21" i="13"/>
  <c r="DU13" i="13"/>
  <c r="DU14" i="13" s="1"/>
  <c r="DT18" i="13"/>
  <c r="DT24" i="13" s="1"/>
  <c r="DU6" i="13"/>
  <c r="DU7" i="13" s="1"/>
  <c r="DS22" i="13"/>
  <c r="DT15" i="13"/>
  <c r="DT16" i="13" s="1"/>
  <c r="FR8" i="13"/>
  <c r="FS5" i="13"/>
  <c r="FS25" i="13" s="1"/>
  <c r="FT4" i="13"/>
  <c r="DV20" i="13" l="1"/>
  <c r="DW11" i="13"/>
  <c r="DW12" i="13" s="1"/>
  <c r="DT22" i="13"/>
  <c r="DU15" i="13"/>
  <c r="DU16" i="13" s="1"/>
  <c r="DU19" i="13"/>
  <c r="DV9" i="13"/>
  <c r="DV10" i="13" s="1"/>
  <c r="DV6" i="13"/>
  <c r="DV7" i="13" s="1"/>
  <c r="DU18" i="13"/>
  <c r="DU24" i="13" s="1"/>
  <c r="DV23" i="13"/>
  <c r="DV26" i="13"/>
  <c r="DV27" i="13" s="1"/>
  <c r="DW3" i="13"/>
  <c r="DU21" i="13"/>
  <c r="DV13" i="13"/>
  <c r="DV14" i="13" s="1"/>
  <c r="FS8" i="13"/>
  <c r="FT5" i="13"/>
  <c r="FT25" i="13" s="1"/>
  <c r="FU4" i="13"/>
  <c r="DV18" i="13" l="1"/>
  <c r="DV24" i="13" s="1"/>
  <c r="DW6" i="13"/>
  <c r="DW7" i="13" s="1"/>
  <c r="DV19" i="13"/>
  <c r="DW9" i="13"/>
  <c r="DW10" i="13" s="1"/>
  <c r="DV21" i="13"/>
  <c r="DW13" i="13"/>
  <c r="DW14" i="13" s="1"/>
  <c r="DU22" i="13"/>
  <c r="DV15" i="13"/>
  <c r="DV16" i="13" s="1"/>
  <c r="DX3" i="13"/>
  <c r="DW23" i="13"/>
  <c r="DW26" i="13"/>
  <c r="DW27" i="13" s="1"/>
  <c r="DW20" i="13"/>
  <c r="DX11" i="13"/>
  <c r="DX12" i="13" s="1"/>
  <c r="FT8" i="13"/>
  <c r="FU5" i="13"/>
  <c r="FU25" i="13" s="1"/>
  <c r="FV4" i="13"/>
  <c r="DV22" i="13" l="1"/>
  <c r="DW15" i="13"/>
  <c r="DW16" i="13" s="1"/>
  <c r="DW21" i="13"/>
  <c r="DX13" i="13"/>
  <c r="DX14" i="13" s="1"/>
  <c r="DX20" i="13"/>
  <c r="DY11" i="13"/>
  <c r="DY12" i="13" s="1"/>
  <c r="DW19" i="13"/>
  <c r="DX9" i="13"/>
  <c r="DX10" i="13" s="1"/>
  <c r="DW18" i="13"/>
  <c r="DW24" i="13" s="1"/>
  <c r="DX6" i="13"/>
  <c r="DX7" i="13" s="1"/>
  <c r="DY3" i="13"/>
  <c r="DX23" i="13"/>
  <c r="DX26" i="13"/>
  <c r="DX27" i="13" s="1"/>
  <c r="FU8" i="13"/>
  <c r="FV5" i="13"/>
  <c r="FV25" i="13" s="1"/>
  <c r="FW4" i="13"/>
  <c r="DX19" i="13" l="1"/>
  <c r="DY9" i="13"/>
  <c r="DY10" i="13" s="1"/>
  <c r="DY20" i="13"/>
  <c r="DZ11" i="13"/>
  <c r="DZ12" i="13" s="1"/>
  <c r="DX21" i="13"/>
  <c r="DY13" i="13"/>
  <c r="DY14" i="13" s="1"/>
  <c r="DY26" i="13"/>
  <c r="DY27" i="13" s="1"/>
  <c r="DY23" i="13"/>
  <c r="DZ3" i="13"/>
  <c r="DY6" i="13"/>
  <c r="DY7" i="13" s="1"/>
  <c r="DX18" i="13"/>
  <c r="DX24" i="13" s="1"/>
  <c r="DW22" i="13"/>
  <c r="DX15" i="13"/>
  <c r="DX16" i="13" s="1"/>
  <c r="FV8" i="13"/>
  <c r="FW5" i="13"/>
  <c r="FW25" i="13" s="1"/>
  <c r="FX4" i="13"/>
  <c r="DY21" i="13" l="1"/>
  <c r="DZ13" i="13"/>
  <c r="DZ14" i="13" s="1"/>
  <c r="DX22" i="13"/>
  <c r="DY15" i="13"/>
  <c r="DY16" i="13" s="1"/>
  <c r="DZ20" i="13"/>
  <c r="EA11" i="13"/>
  <c r="EA12" i="13" s="1"/>
  <c r="DZ6" i="13"/>
  <c r="DZ7" i="13" s="1"/>
  <c r="DY18" i="13"/>
  <c r="DY24" i="13" s="1"/>
  <c r="DY19" i="13"/>
  <c r="DZ9" i="13"/>
  <c r="DZ10" i="13" s="1"/>
  <c r="DZ23" i="13"/>
  <c r="EA3" i="13"/>
  <c r="DZ26" i="13"/>
  <c r="DZ27" i="13" s="1"/>
  <c r="FW8" i="13"/>
  <c r="FX5" i="13"/>
  <c r="FX25" i="13" s="1"/>
  <c r="FY4" i="13"/>
  <c r="EA6" i="13" l="1"/>
  <c r="EA7" i="13" s="1"/>
  <c r="DZ18" i="13"/>
  <c r="DZ24" i="13" s="1"/>
  <c r="EA20" i="13"/>
  <c r="EB11" i="13"/>
  <c r="EB12" i="13" s="1"/>
  <c r="EA23" i="13"/>
  <c r="EB3" i="13"/>
  <c r="EA26" i="13"/>
  <c r="EA27" i="13" s="1"/>
  <c r="DY22" i="13"/>
  <c r="DZ15" i="13"/>
  <c r="DZ16" i="13" s="1"/>
  <c r="DZ19" i="13"/>
  <c r="EA9" i="13"/>
  <c r="EA10" i="13" s="1"/>
  <c r="DZ21" i="13"/>
  <c r="EA13" i="13"/>
  <c r="EA14" i="13" s="1"/>
  <c r="FX8" i="13"/>
  <c r="FY5" i="13"/>
  <c r="FY25" i="13" s="1"/>
  <c r="FZ4" i="13"/>
  <c r="EB26" i="13" l="1"/>
  <c r="EB27" i="13" s="1"/>
  <c r="EB23" i="13"/>
  <c r="EC3" i="13"/>
  <c r="EA21" i="13"/>
  <c r="EB13" i="13"/>
  <c r="EB14" i="13" s="1"/>
  <c r="EB20" i="13"/>
  <c r="EC11" i="13"/>
  <c r="EC12" i="13" s="1"/>
  <c r="EA19" i="13"/>
  <c r="EB9" i="13"/>
  <c r="EB10" i="13" s="1"/>
  <c r="DZ22" i="13"/>
  <c r="EA15" i="13"/>
  <c r="EA16" i="13" s="1"/>
  <c r="EA18" i="13"/>
  <c r="EA24" i="13" s="1"/>
  <c r="EB6" i="13"/>
  <c r="EB7" i="13" s="1"/>
  <c r="FY8" i="13"/>
  <c r="FZ5" i="13"/>
  <c r="FZ25" i="13" s="1"/>
  <c r="GA4" i="13"/>
  <c r="EC20" i="13" l="1"/>
  <c r="ED11" i="13"/>
  <c r="ED12" i="13" s="1"/>
  <c r="EB18" i="13"/>
  <c r="EB24" i="13" s="1"/>
  <c r="EC6" i="13"/>
  <c r="EC7" i="13" s="1"/>
  <c r="EB21" i="13"/>
  <c r="EC13" i="13"/>
  <c r="EC14" i="13" s="1"/>
  <c r="EC23" i="13"/>
  <c r="ED3" i="13"/>
  <c r="EC26" i="13"/>
  <c r="EC27" i="13" s="1"/>
  <c r="EA22" i="13"/>
  <c r="EB15" i="13"/>
  <c r="EB16" i="13" s="1"/>
  <c r="EB19" i="13"/>
  <c r="EC9" i="13"/>
  <c r="EC10" i="13" s="1"/>
  <c r="FZ8" i="13"/>
  <c r="GA5" i="13"/>
  <c r="GA25" i="13" s="1"/>
  <c r="GB4" i="13"/>
  <c r="EE3" i="13" l="1"/>
  <c r="ED26" i="13"/>
  <c r="ED27" i="13" s="1"/>
  <c r="ED23" i="13"/>
  <c r="EC21" i="13"/>
  <c r="ED13" i="13"/>
  <c r="ED14" i="13" s="1"/>
  <c r="EC19" i="13"/>
  <c r="ED9" i="13"/>
  <c r="ED10" i="13" s="1"/>
  <c r="ED6" i="13"/>
  <c r="ED7" i="13" s="1"/>
  <c r="EC18" i="13"/>
  <c r="EC24" i="13" s="1"/>
  <c r="EB22" i="13"/>
  <c r="EC15" i="13"/>
  <c r="EC16" i="13" s="1"/>
  <c r="ED20" i="13"/>
  <c r="EE11" i="13"/>
  <c r="EE12" i="13" s="1"/>
  <c r="GA8" i="13"/>
  <c r="GB5" i="13"/>
  <c r="GB25" i="13" s="1"/>
  <c r="GC4" i="13"/>
  <c r="ED18" i="13" l="1"/>
  <c r="ED24" i="13" s="1"/>
  <c r="EE6" i="13"/>
  <c r="EE7" i="13" s="1"/>
  <c r="ED19" i="13"/>
  <c r="EE9" i="13"/>
  <c r="EE10" i="13" s="1"/>
  <c r="EE20" i="13"/>
  <c r="EF11" i="13"/>
  <c r="EF12" i="13" s="1"/>
  <c r="ED21" i="13"/>
  <c r="EE13" i="13"/>
  <c r="EE14" i="13" s="1"/>
  <c r="EC22" i="13"/>
  <c r="ED15" i="13"/>
  <c r="ED16" i="13" s="1"/>
  <c r="EE23" i="13"/>
  <c r="EF3" i="13"/>
  <c r="EE26" i="13"/>
  <c r="EE27" i="13" s="1"/>
  <c r="GB8" i="13"/>
  <c r="GC5" i="13"/>
  <c r="GC25" i="13" s="1"/>
  <c r="GD4" i="13"/>
  <c r="EE21" i="13" l="1"/>
  <c r="EF13" i="13"/>
  <c r="EF14" i="13" s="1"/>
  <c r="EF20" i="13"/>
  <c r="EG11" i="13"/>
  <c r="EG12" i="13" s="1"/>
  <c r="EG3" i="13"/>
  <c r="EF26" i="13"/>
  <c r="EF27" i="13" s="1"/>
  <c r="EF23" i="13"/>
  <c r="EE19" i="13"/>
  <c r="EF9" i="13"/>
  <c r="EF10" i="13" s="1"/>
  <c r="ED22" i="13"/>
  <c r="EE15" i="13"/>
  <c r="EE16" i="13" s="1"/>
  <c r="EF6" i="13"/>
  <c r="EF7" i="13" s="1"/>
  <c r="EE18" i="13"/>
  <c r="EE24" i="13" s="1"/>
  <c r="GC8" i="13"/>
  <c r="GD5" i="13"/>
  <c r="GD25" i="13" s="1"/>
  <c r="GE4" i="13"/>
  <c r="EG23" i="13" l="1"/>
  <c r="EH3" i="13"/>
  <c r="EG26" i="13"/>
  <c r="EG27" i="13" s="1"/>
  <c r="EF18" i="13"/>
  <c r="EF24" i="13" s="1"/>
  <c r="EG6" i="13"/>
  <c r="EG7" i="13" s="1"/>
  <c r="EG20" i="13"/>
  <c r="EH11" i="13"/>
  <c r="EH12" i="13" s="1"/>
  <c r="EE22" i="13"/>
  <c r="EF15" i="13"/>
  <c r="EF16" i="13" s="1"/>
  <c r="EF21" i="13"/>
  <c r="EG13" i="13"/>
  <c r="EG14" i="13" s="1"/>
  <c r="EF19" i="13"/>
  <c r="EG9" i="13"/>
  <c r="EG10" i="13" s="1"/>
  <c r="GD8" i="13"/>
  <c r="GE5" i="13"/>
  <c r="GE25" i="13" s="1"/>
  <c r="GF4" i="13"/>
  <c r="EH20" i="13" l="1"/>
  <c r="EI11" i="13"/>
  <c r="EI12" i="13" s="1"/>
  <c r="EG19" i="13"/>
  <c r="EH9" i="13"/>
  <c r="EH10" i="13" s="1"/>
  <c r="EH6" i="13"/>
  <c r="EH7" i="13" s="1"/>
  <c r="EG18" i="13"/>
  <c r="EG24" i="13" s="1"/>
  <c r="EG21" i="13"/>
  <c r="EH13" i="13"/>
  <c r="EH14" i="13" s="1"/>
  <c r="EH23" i="13"/>
  <c r="EI3" i="13"/>
  <c r="EH26" i="13"/>
  <c r="EH27" i="13" s="1"/>
  <c r="EF22" i="13"/>
  <c r="EG15" i="13"/>
  <c r="EG16" i="13" s="1"/>
  <c r="GE8" i="13"/>
  <c r="GF5" i="13"/>
  <c r="GF25" i="13" s="1"/>
  <c r="GG4" i="13"/>
  <c r="EG22" i="13" l="1"/>
  <c r="EH15" i="13"/>
  <c r="EH16" i="13" s="1"/>
  <c r="EI6" i="13"/>
  <c r="EI7" i="13" s="1"/>
  <c r="EH18" i="13"/>
  <c r="EH24" i="13" s="1"/>
  <c r="EH19" i="13"/>
  <c r="EI9" i="13"/>
  <c r="EI10" i="13" s="1"/>
  <c r="EI23" i="13"/>
  <c r="EJ3" i="13"/>
  <c r="EI26" i="13"/>
  <c r="EI27" i="13" s="1"/>
  <c r="EI20" i="13"/>
  <c r="EJ11" i="13"/>
  <c r="EJ12" i="13" s="1"/>
  <c r="EH21" i="13"/>
  <c r="EI13" i="13"/>
  <c r="EI14" i="13" s="1"/>
  <c r="GF8" i="13"/>
  <c r="GG5" i="13"/>
  <c r="GG25" i="13" s="1"/>
  <c r="GH4" i="13"/>
  <c r="EI19" i="13" l="1"/>
  <c r="EJ9" i="13"/>
  <c r="EJ10" i="13" s="1"/>
  <c r="EJ23" i="13"/>
  <c r="EK3" i="13"/>
  <c r="EJ26" i="13"/>
  <c r="EJ27" i="13" s="1"/>
  <c r="EI21" i="13"/>
  <c r="EJ13" i="13"/>
  <c r="EJ14" i="13" s="1"/>
  <c r="EJ20" i="13"/>
  <c r="EK11" i="13"/>
  <c r="EK12" i="13" s="1"/>
  <c r="EI18" i="13"/>
  <c r="EI24" i="13" s="1"/>
  <c r="EJ6" i="13"/>
  <c r="EJ7" i="13" s="1"/>
  <c r="EH22" i="13"/>
  <c r="EI15" i="13"/>
  <c r="EI16" i="13" s="1"/>
  <c r="GG8" i="13"/>
  <c r="GH5" i="13"/>
  <c r="GH25" i="13" s="1"/>
  <c r="GI4" i="13"/>
  <c r="EI22" i="13" l="1"/>
  <c r="EJ15" i="13"/>
  <c r="EJ16" i="13" s="1"/>
  <c r="EK26" i="13"/>
  <c r="EK27" i="13" s="1"/>
  <c r="EK23" i="13"/>
  <c r="EL3" i="13"/>
  <c r="EJ21" i="13"/>
  <c r="EK13" i="13"/>
  <c r="EK14" i="13" s="1"/>
  <c r="EJ18" i="13"/>
  <c r="EJ24" i="13" s="1"/>
  <c r="EK6" i="13"/>
  <c r="EK7" i="13" s="1"/>
  <c r="EJ19" i="13"/>
  <c r="EK9" i="13"/>
  <c r="EK10" i="13" s="1"/>
  <c r="EK20" i="13"/>
  <c r="EL11" i="13"/>
  <c r="EL12" i="13" s="1"/>
  <c r="GH8" i="13"/>
  <c r="GI5" i="13"/>
  <c r="GI25" i="13" s="1"/>
  <c r="GJ4" i="13"/>
  <c r="EK19" i="13" l="1"/>
  <c r="EL9" i="13"/>
  <c r="EL10" i="13" s="1"/>
  <c r="EL20" i="13"/>
  <c r="EM11" i="13"/>
  <c r="EM12" i="13" s="1"/>
  <c r="EJ22" i="13"/>
  <c r="EK15" i="13"/>
  <c r="EK16" i="13" s="1"/>
  <c r="EK21" i="13"/>
  <c r="EL13" i="13"/>
  <c r="EL14" i="13" s="1"/>
  <c r="EL23" i="13"/>
  <c r="EL26" i="13"/>
  <c r="EL27" i="13" s="1"/>
  <c r="EM3" i="13"/>
  <c r="EK18" i="13"/>
  <c r="EK24" i="13" s="1"/>
  <c r="EL6" i="13"/>
  <c r="EL7" i="13" s="1"/>
  <c r="GI8" i="13"/>
  <c r="GJ5" i="13"/>
  <c r="GJ25" i="13" s="1"/>
  <c r="GK4" i="13"/>
  <c r="EK22" i="13" l="1"/>
  <c r="EL15" i="13"/>
  <c r="EL16" i="13" s="1"/>
  <c r="EM6" i="13"/>
  <c r="EM7" i="13" s="1"/>
  <c r="EL18" i="13"/>
  <c r="EL24" i="13" s="1"/>
  <c r="EL21" i="13"/>
  <c r="EM13" i="13"/>
  <c r="EM14" i="13" s="1"/>
  <c r="EM20" i="13"/>
  <c r="EN11" i="13"/>
  <c r="EN12" i="13" s="1"/>
  <c r="EM23" i="13"/>
  <c r="EN3" i="13"/>
  <c r="EM26" i="13"/>
  <c r="EM27" i="13" s="1"/>
  <c r="EL19" i="13"/>
  <c r="EM9" i="13"/>
  <c r="EM10" i="13" s="1"/>
  <c r="GJ8" i="13"/>
  <c r="GK5" i="13"/>
  <c r="GK25" i="13" s="1"/>
  <c r="GL4" i="13"/>
  <c r="EM21" i="13" l="1"/>
  <c r="EN13" i="13"/>
  <c r="EN14" i="13" s="1"/>
  <c r="EN20" i="13"/>
  <c r="EO11" i="13"/>
  <c r="EO12" i="13" s="1"/>
  <c r="EM19" i="13"/>
  <c r="EN9" i="13"/>
  <c r="EN10" i="13" s="1"/>
  <c r="EM18" i="13"/>
  <c r="EM24" i="13" s="1"/>
  <c r="EN6" i="13"/>
  <c r="EN7" i="13" s="1"/>
  <c r="EN23" i="13"/>
  <c r="EN26" i="13"/>
  <c r="EN27" i="13" s="1"/>
  <c r="EO3" i="13"/>
  <c r="EL22" i="13"/>
  <c r="EM15" i="13"/>
  <c r="EM16" i="13" s="1"/>
  <c r="GK8" i="13"/>
  <c r="GL5" i="13"/>
  <c r="GL25" i="13" s="1"/>
  <c r="GM4" i="13"/>
  <c r="EN19" i="13" l="1"/>
  <c r="EO9" i="13"/>
  <c r="EO10" i="13" s="1"/>
  <c r="EM22" i="13"/>
  <c r="EN15" i="13"/>
  <c r="EN16" i="13" s="1"/>
  <c r="EO6" i="13"/>
  <c r="EO7" i="13" s="1"/>
  <c r="EN18" i="13"/>
  <c r="EN24" i="13" s="1"/>
  <c r="EO20" i="13"/>
  <c r="EP11" i="13"/>
  <c r="EP12" i="13" s="1"/>
  <c r="EO26" i="13"/>
  <c r="EO27" i="13" s="1"/>
  <c r="EO23" i="13"/>
  <c r="EP3" i="13"/>
  <c r="EN21" i="13"/>
  <c r="EO13" i="13"/>
  <c r="EO14" i="13" s="1"/>
  <c r="GL8" i="13"/>
  <c r="GM5" i="13"/>
  <c r="GM25" i="13" s="1"/>
  <c r="GN4" i="13"/>
  <c r="EO18" i="13" l="1"/>
  <c r="EO24" i="13" s="1"/>
  <c r="EP6" i="13"/>
  <c r="EP7" i="13" s="1"/>
  <c r="EN22" i="13"/>
  <c r="EO15" i="13"/>
  <c r="EO16" i="13" s="1"/>
  <c r="EO21" i="13"/>
  <c r="EP13" i="13"/>
  <c r="EP14" i="13" s="1"/>
  <c r="EP23" i="13"/>
  <c r="EQ3" i="13"/>
  <c r="EP26" i="13"/>
  <c r="EP27" i="13" s="1"/>
  <c r="EP20" i="13"/>
  <c r="EQ11" i="13"/>
  <c r="EQ12" i="13" s="1"/>
  <c r="EO19" i="13"/>
  <c r="EP9" i="13"/>
  <c r="EP10" i="13" s="1"/>
  <c r="GM8" i="13"/>
  <c r="GN5" i="13"/>
  <c r="GN25" i="13" s="1"/>
  <c r="GO4" i="13"/>
  <c r="EP21" i="13" l="1"/>
  <c r="EQ13" i="13"/>
  <c r="EQ14" i="13" s="1"/>
  <c r="EP19" i="13"/>
  <c r="EQ9" i="13"/>
  <c r="EQ10" i="13" s="1"/>
  <c r="EO22" i="13"/>
  <c r="EP15" i="13"/>
  <c r="EP16" i="13" s="1"/>
  <c r="EQ20" i="13"/>
  <c r="ER11" i="13"/>
  <c r="ER12" i="13" s="1"/>
  <c r="EQ23" i="13"/>
  <c r="ER3" i="13"/>
  <c r="EQ26" i="13"/>
  <c r="EQ27" i="13" s="1"/>
  <c r="EQ6" i="13"/>
  <c r="EQ7" i="13" s="1"/>
  <c r="EP18" i="13"/>
  <c r="EP24" i="13" s="1"/>
  <c r="GN8" i="13"/>
  <c r="GO5" i="13"/>
  <c r="GO25" i="13" s="1"/>
  <c r="GP4" i="13"/>
  <c r="ER20" i="13" l="1"/>
  <c r="ES11" i="13"/>
  <c r="ES12" i="13" s="1"/>
  <c r="EP22" i="13"/>
  <c r="EQ15" i="13"/>
  <c r="EQ16" i="13" s="1"/>
  <c r="ER6" i="13"/>
  <c r="ER7" i="13" s="1"/>
  <c r="EQ18" i="13"/>
  <c r="EQ24" i="13" s="1"/>
  <c r="EQ19" i="13"/>
  <c r="ER9" i="13"/>
  <c r="ER10" i="13" s="1"/>
  <c r="ER23" i="13"/>
  <c r="ES3" i="13"/>
  <c r="ER26" i="13"/>
  <c r="ER27" i="13" s="1"/>
  <c r="EQ21" i="13"/>
  <c r="ER13" i="13"/>
  <c r="ER14" i="13" s="1"/>
  <c r="GO8" i="13"/>
  <c r="GP5" i="13"/>
  <c r="GP25" i="13" s="1"/>
  <c r="GQ4" i="13"/>
  <c r="ER19" i="13" l="1"/>
  <c r="ES9" i="13"/>
  <c r="ES10" i="13" s="1"/>
  <c r="ER18" i="13"/>
  <c r="ER24" i="13" s="1"/>
  <c r="ES6" i="13"/>
  <c r="ES7" i="13" s="1"/>
  <c r="EQ22" i="13"/>
  <c r="ER15" i="13"/>
  <c r="ER16" i="13" s="1"/>
  <c r="ER21" i="13"/>
  <c r="ES13" i="13"/>
  <c r="ES14" i="13" s="1"/>
  <c r="ES23" i="13"/>
  <c r="ES26" i="13"/>
  <c r="ES27" i="13" s="1"/>
  <c r="ET3" i="13"/>
  <c r="ES20" i="13"/>
  <c r="ET11" i="13"/>
  <c r="ET12" i="13" s="1"/>
  <c r="GP8" i="13"/>
  <c r="GQ5" i="13"/>
  <c r="GQ25" i="13" s="1"/>
  <c r="GR4" i="13"/>
  <c r="ES21" i="13" l="1"/>
  <c r="ET13" i="13"/>
  <c r="ET14" i="13" s="1"/>
  <c r="ER22" i="13"/>
  <c r="ES15" i="13"/>
  <c r="ES16" i="13" s="1"/>
  <c r="ET20" i="13"/>
  <c r="EU11" i="13"/>
  <c r="EU12" i="13" s="1"/>
  <c r="ET6" i="13"/>
  <c r="ET7" i="13" s="1"/>
  <c r="ES18" i="13"/>
  <c r="ES24" i="13" s="1"/>
  <c r="ET23" i="13"/>
  <c r="EU3" i="13"/>
  <c r="ET26" i="13"/>
  <c r="ET27" i="13" s="1"/>
  <c r="ES19" i="13"/>
  <c r="ET9" i="13"/>
  <c r="ET10" i="13" s="1"/>
  <c r="GQ8" i="13"/>
  <c r="GR5" i="13"/>
  <c r="GR25" i="13" s="1"/>
  <c r="GS4" i="13"/>
  <c r="ET19" i="13" l="1"/>
  <c r="EU9" i="13"/>
  <c r="EU10" i="13" s="1"/>
  <c r="ES22" i="13"/>
  <c r="ET15" i="13"/>
  <c r="ET16" i="13" s="1"/>
  <c r="EU20" i="13"/>
  <c r="EV11" i="13"/>
  <c r="EV12" i="13" s="1"/>
  <c r="EU23" i="13"/>
  <c r="EV3" i="13"/>
  <c r="EU26" i="13"/>
  <c r="EU27" i="13" s="1"/>
  <c r="ET21" i="13"/>
  <c r="EU13" i="13"/>
  <c r="EU14" i="13" s="1"/>
  <c r="ET18" i="13"/>
  <c r="ET24" i="13" s="1"/>
  <c r="EU6" i="13"/>
  <c r="EU7" i="13" s="1"/>
  <c r="GR8" i="13"/>
  <c r="GS5" i="13"/>
  <c r="GS25" i="13" s="1"/>
  <c r="GT4" i="13"/>
  <c r="EV23" i="13" l="1"/>
  <c r="EW3" i="13"/>
  <c r="EV26" i="13"/>
  <c r="EV27" i="13" s="1"/>
  <c r="EV20" i="13"/>
  <c r="EW11" i="13"/>
  <c r="EW12" i="13" s="1"/>
  <c r="EV6" i="13"/>
  <c r="EV7" i="13" s="1"/>
  <c r="EU18" i="13"/>
  <c r="EU24" i="13" s="1"/>
  <c r="ET22" i="13"/>
  <c r="EU15" i="13"/>
  <c r="EU16" i="13" s="1"/>
  <c r="EU21" i="13"/>
  <c r="EV13" i="13"/>
  <c r="EV14" i="13" s="1"/>
  <c r="EU19" i="13"/>
  <c r="EV9" i="13"/>
  <c r="EV10" i="13" s="1"/>
  <c r="GS8" i="13"/>
  <c r="GT5" i="13"/>
  <c r="GT25" i="13" s="1"/>
  <c r="GU4" i="13"/>
  <c r="EV18" i="13" l="1"/>
  <c r="EV24" i="13" s="1"/>
  <c r="EW6" i="13"/>
  <c r="EW7" i="13" s="1"/>
  <c r="EV19" i="13"/>
  <c r="EW9" i="13"/>
  <c r="EW10" i="13" s="1"/>
  <c r="EW20" i="13"/>
  <c r="EX11" i="13"/>
  <c r="EX12" i="13" s="1"/>
  <c r="EV21" i="13"/>
  <c r="EW13" i="13"/>
  <c r="EW14" i="13" s="1"/>
  <c r="EW26" i="13"/>
  <c r="EW27" i="13" s="1"/>
  <c r="EW23" i="13"/>
  <c r="EX3" i="13"/>
  <c r="EU22" i="13"/>
  <c r="EV15" i="13"/>
  <c r="EV16" i="13" s="1"/>
  <c r="GT8" i="13"/>
  <c r="GU5" i="13"/>
  <c r="GU25" i="13" s="1"/>
  <c r="GV4" i="13"/>
  <c r="EW21" i="13" l="1"/>
  <c r="EX13" i="13"/>
  <c r="EX14" i="13" s="1"/>
  <c r="EX20" i="13"/>
  <c r="EY11" i="13"/>
  <c r="EY12" i="13" s="1"/>
  <c r="EV22" i="13"/>
  <c r="EW15" i="13"/>
  <c r="EW16" i="13" s="1"/>
  <c r="EW19" i="13"/>
  <c r="EX9" i="13"/>
  <c r="EX10" i="13" s="1"/>
  <c r="EX26" i="13"/>
  <c r="EX27" i="13" s="1"/>
  <c r="EX23" i="13"/>
  <c r="EY3" i="13"/>
  <c r="EW18" i="13"/>
  <c r="EW24" i="13" s="1"/>
  <c r="EX6" i="13"/>
  <c r="EX7" i="13" s="1"/>
  <c r="GU8" i="13"/>
  <c r="GV5" i="13"/>
  <c r="GV25" i="13" s="1"/>
  <c r="GW4" i="13"/>
  <c r="EX19" i="13" l="1"/>
  <c r="EY9" i="13"/>
  <c r="EY10" i="13" s="1"/>
  <c r="EW22" i="13"/>
  <c r="EX15" i="13"/>
  <c r="EX16" i="13" s="1"/>
  <c r="EX18" i="13"/>
  <c r="EX24" i="13" s="1"/>
  <c r="EY6" i="13"/>
  <c r="EY7" i="13" s="1"/>
  <c r="EY20" i="13"/>
  <c r="EZ11" i="13"/>
  <c r="EZ12" i="13" s="1"/>
  <c r="EZ3" i="13"/>
  <c r="EY23" i="13"/>
  <c r="EY26" i="13"/>
  <c r="EY27" i="13" s="1"/>
  <c r="EX21" i="13"/>
  <c r="EY13" i="13"/>
  <c r="EY14" i="13" s="1"/>
  <c r="GV8" i="13"/>
  <c r="GW5" i="13"/>
  <c r="GW25" i="13" s="1"/>
  <c r="GX4" i="13"/>
  <c r="EZ20" i="13" l="1"/>
  <c r="FA11" i="13"/>
  <c r="FA12" i="13" s="1"/>
  <c r="EZ6" i="13"/>
  <c r="EZ7" i="13" s="1"/>
  <c r="EY18" i="13"/>
  <c r="EY24" i="13" s="1"/>
  <c r="EY21" i="13"/>
  <c r="EZ13" i="13"/>
  <c r="EZ14" i="13" s="1"/>
  <c r="EX22" i="13"/>
  <c r="EY15" i="13"/>
  <c r="EY16" i="13" s="1"/>
  <c r="EY19" i="13"/>
  <c r="EZ9" i="13"/>
  <c r="EZ10" i="13" s="1"/>
  <c r="EZ23" i="13"/>
  <c r="EZ26" i="13"/>
  <c r="EZ27" i="13" s="1"/>
  <c r="FA3" i="13"/>
  <c r="GW8" i="13"/>
  <c r="GX5" i="13"/>
  <c r="GX25" i="13" s="1"/>
  <c r="GY4" i="13"/>
  <c r="EY22" i="13" l="1"/>
  <c r="EZ15" i="13"/>
  <c r="EZ16" i="13" s="1"/>
  <c r="EZ21" i="13"/>
  <c r="FA13" i="13"/>
  <c r="FA14" i="13" s="1"/>
  <c r="FA23" i="13"/>
  <c r="FB3" i="13"/>
  <c r="FA26" i="13"/>
  <c r="FA27" i="13" s="1"/>
  <c r="EZ18" i="13"/>
  <c r="EZ24" i="13" s="1"/>
  <c r="FA6" i="13"/>
  <c r="FA7" i="13" s="1"/>
  <c r="EZ19" i="13"/>
  <c r="FA9" i="13"/>
  <c r="FA10" i="13" s="1"/>
  <c r="FA20" i="13"/>
  <c r="FB11" i="13"/>
  <c r="FB12" i="13" s="1"/>
  <c r="GX8" i="13"/>
  <c r="GY5" i="13"/>
  <c r="GY25" i="13" s="1"/>
  <c r="GZ4" i="13"/>
  <c r="FB23" i="13" l="1"/>
  <c r="FC3" i="13"/>
  <c r="FB26" i="13"/>
  <c r="FB27" i="13" s="1"/>
  <c r="FB20" i="13"/>
  <c r="FC11" i="13"/>
  <c r="FC12" i="13" s="1"/>
  <c r="FA21" i="13"/>
  <c r="FB13" i="13"/>
  <c r="FB14" i="13" s="1"/>
  <c r="FA19" i="13"/>
  <c r="FB9" i="13"/>
  <c r="FB10" i="13" s="1"/>
  <c r="EZ22" i="13"/>
  <c r="FA15" i="13"/>
  <c r="FA16" i="13" s="1"/>
  <c r="FA18" i="13"/>
  <c r="FA24" i="13" s="1"/>
  <c r="FB6" i="13"/>
  <c r="FB7" i="13" s="1"/>
  <c r="GY8" i="13"/>
  <c r="GZ5" i="13"/>
  <c r="GZ25" i="13" s="1"/>
  <c r="HA4" i="13"/>
  <c r="FB21" i="13" l="1"/>
  <c r="FC13" i="13"/>
  <c r="FC14" i="13" s="1"/>
  <c r="FB18" i="13"/>
  <c r="FB24" i="13" s="1"/>
  <c r="FC6" i="13"/>
  <c r="FC7" i="13" s="1"/>
  <c r="FC20" i="13"/>
  <c r="FD11" i="13"/>
  <c r="FD12" i="13" s="1"/>
  <c r="FA22" i="13"/>
  <c r="FB15" i="13"/>
  <c r="FB16" i="13" s="1"/>
  <c r="FC26" i="13"/>
  <c r="FC27" i="13" s="1"/>
  <c r="FC23" i="13"/>
  <c r="FD3" i="13"/>
  <c r="FB19" i="13"/>
  <c r="FC9" i="13"/>
  <c r="FC10" i="13" s="1"/>
  <c r="GZ8" i="13"/>
  <c r="HA5" i="13"/>
  <c r="HA25" i="13" s="1"/>
  <c r="HB4" i="13"/>
  <c r="FB22" i="13" l="1"/>
  <c r="FC15" i="13"/>
  <c r="FC16" i="13" s="1"/>
  <c r="FC19" i="13"/>
  <c r="FD9" i="13"/>
  <c r="FD10" i="13" s="1"/>
  <c r="FD20" i="13"/>
  <c r="FE11" i="13"/>
  <c r="FE12" i="13" s="1"/>
  <c r="FD6" i="13"/>
  <c r="FD7" i="13" s="1"/>
  <c r="FC18" i="13"/>
  <c r="FC24" i="13" s="1"/>
  <c r="FC21" i="13"/>
  <c r="FD13" i="13"/>
  <c r="FD14" i="13" s="1"/>
  <c r="FD23" i="13"/>
  <c r="FE3" i="13"/>
  <c r="FD26" i="13"/>
  <c r="FD27" i="13" s="1"/>
  <c r="HA8" i="13"/>
  <c r="HC4" i="13"/>
  <c r="HB5" i="13"/>
  <c r="HB25" i="13" s="1"/>
  <c r="FE6" i="13" l="1"/>
  <c r="FE7" i="13" s="1"/>
  <c r="FD18" i="13"/>
  <c r="FD24" i="13" s="1"/>
  <c r="FE20" i="13"/>
  <c r="FF11" i="13"/>
  <c r="FF12" i="13" s="1"/>
  <c r="FE23" i="13"/>
  <c r="FE26" i="13"/>
  <c r="FE27" i="13" s="1"/>
  <c r="FF3" i="13"/>
  <c r="FD19" i="13"/>
  <c r="FE9" i="13"/>
  <c r="FE10" i="13" s="1"/>
  <c r="FD21" i="13"/>
  <c r="FE13" i="13"/>
  <c r="FE14" i="13" s="1"/>
  <c r="FC22" i="13"/>
  <c r="FD15" i="13"/>
  <c r="FD16" i="13" s="1"/>
  <c r="HB8" i="13"/>
  <c r="HD4" i="13"/>
  <c r="HC5" i="13"/>
  <c r="HC25" i="13" s="1"/>
  <c r="FF26" i="13" l="1"/>
  <c r="FF27" i="13" s="1"/>
  <c r="FF23" i="13"/>
  <c r="FG3" i="13"/>
  <c r="FD22" i="13"/>
  <c r="FE15" i="13"/>
  <c r="FE16" i="13" s="1"/>
  <c r="FF20" i="13"/>
  <c r="FG11" i="13"/>
  <c r="FG12" i="13" s="1"/>
  <c r="FE21" i="13"/>
  <c r="FF13" i="13"/>
  <c r="FF14" i="13" s="1"/>
  <c r="FE19" i="13"/>
  <c r="FF9" i="13"/>
  <c r="FF10" i="13" s="1"/>
  <c r="FF6" i="13"/>
  <c r="FF7" i="13" s="1"/>
  <c r="FE18" i="13"/>
  <c r="FE24" i="13" s="1"/>
  <c r="HC8" i="13"/>
  <c r="HD5" i="13"/>
  <c r="HD25" i="13" s="1"/>
  <c r="HE4" i="13"/>
  <c r="FE22" i="13" l="1"/>
  <c r="FF15" i="13"/>
  <c r="FF16" i="13" s="1"/>
  <c r="FG6" i="13"/>
  <c r="FG7" i="13" s="1"/>
  <c r="FF18" i="13"/>
  <c r="FF24" i="13" s="1"/>
  <c r="FF19" i="13"/>
  <c r="FG9" i="13"/>
  <c r="FG10" i="13" s="1"/>
  <c r="FG26" i="13"/>
  <c r="FG27" i="13" s="1"/>
  <c r="FG23" i="13"/>
  <c r="FH3" i="13"/>
  <c r="FG20" i="13"/>
  <c r="FH11" i="13"/>
  <c r="FH12" i="13" s="1"/>
  <c r="FF21" i="13"/>
  <c r="FG13" i="13"/>
  <c r="FG14" i="13" s="1"/>
  <c r="HD8" i="13"/>
  <c r="HE5" i="13"/>
  <c r="HE25" i="13" s="1"/>
  <c r="HF4" i="13"/>
  <c r="FG19" i="13" l="1"/>
  <c r="FH9" i="13"/>
  <c r="FH10" i="13" s="1"/>
  <c r="FG21" i="13"/>
  <c r="FH13" i="13"/>
  <c r="FH14" i="13" s="1"/>
  <c r="FG18" i="13"/>
  <c r="FG24" i="13" s="1"/>
  <c r="FH6" i="13"/>
  <c r="FH7" i="13" s="1"/>
  <c r="FF22" i="13"/>
  <c r="FG15" i="13"/>
  <c r="FG16" i="13" s="1"/>
  <c r="FH20" i="13"/>
  <c r="FI11" i="13"/>
  <c r="FI12" i="13" s="1"/>
  <c r="FH23" i="13"/>
  <c r="FH26" i="13"/>
  <c r="FH27" i="13" s="1"/>
  <c r="FI3" i="13"/>
  <c r="HE8" i="13"/>
  <c r="HF5" i="13"/>
  <c r="HF25" i="13" s="1"/>
  <c r="HG4" i="13"/>
  <c r="FG22" i="13" l="1"/>
  <c r="FH15" i="13"/>
  <c r="FH16" i="13" s="1"/>
  <c r="FI6" i="13"/>
  <c r="FI7" i="13" s="1"/>
  <c r="FH18" i="13"/>
  <c r="FH24" i="13" s="1"/>
  <c r="FI23" i="13"/>
  <c r="FJ3" i="13"/>
  <c r="FI26" i="13"/>
  <c r="FI27" i="13" s="1"/>
  <c r="FH21" i="13"/>
  <c r="FI13" i="13"/>
  <c r="FI14" i="13" s="1"/>
  <c r="FI20" i="13"/>
  <c r="FJ11" i="13"/>
  <c r="FJ12" i="13" s="1"/>
  <c r="FH19" i="13"/>
  <c r="FI9" i="13"/>
  <c r="FI10" i="13" s="1"/>
  <c r="HF8" i="13"/>
  <c r="HG5" i="13"/>
  <c r="HG25" i="13" s="1"/>
  <c r="HH4" i="13"/>
  <c r="FK3" i="13" l="1"/>
  <c r="FJ23" i="13"/>
  <c r="FJ26" i="13"/>
  <c r="FJ27" i="13" s="1"/>
  <c r="FI19" i="13"/>
  <c r="FJ9" i="13"/>
  <c r="FJ10" i="13" s="1"/>
  <c r="FI18" i="13"/>
  <c r="FI24" i="13" s="1"/>
  <c r="FJ6" i="13"/>
  <c r="FJ7" i="13" s="1"/>
  <c r="FJ20" i="13"/>
  <c r="FK11" i="13"/>
  <c r="FK12" i="13" s="1"/>
  <c r="FH22" i="13"/>
  <c r="FI15" i="13"/>
  <c r="FI16" i="13" s="1"/>
  <c r="FI21" i="13"/>
  <c r="FJ13" i="13"/>
  <c r="FJ14" i="13" s="1"/>
  <c r="HG8" i="13"/>
  <c r="HH5" i="13"/>
  <c r="HH25" i="13" s="1"/>
  <c r="HI4" i="13"/>
  <c r="FJ18" i="13" l="1"/>
  <c r="FJ24" i="13" s="1"/>
  <c r="FK6" i="13"/>
  <c r="FK7" i="13" s="1"/>
  <c r="FJ21" i="13"/>
  <c r="FK13" i="13"/>
  <c r="FK14" i="13" s="1"/>
  <c r="FJ19" i="13"/>
  <c r="FK9" i="13"/>
  <c r="FK10" i="13" s="1"/>
  <c r="FI22" i="13"/>
  <c r="FJ15" i="13"/>
  <c r="FJ16" i="13" s="1"/>
  <c r="FK20" i="13"/>
  <c r="FL11" i="13"/>
  <c r="FL12" i="13" s="1"/>
  <c r="FK23" i="13"/>
  <c r="FL3" i="13"/>
  <c r="FK26" i="13"/>
  <c r="FK27" i="13" s="1"/>
  <c r="HH8" i="13"/>
  <c r="HI5" i="13"/>
  <c r="HI25" i="13" s="1"/>
  <c r="HJ4" i="13"/>
  <c r="FJ22" i="13" l="1"/>
  <c r="FK15" i="13"/>
  <c r="FK16" i="13" s="1"/>
  <c r="FK19" i="13"/>
  <c r="FL9" i="13"/>
  <c r="FL10" i="13" s="1"/>
  <c r="FL23" i="13"/>
  <c r="FM3" i="13"/>
  <c r="FL26" i="13"/>
  <c r="FL27" i="13" s="1"/>
  <c r="FK21" i="13"/>
  <c r="FL13" i="13"/>
  <c r="FL14" i="13" s="1"/>
  <c r="FL20" i="13"/>
  <c r="FM11" i="13"/>
  <c r="FM12" i="13" s="1"/>
  <c r="FK18" i="13"/>
  <c r="FK24" i="13" s="1"/>
  <c r="FL6" i="13"/>
  <c r="FL7" i="13" s="1"/>
  <c r="HI8" i="13"/>
  <c r="HJ5" i="13"/>
  <c r="HJ25" i="13" s="1"/>
  <c r="HK4" i="13"/>
  <c r="FM26" i="13" l="1"/>
  <c r="FM27" i="13" s="1"/>
  <c r="FM23" i="13"/>
  <c r="FN3" i="13"/>
  <c r="FL18" i="13"/>
  <c r="FL24" i="13" s="1"/>
  <c r="FM6" i="13"/>
  <c r="FM7" i="13" s="1"/>
  <c r="FL19" i="13"/>
  <c r="FM9" i="13"/>
  <c r="FM10" i="13" s="1"/>
  <c r="FM20" i="13"/>
  <c r="FN11" i="13"/>
  <c r="FN12" i="13" s="1"/>
  <c r="FK22" i="13"/>
  <c r="FL15" i="13"/>
  <c r="FL16" i="13" s="1"/>
  <c r="FL21" i="13"/>
  <c r="FM13" i="13"/>
  <c r="FM14" i="13" s="1"/>
  <c r="HJ8" i="13"/>
  <c r="HK5" i="13"/>
  <c r="HK25" i="13" s="1"/>
  <c r="HL4" i="13"/>
  <c r="FM19" i="13" l="1"/>
  <c r="FN9" i="13"/>
  <c r="FN10" i="13" s="1"/>
  <c r="FM21" i="13"/>
  <c r="FN13" i="13"/>
  <c r="FN14" i="13" s="1"/>
  <c r="FN6" i="13"/>
  <c r="FN7" i="13" s="1"/>
  <c r="FM18" i="13"/>
  <c r="FM24" i="13" s="1"/>
  <c r="FO3" i="13"/>
  <c r="FN26" i="13"/>
  <c r="FN27" i="13" s="1"/>
  <c r="FN23" i="13"/>
  <c r="FL22" i="13"/>
  <c r="FM15" i="13"/>
  <c r="FM16" i="13" s="1"/>
  <c r="FN20" i="13"/>
  <c r="FO11" i="13"/>
  <c r="FO12" i="13" s="1"/>
  <c r="HK8" i="13"/>
  <c r="HL5" i="13"/>
  <c r="HL25" i="13" s="1"/>
  <c r="HM4" i="13"/>
  <c r="FO23" i="13" l="1"/>
  <c r="FP3" i="13"/>
  <c r="FO26" i="13"/>
  <c r="FO27" i="13" s="1"/>
  <c r="FO20" i="13"/>
  <c r="FP11" i="13"/>
  <c r="FP12" i="13" s="1"/>
  <c r="FO6" i="13"/>
  <c r="FO7" i="13" s="1"/>
  <c r="FN18" i="13"/>
  <c r="FN24" i="13" s="1"/>
  <c r="FN21" i="13"/>
  <c r="FO13" i="13"/>
  <c r="FO14" i="13" s="1"/>
  <c r="FM22" i="13"/>
  <c r="FN15" i="13"/>
  <c r="FN16" i="13" s="1"/>
  <c r="FN19" i="13"/>
  <c r="FO9" i="13"/>
  <c r="FO10" i="13" s="1"/>
  <c r="HL8" i="13"/>
  <c r="HM5" i="13"/>
  <c r="HM25" i="13" s="1"/>
  <c r="HN4" i="13"/>
  <c r="FP6" i="13" l="1"/>
  <c r="FP7" i="13" s="1"/>
  <c r="FO18" i="13"/>
  <c r="FO24" i="13" s="1"/>
  <c r="FO19" i="13"/>
  <c r="FP9" i="13"/>
  <c r="FP10" i="13" s="1"/>
  <c r="FP20" i="13"/>
  <c r="FQ11" i="13"/>
  <c r="FQ12" i="13" s="1"/>
  <c r="FN22" i="13"/>
  <c r="FO15" i="13"/>
  <c r="FO16" i="13" s="1"/>
  <c r="FP23" i="13"/>
  <c r="FQ3" i="13"/>
  <c r="FP26" i="13"/>
  <c r="FP27" i="13" s="1"/>
  <c r="FO21" i="13"/>
  <c r="FP13" i="13"/>
  <c r="FP14" i="13" s="1"/>
  <c r="HM8" i="13"/>
  <c r="HN5" i="13"/>
  <c r="HN25" i="13" s="1"/>
  <c r="HO4" i="13"/>
  <c r="FO22" i="13" l="1"/>
  <c r="FP15" i="13"/>
  <c r="FP16" i="13" s="1"/>
  <c r="FQ20" i="13"/>
  <c r="FR11" i="13"/>
  <c r="FR12" i="13" s="1"/>
  <c r="FP21" i="13"/>
  <c r="FQ13" i="13"/>
  <c r="FQ14" i="13" s="1"/>
  <c r="FP19" i="13"/>
  <c r="FQ9" i="13"/>
  <c r="FQ10" i="13" s="1"/>
  <c r="FQ23" i="13"/>
  <c r="FR3" i="13"/>
  <c r="FQ26" i="13"/>
  <c r="FQ27" i="13" s="1"/>
  <c r="FQ6" i="13"/>
  <c r="FQ7" i="13" s="1"/>
  <c r="FP18" i="13"/>
  <c r="FP24" i="13" s="1"/>
  <c r="HN8" i="13"/>
  <c r="HO5" i="13"/>
  <c r="HO25" i="13" s="1"/>
  <c r="HP4" i="13"/>
  <c r="FQ19" i="13" l="1"/>
  <c r="FR9" i="13"/>
  <c r="FR10" i="13" s="1"/>
  <c r="FQ21" i="13"/>
  <c r="FR13" i="13"/>
  <c r="FR14" i="13" s="1"/>
  <c r="FR20" i="13"/>
  <c r="FS11" i="13"/>
  <c r="FS12" i="13" s="1"/>
  <c r="FR23" i="13"/>
  <c r="FR26" i="13"/>
  <c r="FR27" i="13" s="1"/>
  <c r="FS3" i="13"/>
  <c r="FP22" i="13"/>
  <c r="FQ15" i="13"/>
  <c r="FQ16" i="13" s="1"/>
  <c r="FQ18" i="13"/>
  <c r="FQ24" i="13" s="1"/>
  <c r="FR6" i="13"/>
  <c r="FR7" i="13" s="1"/>
  <c r="HO8" i="13"/>
  <c r="HP5" i="13"/>
  <c r="HP25" i="13" s="1"/>
  <c r="HQ4" i="13"/>
  <c r="FS20" i="13" l="1"/>
  <c r="FT11" i="13"/>
  <c r="FT12" i="13" s="1"/>
  <c r="FS6" i="13"/>
  <c r="FS7" i="13" s="1"/>
  <c r="FR18" i="13"/>
  <c r="FR24" i="13" s="1"/>
  <c r="FR21" i="13"/>
  <c r="FS13" i="13"/>
  <c r="FS14" i="13" s="1"/>
  <c r="FQ22" i="13"/>
  <c r="FR15" i="13"/>
  <c r="FR16" i="13" s="1"/>
  <c r="FR19" i="13"/>
  <c r="FS9" i="13"/>
  <c r="FS10" i="13" s="1"/>
  <c r="FT3" i="13"/>
  <c r="FS23" i="13"/>
  <c r="FS26" i="13"/>
  <c r="FS27" i="13" s="1"/>
  <c r="HP8" i="13"/>
  <c r="HQ5" i="13"/>
  <c r="HQ25" i="13" s="1"/>
  <c r="HR4" i="13"/>
  <c r="FR22" i="13" l="1"/>
  <c r="FS15" i="13"/>
  <c r="FS16" i="13" s="1"/>
  <c r="FS21" i="13"/>
  <c r="FT13" i="13"/>
  <c r="FT14" i="13" s="1"/>
  <c r="FU3" i="13"/>
  <c r="FT23" i="13"/>
  <c r="FT26" i="13"/>
  <c r="FT27" i="13" s="1"/>
  <c r="FT6" i="13"/>
  <c r="FT7" i="13" s="1"/>
  <c r="FS18" i="13"/>
  <c r="FS24" i="13" s="1"/>
  <c r="FT20" i="13"/>
  <c r="FU11" i="13"/>
  <c r="FU12" i="13" s="1"/>
  <c r="FS19" i="13"/>
  <c r="FT9" i="13"/>
  <c r="FT10" i="13" s="1"/>
  <c r="HQ8" i="13"/>
  <c r="HR5" i="13"/>
  <c r="HR25" i="13" s="1"/>
  <c r="HS4" i="13"/>
  <c r="FU6" i="13" l="1"/>
  <c r="FU7" i="13" s="1"/>
  <c r="FT18" i="13"/>
  <c r="FT24" i="13" s="1"/>
  <c r="FT19" i="13"/>
  <c r="FU9" i="13"/>
  <c r="FU10" i="13" s="1"/>
  <c r="FU23" i="13"/>
  <c r="FV3" i="13"/>
  <c r="FU26" i="13"/>
  <c r="FU27" i="13" s="1"/>
  <c r="FT21" i="13"/>
  <c r="FU13" i="13"/>
  <c r="FU14" i="13" s="1"/>
  <c r="FU20" i="13"/>
  <c r="FV11" i="13"/>
  <c r="FV12" i="13" s="1"/>
  <c r="FS22" i="13"/>
  <c r="FT15" i="13"/>
  <c r="FT16" i="13" s="1"/>
  <c r="HR8" i="13"/>
  <c r="HS5" i="13"/>
  <c r="HS25" i="13" s="1"/>
  <c r="HT4" i="13"/>
  <c r="FV23" i="13" l="1"/>
  <c r="FW3" i="13"/>
  <c r="FV26" i="13"/>
  <c r="FV27" i="13" s="1"/>
  <c r="FT22" i="13"/>
  <c r="FU15" i="13"/>
  <c r="FU16" i="13" s="1"/>
  <c r="FU19" i="13"/>
  <c r="FV9" i="13"/>
  <c r="FV10" i="13" s="1"/>
  <c r="FV20" i="13"/>
  <c r="FW11" i="13"/>
  <c r="FW12" i="13" s="1"/>
  <c r="FU21" i="13"/>
  <c r="FV13" i="13"/>
  <c r="FV14" i="13" s="1"/>
  <c r="FU18" i="13"/>
  <c r="FU24" i="13" s="1"/>
  <c r="FV6" i="13"/>
  <c r="FV7" i="13" s="1"/>
  <c r="HS8" i="13"/>
  <c r="HT5" i="13"/>
  <c r="HT25" i="13" s="1"/>
  <c r="HU4" i="13"/>
  <c r="FV19" i="13" l="1"/>
  <c r="FW9" i="13"/>
  <c r="FW10" i="13" s="1"/>
  <c r="FV18" i="13"/>
  <c r="FV24" i="13" s="1"/>
  <c r="FW6" i="13"/>
  <c r="FW7" i="13" s="1"/>
  <c r="FU22" i="13"/>
  <c r="FV15" i="13"/>
  <c r="FV16" i="13" s="1"/>
  <c r="FV21" i="13"/>
  <c r="FW13" i="13"/>
  <c r="FW14" i="13" s="1"/>
  <c r="FW23" i="13"/>
  <c r="FX3" i="13"/>
  <c r="FW26" i="13"/>
  <c r="FW27" i="13" s="1"/>
  <c r="FW20" i="13"/>
  <c r="FX11" i="13"/>
  <c r="FX12" i="13" s="1"/>
  <c r="HT8" i="13"/>
  <c r="HU5" i="13"/>
  <c r="HU25" i="13" s="1"/>
  <c r="HV4" i="13"/>
  <c r="FW21" i="13" l="1"/>
  <c r="FX13" i="13"/>
  <c r="FX14" i="13" s="1"/>
  <c r="FV22" i="13"/>
  <c r="FW15" i="13"/>
  <c r="FW16" i="13" s="1"/>
  <c r="FX20" i="13"/>
  <c r="FY11" i="13"/>
  <c r="FY12" i="13" s="1"/>
  <c r="FX6" i="13"/>
  <c r="FX7" i="13" s="1"/>
  <c r="FW18" i="13"/>
  <c r="FW24" i="13" s="1"/>
  <c r="FX26" i="13"/>
  <c r="FX27" i="13" s="1"/>
  <c r="FX23" i="13"/>
  <c r="FY3" i="13"/>
  <c r="FW19" i="13"/>
  <c r="FX9" i="13"/>
  <c r="FX10" i="13" s="1"/>
  <c r="HU8" i="13"/>
  <c r="HV5" i="13"/>
  <c r="HV25" i="13" s="1"/>
  <c r="HW4" i="13"/>
  <c r="FY6" i="13" l="1"/>
  <c r="FY7" i="13" s="1"/>
  <c r="FX18" i="13"/>
  <c r="FX24" i="13" s="1"/>
  <c r="FY20" i="13"/>
  <c r="FZ11" i="13"/>
  <c r="FZ12" i="13" s="1"/>
  <c r="FX19" i="13"/>
  <c r="FY9" i="13"/>
  <c r="FY10" i="13" s="1"/>
  <c r="FW22" i="13"/>
  <c r="FX15" i="13"/>
  <c r="FX16" i="13" s="1"/>
  <c r="FY23" i="13"/>
  <c r="FZ3" i="13"/>
  <c r="FY26" i="13"/>
  <c r="FY27" i="13" s="1"/>
  <c r="FX21" i="13"/>
  <c r="FY13" i="13"/>
  <c r="FY14" i="13" s="1"/>
  <c r="HV8" i="13"/>
  <c r="HW5" i="13"/>
  <c r="HW25" i="13" s="1"/>
  <c r="HX4" i="13"/>
  <c r="FX22" i="13" l="1"/>
  <c r="FY15" i="13"/>
  <c r="FY16" i="13" s="1"/>
  <c r="FY19" i="13"/>
  <c r="FZ9" i="13"/>
  <c r="FZ10" i="13" s="1"/>
  <c r="FY21" i="13"/>
  <c r="FZ13" i="13"/>
  <c r="FZ14" i="13" s="1"/>
  <c r="FZ20" i="13"/>
  <c r="GA11" i="13"/>
  <c r="GA12" i="13" s="1"/>
  <c r="FZ23" i="13"/>
  <c r="GA3" i="13"/>
  <c r="FZ26" i="13"/>
  <c r="FZ27" i="13" s="1"/>
  <c r="FZ6" i="13"/>
  <c r="FZ7" i="13" s="1"/>
  <c r="FY18" i="13"/>
  <c r="FY24" i="13" s="1"/>
  <c r="HW8" i="13"/>
  <c r="HX5" i="13"/>
  <c r="HX25" i="13" s="1"/>
  <c r="HY4" i="13"/>
  <c r="GA20" i="13" l="1"/>
  <c r="GB11" i="13"/>
  <c r="GB12" i="13" s="1"/>
  <c r="FZ21" i="13"/>
  <c r="GA13" i="13"/>
  <c r="GA14" i="13" s="1"/>
  <c r="FZ19" i="13"/>
  <c r="GA9" i="13"/>
  <c r="GA10" i="13" s="1"/>
  <c r="GA23" i="13"/>
  <c r="GB3" i="13"/>
  <c r="GA26" i="13"/>
  <c r="GA27" i="13" s="1"/>
  <c r="FY22" i="13"/>
  <c r="FZ15" i="13"/>
  <c r="FZ16" i="13" s="1"/>
  <c r="GA6" i="13"/>
  <c r="GA7" i="13" s="1"/>
  <c r="FZ18" i="13"/>
  <c r="FZ24" i="13" s="1"/>
  <c r="HX8" i="13"/>
  <c r="HY5" i="13"/>
  <c r="HY25" i="13" s="1"/>
  <c r="HZ4" i="13"/>
  <c r="GB23" i="13" l="1"/>
  <c r="GC3" i="13"/>
  <c r="GB26" i="13"/>
  <c r="GB27" i="13" s="1"/>
  <c r="GA19" i="13"/>
  <c r="GB9" i="13"/>
  <c r="GB10" i="13" s="1"/>
  <c r="GA21" i="13"/>
  <c r="GB13" i="13"/>
  <c r="GB14" i="13" s="1"/>
  <c r="GA18" i="13"/>
  <c r="GA24" i="13" s="1"/>
  <c r="GB6" i="13"/>
  <c r="GB7" i="13" s="1"/>
  <c r="FZ22" i="13"/>
  <c r="GA15" i="13"/>
  <c r="GA16" i="13" s="1"/>
  <c r="GB20" i="13"/>
  <c r="GC11" i="13"/>
  <c r="GC12" i="13" s="1"/>
  <c r="HY8" i="13"/>
  <c r="HZ5" i="13"/>
  <c r="HZ25" i="13" s="1"/>
  <c r="IA4" i="13"/>
  <c r="GB21" i="13" l="1"/>
  <c r="GC13" i="13"/>
  <c r="GC14" i="13" s="1"/>
  <c r="GC20" i="13"/>
  <c r="GD11" i="13"/>
  <c r="GD12" i="13" s="1"/>
  <c r="GB19" i="13"/>
  <c r="GC9" i="13"/>
  <c r="GC10" i="13" s="1"/>
  <c r="GA22" i="13"/>
  <c r="GB15" i="13"/>
  <c r="GB16" i="13" s="1"/>
  <c r="GD3" i="13"/>
  <c r="GC26" i="13"/>
  <c r="GC27" i="13" s="1"/>
  <c r="GC23" i="13"/>
  <c r="GB18" i="13"/>
  <c r="GB24" i="13" s="1"/>
  <c r="GC6" i="13"/>
  <c r="GC7" i="13" s="1"/>
  <c r="HZ8" i="13"/>
  <c r="IA5" i="13"/>
  <c r="IA25" i="13" s="1"/>
  <c r="IB4" i="13"/>
  <c r="GB22" i="13" l="1"/>
  <c r="GC15" i="13"/>
  <c r="GC16" i="13" s="1"/>
  <c r="GC19" i="13"/>
  <c r="GD9" i="13"/>
  <c r="GD10" i="13" s="1"/>
  <c r="GD6" i="13"/>
  <c r="GD7" i="13" s="1"/>
  <c r="GC18" i="13"/>
  <c r="GC24" i="13" s="1"/>
  <c r="GD20" i="13"/>
  <c r="GE11" i="13"/>
  <c r="GE12" i="13" s="1"/>
  <c r="GC21" i="13"/>
  <c r="GD13" i="13"/>
  <c r="GD14" i="13" s="1"/>
  <c r="GE3" i="13"/>
  <c r="GD23" i="13"/>
  <c r="GD26" i="13"/>
  <c r="GD27" i="13" s="1"/>
  <c r="IA8" i="13"/>
  <c r="IB5" i="13"/>
  <c r="IB25" i="13" s="1"/>
  <c r="IC4" i="13"/>
  <c r="GE20" i="13" l="1"/>
  <c r="GF11" i="13"/>
  <c r="GF12" i="13" s="1"/>
  <c r="GE6" i="13"/>
  <c r="GE7" i="13" s="1"/>
  <c r="GD18" i="13"/>
  <c r="GD24" i="13" s="1"/>
  <c r="GD19" i="13"/>
  <c r="GE9" i="13"/>
  <c r="GE10" i="13" s="1"/>
  <c r="GE23" i="13"/>
  <c r="GF3" i="13"/>
  <c r="GE26" i="13"/>
  <c r="GE27" i="13" s="1"/>
  <c r="GD21" i="13"/>
  <c r="GE13" i="13"/>
  <c r="GE14" i="13" s="1"/>
  <c r="GC22" i="13"/>
  <c r="GD15" i="13"/>
  <c r="GD16" i="13" s="1"/>
  <c r="IB8" i="13"/>
  <c r="IC5" i="13"/>
  <c r="IC25" i="13" s="1"/>
  <c r="ID4" i="13"/>
  <c r="GF23" i="13" l="1"/>
  <c r="GG3" i="13"/>
  <c r="GF26" i="13"/>
  <c r="GF27" i="13" s="1"/>
  <c r="GE19" i="13"/>
  <c r="GF9" i="13"/>
  <c r="GF10" i="13" s="1"/>
  <c r="GD22" i="13"/>
  <c r="GE15" i="13"/>
  <c r="GE16" i="13" s="1"/>
  <c r="GE21" i="13"/>
  <c r="GF13" i="13"/>
  <c r="GF14" i="13" s="1"/>
  <c r="GF6" i="13"/>
  <c r="GF7" i="13" s="1"/>
  <c r="GE18" i="13"/>
  <c r="GE24" i="13" s="1"/>
  <c r="GF20" i="13"/>
  <c r="GG11" i="13"/>
  <c r="GG12" i="13" s="1"/>
  <c r="IC8" i="13"/>
  <c r="ID5" i="13"/>
  <c r="ID25" i="13" s="1"/>
  <c r="IE4" i="13"/>
  <c r="GE22" i="13" l="1"/>
  <c r="GF15" i="13"/>
  <c r="GF16" i="13" s="1"/>
  <c r="GG20" i="13"/>
  <c r="GH11" i="13"/>
  <c r="GH12" i="13" s="1"/>
  <c r="GF19" i="13"/>
  <c r="GG9" i="13"/>
  <c r="GG10" i="13" s="1"/>
  <c r="GG6" i="13"/>
  <c r="GG7" i="13" s="1"/>
  <c r="GF18" i="13"/>
  <c r="GF24" i="13" s="1"/>
  <c r="GG23" i="13"/>
  <c r="GH3" i="13"/>
  <c r="GG26" i="13"/>
  <c r="GG27" i="13" s="1"/>
  <c r="GF21" i="13"/>
  <c r="GG13" i="13"/>
  <c r="GG14" i="13" s="1"/>
  <c r="ID8" i="13"/>
  <c r="IE5" i="13"/>
  <c r="IE25" i="13" s="1"/>
  <c r="IF4" i="13"/>
  <c r="GG18" i="13" l="1"/>
  <c r="GG24" i="13" s="1"/>
  <c r="GH6" i="13"/>
  <c r="GH7" i="13" s="1"/>
  <c r="GG19" i="13"/>
  <c r="GH9" i="13"/>
  <c r="GH10" i="13" s="1"/>
  <c r="GG21" i="13"/>
  <c r="GH13" i="13"/>
  <c r="GH14" i="13" s="1"/>
  <c r="GH20" i="13"/>
  <c r="GI11" i="13"/>
  <c r="GI12" i="13" s="1"/>
  <c r="GH23" i="13"/>
  <c r="GI3" i="13"/>
  <c r="GH26" i="13"/>
  <c r="GH27" i="13" s="1"/>
  <c r="GF22" i="13"/>
  <c r="GG15" i="13"/>
  <c r="GG16" i="13" s="1"/>
  <c r="IE8" i="13"/>
  <c r="IF5" i="13"/>
  <c r="IF25" i="13" s="1"/>
  <c r="IG4" i="13"/>
  <c r="GI20" i="13" l="1"/>
  <c r="GJ11" i="13"/>
  <c r="GJ12" i="13" s="1"/>
  <c r="GH21" i="13"/>
  <c r="GI13" i="13"/>
  <c r="GI14" i="13" s="1"/>
  <c r="GG22" i="13"/>
  <c r="GH15" i="13"/>
  <c r="GH16" i="13" s="1"/>
  <c r="GH19" i="13"/>
  <c r="GI9" i="13"/>
  <c r="GI10" i="13" s="1"/>
  <c r="GI23" i="13"/>
  <c r="GJ3" i="13"/>
  <c r="GI26" i="13"/>
  <c r="GI27" i="13" s="1"/>
  <c r="GH18" i="13"/>
  <c r="GH24" i="13" s="1"/>
  <c r="GI6" i="13"/>
  <c r="GI7" i="13" s="1"/>
  <c r="IF8" i="13"/>
  <c r="IG5" i="13"/>
  <c r="IG25" i="13" s="1"/>
  <c r="IH4" i="13"/>
  <c r="GI19" i="13" l="1"/>
  <c r="GJ9" i="13"/>
  <c r="GJ10" i="13" s="1"/>
  <c r="GH22" i="13"/>
  <c r="GI15" i="13"/>
  <c r="GI16" i="13" s="1"/>
  <c r="GJ6" i="13"/>
  <c r="GJ7" i="13" s="1"/>
  <c r="GI18" i="13"/>
  <c r="GI24" i="13" s="1"/>
  <c r="GI21" i="13"/>
  <c r="GJ13" i="13"/>
  <c r="GJ14" i="13" s="1"/>
  <c r="GJ23" i="13"/>
  <c r="GK3" i="13"/>
  <c r="GJ26" i="13"/>
  <c r="GJ27" i="13" s="1"/>
  <c r="GJ20" i="13"/>
  <c r="GK11" i="13"/>
  <c r="GK12" i="13" s="1"/>
  <c r="IG8" i="13"/>
  <c r="IH5" i="13"/>
  <c r="IH25" i="13" s="1"/>
  <c r="II4" i="13"/>
  <c r="GJ21" i="13" l="1"/>
  <c r="GK13" i="13"/>
  <c r="GK14" i="13" s="1"/>
  <c r="GK20" i="13"/>
  <c r="GL11" i="13"/>
  <c r="GL12" i="13" s="1"/>
  <c r="GJ18" i="13"/>
  <c r="GJ24" i="13" s="1"/>
  <c r="GK6" i="13"/>
  <c r="GK7" i="13" s="1"/>
  <c r="GI22" i="13"/>
  <c r="GJ15" i="13"/>
  <c r="GJ16" i="13" s="1"/>
  <c r="GK26" i="13"/>
  <c r="GK27" i="13" s="1"/>
  <c r="GK23" i="13"/>
  <c r="GL3" i="13"/>
  <c r="GJ19" i="13"/>
  <c r="GK9" i="13"/>
  <c r="GK10" i="13" s="1"/>
  <c r="IH8" i="13"/>
  <c r="II5" i="13"/>
  <c r="II25" i="13" s="1"/>
  <c r="IJ4" i="13"/>
  <c r="GJ22" i="13" l="1"/>
  <c r="GK15" i="13"/>
  <c r="GK16" i="13" s="1"/>
  <c r="GL6" i="13"/>
  <c r="GL7" i="13" s="1"/>
  <c r="GK18" i="13"/>
  <c r="GK24" i="13" s="1"/>
  <c r="GK19" i="13"/>
  <c r="GL9" i="13"/>
  <c r="GL10" i="13" s="1"/>
  <c r="GL20" i="13"/>
  <c r="GM11" i="13"/>
  <c r="GM12" i="13" s="1"/>
  <c r="GL23" i="13"/>
  <c r="GL26" i="13"/>
  <c r="GL27" i="13" s="1"/>
  <c r="GM3" i="13"/>
  <c r="GK21" i="13"/>
  <c r="GL13" i="13"/>
  <c r="GL14" i="13" s="1"/>
  <c r="II8" i="13"/>
  <c r="IJ5" i="13"/>
  <c r="IJ25" i="13" s="1"/>
  <c r="IK4" i="13"/>
  <c r="GM20" i="13" l="1"/>
  <c r="GN11" i="13"/>
  <c r="GN12" i="13" s="1"/>
  <c r="GL19" i="13"/>
  <c r="GM9" i="13"/>
  <c r="GM10" i="13" s="1"/>
  <c r="GL21" i="13"/>
  <c r="GM13" i="13"/>
  <c r="GM14" i="13" s="1"/>
  <c r="GM6" i="13"/>
  <c r="GM7" i="13" s="1"/>
  <c r="GL18" i="13"/>
  <c r="GL24" i="13" s="1"/>
  <c r="GN3" i="13"/>
  <c r="GM23" i="13"/>
  <c r="GM26" i="13"/>
  <c r="GM27" i="13" s="1"/>
  <c r="GK22" i="13"/>
  <c r="GL15" i="13"/>
  <c r="GL16" i="13" s="1"/>
  <c r="IJ8" i="13"/>
  <c r="IK5" i="13"/>
  <c r="IK25" i="13" s="1"/>
  <c r="IL4" i="13"/>
  <c r="GM18" i="13" l="1"/>
  <c r="GM24" i="13" s="1"/>
  <c r="GN6" i="13"/>
  <c r="GN7" i="13" s="1"/>
  <c r="GM21" i="13"/>
  <c r="GN13" i="13"/>
  <c r="GN14" i="13" s="1"/>
  <c r="GL22" i="13"/>
  <c r="GM15" i="13"/>
  <c r="GM16" i="13" s="1"/>
  <c r="GM19" i="13"/>
  <c r="GN9" i="13"/>
  <c r="GN10" i="13" s="1"/>
  <c r="GN20" i="13"/>
  <c r="GO11" i="13"/>
  <c r="GO12" i="13" s="1"/>
  <c r="GN23" i="13"/>
  <c r="GN26" i="13"/>
  <c r="GN27" i="13" s="1"/>
  <c r="GO3" i="13"/>
  <c r="IK8" i="13"/>
  <c r="IL5" i="13"/>
  <c r="IL25" i="13" s="1"/>
  <c r="IM4" i="13"/>
  <c r="GN19" i="13" l="1"/>
  <c r="GO9" i="13"/>
  <c r="GO10" i="13" s="1"/>
  <c r="GM22" i="13"/>
  <c r="GN15" i="13"/>
  <c r="GN16" i="13" s="1"/>
  <c r="GO23" i="13"/>
  <c r="GP3" i="13"/>
  <c r="GO26" i="13"/>
  <c r="GO27" i="13" s="1"/>
  <c r="GN21" i="13"/>
  <c r="GO13" i="13"/>
  <c r="GO14" i="13" s="1"/>
  <c r="GO20" i="13"/>
  <c r="GP11" i="13"/>
  <c r="GP12" i="13" s="1"/>
  <c r="GN18" i="13"/>
  <c r="GN24" i="13" s="1"/>
  <c r="GO6" i="13"/>
  <c r="GO7" i="13" s="1"/>
  <c r="IL8" i="13"/>
  <c r="IM5" i="13"/>
  <c r="IM25" i="13" s="1"/>
  <c r="IN4" i="13"/>
  <c r="IN5" i="13" s="1"/>
  <c r="IN25" i="13" s="1"/>
  <c r="GP23" i="13" l="1"/>
  <c r="GQ3" i="13"/>
  <c r="GP26" i="13"/>
  <c r="GP27" i="13" s="1"/>
  <c r="GO18" i="13"/>
  <c r="GO24" i="13" s="1"/>
  <c r="GP6" i="13"/>
  <c r="GP7" i="13" s="1"/>
  <c r="GN22" i="13"/>
  <c r="GO15" i="13"/>
  <c r="GO16" i="13" s="1"/>
  <c r="GP20" i="13"/>
  <c r="GQ11" i="13"/>
  <c r="GQ12" i="13" s="1"/>
  <c r="GO19" i="13"/>
  <c r="GP9" i="13"/>
  <c r="GP10" i="13" s="1"/>
  <c r="GO21" i="13"/>
  <c r="GP13" i="13"/>
  <c r="GP14" i="13" s="1"/>
  <c r="IN8" i="13"/>
  <c r="IM8" i="13"/>
  <c r="GO22" i="13" l="1"/>
  <c r="GP15" i="13"/>
  <c r="GP16" i="13" s="1"/>
  <c r="GP21" i="13"/>
  <c r="GQ13" i="13"/>
  <c r="GQ14" i="13" s="1"/>
  <c r="GQ6" i="13"/>
  <c r="GQ7" i="13" s="1"/>
  <c r="GP18" i="13"/>
  <c r="GP24" i="13" s="1"/>
  <c r="GP19" i="13"/>
  <c r="GQ9" i="13"/>
  <c r="GQ10" i="13" s="1"/>
  <c r="GQ23" i="13"/>
  <c r="GR3" i="13"/>
  <c r="GQ26" i="13"/>
  <c r="GQ27" i="13" s="1"/>
  <c r="GQ20" i="13"/>
  <c r="GR11" i="13"/>
  <c r="GR12" i="13" s="1"/>
  <c r="GQ19" i="13" l="1"/>
  <c r="GR9" i="13"/>
  <c r="GR10" i="13" s="1"/>
  <c r="GR20" i="13"/>
  <c r="GS11" i="13"/>
  <c r="GS12" i="13" s="1"/>
  <c r="GQ18" i="13"/>
  <c r="GQ24" i="13" s="1"/>
  <c r="GR6" i="13"/>
  <c r="GR7" i="13" s="1"/>
  <c r="GQ21" i="13"/>
  <c r="GR13" i="13"/>
  <c r="GR14" i="13" s="1"/>
  <c r="GP22" i="13"/>
  <c r="GQ15" i="13"/>
  <c r="GQ16" i="13" s="1"/>
  <c r="GR26" i="13"/>
  <c r="GR27" i="13" s="1"/>
  <c r="GR23" i="13"/>
  <c r="GS3" i="13"/>
  <c r="GR21" i="13" l="1"/>
  <c r="GS13" i="13"/>
  <c r="GS14" i="13" s="1"/>
  <c r="GS23" i="13"/>
  <c r="GT3" i="13"/>
  <c r="GS26" i="13"/>
  <c r="GS27" i="13" s="1"/>
  <c r="GS20" i="13"/>
  <c r="GT11" i="13"/>
  <c r="GT12" i="13" s="1"/>
  <c r="GR18" i="13"/>
  <c r="GR24" i="13" s="1"/>
  <c r="GS6" i="13"/>
  <c r="GS7" i="13" s="1"/>
  <c r="GQ22" i="13"/>
  <c r="GR15" i="13"/>
  <c r="GR16" i="13" s="1"/>
  <c r="GR19" i="13"/>
  <c r="GS9" i="13"/>
  <c r="GS10" i="13" s="1"/>
  <c r="GT20" i="13" l="1"/>
  <c r="GU11" i="13"/>
  <c r="GU12" i="13" s="1"/>
  <c r="GT26" i="13"/>
  <c r="GT27" i="13" s="1"/>
  <c r="GT23" i="13"/>
  <c r="GU3" i="13"/>
  <c r="GS19" i="13"/>
  <c r="GT9" i="13"/>
  <c r="GT10" i="13" s="1"/>
  <c r="GR22" i="13"/>
  <c r="GS15" i="13"/>
  <c r="GS16" i="13" s="1"/>
  <c r="GS21" i="13"/>
  <c r="GT13" i="13"/>
  <c r="GT14" i="13" s="1"/>
  <c r="GS18" i="13"/>
  <c r="GS24" i="13" s="1"/>
  <c r="GT6" i="13"/>
  <c r="GT7" i="13" s="1"/>
  <c r="GT18" i="13" l="1"/>
  <c r="GT24" i="13" s="1"/>
  <c r="GU6" i="13"/>
  <c r="GU7" i="13" s="1"/>
  <c r="GU23" i="13"/>
  <c r="GV3" i="13"/>
  <c r="GU26" i="13"/>
  <c r="GU27" i="13" s="1"/>
  <c r="GU20" i="13"/>
  <c r="GV11" i="13"/>
  <c r="GV12" i="13" s="1"/>
  <c r="GT19" i="13"/>
  <c r="GU9" i="13"/>
  <c r="GU10" i="13" s="1"/>
  <c r="GT21" i="13"/>
  <c r="GU13" i="13"/>
  <c r="GU14" i="13" s="1"/>
  <c r="GS22" i="13"/>
  <c r="GT15" i="13"/>
  <c r="GT16" i="13" s="1"/>
  <c r="GV20" i="13" l="1"/>
  <c r="GW11" i="13"/>
  <c r="GW12" i="13" s="1"/>
  <c r="GV23" i="13"/>
  <c r="GW3" i="13"/>
  <c r="GV26" i="13"/>
  <c r="GV27" i="13" s="1"/>
  <c r="GU21" i="13"/>
  <c r="GV13" i="13"/>
  <c r="GV14" i="13" s="1"/>
  <c r="GV6" i="13"/>
  <c r="GV7" i="13" s="1"/>
  <c r="GU18" i="13"/>
  <c r="GU24" i="13" s="1"/>
  <c r="GT22" i="13"/>
  <c r="GU15" i="13"/>
  <c r="GU16" i="13" s="1"/>
  <c r="GU19" i="13"/>
  <c r="GV9" i="13"/>
  <c r="GV10" i="13" s="1"/>
  <c r="GV18" i="13" l="1"/>
  <c r="GV24" i="13" s="1"/>
  <c r="GW6" i="13"/>
  <c r="GW7" i="13" s="1"/>
  <c r="GV21" i="13"/>
  <c r="GW13" i="13"/>
  <c r="GW14" i="13" s="1"/>
  <c r="GV19" i="13"/>
  <c r="GW9" i="13"/>
  <c r="GW10" i="13" s="1"/>
  <c r="GX3" i="13"/>
  <c r="GW23" i="13"/>
  <c r="GW26" i="13"/>
  <c r="GW27" i="13" s="1"/>
  <c r="GU22" i="13"/>
  <c r="GV15" i="13"/>
  <c r="GV16" i="13" s="1"/>
  <c r="GW20" i="13"/>
  <c r="GX11" i="13"/>
  <c r="GX12" i="13" s="1"/>
  <c r="GX23" i="13" l="1"/>
  <c r="GX26" i="13"/>
  <c r="GX27" i="13" s="1"/>
  <c r="GY3" i="13"/>
  <c r="GW19" i="13"/>
  <c r="GX9" i="13"/>
  <c r="GX10" i="13" s="1"/>
  <c r="GX20" i="13"/>
  <c r="GY11" i="13"/>
  <c r="GY12" i="13" s="1"/>
  <c r="GW21" i="13"/>
  <c r="GX13" i="13"/>
  <c r="GX14" i="13" s="1"/>
  <c r="GV22" i="13"/>
  <c r="GW15" i="13"/>
  <c r="GW16" i="13" s="1"/>
  <c r="GX6" i="13"/>
  <c r="GX7" i="13" s="1"/>
  <c r="GW18" i="13"/>
  <c r="GW24" i="13" s="1"/>
  <c r="GX19" i="13" l="1"/>
  <c r="GY9" i="13"/>
  <c r="GY10" i="13" s="1"/>
  <c r="GY20" i="13"/>
  <c r="GZ11" i="13"/>
  <c r="GZ12" i="13" s="1"/>
  <c r="GX18" i="13"/>
  <c r="GX24" i="13" s="1"/>
  <c r="GY6" i="13"/>
  <c r="GY7" i="13" s="1"/>
  <c r="GY23" i="13"/>
  <c r="GZ3" i="13"/>
  <c r="GY26" i="13"/>
  <c r="GY27" i="13" s="1"/>
  <c r="GW22" i="13"/>
  <c r="GX15" i="13"/>
  <c r="GX16" i="13" s="1"/>
  <c r="GX21" i="13"/>
  <c r="GY13" i="13"/>
  <c r="GY14" i="13" s="1"/>
  <c r="GY21" i="13" l="1"/>
  <c r="GZ13" i="13"/>
  <c r="GZ14" i="13" s="1"/>
  <c r="GZ23" i="13"/>
  <c r="HA3" i="13"/>
  <c r="GZ26" i="13"/>
  <c r="GZ27" i="13" s="1"/>
  <c r="GY18" i="13"/>
  <c r="GY24" i="13" s="1"/>
  <c r="GZ6" i="13"/>
  <c r="GZ7" i="13" s="1"/>
  <c r="GZ20" i="13"/>
  <c r="HA11" i="13"/>
  <c r="HA12" i="13" s="1"/>
  <c r="GX22" i="13"/>
  <c r="GY15" i="13"/>
  <c r="GY16" i="13" s="1"/>
  <c r="GY19" i="13"/>
  <c r="GZ9" i="13"/>
  <c r="GZ10" i="13" s="1"/>
  <c r="GZ18" i="13" l="1"/>
  <c r="GZ24" i="13" s="1"/>
  <c r="HA6" i="13"/>
  <c r="HA7" i="13" s="1"/>
  <c r="HA23" i="13"/>
  <c r="HB3" i="13"/>
  <c r="HA26" i="13"/>
  <c r="HA27" i="13" s="1"/>
  <c r="GY22" i="13"/>
  <c r="GZ15" i="13"/>
  <c r="GZ16" i="13" s="1"/>
  <c r="GZ21" i="13"/>
  <c r="HA13" i="13"/>
  <c r="HA14" i="13" s="1"/>
  <c r="GZ19" i="13"/>
  <c r="HA9" i="13"/>
  <c r="HA10" i="13" s="1"/>
  <c r="HA20" i="13"/>
  <c r="HB11" i="13"/>
  <c r="HB12" i="13" s="1"/>
  <c r="GZ22" i="13" l="1"/>
  <c r="HA15" i="13"/>
  <c r="HA16" i="13" s="1"/>
  <c r="HB20" i="13"/>
  <c r="HC11" i="13"/>
  <c r="HC12" i="13" s="1"/>
  <c r="HB23" i="13"/>
  <c r="HC3" i="13"/>
  <c r="HB26" i="13"/>
  <c r="HB27" i="13" s="1"/>
  <c r="HA19" i="13"/>
  <c r="HB9" i="13"/>
  <c r="HB10" i="13" s="1"/>
  <c r="HB6" i="13"/>
  <c r="HB7" i="13" s="1"/>
  <c r="HA18" i="13"/>
  <c r="HA24" i="13" s="1"/>
  <c r="HA21" i="13"/>
  <c r="HB13" i="13"/>
  <c r="HB14" i="13" s="1"/>
  <c r="HB21" i="13" l="1"/>
  <c r="HC13" i="13"/>
  <c r="HC14" i="13" s="1"/>
  <c r="HC20" i="13"/>
  <c r="HD11" i="13"/>
  <c r="HD12" i="13" s="1"/>
  <c r="HC23" i="13"/>
  <c r="HD3" i="13"/>
  <c r="HC26" i="13"/>
  <c r="HC27" i="13" s="1"/>
  <c r="HB18" i="13"/>
  <c r="HB24" i="13" s="1"/>
  <c r="HC6" i="13"/>
  <c r="HC7" i="13" s="1"/>
  <c r="HA22" i="13"/>
  <c r="HB15" i="13"/>
  <c r="HB16" i="13" s="1"/>
  <c r="HB19" i="13"/>
  <c r="HC9" i="13"/>
  <c r="HC10" i="13" s="1"/>
  <c r="HD20" i="13" l="1"/>
  <c r="HE11" i="13"/>
  <c r="HE12" i="13" s="1"/>
  <c r="HE3" i="13"/>
  <c r="HD23" i="13"/>
  <c r="HD26" i="13"/>
  <c r="HD27" i="13" s="1"/>
  <c r="HC19" i="13"/>
  <c r="HD9" i="13"/>
  <c r="HD10" i="13" s="1"/>
  <c r="HB22" i="13"/>
  <c r="HC15" i="13"/>
  <c r="HC16" i="13" s="1"/>
  <c r="HC21" i="13"/>
  <c r="HD13" i="13"/>
  <c r="HD14" i="13" s="1"/>
  <c r="HD6" i="13"/>
  <c r="HD7" i="13" s="1"/>
  <c r="HC18" i="13"/>
  <c r="HC24" i="13" s="1"/>
  <c r="HD19" i="13" l="1"/>
  <c r="HE9" i="13"/>
  <c r="HE10" i="13" s="1"/>
  <c r="HF3" i="13"/>
  <c r="HE26" i="13"/>
  <c r="HE27" i="13" s="1"/>
  <c r="HE23" i="13"/>
  <c r="HD21" i="13"/>
  <c r="HE13" i="13"/>
  <c r="HE14" i="13" s="1"/>
  <c r="HE20" i="13"/>
  <c r="HF11" i="13"/>
  <c r="HF12" i="13" s="1"/>
  <c r="HD18" i="13"/>
  <c r="HD24" i="13" s="1"/>
  <c r="HE6" i="13"/>
  <c r="HE7" i="13" s="1"/>
  <c r="HC22" i="13"/>
  <c r="HD15" i="13"/>
  <c r="HD16" i="13" s="1"/>
  <c r="HD22" i="13" l="1"/>
  <c r="HE15" i="13"/>
  <c r="HE16" i="13" s="1"/>
  <c r="HF23" i="13"/>
  <c r="HG3" i="13"/>
  <c r="HF26" i="13"/>
  <c r="HF27" i="13" s="1"/>
  <c r="HE18" i="13"/>
  <c r="HE24" i="13" s="1"/>
  <c r="HF6" i="13"/>
  <c r="HF7" i="13" s="1"/>
  <c r="HE19" i="13"/>
  <c r="HF9" i="13"/>
  <c r="HF10" i="13" s="1"/>
  <c r="HE21" i="13"/>
  <c r="HF13" i="13"/>
  <c r="HF14" i="13" s="1"/>
  <c r="HF20" i="13"/>
  <c r="HG11" i="13"/>
  <c r="HG12" i="13" s="1"/>
  <c r="HF18" i="13" l="1"/>
  <c r="HF24" i="13" s="1"/>
  <c r="HG6" i="13"/>
  <c r="HG7" i="13" s="1"/>
  <c r="HG23" i="13"/>
  <c r="HH3" i="13"/>
  <c r="HG26" i="13"/>
  <c r="HG27" i="13" s="1"/>
  <c r="HF21" i="13"/>
  <c r="HG13" i="13"/>
  <c r="HG14" i="13" s="1"/>
  <c r="HE22" i="13"/>
  <c r="HF15" i="13"/>
  <c r="HF16" i="13" s="1"/>
  <c r="HG20" i="13"/>
  <c r="HH11" i="13"/>
  <c r="HH12" i="13" s="1"/>
  <c r="HF19" i="13"/>
  <c r="HG9" i="13"/>
  <c r="HG10" i="13" s="1"/>
  <c r="HG21" i="13" l="1"/>
  <c r="HH13" i="13"/>
  <c r="HH14" i="13" s="1"/>
  <c r="HG19" i="13"/>
  <c r="HH9" i="13"/>
  <c r="HH10" i="13" s="1"/>
  <c r="HH23" i="13"/>
  <c r="HI3" i="13"/>
  <c r="HH26" i="13"/>
  <c r="HH27" i="13" s="1"/>
  <c r="HH20" i="13"/>
  <c r="HI11" i="13"/>
  <c r="HI12" i="13" s="1"/>
  <c r="HG18" i="13"/>
  <c r="HG24" i="13" s="1"/>
  <c r="HH6" i="13"/>
  <c r="HH7" i="13" s="1"/>
  <c r="HF22" i="13"/>
  <c r="HG15" i="13"/>
  <c r="HG16" i="13" s="1"/>
  <c r="HI23" i="13" l="1"/>
  <c r="HI26" i="13"/>
  <c r="HI27" i="13" s="1"/>
  <c r="HJ3" i="13"/>
  <c r="HH19" i="13"/>
  <c r="HI9" i="13"/>
  <c r="HI10" i="13" s="1"/>
  <c r="HG22" i="13"/>
  <c r="HH15" i="13"/>
  <c r="HH16" i="13" s="1"/>
  <c r="HH21" i="13"/>
  <c r="HI13" i="13"/>
  <c r="HI14" i="13" s="1"/>
  <c r="HI6" i="13"/>
  <c r="HI7" i="13" s="1"/>
  <c r="HH18" i="13"/>
  <c r="HH24" i="13" s="1"/>
  <c r="HI20" i="13"/>
  <c r="HJ11" i="13"/>
  <c r="HJ12" i="13" s="1"/>
  <c r="HI19" i="13" l="1"/>
  <c r="HJ9" i="13"/>
  <c r="HJ10" i="13" s="1"/>
  <c r="HJ20" i="13"/>
  <c r="HK11" i="13"/>
  <c r="HK12" i="13" s="1"/>
  <c r="HH22" i="13"/>
  <c r="HI15" i="13"/>
  <c r="HI16" i="13" s="1"/>
  <c r="HJ23" i="13"/>
  <c r="HK3" i="13"/>
  <c r="HJ26" i="13"/>
  <c r="HJ27" i="13" s="1"/>
  <c r="HI18" i="13"/>
  <c r="HI24" i="13" s="1"/>
  <c r="HJ6" i="13"/>
  <c r="HJ7" i="13" s="1"/>
  <c r="HI21" i="13"/>
  <c r="HJ13" i="13"/>
  <c r="HJ14" i="13" s="1"/>
  <c r="HK23" i="13" l="1"/>
  <c r="HK26" i="13"/>
  <c r="HK27" i="13" s="1"/>
  <c r="HL3" i="13"/>
  <c r="HJ21" i="13"/>
  <c r="HK13" i="13"/>
  <c r="HK14" i="13" s="1"/>
  <c r="HI22" i="13"/>
  <c r="HJ15" i="13"/>
  <c r="HJ16" i="13" s="1"/>
  <c r="HK20" i="13"/>
  <c r="HL11" i="13"/>
  <c r="HL12" i="13" s="1"/>
  <c r="HK6" i="13"/>
  <c r="HK7" i="13" s="1"/>
  <c r="HJ18" i="13"/>
  <c r="HJ24" i="13" s="1"/>
  <c r="HJ19" i="13"/>
  <c r="HK9" i="13"/>
  <c r="HK10" i="13" s="1"/>
  <c r="HJ22" i="13" l="1"/>
  <c r="HK15" i="13"/>
  <c r="HK16" i="13" s="1"/>
  <c r="HK21" i="13"/>
  <c r="HL13" i="13"/>
  <c r="HL14" i="13" s="1"/>
  <c r="HK19" i="13"/>
  <c r="HL9" i="13"/>
  <c r="HL10" i="13" s="1"/>
  <c r="HL23" i="13"/>
  <c r="HM3" i="13"/>
  <c r="HL26" i="13"/>
  <c r="HL27" i="13" s="1"/>
  <c r="HL6" i="13"/>
  <c r="HL7" i="13" s="1"/>
  <c r="HK18" i="13"/>
  <c r="HK24" i="13" s="1"/>
  <c r="HL20" i="13"/>
  <c r="HM11" i="13"/>
  <c r="HM12" i="13" s="1"/>
  <c r="HL19" i="13" l="1"/>
  <c r="HM9" i="13"/>
  <c r="HM10" i="13" s="1"/>
  <c r="HL21" i="13"/>
  <c r="HM13" i="13"/>
  <c r="HM14" i="13" s="1"/>
  <c r="HM23" i="13"/>
  <c r="HM26" i="13"/>
  <c r="HM27" i="13" s="1"/>
  <c r="HN3" i="13"/>
  <c r="HK22" i="13"/>
  <c r="HL15" i="13"/>
  <c r="HL16" i="13" s="1"/>
  <c r="HM20" i="13"/>
  <c r="HN11" i="13"/>
  <c r="HN12" i="13" s="1"/>
  <c r="HM6" i="13"/>
  <c r="HM7" i="13" s="1"/>
  <c r="HL18" i="13"/>
  <c r="HL24" i="13" s="1"/>
  <c r="HN26" i="13" l="1"/>
  <c r="HN27" i="13" s="1"/>
  <c r="HN23" i="13"/>
  <c r="HO3" i="13"/>
  <c r="HM21" i="13"/>
  <c r="HN13" i="13"/>
  <c r="HN14" i="13" s="1"/>
  <c r="HN20" i="13"/>
  <c r="HO11" i="13"/>
  <c r="HO12" i="13" s="1"/>
  <c r="HM18" i="13"/>
  <c r="HM24" i="13" s="1"/>
  <c r="HN6" i="13"/>
  <c r="HN7" i="13" s="1"/>
  <c r="HM19" i="13"/>
  <c r="HN9" i="13"/>
  <c r="HN10" i="13" s="1"/>
  <c r="HL22" i="13"/>
  <c r="HM15" i="13"/>
  <c r="HM16" i="13" s="1"/>
  <c r="HO20" i="13" l="1"/>
  <c r="HP11" i="13"/>
  <c r="HP12" i="13" s="1"/>
  <c r="HN21" i="13"/>
  <c r="HO13" i="13"/>
  <c r="HO14" i="13" s="1"/>
  <c r="HN19" i="13"/>
  <c r="HO9" i="13"/>
  <c r="HO10" i="13" s="1"/>
  <c r="HO23" i="13"/>
  <c r="HP3" i="13"/>
  <c r="HO26" i="13"/>
  <c r="HO27" i="13" s="1"/>
  <c r="HM22" i="13"/>
  <c r="HN15" i="13"/>
  <c r="HN16" i="13" s="1"/>
  <c r="HO6" i="13"/>
  <c r="HO7" i="13" s="1"/>
  <c r="HN18" i="13"/>
  <c r="HN24" i="13" s="1"/>
  <c r="HP23" i="13" l="1"/>
  <c r="HQ3" i="13"/>
  <c r="HP26" i="13"/>
  <c r="HP27" i="13" s="1"/>
  <c r="HO19" i="13"/>
  <c r="HP9" i="13"/>
  <c r="HP10" i="13" s="1"/>
  <c r="HO21" i="13"/>
  <c r="HP13" i="13"/>
  <c r="HP14" i="13" s="1"/>
  <c r="HP6" i="13"/>
  <c r="HP7" i="13" s="1"/>
  <c r="HO18" i="13"/>
  <c r="HO24" i="13" s="1"/>
  <c r="HP20" i="13"/>
  <c r="HQ11" i="13"/>
  <c r="HQ12" i="13" s="1"/>
  <c r="HN22" i="13"/>
  <c r="HO15" i="13"/>
  <c r="HO16" i="13" s="1"/>
  <c r="HP21" i="13" l="1"/>
  <c r="HQ13" i="13"/>
  <c r="HQ14" i="13" s="1"/>
  <c r="HP19" i="13"/>
  <c r="HQ9" i="13"/>
  <c r="HQ10" i="13" s="1"/>
  <c r="HP18" i="13"/>
  <c r="HP24" i="13" s="1"/>
  <c r="HQ6" i="13"/>
  <c r="HQ7" i="13" s="1"/>
  <c r="HQ20" i="13"/>
  <c r="HR11" i="13"/>
  <c r="HR12" i="13" s="1"/>
  <c r="HO22" i="13"/>
  <c r="HP15" i="13"/>
  <c r="HP16" i="13" s="1"/>
  <c r="HQ26" i="13"/>
  <c r="HQ27" i="13" s="1"/>
  <c r="HQ23" i="13"/>
  <c r="HR3" i="13"/>
  <c r="HR20" i="13" l="1"/>
  <c r="HS11" i="13"/>
  <c r="HS12" i="13" s="1"/>
  <c r="HR6" i="13"/>
  <c r="HR7" i="13" s="1"/>
  <c r="HQ18" i="13"/>
  <c r="HQ24" i="13" s="1"/>
  <c r="HQ19" i="13"/>
  <c r="HR9" i="13"/>
  <c r="HR10" i="13" s="1"/>
  <c r="HR23" i="13"/>
  <c r="HS3" i="13"/>
  <c r="HR26" i="13"/>
  <c r="HR27" i="13" s="1"/>
  <c r="HQ21" i="13"/>
  <c r="HR13" i="13"/>
  <c r="HR14" i="13" s="1"/>
  <c r="HP22" i="13"/>
  <c r="HQ15" i="13"/>
  <c r="HQ16" i="13" s="1"/>
  <c r="HS23" i="13" l="1"/>
  <c r="HT3" i="13"/>
  <c r="HS26" i="13"/>
  <c r="HS27" i="13" s="1"/>
  <c r="HQ22" i="13"/>
  <c r="HR15" i="13"/>
  <c r="HR16" i="13" s="1"/>
  <c r="HR18" i="13"/>
  <c r="HR24" i="13" s="1"/>
  <c r="HS6" i="13"/>
  <c r="HS7" i="13" s="1"/>
  <c r="HR19" i="13"/>
  <c r="HS9" i="13"/>
  <c r="HS10" i="13" s="1"/>
  <c r="HR21" i="13"/>
  <c r="HS13" i="13"/>
  <c r="HS14" i="13" s="1"/>
  <c r="HS20" i="13"/>
  <c r="HT11" i="13"/>
  <c r="HT12" i="13" s="1"/>
  <c r="HT20" i="13" l="1"/>
  <c r="HU11" i="13"/>
  <c r="HU12" i="13" s="1"/>
  <c r="HR22" i="13"/>
  <c r="HS15" i="13"/>
  <c r="HS16" i="13" s="1"/>
  <c r="HT6" i="13"/>
  <c r="HT7" i="13" s="1"/>
  <c r="HS18" i="13"/>
  <c r="HS24" i="13" s="1"/>
  <c r="HS21" i="13"/>
  <c r="HT13" i="13"/>
  <c r="HT14" i="13" s="1"/>
  <c r="HT23" i="13"/>
  <c r="HT26" i="13"/>
  <c r="HT27" i="13" s="1"/>
  <c r="HU3" i="13"/>
  <c r="HS19" i="13"/>
  <c r="HT9" i="13"/>
  <c r="HT10" i="13" s="1"/>
  <c r="HT18" i="13" l="1"/>
  <c r="HT24" i="13" s="1"/>
  <c r="HU6" i="13"/>
  <c r="HU7" i="13" s="1"/>
  <c r="HS22" i="13"/>
  <c r="HT15" i="13"/>
  <c r="HT16" i="13" s="1"/>
  <c r="HT21" i="13"/>
  <c r="HU13" i="13"/>
  <c r="HU14" i="13" s="1"/>
  <c r="HU23" i="13"/>
  <c r="HV3" i="13"/>
  <c r="HU26" i="13"/>
  <c r="HU27" i="13" s="1"/>
  <c r="HU20" i="13"/>
  <c r="HV11" i="13"/>
  <c r="HV12" i="13" s="1"/>
  <c r="HT19" i="13"/>
  <c r="HU9" i="13"/>
  <c r="HU10" i="13" s="1"/>
  <c r="HT22" i="13" l="1"/>
  <c r="HU15" i="13"/>
  <c r="HU16" i="13" s="1"/>
  <c r="HV23" i="13"/>
  <c r="HW3" i="13"/>
  <c r="HV26" i="13"/>
  <c r="HV27" i="13" s="1"/>
  <c r="HV20" i="13"/>
  <c r="HW11" i="13"/>
  <c r="HW12" i="13" s="1"/>
  <c r="HU19" i="13"/>
  <c r="HV9" i="13"/>
  <c r="HV10" i="13" s="1"/>
  <c r="HU18" i="13"/>
  <c r="HU24" i="13" s="1"/>
  <c r="HV6" i="13"/>
  <c r="HV7" i="13" s="1"/>
  <c r="HU21" i="13"/>
  <c r="HV13" i="13"/>
  <c r="HV14" i="13" s="1"/>
  <c r="HW20" i="13" l="1"/>
  <c r="HX11" i="13"/>
  <c r="HX12" i="13" s="1"/>
  <c r="HV21" i="13"/>
  <c r="HW13" i="13"/>
  <c r="HW14" i="13" s="1"/>
  <c r="HW23" i="13"/>
  <c r="HX3" i="13"/>
  <c r="HW26" i="13"/>
  <c r="HW27" i="13" s="1"/>
  <c r="HW6" i="13"/>
  <c r="HW7" i="13" s="1"/>
  <c r="HV18" i="13"/>
  <c r="HV24" i="13" s="1"/>
  <c r="HU22" i="13"/>
  <c r="HV15" i="13"/>
  <c r="HV16" i="13" s="1"/>
  <c r="HV19" i="13"/>
  <c r="HW9" i="13"/>
  <c r="HW10" i="13" s="1"/>
  <c r="HW21" i="13" l="1"/>
  <c r="HX13" i="13"/>
  <c r="HX14" i="13" s="1"/>
  <c r="HY3" i="13"/>
  <c r="HX26" i="13"/>
  <c r="HX27" i="13" s="1"/>
  <c r="HX23" i="13"/>
  <c r="HV22" i="13"/>
  <c r="HW15" i="13"/>
  <c r="HW16" i="13" s="1"/>
  <c r="HX6" i="13"/>
  <c r="HX7" i="13" s="1"/>
  <c r="HW18" i="13"/>
  <c r="HW24" i="13" s="1"/>
  <c r="HX20" i="13"/>
  <c r="HY11" i="13"/>
  <c r="HY12" i="13" s="1"/>
  <c r="HW19" i="13"/>
  <c r="HX9" i="13"/>
  <c r="HX10" i="13" s="1"/>
  <c r="HX18" i="13" l="1"/>
  <c r="HX24" i="13" s="1"/>
  <c r="HY6" i="13"/>
  <c r="HY7" i="13" s="1"/>
  <c r="HY20" i="13"/>
  <c r="HZ11" i="13"/>
  <c r="HZ12" i="13" s="1"/>
  <c r="HY23" i="13"/>
  <c r="HZ3" i="13"/>
  <c r="HY26" i="13"/>
  <c r="HY27" i="13" s="1"/>
  <c r="HW22" i="13"/>
  <c r="HX15" i="13"/>
  <c r="HX16" i="13" s="1"/>
  <c r="HX21" i="13"/>
  <c r="HY13" i="13"/>
  <c r="HY14" i="13" s="1"/>
  <c r="HX19" i="13"/>
  <c r="HY9" i="13"/>
  <c r="HY10" i="13" s="1"/>
  <c r="HZ23" i="13" l="1"/>
  <c r="IA3" i="13"/>
  <c r="HZ26" i="13"/>
  <c r="HZ27" i="13" s="1"/>
  <c r="HY19" i="13"/>
  <c r="HZ9" i="13"/>
  <c r="HZ10" i="13" s="1"/>
  <c r="HZ20" i="13"/>
  <c r="IA11" i="13"/>
  <c r="IA12" i="13" s="1"/>
  <c r="HY21" i="13"/>
  <c r="HZ13" i="13"/>
  <c r="HZ14" i="13" s="1"/>
  <c r="HZ6" i="13"/>
  <c r="HZ7" i="13" s="1"/>
  <c r="HY18" i="13"/>
  <c r="HY24" i="13" s="1"/>
  <c r="HX22" i="13"/>
  <c r="HY15" i="13"/>
  <c r="HY16" i="13" s="1"/>
  <c r="HZ19" i="13" l="1"/>
  <c r="IA9" i="13"/>
  <c r="IA10" i="13" s="1"/>
  <c r="HY22" i="13"/>
  <c r="HZ15" i="13"/>
  <c r="HZ16" i="13" s="1"/>
  <c r="IA6" i="13"/>
  <c r="IA7" i="13" s="1"/>
  <c r="HZ18" i="13"/>
  <c r="HZ24" i="13" s="1"/>
  <c r="IA26" i="13"/>
  <c r="IA27" i="13" s="1"/>
  <c r="IA23" i="13"/>
  <c r="IB3" i="13"/>
  <c r="IA20" i="13"/>
  <c r="IB11" i="13"/>
  <c r="IB12" i="13" s="1"/>
  <c r="HZ21" i="13"/>
  <c r="IA13" i="13"/>
  <c r="IA14" i="13" s="1"/>
  <c r="IB6" i="13" l="1"/>
  <c r="IB7" i="13" s="1"/>
  <c r="IA18" i="13"/>
  <c r="IA24" i="13" s="1"/>
  <c r="HZ22" i="13"/>
  <c r="IA15" i="13"/>
  <c r="IA16" i="13" s="1"/>
  <c r="IA21" i="13"/>
  <c r="IB13" i="13"/>
  <c r="IB14" i="13" s="1"/>
  <c r="IA19" i="13"/>
  <c r="IB9" i="13"/>
  <c r="IB10" i="13" s="1"/>
  <c r="IB20" i="13"/>
  <c r="IC11" i="13"/>
  <c r="IC12" i="13" s="1"/>
  <c r="IB23" i="13"/>
  <c r="IC3" i="13"/>
  <c r="IB26" i="13"/>
  <c r="IB27" i="13" s="1"/>
  <c r="IA22" i="13" l="1"/>
  <c r="IB15" i="13"/>
  <c r="IB16" i="13" s="1"/>
  <c r="IB19" i="13"/>
  <c r="IC9" i="13"/>
  <c r="IC10" i="13" s="1"/>
  <c r="IC23" i="13"/>
  <c r="ID3" i="13"/>
  <c r="IC26" i="13"/>
  <c r="IC27" i="13" s="1"/>
  <c r="IB21" i="13"/>
  <c r="IC13" i="13"/>
  <c r="IC14" i="13" s="1"/>
  <c r="IC20" i="13"/>
  <c r="ID11" i="13"/>
  <c r="ID12" i="13" s="1"/>
  <c r="IC6" i="13"/>
  <c r="IC7" i="13" s="1"/>
  <c r="IB18" i="13"/>
  <c r="IB24" i="13" s="1"/>
  <c r="ID26" i="13" l="1"/>
  <c r="ID27" i="13" s="1"/>
  <c r="ID23" i="13"/>
  <c r="IE3" i="13"/>
  <c r="IC19" i="13"/>
  <c r="ID9" i="13"/>
  <c r="ID10" i="13" s="1"/>
  <c r="ID20" i="13"/>
  <c r="IE11" i="13"/>
  <c r="IE12" i="13" s="1"/>
  <c r="IB22" i="13"/>
  <c r="IC15" i="13"/>
  <c r="IC16" i="13" s="1"/>
  <c r="IC18" i="13"/>
  <c r="IC24" i="13" s="1"/>
  <c r="ID6" i="13"/>
  <c r="ID7" i="13" s="1"/>
  <c r="IC21" i="13"/>
  <c r="ID13" i="13"/>
  <c r="ID14" i="13" s="1"/>
  <c r="ID19" i="13" l="1"/>
  <c r="IE9" i="13"/>
  <c r="IE10" i="13" s="1"/>
  <c r="ID21" i="13"/>
  <c r="IE13" i="13"/>
  <c r="IE14" i="13" s="1"/>
  <c r="IE23" i="13"/>
  <c r="IF3" i="13"/>
  <c r="IE26" i="13"/>
  <c r="IE27" i="13" s="1"/>
  <c r="IE20" i="13"/>
  <c r="IF11" i="13"/>
  <c r="IF12" i="13" s="1"/>
  <c r="IE6" i="13"/>
  <c r="IE7" i="13" s="1"/>
  <c r="ID18" i="13"/>
  <c r="ID24" i="13" s="1"/>
  <c r="IC22" i="13"/>
  <c r="ID15" i="13"/>
  <c r="ID16" i="13" s="1"/>
  <c r="IF23" i="13" l="1"/>
  <c r="IF26" i="13"/>
  <c r="IF27" i="13" s="1"/>
  <c r="IG3" i="13"/>
  <c r="ID22" i="13"/>
  <c r="IE15" i="13"/>
  <c r="IE16" i="13" s="1"/>
  <c r="IE21" i="13"/>
  <c r="IF13" i="13"/>
  <c r="IF14" i="13" s="1"/>
  <c r="IE18" i="13"/>
  <c r="IE24" i="13" s="1"/>
  <c r="IF6" i="13"/>
  <c r="IF7" i="13" s="1"/>
  <c r="IE19" i="13"/>
  <c r="IF9" i="13"/>
  <c r="IF10" i="13" s="1"/>
  <c r="IF20" i="13"/>
  <c r="IG11" i="13"/>
  <c r="IG12" i="13" s="1"/>
  <c r="IE22" i="13" l="1"/>
  <c r="IF15" i="13"/>
  <c r="IF16" i="13" s="1"/>
  <c r="IG20" i="13"/>
  <c r="IH11" i="13"/>
  <c r="IH12" i="13" s="1"/>
  <c r="IH3" i="13"/>
  <c r="IG23" i="13"/>
  <c r="IG26" i="13"/>
  <c r="IG27" i="13" s="1"/>
  <c r="IF19" i="13"/>
  <c r="IG9" i="13"/>
  <c r="IG10" i="13" s="1"/>
  <c r="IF21" i="13"/>
  <c r="IG13" i="13"/>
  <c r="IG14" i="13" s="1"/>
  <c r="IF18" i="13"/>
  <c r="IF24" i="13" s="1"/>
  <c r="IG6" i="13"/>
  <c r="IG7" i="13" s="1"/>
  <c r="IH23" i="13" l="1"/>
  <c r="II3" i="13"/>
  <c r="IH26" i="13"/>
  <c r="IH27" i="13" s="1"/>
  <c r="IH20" i="13"/>
  <c r="II11" i="13"/>
  <c r="II12" i="13" s="1"/>
  <c r="IH6" i="13"/>
  <c r="IH7" i="13" s="1"/>
  <c r="IG18" i="13"/>
  <c r="IG24" i="13" s="1"/>
  <c r="IF22" i="13"/>
  <c r="IG15" i="13"/>
  <c r="IG16" i="13" s="1"/>
  <c r="IG21" i="13"/>
  <c r="IH13" i="13"/>
  <c r="IH14" i="13" s="1"/>
  <c r="IG19" i="13"/>
  <c r="IH9" i="13"/>
  <c r="IH10" i="13" s="1"/>
  <c r="II20" i="13" l="1"/>
  <c r="IJ11" i="13"/>
  <c r="IJ12" i="13" s="1"/>
  <c r="IH18" i="13"/>
  <c r="IH24" i="13" s="1"/>
  <c r="II6" i="13"/>
  <c r="II7" i="13" s="1"/>
  <c r="IH21" i="13"/>
  <c r="II13" i="13"/>
  <c r="II14" i="13" s="1"/>
  <c r="II23" i="13"/>
  <c r="IJ3" i="13"/>
  <c r="II26" i="13"/>
  <c r="II27" i="13" s="1"/>
  <c r="IH19" i="13"/>
  <c r="II9" i="13"/>
  <c r="II10" i="13" s="1"/>
  <c r="IG22" i="13"/>
  <c r="IH15" i="13"/>
  <c r="IH16" i="13" s="1"/>
  <c r="IJ26" i="13" l="1"/>
  <c r="IJ27" i="13" s="1"/>
  <c r="IJ23" i="13"/>
  <c r="IK3" i="13"/>
  <c r="II21" i="13"/>
  <c r="IJ13" i="13"/>
  <c r="IJ14" i="13" s="1"/>
  <c r="IH22" i="13"/>
  <c r="II15" i="13"/>
  <c r="II16" i="13" s="1"/>
  <c r="II18" i="13"/>
  <c r="II24" i="13" s="1"/>
  <c r="IJ6" i="13"/>
  <c r="IJ7" i="13" s="1"/>
  <c r="II19" i="13"/>
  <c r="IJ9" i="13"/>
  <c r="IJ10" i="13" s="1"/>
  <c r="IJ20" i="13"/>
  <c r="IK11" i="13"/>
  <c r="IK12" i="13" s="1"/>
  <c r="II22" i="13" l="1"/>
  <c r="IJ15" i="13"/>
  <c r="IJ16" i="13" s="1"/>
  <c r="IJ21" i="13"/>
  <c r="IK13" i="13"/>
  <c r="IK14" i="13" s="1"/>
  <c r="IK20" i="13"/>
  <c r="IL11" i="13"/>
  <c r="IL12" i="13" s="1"/>
  <c r="IJ19" i="13"/>
  <c r="IK9" i="13"/>
  <c r="IK10" i="13" s="1"/>
  <c r="IK23" i="13"/>
  <c r="IL3" i="13"/>
  <c r="IK26" i="13"/>
  <c r="IK27" i="13" s="1"/>
  <c r="IJ18" i="13"/>
  <c r="IJ24" i="13" s="1"/>
  <c r="IK6" i="13"/>
  <c r="IK7" i="13" s="1"/>
  <c r="IL20" i="13" l="1"/>
  <c r="IM11" i="13"/>
  <c r="IM12" i="13" s="1"/>
  <c r="IK21" i="13"/>
  <c r="IL13" i="13"/>
  <c r="IL14" i="13" s="1"/>
  <c r="IJ22" i="13"/>
  <c r="IK15" i="13"/>
  <c r="IK16" i="13" s="1"/>
  <c r="IK19" i="13"/>
  <c r="IL9" i="13"/>
  <c r="IL10" i="13" s="1"/>
  <c r="IK18" i="13"/>
  <c r="IK24" i="13" s="1"/>
  <c r="IL6" i="13"/>
  <c r="IL7" i="13" s="1"/>
  <c r="IL23" i="13"/>
  <c r="IM3" i="13"/>
  <c r="IL26" i="13"/>
  <c r="IL27" i="13" s="1"/>
  <c r="IL19" i="13" l="1"/>
  <c r="IM9" i="13"/>
  <c r="IM10" i="13" s="1"/>
  <c r="IL21" i="13"/>
  <c r="IM13" i="13"/>
  <c r="IM14" i="13" s="1"/>
  <c r="IL18" i="13"/>
  <c r="IL24" i="13" s="1"/>
  <c r="IM6" i="13"/>
  <c r="IM7" i="13" s="1"/>
  <c r="IM20" i="13"/>
  <c r="IN11" i="13"/>
  <c r="IK22" i="13"/>
  <c r="IL15" i="13"/>
  <c r="IL16" i="13" s="1"/>
  <c r="IM23" i="13"/>
  <c r="IN3" i="13"/>
  <c r="C29" i="13" s="1"/>
  <c r="C26" i="13" s="1"/>
  <c r="IM26" i="13"/>
  <c r="IM27" i="13" s="1"/>
  <c r="IN12" i="13" l="1"/>
  <c r="IN20" i="13" s="1"/>
  <c r="IM21" i="13"/>
  <c r="IN13" i="13"/>
  <c r="IM18" i="13"/>
  <c r="IM24" i="13" s="1"/>
  <c r="IN6" i="13"/>
  <c r="IN23" i="13"/>
  <c r="IN26" i="13"/>
  <c r="IN27" i="13" s="1"/>
  <c r="IL22" i="13"/>
  <c r="IM15" i="13"/>
  <c r="IM16" i="13" s="1"/>
  <c r="IM19" i="13"/>
  <c r="IN9" i="13"/>
  <c r="IN7" i="13" l="1"/>
  <c r="IN18" i="13" s="1"/>
  <c r="IN24" i="13" s="1"/>
  <c r="D29" i="13" s="1"/>
  <c r="C43" i="15" s="1"/>
  <c r="C45" i="15" s="1"/>
  <c r="IN14" i="13"/>
  <c r="IN21" i="13" s="1"/>
  <c r="IN10" i="13"/>
  <c r="IN19" i="13" s="1"/>
  <c r="IM22" i="13"/>
  <c r="IN15" i="13"/>
  <c r="IN16" i="13" l="1"/>
  <c r="IN22" i="13" s="1"/>
</calcChain>
</file>

<file path=xl/sharedStrings.xml><?xml version="1.0" encoding="utf-8"?>
<sst xmlns="http://schemas.openxmlformats.org/spreadsheetml/2006/main" count="3473" uniqueCount="642">
  <si>
    <t>Province/State</t>
  </si>
  <si>
    <t>Country/Region</t>
  </si>
  <si>
    <t>Lat</t>
  </si>
  <si>
    <t>Long</t>
  </si>
  <si>
    <t>1/22/20</t>
  </si>
  <si>
    <t>1/23/20</t>
  </si>
  <si>
    <t>1/24/20</t>
  </si>
  <si>
    <t>1/25/20</t>
  </si>
  <si>
    <t>1/26/20</t>
  </si>
  <si>
    <t>1/27/20</t>
  </si>
  <si>
    <t>1/28/20</t>
  </si>
  <si>
    <t>1/29/20</t>
  </si>
  <si>
    <t>1/30/20</t>
  </si>
  <si>
    <t>1/31/20</t>
  </si>
  <si>
    <t>2/13/20</t>
  </si>
  <si>
    <t>2/14/20</t>
  </si>
  <si>
    <t>2/15/20</t>
  </si>
  <si>
    <t>2/16/20</t>
  </si>
  <si>
    <t>2/17/20</t>
  </si>
  <si>
    <t>2/18/20</t>
  </si>
  <si>
    <t>2/19/20</t>
  </si>
  <si>
    <t>2/20/20</t>
  </si>
  <si>
    <t>2/21/20</t>
  </si>
  <si>
    <t>2/22/20</t>
  </si>
  <si>
    <t>2/23/20</t>
  </si>
  <si>
    <t>2/24/20</t>
  </si>
  <si>
    <t>2/25/20</t>
  </si>
  <si>
    <t>2/26/20</t>
  </si>
  <si>
    <t>2/27/20</t>
  </si>
  <si>
    <t>2/28/20</t>
  </si>
  <si>
    <t>2/29/20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</si>
  <si>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</si>
  <si>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</si>
  <si>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</si>
  <si>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</si>
  <si>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</si>
  <si>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</si>
  <si>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</si>
  <si>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</si>
  <si>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</si>
  <si>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</si>
  <si>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</si>
  <si>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</si>
  <si>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</si>
  <si>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</si>
  <si>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</si>
  <si>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</si>
  <si>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</si>
  <si>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</si>
  <si>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</si>
  <si>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</si>
  <si>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</si>
  <si>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</si>
  <si>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</si>
  <si>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</si>
  <si>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</si>
  <si>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</si>
  <si>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</si>
  <si>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</si>
  <si>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</si>
  <si>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</si>
  <si>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</si>
  <si>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</si>
  <si>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</si>
  <si>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</si>
  <si>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</si>
  <si>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</si>
  <si>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</si>
  <si>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</si>
  <si>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</si>
  <si>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</si>
  <si>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</si>
  <si>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</si>
  <si>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</si>
  <si>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</si>
  <si>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</si>
  <si>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</si>
  <si>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</si>
  <si>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</si>
  <si>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</si>
  <si>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</si>
  <si>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</si>
  <si>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</si>
  <si>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</si>
  <si>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</si>
  <si>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</si>
  <si>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</si>
  <si>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</si>
  <si>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</si>
  <si>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</si>
  <si>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</si>
  <si>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</si>
  <si>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</si>
  <si>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</si>
  <si>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</si>
  <si>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</si>
  <si>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</si>
  <si>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</si>
  <si>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</si>
  <si>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</si>
  <si>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</si>
  <si>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</si>
  <si>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</si>
  <si>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</si>
  <si>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</si>
  <si>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</si>
  <si>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</si>
  <si>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</si>
  <si>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</si>
  <si>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</si>
  <si>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</si>
  <si>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</si>
  <si>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</si>
  <si>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</si>
  <si>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</si>
  <si>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</si>
  <si>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</si>
  <si>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</si>
  <si>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</si>
  <si>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</si>
  <si>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</si>
  <si>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</si>
  <si>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</si>
  <si>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</si>
  <si>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</si>
  <si>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</si>
  <si>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</si>
  <si>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</si>
  <si>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</si>
  <si>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</si>
  <si>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</si>
  <si>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</si>
  <si>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</si>
  <si>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</si>
  <si>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</si>
  <si>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</si>
  <si>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</si>
  <si>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</si>
  <si>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</si>
  <si>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</si>
  <si>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</si>
  <si>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</si>
  <si>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</si>
  <si>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</si>
  <si>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</si>
  <si>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</si>
  <si>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</si>
  <si>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</si>
  <si>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</si>
  <si>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</si>
  <si>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</si>
  <si>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</si>
  <si>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</si>
  <si>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</si>
  <si>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</si>
  <si>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</si>
  <si>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</si>
  <si>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</si>
  <si>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</si>
  <si>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</si>
  <si>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</si>
  <si>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</si>
  <si>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</si>
  <si>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</si>
  <si>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</si>
  <si>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</si>
  <si>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</si>
  <si>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</si>
  <si>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</si>
  <si>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</si>
  <si>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</si>
  <si>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</si>
  <si>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</si>
  <si>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</si>
  <si>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</si>
  <si>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</si>
  <si>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</si>
  <si>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</si>
  <si>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</si>
  <si>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</si>
  <si>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</si>
  <si>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</si>
  <si>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</si>
  <si>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</si>
  <si>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</si>
  <si>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</si>
  <si>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</si>
  <si>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</si>
  <si>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</si>
  <si>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</si>
  <si>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</si>
  <si>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</si>
  <si>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</si>
  <si>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</si>
  <si>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</si>
  <si>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</si>
  <si>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</si>
  <si>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</si>
  <si>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</si>
  <si>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</si>
  <si>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</si>
  <si>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</si>
  <si>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</si>
  <si>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</si>
  <si>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</si>
  <si>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</si>
  <si>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</si>
  <si>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</si>
  <si>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</si>
  <si>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</si>
  <si>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</si>
  <si>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</si>
  <si>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</si>
  <si>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</si>
  <si>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</si>
  <si>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</si>
  <si>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</si>
  <si>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</si>
  <si>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</si>
  <si>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</si>
  <si>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</si>
  <si>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</si>
  <si>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</si>
  <si>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</si>
  <si>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</si>
  <si>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</si>
  <si>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</si>
  <si>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</si>
  <si>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</si>
  <si>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</si>
  <si>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</si>
  <si>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</si>
  <si>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</si>
  <si>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</si>
  <si>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</si>
  <si>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</si>
  <si>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</si>
  <si>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</si>
  <si>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</si>
  <si>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</si>
  <si>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</si>
  <si>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</si>
  <si>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</si>
  <si>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</si>
  <si>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</si>
  <si>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</si>
  <si>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</si>
  <si>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</si>
  <si>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</si>
  <si>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</si>
  <si>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</si>
  <si>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</si>
  <si>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</si>
  <si>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</si>
  <si>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</si>
  <si>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</si>
  <si>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</si>
  <si>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</si>
  <si>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</si>
  <si>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</si>
  <si>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</si>
  <si>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</si>
  <si>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</si>
  <si>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</si>
  <si>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</si>
  <si>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</si>
  <si>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</si>
  <si>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</si>
  <si>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</si>
  <si>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</si>
  <si>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</si>
  <si>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</si>
  <si>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</si>
  <si>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</si>
  <si>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</si>
  <si>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</si>
  <si>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</si>
  <si>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</si>
  <si>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</si>
  <si>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</si>
  <si>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</si>
  <si>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</si>
  <si>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</si>
  <si>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</si>
  <si>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</si>
  <si>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</si>
  <si>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</si>
  <si>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</si>
  <si>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</si>
  <si>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</si>
  <si>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</si>
  <si>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</si>
  <si>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</si>
  <si>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</si>
  <si>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</si>
  <si>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</si>
  <si>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</si>
  <si>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</si>
  <si>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</si>
  <si>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</si>
  <si>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</si>
  <si>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</si>
  <si>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</si>
  <si>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</si>
  <si>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</si>
  <si>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</si>
  <si>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</si>
  <si>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</si>
  <si>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</si>
  <si>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</si>
  <si>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</si>
  <si>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</si>
  <si>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</si>
  <si>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</si>
  <si>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</si>
  <si>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</si>
  <si>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</si>
  <si>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</si>
  <si>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</si>
  <si>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</si>
  <si>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</si>
  <si>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</si>
  <si>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</si>
  <si>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</si>
  <si>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</si>
  <si>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</si>
  <si>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</si>
  <si>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</si>
  <si>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</si>
  <si>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</si>
  <si>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</si>
  <si>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</si>
  <si>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</si>
  <si>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</si>
  <si>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</si>
  <si>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</si>
  <si>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</si>
  <si>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</si>
  <si>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</si>
  <si>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</si>
  <si>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</si>
  <si>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</si>
  <si>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</si>
  <si>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</si>
  <si>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</si>
  <si>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</si>
  <si>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</si>
  <si>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</si>
  <si>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</si>
  <si>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</si>
  <si>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</si>
  <si>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</si>
  <si>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</si>
  <si>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</si>
  <si>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</si>
  <si>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</si>
  <si>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</si>
  <si>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</si>
  <si>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</si>
  <si>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</si>
  <si>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</si>
  <si>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</si>
  <si>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</si>
  <si>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</si>
  <si>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3/13/20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</si>
  <si>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</si>
  <si>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</si>
  <si>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</si>
  <si>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</si>
  <si>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</si>
  <si>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</si>
  <si>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</si>
  <si>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</si>
  <si>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</si>
  <si>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</si>
  <si>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</si>
  <si>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</si>
  <si>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</si>
  <si>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</si>
  <si>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</si>
  <si>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</si>
  <si>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</si>
  <si>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</si>
  <si>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</si>
  <si>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</si>
  <si>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</si>
  <si>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</si>
  <si>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</si>
  <si>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</si>
  <si>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</si>
  <si>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</si>
  <si>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</si>
  <si>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</si>
  <si>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</si>
  <si>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</si>
  <si>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</si>
  <si>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</si>
  <si>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</si>
  <si>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</si>
  <si>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</si>
  <si>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</si>
  <si>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</si>
  <si>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</si>
  <si>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</si>
  <si>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</si>
  <si>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</si>
  <si>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</si>
  <si>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</si>
  <si>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</si>
  <si>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</si>
  <si>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</si>
  <si>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</si>
  <si>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</si>
  <si>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</si>
  <si>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</si>
  <si>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</si>
  <si>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</si>
  <si>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</si>
  <si>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</si>
  <si>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</si>
  <si>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</si>
  <si>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</si>
  <si>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</si>
  <si>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</si>
  <si>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</si>
  <si>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</si>
  <si>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</si>
  <si>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</si>
  <si>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</si>
  <si>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</si>
  <si>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</si>
  <si>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</si>
  <si>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</si>
  <si>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</si>
  <si>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</si>
  <si>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</si>
  <si>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</si>
  <si>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</si>
  <si>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</si>
  <si>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</si>
  <si>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</si>
  <si>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</si>
  <si>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</si>
  <si>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</si>
  <si>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</si>
  <si>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</si>
  <si>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</si>
  <si>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</si>
  <si>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</si>
  <si>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</si>
  <si>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</si>
  <si>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</si>
  <si>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</si>
  <si>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</si>
  <si>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</si>
  <si>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</si>
  <si>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</si>
  <si>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</si>
  <si>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50% Daily Increase</t>
  </si>
  <si>
    <t>40% Daily Increase</t>
  </si>
  <si>
    <t>30% Daily Increase</t>
  </si>
  <si>
    <t>3/14/20</t>
  </si>
  <si>
    <t xml:space="preserve">Jackson County, OR </t>
  </si>
  <si>
    <t>Uruguay</t>
  </si>
  <si>
    <t>Ghana</t>
  </si>
  <si>
    <t>Puerto Rico</t>
  </si>
  <si>
    <t>Jersey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</si>
  <si>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</si>
  <si>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</si>
  <si>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</si>
  <si>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</si>
  <si>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</si>
  <si>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</si>
  <si>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</si>
  <si>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</si>
  <si>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Guernsey</t>
  </si>
  <si>
    <t>Mauritania</t>
  </si>
  <si>
    <t>Rwanda</t>
  </si>
  <si>
    <t>Saint Lucia</t>
  </si>
  <si>
    <t>Saint Vincent and the Grenadines</t>
  </si>
  <si>
    <t>Suriname</t>
  </si>
  <si>
    <t>Currently</t>
  </si>
  <si>
    <t>Rate of increase</t>
  </si>
  <si>
    <t>Last x days</t>
  </si>
  <si>
    <t>Expected tomorrow</t>
  </si>
  <si>
    <t>Actual</t>
  </si>
  <si>
    <t>30% daily increase</t>
  </si>
  <si>
    <t>40% daily increase</t>
  </si>
  <si>
    <t>Day</t>
  </si>
  <si>
    <t>xMax2</t>
  </si>
  <si>
    <t>3/15/20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</si>
  <si>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</si>
  <si>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</si>
  <si>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</si>
  <si>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</si>
  <si>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</si>
  <si>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</si>
  <si>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</si>
  <si>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</si>
  <si>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</si>
  <si>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</si>
  <si>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</si>
  <si>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3/16/20</t>
  </si>
  <si>
    <t>Nova Scotia</t>
  </si>
  <si>
    <t>Benin</t>
  </si>
  <si>
    <t>Greenland</t>
  </si>
  <si>
    <t>Liberia</t>
  </si>
  <si>
    <t>Republic of the Congo</t>
  </si>
  <si>
    <t>Somalia</t>
  </si>
  <si>
    <t>Tanzania</t>
  </si>
  <si>
    <t>The Bahamas</t>
  </si>
  <si>
    <t>Virgin Islands</t>
  </si>
  <si>
    <t>Today</t>
  </si>
  <si>
    <t>Overload</t>
  </si>
  <si>
    <t>South Korea</t>
  </si>
  <si>
    <t>Per 100k</t>
  </si>
  <si>
    <t>Country</t>
  </si>
  <si>
    <t>Population</t>
  </si>
  <si>
    <t>Beds</t>
  </si>
  <si>
    <t>Czech Republic</t>
  </si>
  <si>
    <t>DR Congo</t>
  </si>
  <si>
    <t>Myanmar</t>
  </si>
  <si>
    <t>Uganda</t>
  </si>
  <si>
    <t>Angola</t>
  </si>
  <si>
    <t>Mozambique</t>
  </si>
  <si>
    <t>Yemen</t>
  </si>
  <si>
    <t>Madagascar</t>
  </si>
  <si>
    <t>Côte d'Ivoire</t>
  </si>
  <si>
    <t>North Korea</t>
  </si>
  <si>
    <t>Niger</t>
  </si>
  <si>
    <t>Taiwan</t>
  </si>
  <si>
    <t>Mali</t>
  </si>
  <si>
    <t>Malawi</t>
  </si>
  <si>
    <t>Zambia</t>
  </si>
  <si>
    <t>Syria</t>
  </si>
  <si>
    <t>Chad</t>
  </si>
  <si>
    <t>Zimbabwe</t>
  </si>
  <si>
    <t>Burundi</t>
  </si>
  <si>
    <t>Haiti</t>
  </si>
  <si>
    <t>South Sudan</t>
  </si>
  <si>
    <t>Tajikistan</t>
  </si>
  <si>
    <t>Papua New Guinea</t>
  </si>
  <si>
    <t>Sierra Leone</t>
  </si>
  <si>
    <t>Laos</t>
  </si>
  <si>
    <t>Libya</t>
  </si>
  <si>
    <t>Nicaragua</t>
  </si>
  <si>
    <t>Kyrgyzstan</t>
  </si>
  <si>
    <t>El Salvador</t>
  </si>
  <si>
    <t>Turkmenistan</t>
  </si>
  <si>
    <t>Congo</t>
  </si>
  <si>
    <t>State of Palestine</t>
  </si>
  <si>
    <t>Eritrea</t>
  </si>
  <si>
    <t>Gambia</t>
  </si>
  <si>
    <t>Botswana</t>
  </si>
  <si>
    <t>Lesotho</t>
  </si>
  <si>
    <t>Guinea-Bissau</t>
  </si>
  <si>
    <t>Timor-Leste</t>
  </si>
  <si>
    <t>Mauritius</t>
  </si>
  <si>
    <t>Djibouti</t>
  </si>
  <si>
    <t>Fiji</t>
  </si>
  <si>
    <t>Réunion</t>
  </si>
  <si>
    <t>Comoros</t>
  </si>
  <si>
    <t>Solomon Islands</t>
  </si>
  <si>
    <t>Macao</t>
  </si>
  <si>
    <t>Montenegro</t>
  </si>
  <si>
    <t>Western Sahara</t>
  </si>
  <si>
    <t>Cabo Verde</t>
  </si>
  <si>
    <t>Belize</t>
  </si>
  <si>
    <t>Bahamas</t>
  </si>
  <si>
    <t>Vanuatu</t>
  </si>
  <si>
    <t>Barbados</t>
  </si>
  <si>
    <t>New Caledonia</t>
  </si>
  <si>
    <t>Sao Tome &amp; Principe</t>
  </si>
  <si>
    <t>Samoa</t>
  </si>
  <si>
    <t>Curaçao</t>
  </si>
  <si>
    <t>Kiribati</t>
  </si>
  <si>
    <t>Micronesia</t>
  </si>
  <si>
    <t>Grenada</t>
  </si>
  <si>
    <t>St. Vincent &amp; Grenadines</t>
  </si>
  <si>
    <t>Tonga</t>
  </si>
  <si>
    <t>U.S. Virgin Islands</t>
  </si>
  <si>
    <t>Isle of Man</t>
  </si>
  <si>
    <t>Dominica</t>
  </si>
  <si>
    <t>Bermuda</t>
  </si>
  <si>
    <t>Marshall Islands</t>
  </si>
  <si>
    <t>Northern Mariana Islands</t>
  </si>
  <si>
    <t>American Samoa</t>
  </si>
  <si>
    <t>Saint Kitts &amp; Nevis</t>
  </si>
  <si>
    <t>Faeroe Islands</t>
  </si>
  <si>
    <t>Sint Maarten</t>
  </si>
  <si>
    <t>Turks and Caicos</t>
  </si>
  <si>
    <t>Saint Martin</t>
  </si>
  <si>
    <t>British Virgin Islands</t>
  </si>
  <si>
    <t>Caribbean Netherlands</t>
  </si>
  <si>
    <t>Palau</t>
  </si>
  <si>
    <t>Cook Islands</t>
  </si>
  <si>
    <t>Anguilla</t>
  </si>
  <si>
    <t>Tuvalu</t>
  </si>
  <si>
    <t>Wallis &amp; Futuna</t>
  </si>
  <si>
    <t>Nauru</t>
  </si>
  <si>
    <t>Saint Helena</t>
  </si>
  <si>
    <t>Saint Pierre &amp; Miquelon</t>
  </si>
  <si>
    <t>Montserrat</t>
  </si>
  <si>
    <t>Falkland Islands</t>
  </si>
  <si>
    <t>Niue</t>
  </si>
  <si>
    <t>Tokelau</t>
  </si>
  <si>
    <t>100th Day</t>
  </si>
  <si>
    <t>Critical care overload date</t>
  </si>
  <si>
    <t>Days remaining</t>
  </si>
  <si>
    <t>Current Cases</t>
  </si>
  <si>
    <t>Daily increase rate</t>
  </si>
  <si>
    <t>Infected</t>
  </si>
  <si>
    <t>Active Cases</t>
  </si>
  <si>
    <t>Total infected</t>
  </si>
  <si>
    <t>Days more</t>
  </si>
  <si>
    <t>10% daily increase</t>
  </si>
  <si>
    <t>10% increase</t>
  </si>
  <si>
    <t>30% increase</t>
  </si>
  <si>
    <t>40% increase</t>
  </si>
  <si>
    <t>25% daily increase</t>
  </si>
  <si>
    <t>25% increase</t>
  </si>
  <si>
    <t>Fatality rate</t>
  </si>
  <si>
    <t>Those requiring critical care (estimated)</t>
  </si>
  <si>
    <t>Currently in critical care (estimated)</t>
  </si>
  <si>
    <t>3/17/20</t>
  </si>
  <si>
    <t>The Gambia</t>
  </si>
  <si>
    <t xml:space="preserve"> </t>
  </si>
  <si>
    <t>Current daily rate of increase (5 day rolling average)</t>
  </si>
  <si>
    <t>Lockdown initiated</t>
  </si>
  <si>
    <t>Social distancing measures</t>
  </si>
  <si>
    <t>Social distancing</t>
  </si>
  <si>
    <t>Social distancing implemented</t>
  </si>
  <si>
    <t>Critically Ill (estimate)</t>
  </si>
  <si>
    <t>Days until healthcare overload</t>
  </si>
  <si>
    <t>Schools shut</t>
  </si>
  <si>
    <t>Social distancing introduced</t>
  </si>
  <si>
    <t>UK</t>
  </si>
  <si>
    <t>Total cases</t>
  </si>
  <si>
    <t>Active cases</t>
  </si>
  <si>
    <t>Expected next total</t>
  </si>
  <si>
    <t>Recovered</t>
  </si>
  <si>
    <t>Dead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</si>
</sst>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[$-F800]dddd\,\ mmmm\ dd\,\ yyyy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/>
      <name val="Verdana"/>
      <family val="2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6"/>
      <color theme="0"/>
      <name val="Verdana"/>
      <family val="2"/>
    </font>
    <font>
      <sz val="11"/>
      <color rgb="FF24292E"/>
      <name val="Calibri"/>
      <family val="2"/>
      <scheme val="minor"/>
    </font>
    <font>
      <sz val="11"/>
      <color rgb="FFFF0000"/>
      <name val="Verdana"/>
      <family val="2"/>
    </font>
    <font>
      <sz val="11"/>
      <color rgb="FF00B050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0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3" fontId="7" fillId="0" borderId="0" xfId="0" applyNumberFormat="1" applyFont="1" applyFill="1"/>
    <xf numFmtId="0" fontId="7" fillId="0" borderId="5" xfId="0" applyFont="1" applyFill="1" applyBorder="1" applyAlignment="1">
      <alignment vertical="top"/>
    </xf>
    <xf numFmtId="3" fontId="7" fillId="0" borderId="3" xfId="0" applyNumberFormat="1" applyFont="1" applyFill="1" applyBorder="1" applyAlignment="1">
      <alignment vertical="top"/>
    </xf>
    <xf numFmtId="10" fontId="7" fillId="0" borderId="3" xfId="0" applyNumberFormat="1" applyFont="1" applyFill="1" applyBorder="1" applyAlignment="1">
      <alignment vertical="top" wrapText="1"/>
    </xf>
    <xf numFmtId="3" fontId="7" fillId="0" borderId="3" xfId="0" applyNumberFormat="1" applyFont="1" applyFill="1" applyBorder="1" applyAlignment="1">
      <alignment vertical="top" wrapText="1"/>
    </xf>
    <xf numFmtId="0" fontId="7" fillId="0" borderId="3" xfId="0" applyFont="1" applyFill="1" applyBorder="1" applyAlignment="1">
      <alignment vertical="top" wrapText="1"/>
    </xf>
    <xf numFmtId="9" fontId="7" fillId="0" borderId="3" xfId="0" applyNumberFormat="1" applyFont="1" applyFill="1" applyBorder="1" applyAlignment="1">
      <alignment vertical="top" wrapText="1"/>
    </xf>
    <xf numFmtId="3" fontId="7" fillId="0" borderId="4" xfId="0" applyNumberFormat="1" applyFont="1" applyFill="1" applyBorder="1" applyAlignment="1">
      <alignment vertical="top" wrapText="1"/>
    </xf>
    <xf numFmtId="0" fontId="7" fillId="0" borderId="4" xfId="0" applyFont="1" applyFill="1" applyBorder="1" applyAlignment="1">
      <alignment vertical="top"/>
    </xf>
    <xf numFmtId="0" fontId="7" fillId="0" borderId="6" xfId="0" applyFont="1" applyFill="1" applyBorder="1" applyAlignment="1">
      <alignment vertical="top"/>
    </xf>
    <xf numFmtId="10" fontId="7" fillId="0" borderId="6" xfId="0" applyNumberFormat="1" applyFont="1" applyFill="1" applyBorder="1" applyAlignment="1">
      <alignment vertical="top" wrapText="1"/>
    </xf>
    <xf numFmtId="0" fontId="7" fillId="0" borderId="6" xfId="0" applyFont="1" applyFill="1" applyBorder="1" applyAlignment="1">
      <alignment vertical="top" wrapText="1"/>
    </xf>
    <xf numFmtId="3" fontId="7" fillId="0" borderId="6" xfId="0" applyNumberFormat="1" applyFont="1" applyFill="1" applyBorder="1" applyAlignment="1">
      <alignment vertical="top" wrapText="1"/>
    </xf>
    <xf numFmtId="0" fontId="9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0" fontId="0" fillId="0" borderId="0" xfId="0" applyNumberFormat="1" applyFont="1" applyFill="1" applyBorder="1"/>
    <xf numFmtId="165" fontId="1" fillId="0" borderId="0" xfId="1" applyNumberFormat="1" applyFont="1" applyFill="1" applyBorder="1"/>
    <xf numFmtId="0" fontId="0" fillId="0" borderId="10" xfId="0" applyNumberFormat="1" applyFont="1" applyFill="1" applyBorder="1" applyAlignment="1"/>
    <xf numFmtId="165" fontId="0" fillId="0" borderId="11" xfId="0" applyNumberFormat="1" applyFont="1" applyFill="1" applyBorder="1"/>
    <xf numFmtId="0" fontId="0" fillId="0" borderId="10" xfId="0" applyFont="1" applyFill="1" applyBorder="1"/>
    <xf numFmtId="0" fontId="6" fillId="4" borderId="15" xfId="0" applyFont="1" applyFill="1" applyBorder="1"/>
    <xf numFmtId="0" fontId="6" fillId="4" borderId="16" xfId="0" applyFont="1" applyFill="1" applyBorder="1"/>
    <xf numFmtId="165" fontId="0" fillId="0" borderId="11" xfId="1" applyNumberFormat="1" applyFont="1" applyFill="1" applyBorder="1"/>
    <xf numFmtId="0" fontId="6" fillId="4" borderId="16" xfId="0" applyFont="1" applyFill="1" applyBorder="1" applyAlignment="1">
      <alignment wrapText="1"/>
    </xf>
    <xf numFmtId="9" fontId="0" fillId="0" borderId="0" xfId="2" applyFont="1" applyFill="1"/>
    <xf numFmtId="0" fontId="9" fillId="0" borderId="0" xfId="0" applyFont="1" applyAlignment="1">
      <alignment horizontal="right"/>
    </xf>
    <xf numFmtId="0" fontId="9" fillId="6" borderId="7" xfId="0" applyFont="1" applyFill="1" applyBorder="1"/>
    <xf numFmtId="0" fontId="9" fillId="6" borderId="8" xfId="0" applyFont="1" applyFill="1" applyBorder="1"/>
    <xf numFmtId="0" fontId="9" fillId="6" borderId="9" xfId="0" applyFont="1" applyFill="1" applyBorder="1"/>
    <xf numFmtId="0" fontId="9" fillId="6" borderId="10" xfId="0" applyFont="1" applyFill="1" applyBorder="1"/>
    <xf numFmtId="0" fontId="9" fillId="6" borderId="0" xfId="0" applyFont="1" applyFill="1" applyBorder="1"/>
    <xf numFmtId="0" fontId="9" fillId="6" borderId="11" xfId="0" applyFont="1" applyFill="1" applyBorder="1"/>
    <xf numFmtId="0" fontId="9" fillId="6" borderId="12" xfId="0" applyFont="1" applyFill="1" applyBorder="1"/>
    <xf numFmtId="0" fontId="9" fillId="6" borderId="13" xfId="0" applyFont="1" applyFill="1" applyBorder="1"/>
    <xf numFmtId="0" fontId="9" fillId="6" borderId="14" xfId="0" applyFont="1" applyFill="1" applyBorder="1"/>
    <xf numFmtId="0" fontId="0" fillId="0" borderId="0" xfId="0" applyFont="1" applyFill="1" applyBorder="1"/>
    <xf numFmtId="0" fontId="8" fillId="4" borderId="17" xfId="0" applyFont="1" applyFill="1" applyBorder="1" applyAlignment="1">
      <alignment vertical="center"/>
    </xf>
    <xf numFmtId="0" fontId="8" fillId="4" borderId="17" xfId="0" applyFont="1" applyFill="1" applyBorder="1" applyAlignment="1">
      <alignment horizontal="left" vertical="center"/>
    </xf>
    <xf numFmtId="0" fontId="9" fillId="5" borderId="17" xfId="0" applyFont="1" applyFill="1" applyBorder="1" applyAlignment="1">
      <alignment horizontal="center" vertical="center"/>
    </xf>
    <xf numFmtId="165" fontId="9" fillId="5" borderId="17" xfId="1" applyNumberFormat="1" applyFont="1" applyFill="1" applyBorder="1" applyAlignment="1">
      <alignment horizontal="center" vertical="center"/>
    </xf>
    <xf numFmtId="10" fontId="1" fillId="0" borderId="0" xfId="2" applyNumberFormat="1" applyFont="1" applyFill="1"/>
    <xf numFmtId="14" fontId="0" fillId="0" borderId="0" xfId="1" applyNumberFormat="1" applyFont="1" applyFill="1"/>
    <xf numFmtId="0" fontId="10" fillId="4" borderId="0" xfId="0" applyFont="1" applyFill="1" applyBorder="1" applyAlignment="1">
      <alignment horizontal="center" vertical="center" wrapText="1"/>
    </xf>
    <xf numFmtId="0" fontId="8" fillId="4" borderId="18" xfId="0" applyFont="1" applyFill="1" applyBorder="1" applyAlignment="1">
      <alignment horizontal="left" vertical="center"/>
    </xf>
    <xf numFmtId="0" fontId="8" fillId="4" borderId="19" xfId="0" applyFont="1" applyFill="1" applyBorder="1" applyAlignment="1">
      <alignment horizontal="left" vertical="center"/>
    </xf>
    <xf numFmtId="0" fontId="8" fillId="4" borderId="18" xfId="0" applyFont="1" applyFill="1" applyBorder="1" applyAlignment="1">
      <alignment horizontal="left" vertical="center" wrapText="1"/>
    </xf>
    <xf numFmtId="0" fontId="8" fillId="4" borderId="19" xfId="0" applyFont="1" applyFill="1" applyBorder="1" applyAlignment="1">
      <alignment horizontal="left" vertical="center" wrapText="1"/>
    </xf>
    <xf numFmtId="165" fontId="9" fillId="5" borderId="18" xfId="1" applyNumberFormat="1" applyFont="1" applyFill="1" applyBorder="1" applyAlignment="1">
      <alignment horizontal="right" vertical="center"/>
    </xf>
    <xf numFmtId="165" fontId="9" fillId="5" borderId="19" xfId="1" applyNumberFormat="1" applyFont="1" applyFill="1" applyBorder="1" applyAlignment="1">
      <alignment horizontal="right" vertical="center"/>
    </xf>
    <xf numFmtId="10" fontId="9" fillId="5" borderId="18" xfId="0" applyNumberFormat="1" applyFont="1" applyFill="1" applyBorder="1" applyAlignment="1">
      <alignment horizontal="right" vertical="center"/>
    </xf>
    <xf numFmtId="10" fontId="9" fillId="5" borderId="19" xfId="0" applyNumberFormat="1" applyFont="1" applyFill="1" applyBorder="1" applyAlignment="1">
      <alignment horizontal="right" vertical="center"/>
    </xf>
    <xf numFmtId="166" fontId="9" fillId="5" borderId="17" xfId="0" applyNumberFormat="1" applyFont="1" applyFill="1" applyBorder="1" applyAlignment="1">
      <alignment horizontal="right" vertical="center"/>
    </xf>
    <xf numFmtId="165" fontId="9" fillId="5" borderId="17" xfId="1" applyNumberFormat="1" applyFont="1" applyFill="1" applyBorder="1" applyAlignment="1">
      <alignment horizontal="right" vertical="center"/>
    </xf>
    <xf numFmtId="0" fontId="9" fillId="6" borderId="0" xfId="0" applyFont="1" applyFill="1"/>
    <xf numFmtId="0" fontId="11" fillId="4" borderId="0" xfId="0" applyFont="1" applyFill="1" applyBorder="1" applyAlignment="1">
      <alignment horizontal="center" vertical="center" wrapText="1"/>
    </xf>
    <xf numFmtId="0" fontId="6" fillId="4" borderId="7" xfId="0" applyFont="1" applyFill="1" applyBorder="1" applyAlignment="1">
      <alignment vertical="center" wrapText="1"/>
    </xf>
    <xf numFmtId="0" fontId="6" fillId="4" borderId="8" xfId="0" applyFont="1" applyFill="1" applyBorder="1" applyAlignment="1">
      <alignment wrapText="1"/>
    </xf>
    <xf numFmtId="0" fontId="6" fillId="4" borderId="9" xfId="0" applyFont="1" applyFill="1" applyBorder="1" applyAlignment="1">
      <alignment wrapText="1"/>
    </xf>
    <xf numFmtId="43" fontId="7" fillId="0" borderId="11" xfId="1" applyFont="1" applyFill="1" applyBorder="1" applyAlignment="1">
      <alignment vertical="top"/>
    </xf>
    <xf numFmtId="0" fontId="12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8" fillId="6" borderId="0" xfId="0" applyFont="1" applyFill="1" applyBorder="1"/>
    <xf numFmtId="14" fontId="9" fillId="5" borderId="18" xfId="2" applyNumberFormat="1" applyFont="1" applyFill="1" applyBorder="1" applyAlignment="1">
      <alignment horizontal="right" vertical="center"/>
    </xf>
    <xf numFmtId="14" fontId="9" fillId="5" borderId="19" xfId="2" applyNumberFormat="1" applyFont="1" applyFill="1" applyBorder="1" applyAlignment="1">
      <alignment horizontal="right" vertical="center"/>
    </xf>
    <xf numFmtId="9" fontId="9" fillId="5" borderId="18" xfId="2" applyFont="1" applyFill="1" applyBorder="1" applyAlignment="1">
      <alignment horizontal="right" vertical="center"/>
    </xf>
    <xf numFmtId="9" fontId="9" fillId="5" borderId="19" xfId="2" applyFont="1" applyFill="1" applyBorder="1" applyAlignment="1">
      <alignment horizontal="right" vertical="center"/>
    </xf>
    <xf numFmtId="165" fontId="9" fillId="5" borderId="17" xfId="1" applyNumberFormat="1" applyFont="1" applyFill="1" applyBorder="1" applyAlignment="1">
      <alignment horizontal="left" vertical="center"/>
    </xf>
    <xf numFmtId="165" fontId="13" fillId="5" borderId="18" xfId="1" applyNumberFormat="1" applyFont="1" applyFill="1" applyBorder="1" applyAlignment="1">
      <alignment horizontal="right" vertical="center"/>
    </xf>
    <xf numFmtId="165" fontId="13" fillId="5" borderId="19" xfId="1" applyNumberFormat="1" applyFont="1" applyFill="1" applyBorder="1" applyAlignment="1">
      <alignment horizontal="right" vertical="center"/>
    </xf>
    <xf numFmtId="165" fontId="14" fillId="5" borderId="18" xfId="1" applyNumberFormat="1" applyFont="1" applyFill="1" applyBorder="1" applyAlignment="1">
      <alignment horizontal="center" vertical="center"/>
    </xf>
    <xf numFmtId="165" fontId="14" fillId="5" borderId="19" xfId="1" applyNumberFormat="1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2"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37356410045567"/>
          <c:y val="2.5923618184178723E-2"/>
          <c:w val="0.7975782985219162"/>
          <c:h val="0.72568759360068469"/>
        </c:manualLayout>
      </c:layout>
      <c:lineChart>
        <c:grouping val="standard"/>
        <c:varyColors val="0"/>
        <c:ser>
          <c:idx val="5"/>
          <c:order val="0"/>
          <c:tx>
            <c:strRef>
              <c:f>'Projections Data'!$F$9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'Projections Data'!$G$3:$KU$3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'Projections Data'!$G$10:$KU$10</c:f>
              <c:numCache>
                <c:formatCode>_-* #,##0_-;\-* #,##0_-;_-* "-"??_-;_-@_-</c:formatCode>
                <c:ptCount val="301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803</c:v>
                </c:pt>
                <c:pt idx="9">
                  <c:v>1145</c:v>
                </c:pt>
                <c:pt idx="10">
                  <c:v>1355</c:v>
                </c:pt>
                <c:pt idx="11">
                  <c:v>1552</c:v>
                </c:pt>
                <c:pt idx="12">
                  <c:v>1844</c:v>
                </c:pt>
                <c:pt idx="13">
                  <c:v>2462</c:v>
                </c:pt>
                <c:pt idx="14">
                  <c:v>2681.6000000000004</c:v>
                </c:pt>
                <c:pt idx="15">
                  <c:v>2903.4600000000005</c:v>
                </c:pt>
                <c:pt idx="16">
                  <c:v>3173.206000000001</c:v>
                </c:pt>
                <c:pt idx="17">
                  <c:v>3460.7266000000013</c:v>
                </c:pt>
                <c:pt idx="18">
                  <c:v>3770.1992600000021</c:v>
                </c:pt>
                <c:pt idx="19">
                  <c:v>4062.1191860000026</c:v>
                </c:pt>
                <c:pt idx="20">
                  <c:v>4314.3311046000035</c:v>
                </c:pt>
                <c:pt idx="21">
                  <c:v>4484.0642150600042</c:v>
                </c:pt>
                <c:pt idx="22">
                  <c:v>4836.9706365660049</c:v>
                </c:pt>
                <c:pt idx="23">
                  <c:v>5259.1677002226061</c:v>
                </c:pt>
                <c:pt idx="24">
                  <c:v>5532.2844702448674</c:v>
                </c:pt>
                <c:pt idx="25">
                  <c:v>5615.5129172693541</c:v>
                </c:pt>
                <c:pt idx="26">
                  <c:v>6177.0642089962894</c:v>
                </c:pt>
                <c:pt idx="27">
                  <c:v>6794.7706298959183</c:v>
                </c:pt>
                <c:pt idx="28">
                  <c:v>7474.2476928855112</c:v>
                </c:pt>
                <c:pt idx="29">
                  <c:v>8221.6724621740632</c:v>
                </c:pt>
                <c:pt idx="30">
                  <c:v>9043.8397083914715</c:v>
                </c:pt>
                <c:pt idx="31">
                  <c:v>9948.2236792306176</c:v>
                </c:pt>
                <c:pt idx="32">
                  <c:v>10943.046047153681</c:v>
                </c:pt>
                <c:pt idx="33">
                  <c:v>12037.350651869052</c:v>
                </c:pt>
                <c:pt idx="34">
                  <c:v>13241.085717055958</c:v>
                </c:pt>
                <c:pt idx="35">
                  <c:v>14565.194288761555</c:v>
                </c:pt>
                <c:pt idx="36">
                  <c:v>16021.713717637711</c:v>
                </c:pt>
                <c:pt idx="37">
                  <c:v>17623.885089401483</c:v>
                </c:pt>
                <c:pt idx="38">
                  <c:v>19386.273598341635</c:v>
                </c:pt>
                <c:pt idx="39">
                  <c:v>21324.900958175804</c:v>
                </c:pt>
                <c:pt idx="40">
                  <c:v>23457.391053993382</c:v>
                </c:pt>
                <c:pt idx="41">
                  <c:v>25803.13015939272</c:v>
                </c:pt>
                <c:pt idx="42">
                  <c:v>28383.443175331999</c:v>
                </c:pt>
                <c:pt idx="43">
                  <c:v>31221.787492865198</c:v>
                </c:pt>
                <c:pt idx="44">
                  <c:v>34343.966242151728</c:v>
                </c:pt>
                <c:pt idx="45">
                  <c:v>37778.362866366893</c:v>
                </c:pt>
                <c:pt idx="46">
                  <c:v>41556.199153003588</c:v>
                </c:pt>
                <c:pt idx="47">
                  <c:v>45711.819068303943</c:v>
                </c:pt>
                <c:pt idx="48">
                  <c:v>50283.000975134346</c:v>
                </c:pt>
                <c:pt idx="49">
                  <c:v>55311.301072647788</c:v>
                </c:pt>
                <c:pt idx="50">
                  <c:v>60842.431179912564</c:v>
                </c:pt>
                <c:pt idx="51">
                  <c:v>66926.674297903839</c:v>
                </c:pt>
                <c:pt idx="52">
                  <c:v>73619.34172769422</c:v>
                </c:pt>
                <c:pt idx="53">
                  <c:v>80981.275900463646</c:v>
                </c:pt>
                <c:pt idx="54">
                  <c:v>89079.403490510012</c:v>
                </c:pt>
                <c:pt idx="55">
                  <c:v>97987.343839561028</c:v>
                </c:pt>
                <c:pt idx="56">
                  <c:v>107786.07822351714</c:v>
                </c:pt>
                <c:pt idx="57">
                  <c:v>118564.68604586885</c:v>
                </c:pt>
                <c:pt idx="58">
                  <c:v>130421.15465045575</c:v>
                </c:pt>
                <c:pt idx="59">
                  <c:v>143463.27011550133</c:v>
                </c:pt>
                <c:pt idx="60">
                  <c:v>157809.5971270515</c:v>
                </c:pt>
                <c:pt idx="61">
                  <c:v>173590.55683975667</c:v>
                </c:pt>
                <c:pt idx="62">
                  <c:v>190949.61252373236</c:v>
                </c:pt>
                <c:pt idx="63">
                  <c:v>210044.57377610559</c:v>
                </c:pt>
                <c:pt idx="64">
                  <c:v>231049.03115371615</c:v>
                </c:pt>
                <c:pt idx="65">
                  <c:v>254153.9342690878</c:v>
                </c:pt>
                <c:pt idx="66">
                  <c:v>279569.32769599662</c:v>
                </c:pt>
                <c:pt idx="67">
                  <c:v>307526.26046559628</c:v>
                </c:pt>
                <c:pt idx="68">
                  <c:v>338278.88651215594</c:v>
                </c:pt>
                <c:pt idx="69">
                  <c:v>372106.77516337158</c:v>
                </c:pt>
                <c:pt idx="70">
                  <c:v>409317.45267970883</c:v>
                </c:pt>
                <c:pt idx="71">
                  <c:v>450249.19794767979</c:v>
                </c:pt>
                <c:pt idx="72">
                  <c:v>495274.11774244782</c:v>
                </c:pt>
                <c:pt idx="73">
                  <c:v>544801.52951669274</c:v>
                </c:pt>
                <c:pt idx="74">
                  <c:v>599281.68246836204</c:v>
                </c:pt>
                <c:pt idx="75">
                  <c:v>659209.85071519832</c:v>
                </c:pt>
                <c:pt idx="76">
                  <c:v>725130.83578671818</c:v>
                </c:pt>
                <c:pt idx="77">
                  <c:v>797643.91936538997</c:v>
                </c:pt>
                <c:pt idx="78">
                  <c:v>877408.31130192906</c:v>
                </c:pt>
                <c:pt idx="79">
                  <c:v>965149.14243212203</c:v>
                </c:pt>
                <c:pt idx="80">
                  <c:v>1061664.0566753345</c:v>
                </c:pt>
                <c:pt idx="81">
                  <c:v>1167830.4623428676</c:v>
                </c:pt>
                <c:pt idx="82">
                  <c:v>1284613.5085771545</c:v>
                </c:pt>
                <c:pt idx="83">
                  <c:v>1413074.8594348701</c:v>
                </c:pt>
                <c:pt idx="84">
                  <c:v>1554382.345378357</c:v>
                </c:pt>
                <c:pt idx="85">
                  <c:v>1709820.5799161931</c:v>
                </c:pt>
                <c:pt idx="86">
                  <c:v>1880802.6379078124</c:v>
                </c:pt>
                <c:pt idx="87">
                  <c:v>2068882.9016985937</c:v>
                </c:pt>
                <c:pt idx="88">
                  <c:v>2275771.1918684533</c:v>
                </c:pt>
                <c:pt idx="89">
                  <c:v>2503348.3110552989</c:v>
                </c:pt>
                <c:pt idx="90">
                  <c:v>2753683.1421608287</c:v>
                </c:pt>
                <c:pt idx="91">
                  <c:v>3029051.4563769121</c:v>
                </c:pt>
                <c:pt idx="92">
                  <c:v>3331956.6020146036</c:v>
                </c:pt>
                <c:pt idx="93">
                  <c:v>3665152.2622160641</c:v>
                </c:pt>
                <c:pt idx="94">
                  <c:v>4031667.4884376707</c:v>
                </c:pt>
                <c:pt idx="95">
                  <c:v>4434834.237281438</c:v>
                </c:pt>
                <c:pt idx="96">
                  <c:v>4878317.6610095818</c:v>
                </c:pt>
                <c:pt idx="97">
                  <c:v>5366149.4271105407</c:v>
                </c:pt>
                <c:pt idx="98">
                  <c:v>5902764.369821596</c:v>
                </c:pt>
                <c:pt idx="99">
                  <c:v>6493040.8068037564</c:v>
                </c:pt>
                <c:pt idx="100">
                  <c:v>7142344.8874841332</c:v>
                </c:pt>
                <c:pt idx="101">
                  <c:v>7856579.3762325477</c:v>
                </c:pt>
                <c:pt idx="102">
                  <c:v>8642237.3138558045</c:v>
                </c:pt>
                <c:pt idx="103">
                  <c:v>9506461.0452413838</c:v>
                </c:pt>
                <c:pt idx="104">
                  <c:v>10457107.149765521</c:v>
                </c:pt>
                <c:pt idx="105">
                  <c:v>11502817.864742074</c:v>
                </c:pt>
                <c:pt idx="106">
                  <c:v>12653099.651216282</c:v>
                </c:pt>
                <c:pt idx="107">
                  <c:v>13918409.616337912</c:v>
                </c:pt>
                <c:pt idx="108">
                  <c:v>15310250.577971706</c:v>
                </c:pt>
                <c:pt idx="109">
                  <c:v>16841275.635768879</c:v>
                </c:pt>
                <c:pt idx="110">
                  <c:v>18491311.728291251</c:v>
                </c:pt>
                <c:pt idx="111">
                  <c:v>17625002.461120375</c:v>
                </c:pt>
                <c:pt idx="112">
                  <c:v>16672062.267232409</c:v>
                </c:pt>
                <c:pt idx="113">
                  <c:v>15623828.053955648</c:v>
                </c:pt>
                <c:pt idx="114">
                  <c:v>14470770.419351211</c:v>
                </c:pt>
                <c:pt idx="115">
                  <c:v>13202407.021286331</c:v>
                </c:pt>
                <c:pt idx="116">
                  <c:v>11807207.283414964</c:v>
                </c:pt>
                <c:pt idx="117">
                  <c:v>10272487.57175646</c:v>
                </c:pt>
                <c:pt idx="118">
                  <c:v>8584295.8889321052</c:v>
                </c:pt>
                <c:pt idx="119">
                  <c:v>6727285.0378253125</c:v>
                </c:pt>
                <c:pt idx="120">
                  <c:v>4684573.1016078405</c:v>
                </c:pt>
                <c:pt idx="121">
                  <c:v>2437589.9717686214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675-4CE9-A73F-2C5A11769A81}"/>
            </c:ext>
          </c:extLst>
        </c:ser>
        <c:ser>
          <c:idx val="2"/>
          <c:order val="1"/>
          <c:tx>
            <c:strRef>
              <c:f>'Projections Data'!$F$11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2225" cap="rnd">
              <a:solidFill>
                <a:srgbClr val="FFC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'Projections Data'!$G$3:$KU$3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'Projections Data'!$G$12:$KU$12</c:f>
              <c:numCache>
                <c:formatCode>_-* #,##0_-;\-* #,##0_-;_-* "-"??_-;_-@_-</c:formatCode>
                <c:ptCount val="301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803</c:v>
                </c:pt>
                <c:pt idx="9">
                  <c:v>1145</c:v>
                </c:pt>
                <c:pt idx="10">
                  <c:v>1355</c:v>
                </c:pt>
                <c:pt idx="11">
                  <c:v>1552</c:v>
                </c:pt>
                <c:pt idx="12">
                  <c:v>1844</c:v>
                </c:pt>
                <c:pt idx="13">
                  <c:v>2462</c:v>
                </c:pt>
                <c:pt idx="14">
                  <c:v>3075.5</c:v>
                </c:pt>
                <c:pt idx="15">
                  <c:v>3829.125</c:v>
                </c:pt>
                <c:pt idx="16">
                  <c:v>4806.90625</c:v>
                </c:pt>
                <c:pt idx="17">
                  <c:v>6027.1328125</c:v>
                </c:pt>
                <c:pt idx="18">
                  <c:v>7554.916015625</c:v>
                </c:pt>
                <c:pt idx="19">
                  <c:v>9427.39501953125</c:v>
                </c:pt>
                <c:pt idx="20">
                  <c:v>11718.743774414063</c:v>
                </c:pt>
                <c:pt idx="21">
                  <c:v>14507.179718017578</c:v>
                </c:pt>
                <c:pt idx="22">
                  <c:v>18210.224647521973</c:v>
                </c:pt>
                <c:pt idx="23">
                  <c:v>22904.530809402466</c:v>
                </c:pt>
                <c:pt idx="24">
                  <c:v>28610.663511753082</c:v>
                </c:pt>
                <c:pt idx="25">
                  <c:v>35587.329389691353</c:v>
                </c:pt>
                <c:pt idx="26">
                  <c:v>44484.161737114191</c:v>
                </c:pt>
                <c:pt idx="27">
                  <c:v>55605.202171392739</c:v>
                </c:pt>
                <c:pt idx="28">
                  <c:v>69506.502714240924</c:v>
                </c:pt>
                <c:pt idx="29">
                  <c:v>86883.128392801154</c:v>
                </c:pt>
                <c:pt idx="30">
                  <c:v>108603.91049100144</c:v>
                </c:pt>
                <c:pt idx="31">
                  <c:v>135754.8881137518</c:v>
                </c:pt>
                <c:pt idx="32">
                  <c:v>169693.61014218975</c:v>
                </c:pt>
                <c:pt idx="33">
                  <c:v>212117.01267773719</c:v>
                </c:pt>
                <c:pt idx="34">
                  <c:v>265146.26584717148</c:v>
                </c:pt>
                <c:pt idx="35">
                  <c:v>331432.83230896434</c:v>
                </c:pt>
                <c:pt idx="36">
                  <c:v>414291.04038620542</c:v>
                </c:pt>
                <c:pt idx="37">
                  <c:v>517863.80048275681</c:v>
                </c:pt>
                <c:pt idx="38">
                  <c:v>647329.75060344604</c:v>
                </c:pt>
                <c:pt idx="39">
                  <c:v>809162.18825430749</c:v>
                </c:pt>
                <c:pt idx="40">
                  <c:v>1011452.7353178845</c:v>
                </c:pt>
                <c:pt idx="41">
                  <c:v>1264315.9191473555</c:v>
                </c:pt>
                <c:pt idx="42">
                  <c:v>1580394.8989341944</c:v>
                </c:pt>
                <c:pt idx="43">
                  <c:v>1975493.6236677428</c:v>
                </c:pt>
                <c:pt idx="44">
                  <c:v>2469367.0295846788</c:v>
                </c:pt>
                <c:pt idx="45">
                  <c:v>3086708.7869808483</c:v>
                </c:pt>
                <c:pt idx="46">
                  <c:v>3858385.98372606</c:v>
                </c:pt>
                <c:pt idx="47">
                  <c:v>4822982.4796575755</c:v>
                </c:pt>
                <c:pt idx="48">
                  <c:v>6028728.0995719684</c:v>
                </c:pt>
                <c:pt idx="49">
                  <c:v>7535910.1244649608</c:v>
                </c:pt>
                <c:pt idx="50">
                  <c:v>9419887.6555812005</c:v>
                </c:pt>
                <c:pt idx="51">
                  <c:v>11774859.5694765</c:v>
                </c:pt>
                <c:pt idx="52">
                  <c:v>14718574.461845625</c:v>
                </c:pt>
                <c:pt idx="53">
                  <c:v>18398218.077307031</c:v>
                </c:pt>
                <c:pt idx="54">
                  <c:v>22997772.596633792</c:v>
                </c:pt>
                <c:pt idx="55">
                  <c:v>25033138.493198976</c:v>
                </c:pt>
                <c:pt idx="56">
                  <c:v>24502822.016498718</c:v>
                </c:pt>
                <c:pt idx="57">
                  <c:v>23839926.420623399</c:v>
                </c:pt>
                <c:pt idx="58">
                  <c:v>23011306.92577925</c:v>
                </c:pt>
                <c:pt idx="59">
                  <c:v>21975532.557224061</c:v>
                </c:pt>
                <c:pt idx="60">
                  <c:v>20680814.596530076</c:v>
                </c:pt>
                <c:pt idx="61">
                  <c:v>19062417.145662595</c:v>
                </c:pt>
                <c:pt idx="62">
                  <c:v>17039420.332078241</c:v>
                </c:pt>
                <c:pt idx="63">
                  <c:v>14510674.315097801</c:v>
                </c:pt>
                <c:pt idx="64">
                  <c:v>11349741.793872252</c:v>
                </c:pt>
                <c:pt idx="65">
                  <c:v>7398576.1423403136</c:v>
                </c:pt>
                <c:pt idx="66">
                  <c:v>2459619.0779253915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75-4CE9-A73F-2C5A11769A81}"/>
            </c:ext>
          </c:extLst>
        </c:ser>
        <c:ser>
          <c:idx val="4"/>
          <c:order val="2"/>
          <c:tx>
            <c:strRef>
              <c:f>'Projections Data'!$F$15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'Projections Data'!$G$3:$KU$3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'Projections Data'!$G$16:$KU$16</c:f>
              <c:numCache>
                <c:formatCode>_-* #,##0_-;\-* #,##0_-;_-* "-"??_-;_-@_-</c:formatCode>
                <c:ptCount val="301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803</c:v>
                </c:pt>
                <c:pt idx="9">
                  <c:v>1145</c:v>
                </c:pt>
                <c:pt idx="10">
                  <c:v>1355</c:v>
                </c:pt>
                <c:pt idx="11">
                  <c:v>1552</c:v>
                </c:pt>
                <c:pt idx="12">
                  <c:v>1844</c:v>
                </c:pt>
                <c:pt idx="13">
                  <c:v>2462</c:v>
                </c:pt>
                <c:pt idx="14">
                  <c:v>3469.3999999999996</c:v>
                </c:pt>
                <c:pt idx="15">
                  <c:v>4872.9599999999991</c:v>
                </c:pt>
                <c:pt idx="16">
                  <c:v>6883.7439999999979</c:v>
                </c:pt>
                <c:pt idx="17">
                  <c:v>9704.0415999999968</c:v>
                </c:pt>
                <c:pt idx="18">
                  <c:v>13664.258239999996</c:v>
                </c:pt>
                <c:pt idx="19">
                  <c:v>19182.561535999994</c:v>
                </c:pt>
                <c:pt idx="20">
                  <c:v>26878.586150399991</c:v>
                </c:pt>
                <c:pt idx="21">
                  <c:v>37609.220610559983</c:v>
                </c:pt>
                <c:pt idx="22">
                  <c:v>52900.908854783971</c:v>
                </c:pt>
                <c:pt idx="23">
                  <c:v>74406.272396697561</c:v>
                </c:pt>
                <c:pt idx="24">
                  <c:v>104381.58135537658</c:v>
                </c:pt>
                <c:pt idx="25">
                  <c:v>146252.2138975272</c:v>
                </c:pt>
                <c:pt idx="26">
                  <c:v>204753.09945653807</c:v>
                </c:pt>
                <c:pt idx="27">
                  <c:v>286654.33923915325</c:v>
                </c:pt>
                <c:pt idx="28">
                  <c:v>401316.07493481453</c:v>
                </c:pt>
                <c:pt idx="29">
                  <c:v>561842.50490874029</c:v>
                </c:pt>
                <c:pt idx="30">
                  <c:v>786579.50687223638</c:v>
                </c:pt>
                <c:pt idx="31">
                  <c:v>1101211.309621131</c:v>
                </c:pt>
                <c:pt idx="32">
                  <c:v>1541695.8334695832</c:v>
                </c:pt>
                <c:pt idx="33">
                  <c:v>2158374.1668574167</c:v>
                </c:pt>
                <c:pt idx="34">
                  <c:v>3021723.8336003833</c:v>
                </c:pt>
                <c:pt idx="35">
                  <c:v>4230413.3670405364</c:v>
                </c:pt>
                <c:pt idx="36">
                  <c:v>5922578.7138567511</c:v>
                </c:pt>
                <c:pt idx="37">
                  <c:v>8291610.1993994499</c:v>
                </c:pt>
                <c:pt idx="38">
                  <c:v>11608254.279159229</c:v>
                </c:pt>
                <c:pt idx="39">
                  <c:v>16251555.990822921</c:v>
                </c:pt>
                <c:pt idx="40">
                  <c:v>22752178.387152087</c:v>
                </c:pt>
                <c:pt idx="41">
                  <c:v>26582473.853491262</c:v>
                </c:pt>
                <c:pt idx="42">
                  <c:v>26353701.634887766</c:v>
                </c:pt>
                <c:pt idx="43">
                  <c:v>26033420.52884287</c:v>
                </c:pt>
                <c:pt idx="44">
                  <c:v>25585026.980380017</c:v>
                </c:pt>
                <c:pt idx="45">
                  <c:v>24957276.012532026</c:v>
                </c:pt>
                <c:pt idx="46">
                  <c:v>24078424.657544836</c:v>
                </c:pt>
                <c:pt idx="47">
                  <c:v>22848032.76056277</c:v>
                </c:pt>
                <c:pt idx="48">
                  <c:v>21125484.104787875</c:v>
                </c:pt>
                <c:pt idx="49">
                  <c:v>18713915.986703023</c:v>
                </c:pt>
                <c:pt idx="50">
                  <c:v>15337720.621384235</c:v>
                </c:pt>
                <c:pt idx="51">
                  <c:v>10611047.109937929</c:v>
                </c:pt>
                <c:pt idx="52">
                  <c:v>3993704.1939131021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675-4CE9-A73F-2C5A11769A81}"/>
            </c:ext>
          </c:extLst>
        </c:ser>
        <c:ser>
          <c:idx val="1"/>
          <c:order val="3"/>
          <c:tx>
            <c:strRef>
              <c:f>'Projections Data'!$F$6</c:f>
              <c:strCache>
                <c:ptCount val="1"/>
                <c:pt idx="0">
                  <c:v>Current Avg (27%)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'Projections Data'!$G$3:$KU$3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'Projections Data'!$G$7:$KU$7</c:f>
              <c:numCache>
                <c:formatCode>_-* #,##0_-;\-* #,##0_-;_-* "-"??_-;_-@_-</c:formatCode>
                <c:ptCount val="301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803</c:v>
                </c:pt>
                <c:pt idx="9">
                  <c:v>1145</c:v>
                </c:pt>
                <c:pt idx="10">
                  <c:v>1355</c:v>
                </c:pt>
                <c:pt idx="11">
                  <c:v>1552</c:v>
                </c:pt>
                <c:pt idx="12">
                  <c:v>1844</c:v>
                </c:pt>
                <c:pt idx="13">
                  <c:v>2462</c:v>
                </c:pt>
                <c:pt idx="14">
                  <c:v>3121.2087423831099</c:v>
                </c:pt>
                <c:pt idx="15">
                  <c:v>3944.1924725344106</c:v>
                </c:pt>
                <c:pt idx="16">
                  <c:v>5024.1633907630048</c:v>
                </c:pt>
                <c:pt idx="17">
                  <c:v>6391.7607522261851</c:v>
                </c:pt>
                <c:pt idx="18">
                  <c:v>8128.6413449564152</c:v>
                </c:pt>
                <c:pt idx="19">
                  <c:v>10294.030084057345</c:v>
                </c:pt>
                <c:pt idx="20">
                  <c:v>12991.487463107551</c:v>
                </c:pt>
                <c:pt idx="21">
                  <c:v>16338.219257962206</c:v>
                </c:pt>
                <c:pt idx="22">
                  <c:v>20803.340890841799</c:v>
                </c:pt>
                <c:pt idx="23">
                  <c:v>26531.619143033062</c:v>
                </c:pt>
                <c:pt idx="24">
                  <c:v>33633.353674638347</c:v>
                </c:pt>
                <c:pt idx="25">
                  <c:v>42485.237955318102</c:v>
                </c:pt>
                <c:pt idx="26">
                  <c:v>53846.054982908005</c:v>
                </c:pt>
                <c:pt idx="27">
                  <c:v>68244.825185436421</c:v>
                </c:pt>
                <c:pt idx="28">
                  <c:v>86493.916147972792</c:v>
                </c:pt>
                <c:pt idx="29">
                  <c:v>109622.92760344048</c:v>
                </c:pt>
                <c:pt idx="30">
                  <c:v>138936.78066085352</c:v>
                </c:pt>
                <c:pt idx="31">
                  <c:v>176089.34045469051</c:v>
                </c:pt>
                <c:pt idx="32">
                  <c:v>223176.72594888677</c:v>
                </c:pt>
                <c:pt idx="33">
                  <c:v>282855.57136310911</c:v>
                </c:pt>
                <c:pt idx="34">
                  <c:v>358492.91144039197</c:v>
                </c:pt>
                <c:pt idx="35">
                  <c:v>454356.14696812129</c:v>
                </c:pt>
                <c:pt idx="36">
                  <c:v>575853.80826154095</c:v>
                </c:pt>
                <c:pt idx="37">
                  <c:v>729840.700301092</c:v>
                </c:pt>
                <c:pt idx="38">
                  <c:v>925004.6455784865</c:v>
                </c:pt>
                <c:pt idx="39">
                  <c:v>1172356.644386637</c:v>
                </c:pt>
                <c:pt idx="40">
                  <c:v>1485852.1070215276</c:v>
                </c:pt>
                <c:pt idx="41">
                  <c:v>1883178.2073409797</c:v>
                </c:pt>
                <c:pt idx="42">
                  <c:v>2386751.7795649664</c:v>
                </c:pt>
                <c:pt idx="43">
                  <c:v>3024984.0588905429</c:v>
                </c:pt>
                <c:pt idx="44">
                  <c:v>3833883.6216180692</c:v>
                </c:pt>
                <c:pt idx="45">
                  <c:v>4859087.9614427555</c:v>
                </c:pt>
                <c:pt idx="46">
                  <c:v>6158438.3218896808</c:v>
                </c:pt>
                <c:pt idx="47">
                  <c:v>7805243.0549658816</c:v>
                </c:pt>
                <c:pt idx="48">
                  <c:v>9892413.6222248673</c:v>
                </c:pt>
                <c:pt idx="49">
                  <c:v>12537706.588255357</c:v>
                </c:pt>
                <c:pt idx="50">
                  <c:v>15890367.355851408</c:v>
                </c:pt>
                <c:pt idx="51">
                  <c:v>20139550.47731296</c:v>
                </c:pt>
                <c:pt idx="52">
                  <c:v>25524991.6093903</c:v>
                </c:pt>
                <c:pt idx="53">
                  <c:v>25154827.504303355</c:v>
                </c:pt>
                <c:pt idx="54">
                  <c:v>24620128.198429227</c:v>
                </c:pt>
                <c:pt idx="55">
                  <c:v>23942446.970570713</c:v>
                </c:pt>
                <c:pt idx="56">
                  <c:v>23083549.564969938</c:v>
                </c:pt>
                <c:pt idx="57">
                  <c:v>21994977.647936177</c:v>
                </c:pt>
                <c:pt idx="58">
                  <c:v>20615314.825779088</c:v>
                </c:pt>
                <c:pt idx="59">
                  <c:v>18866721.578922965</c:v>
                </c:pt>
                <c:pt idx="60">
                  <c:v>16650543.615838956</c:v>
                </c:pt>
                <c:pt idx="61">
                  <c:v>13841745.873488234</c:v>
                </c:pt>
                <c:pt idx="62">
                  <c:v>10281858.134844817</c:v>
                </c:pt>
                <c:pt idx="63">
                  <c:v>5770034.2606424354</c:v>
                </c:pt>
                <c:pt idx="64">
                  <c:v>51720.604049440473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675-4CE9-A73F-2C5A11769A81}"/>
            </c:ext>
          </c:extLst>
        </c:ser>
        <c:ser>
          <c:idx val="0"/>
          <c:order val="4"/>
          <c:tx>
            <c:strRef>
              <c:f>'Projections Data'!$F$7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'Projections Data'!$G$3:$KU$3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'Projections Data'!$G$8:$KU$8</c:f>
              <c:numCache>
                <c:formatCode>_-* #,##0_-;\-* #,##0_-;_-* "-"??_-;_-@_-</c:formatCode>
                <c:ptCount val="301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803</c:v>
                </c:pt>
                <c:pt idx="9">
                  <c:v>1145</c:v>
                </c:pt>
                <c:pt idx="10">
                  <c:v>1355</c:v>
                </c:pt>
                <c:pt idx="11">
                  <c:v>1552</c:v>
                </c:pt>
                <c:pt idx="12">
                  <c:v>1844</c:v>
                </c:pt>
                <c:pt idx="13">
                  <c:v>2462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675-4CE9-A73F-2C5A11769A81}"/>
            </c:ext>
          </c:extLst>
        </c:ser>
        <c:ser>
          <c:idx val="7"/>
          <c:order val="6"/>
          <c:tx>
            <c:strRef>
              <c:f>'Projections Data'!$F$27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175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'Projections Data'!$G$3:$KU$3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'Projections Data'!$G$27:$IN$27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1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E-4857-A39F-FEB1B1D8DA2B}"/>
            </c:ext>
          </c:extLst>
        </c:ser>
        <c:ser>
          <c:idx val="6"/>
          <c:order val="7"/>
          <c:tx>
            <c:strRef>
              <c:f>'Projections Data'!$F$26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175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'Projections Data'!$G$3:$KU$3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'Projections Data'!$G$26:$IN$26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1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E-4857-A39F-FEB1B1D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600224"/>
        <c:axId val="1363512368"/>
      </c:lineChart>
      <c:lineChart>
        <c:grouping val="standard"/>
        <c:varyColors val="0"/>
        <c:ser>
          <c:idx val="3"/>
          <c:order val="5"/>
          <c:tx>
            <c:strRef>
              <c:f>'Projections Data'!$F$25</c:f>
              <c:strCache>
                <c:ptCount val="1"/>
                <c:pt idx="0">
                  <c:v>Rate of increase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'Projections Data'!$G$3:$KU$3</c:f>
              <c:numCache>
                <c:formatCode>m/d/yyyy</c:formatCode>
                <c:ptCount val="301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'Projections Data'!$G$25:$IN$25</c:f>
              <c:numCache>
                <c:formatCode>0.00%</c:formatCode>
                <c:ptCount val="242"/>
                <c:pt idx="0">
                  <c:v>0.4137931034482758</c:v>
                </c:pt>
                <c:pt idx="1">
                  <c:v>0.4137931034482758</c:v>
                </c:pt>
                <c:pt idx="2">
                  <c:v>0.33584533484258183</c:v>
                </c:pt>
                <c:pt idx="3">
                  <c:v>0.33177499932927024</c:v>
                </c:pt>
                <c:pt idx="4">
                  <c:v>0.29077180589770335</c:v>
                </c:pt>
                <c:pt idx="5">
                  <c:v>0.27049993459236288</c:v>
                </c:pt>
                <c:pt idx="6">
                  <c:v>0.22855263432816053</c:v>
                </c:pt>
                <c:pt idx="7">
                  <c:v>0.23303763733800897</c:v>
                </c:pt>
                <c:pt idx="8">
                  <c:v>0.23991809065496095</c:v>
                </c:pt>
                <c:pt idx="9">
                  <c:v>0.28881304427908683</c:v>
                </c:pt>
                <c:pt idx="10">
                  <c:v>0.28683129505090266</c:v>
                </c:pt>
                <c:pt idx="11">
                  <c:v>0.27589755817338668</c:v>
                </c:pt>
                <c:pt idx="12">
                  <c:v>0.27139591569100419</c:v>
                </c:pt>
                <c:pt idx="13">
                  <c:v>0.26740622329897556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0E-4857-A39F-FEB1B1D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0252687"/>
        <c:axId val="313398847"/>
      </c:lineChart>
      <c:dateAx>
        <c:axId val="1216600224"/>
        <c:scaling>
          <c:orientation val="minMax"/>
          <c:max val="43913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363512368"/>
        <c:crosses val="autoZero"/>
        <c:auto val="0"/>
        <c:lblOffset val="100"/>
        <c:baseTimeUnit val="days"/>
      </c:dateAx>
      <c:valAx>
        <c:axId val="1363512368"/>
        <c:scaling>
          <c:orientation val="minMax"/>
          <c:max val="8278.295846980616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Number of cases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216600224"/>
        <c:crosses val="autoZero"/>
        <c:crossBetween val="midCat"/>
      </c:valAx>
      <c:valAx>
        <c:axId val="31339884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Rate of increase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0252687"/>
        <c:crosses val="max"/>
        <c:crossBetween val="between"/>
      </c:valAx>
      <c:dateAx>
        <c:axId val="250252687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13398847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7336570406812253"/>
          <c:w val="1"/>
          <c:h val="0.12663429766800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15975842354885"/>
          <c:y val="3.4617722360402912E-2"/>
          <c:w val="0.8552333486015079"/>
          <c:h val="0.78537918982808697"/>
        </c:manualLayout>
      </c:layout>
      <c:lineChart>
        <c:grouping val="standard"/>
        <c:varyColors val="0"/>
        <c:ser>
          <c:idx val="0"/>
          <c:order val="0"/>
          <c:tx>
            <c:strRef>
              <c:f>'Projections Data'!$F$17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'Projections Data'!$G$3:$IN$3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'Projections Data'!$G$17:$IN$17</c:f>
              <c:numCache>
                <c:formatCode>_-* #,##0_-;\-* #,##0_-;_-* "-"??_-;_-@_-</c:formatCode>
                <c:ptCount val="242"/>
                <c:pt idx="0">
                  <c:v>4480.4767259999999</c:v>
                </c:pt>
                <c:pt idx="1">
                  <c:v>4480.4767259999999</c:v>
                </c:pt>
                <c:pt idx="2">
                  <c:v>4480.4767259999999</c:v>
                </c:pt>
                <c:pt idx="3">
                  <c:v>4480.4767259999999</c:v>
                </c:pt>
                <c:pt idx="4">
                  <c:v>4480.4767259999999</c:v>
                </c:pt>
                <c:pt idx="5">
                  <c:v>4480.4767259999999</c:v>
                </c:pt>
                <c:pt idx="6">
                  <c:v>4480.4767259999999</c:v>
                </c:pt>
                <c:pt idx="7">
                  <c:v>4480.4767259999999</c:v>
                </c:pt>
                <c:pt idx="8">
                  <c:v>4480.4767259999999</c:v>
                </c:pt>
                <c:pt idx="9">
                  <c:v>4480.4767259999999</c:v>
                </c:pt>
                <c:pt idx="10">
                  <c:v>4480.4767259999999</c:v>
                </c:pt>
                <c:pt idx="11">
                  <c:v>4480.4767259999999</c:v>
                </c:pt>
                <c:pt idx="12">
                  <c:v>4480.4767259999999</c:v>
                </c:pt>
                <c:pt idx="13">
                  <c:v>4480.4767259999999</c:v>
                </c:pt>
                <c:pt idx="14">
                  <c:v>4480.4767259999999</c:v>
                </c:pt>
                <c:pt idx="15">
                  <c:v>4480.4767259999999</c:v>
                </c:pt>
                <c:pt idx="16">
                  <c:v>4480.4767259999999</c:v>
                </c:pt>
                <c:pt idx="17">
                  <c:v>4480.4767259999999</c:v>
                </c:pt>
                <c:pt idx="18">
                  <c:v>4480.4767259999999</c:v>
                </c:pt>
                <c:pt idx="19">
                  <c:v>4480.4767259999999</c:v>
                </c:pt>
                <c:pt idx="20">
                  <c:v>4480.4767259999999</c:v>
                </c:pt>
                <c:pt idx="21">
                  <c:v>4480.4767259999999</c:v>
                </c:pt>
                <c:pt idx="22">
                  <c:v>4480.4767259999999</c:v>
                </c:pt>
                <c:pt idx="23">
                  <c:v>4480.4767259999999</c:v>
                </c:pt>
                <c:pt idx="24">
                  <c:v>4480.4767259999999</c:v>
                </c:pt>
                <c:pt idx="25">
                  <c:v>4480.4767259999999</c:v>
                </c:pt>
                <c:pt idx="26">
                  <c:v>4480.4767259999999</c:v>
                </c:pt>
                <c:pt idx="27">
                  <c:v>4480.4767259999999</c:v>
                </c:pt>
                <c:pt idx="28">
                  <c:v>4480.4767259999999</c:v>
                </c:pt>
                <c:pt idx="29">
                  <c:v>4480.4767259999999</c:v>
                </c:pt>
                <c:pt idx="30">
                  <c:v>4480.4767259999999</c:v>
                </c:pt>
                <c:pt idx="31">
                  <c:v>4480.4767259999999</c:v>
                </c:pt>
                <c:pt idx="32">
                  <c:v>4480.4767259999999</c:v>
                </c:pt>
                <c:pt idx="33">
                  <c:v>4480.4767259999999</c:v>
                </c:pt>
                <c:pt idx="34">
                  <c:v>4480.4767259999999</c:v>
                </c:pt>
                <c:pt idx="35">
                  <c:v>4480.4767259999999</c:v>
                </c:pt>
                <c:pt idx="36">
                  <c:v>4480.4767259999999</c:v>
                </c:pt>
                <c:pt idx="37">
                  <c:v>4480.4767259999999</c:v>
                </c:pt>
                <c:pt idx="38">
                  <c:v>4480.4767259999999</c:v>
                </c:pt>
                <c:pt idx="39">
                  <c:v>4480.4767259999999</c:v>
                </c:pt>
                <c:pt idx="40">
                  <c:v>4480.4767259999999</c:v>
                </c:pt>
                <c:pt idx="41">
                  <c:v>4480.4767259999999</c:v>
                </c:pt>
                <c:pt idx="42">
                  <c:v>4480.4767259999999</c:v>
                </c:pt>
                <c:pt idx="43">
                  <c:v>4480.4767259999999</c:v>
                </c:pt>
                <c:pt idx="44">
                  <c:v>4480.4767259999999</c:v>
                </c:pt>
                <c:pt idx="45">
                  <c:v>4480.4767259999999</c:v>
                </c:pt>
                <c:pt idx="46">
                  <c:v>4480.4767259999999</c:v>
                </c:pt>
                <c:pt idx="47">
                  <c:v>4480.4767259999999</c:v>
                </c:pt>
                <c:pt idx="48">
                  <c:v>4480.4767259999999</c:v>
                </c:pt>
                <c:pt idx="49">
                  <c:v>4480.4767259999999</c:v>
                </c:pt>
                <c:pt idx="50">
                  <c:v>4480.4767259999999</c:v>
                </c:pt>
                <c:pt idx="51">
                  <c:v>4480.4767259999999</c:v>
                </c:pt>
                <c:pt idx="52">
                  <c:v>4480.4767259999999</c:v>
                </c:pt>
                <c:pt idx="53">
                  <c:v>4480.4767259999999</c:v>
                </c:pt>
                <c:pt idx="54">
                  <c:v>4480.4767259999999</c:v>
                </c:pt>
                <c:pt idx="55">
                  <c:v>4480.4767259999999</c:v>
                </c:pt>
                <c:pt idx="56">
                  <c:v>4480.4767259999999</c:v>
                </c:pt>
                <c:pt idx="57">
                  <c:v>4480.4767259999999</c:v>
                </c:pt>
                <c:pt idx="58">
                  <c:v>4480.4767259999999</c:v>
                </c:pt>
                <c:pt idx="59">
                  <c:v>4480.4767259999999</c:v>
                </c:pt>
                <c:pt idx="60">
                  <c:v>4480.4767259999999</c:v>
                </c:pt>
                <c:pt idx="61">
                  <c:v>4480.4767259999999</c:v>
                </c:pt>
                <c:pt idx="62">
                  <c:v>4480.4767259999999</c:v>
                </c:pt>
                <c:pt idx="63">
                  <c:v>4480.4767259999999</c:v>
                </c:pt>
                <c:pt idx="64">
                  <c:v>4480.4767259999999</c:v>
                </c:pt>
                <c:pt idx="65">
                  <c:v>4480.4767259999999</c:v>
                </c:pt>
                <c:pt idx="66">
                  <c:v>4480.4767259999999</c:v>
                </c:pt>
                <c:pt idx="67">
                  <c:v>4480.4767259999999</c:v>
                </c:pt>
                <c:pt idx="68">
                  <c:v>4480.4767259999999</c:v>
                </c:pt>
                <c:pt idx="69">
                  <c:v>4480.4767259999999</c:v>
                </c:pt>
                <c:pt idx="70">
                  <c:v>4480.4767259999999</c:v>
                </c:pt>
                <c:pt idx="71">
                  <c:v>4480.4767259999999</c:v>
                </c:pt>
                <c:pt idx="72">
                  <c:v>4480.4767259999999</c:v>
                </c:pt>
                <c:pt idx="73">
                  <c:v>4480.4767259999999</c:v>
                </c:pt>
                <c:pt idx="74">
                  <c:v>4480.4767259999999</c:v>
                </c:pt>
                <c:pt idx="75">
                  <c:v>4480.4767259999999</c:v>
                </c:pt>
                <c:pt idx="76">
                  <c:v>4480.4767259999999</c:v>
                </c:pt>
                <c:pt idx="77">
                  <c:v>4480.4767259999999</c:v>
                </c:pt>
                <c:pt idx="78">
                  <c:v>4480.4767259999999</c:v>
                </c:pt>
                <c:pt idx="79">
                  <c:v>4480.4767259999999</c:v>
                </c:pt>
                <c:pt idx="80">
                  <c:v>4480.4767259999999</c:v>
                </c:pt>
                <c:pt idx="81">
                  <c:v>4480.4767259999999</c:v>
                </c:pt>
                <c:pt idx="82">
                  <c:v>4480.4767259999999</c:v>
                </c:pt>
                <c:pt idx="83">
                  <c:v>4480.4767259999999</c:v>
                </c:pt>
                <c:pt idx="84">
                  <c:v>4480.4767259999999</c:v>
                </c:pt>
                <c:pt idx="85">
                  <c:v>4480.4767259999999</c:v>
                </c:pt>
                <c:pt idx="86">
                  <c:v>4480.4767259999999</c:v>
                </c:pt>
                <c:pt idx="87">
                  <c:v>4480.4767259999999</c:v>
                </c:pt>
                <c:pt idx="88">
                  <c:v>4480.4767259999999</c:v>
                </c:pt>
                <c:pt idx="89">
                  <c:v>4480.4767259999999</c:v>
                </c:pt>
                <c:pt idx="90">
                  <c:v>4480.4767259999999</c:v>
                </c:pt>
                <c:pt idx="91">
                  <c:v>4480.4767259999999</c:v>
                </c:pt>
                <c:pt idx="92">
                  <c:v>4480.4767259999999</c:v>
                </c:pt>
                <c:pt idx="93">
                  <c:v>4480.4767259999999</c:v>
                </c:pt>
                <c:pt idx="94">
                  <c:v>4480.4767259999999</c:v>
                </c:pt>
                <c:pt idx="95">
                  <c:v>4480.4767259999999</c:v>
                </c:pt>
                <c:pt idx="96">
                  <c:v>4480.4767259999999</c:v>
                </c:pt>
                <c:pt idx="97">
                  <c:v>4480.4767259999999</c:v>
                </c:pt>
                <c:pt idx="98">
                  <c:v>4480.4767259999999</c:v>
                </c:pt>
                <c:pt idx="99">
                  <c:v>4480.4767259999999</c:v>
                </c:pt>
                <c:pt idx="100">
                  <c:v>4480.4767259999999</c:v>
                </c:pt>
                <c:pt idx="101">
                  <c:v>4480.4767259999999</c:v>
                </c:pt>
                <c:pt idx="102">
                  <c:v>4480.4767259999999</c:v>
                </c:pt>
                <c:pt idx="103">
                  <c:v>4480.4767259999999</c:v>
                </c:pt>
                <c:pt idx="104">
                  <c:v>4480.4767259999999</c:v>
                </c:pt>
                <c:pt idx="105">
                  <c:v>4480.4767259999999</c:v>
                </c:pt>
                <c:pt idx="106">
                  <c:v>4480.4767259999999</c:v>
                </c:pt>
                <c:pt idx="107">
                  <c:v>4480.4767259999999</c:v>
                </c:pt>
                <c:pt idx="108">
                  <c:v>4480.4767259999999</c:v>
                </c:pt>
                <c:pt idx="109">
                  <c:v>4480.4767259999999</c:v>
                </c:pt>
                <c:pt idx="110">
                  <c:v>4480.4767259999999</c:v>
                </c:pt>
                <c:pt idx="111">
                  <c:v>4480.4767259999999</c:v>
                </c:pt>
                <c:pt idx="112">
                  <c:v>4480.4767259999999</c:v>
                </c:pt>
                <c:pt idx="113">
                  <c:v>4480.4767259999999</c:v>
                </c:pt>
                <c:pt idx="114">
                  <c:v>4480.4767259999999</c:v>
                </c:pt>
                <c:pt idx="115">
                  <c:v>4480.4767259999999</c:v>
                </c:pt>
                <c:pt idx="116">
                  <c:v>4480.4767259999999</c:v>
                </c:pt>
                <c:pt idx="117">
                  <c:v>4480.4767259999999</c:v>
                </c:pt>
                <c:pt idx="118">
                  <c:v>4480.4767259999999</c:v>
                </c:pt>
                <c:pt idx="119">
                  <c:v>4480.4767259999999</c:v>
                </c:pt>
                <c:pt idx="120">
                  <c:v>4480.4767259999999</c:v>
                </c:pt>
                <c:pt idx="121">
                  <c:v>4480.4767259999999</c:v>
                </c:pt>
                <c:pt idx="122">
                  <c:v>4480.4767259999999</c:v>
                </c:pt>
                <c:pt idx="123">
                  <c:v>4480.4767259999999</c:v>
                </c:pt>
                <c:pt idx="124">
                  <c:v>4480.4767259999999</c:v>
                </c:pt>
                <c:pt idx="125">
                  <c:v>4480.4767259999999</c:v>
                </c:pt>
                <c:pt idx="126">
                  <c:v>4480.4767259999999</c:v>
                </c:pt>
                <c:pt idx="127">
                  <c:v>4480.4767259999999</c:v>
                </c:pt>
                <c:pt idx="128">
                  <c:v>4480.4767259999999</c:v>
                </c:pt>
                <c:pt idx="129">
                  <c:v>4480.4767259999999</c:v>
                </c:pt>
                <c:pt idx="130">
                  <c:v>4480.4767259999999</c:v>
                </c:pt>
                <c:pt idx="131">
                  <c:v>4480.4767259999999</c:v>
                </c:pt>
                <c:pt idx="132">
                  <c:v>4480.4767259999999</c:v>
                </c:pt>
                <c:pt idx="133">
                  <c:v>4480.4767259999999</c:v>
                </c:pt>
                <c:pt idx="134">
                  <c:v>4480.4767259999999</c:v>
                </c:pt>
                <c:pt idx="135">
                  <c:v>4480.4767259999999</c:v>
                </c:pt>
                <c:pt idx="136">
                  <c:v>4480.4767259999999</c:v>
                </c:pt>
                <c:pt idx="137">
                  <c:v>4480.4767259999999</c:v>
                </c:pt>
                <c:pt idx="138">
                  <c:v>4480.4767259999999</c:v>
                </c:pt>
                <c:pt idx="139">
                  <c:v>4480.4767259999999</c:v>
                </c:pt>
                <c:pt idx="140">
                  <c:v>4480.4767259999999</c:v>
                </c:pt>
                <c:pt idx="141">
                  <c:v>4480.4767259999999</c:v>
                </c:pt>
                <c:pt idx="142">
                  <c:v>4480.4767259999999</c:v>
                </c:pt>
                <c:pt idx="143">
                  <c:v>4480.4767259999999</c:v>
                </c:pt>
                <c:pt idx="144">
                  <c:v>4480.4767259999999</c:v>
                </c:pt>
                <c:pt idx="145">
                  <c:v>4480.4767259999999</c:v>
                </c:pt>
                <c:pt idx="146">
                  <c:v>4480.4767259999999</c:v>
                </c:pt>
                <c:pt idx="147">
                  <c:v>4480.4767259999999</c:v>
                </c:pt>
                <c:pt idx="148">
                  <c:v>4480.4767259999999</c:v>
                </c:pt>
                <c:pt idx="149">
                  <c:v>4480.4767259999999</c:v>
                </c:pt>
                <c:pt idx="150">
                  <c:v>4480.4767259999999</c:v>
                </c:pt>
                <c:pt idx="151">
                  <c:v>4480.4767259999999</c:v>
                </c:pt>
                <c:pt idx="152">
                  <c:v>4480.4767259999999</c:v>
                </c:pt>
                <c:pt idx="153">
                  <c:v>4480.4767259999999</c:v>
                </c:pt>
                <c:pt idx="154">
                  <c:v>4480.4767259999999</c:v>
                </c:pt>
                <c:pt idx="155">
                  <c:v>4480.4767259999999</c:v>
                </c:pt>
                <c:pt idx="156">
                  <c:v>4480.4767259999999</c:v>
                </c:pt>
                <c:pt idx="157">
                  <c:v>4480.4767259999999</c:v>
                </c:pt>
                <c:pt idx="158">
                  <c:v>4480.4767259999999</c:v>
                </c:pt>
                <c:pt idx="159">
                  <c:v>4480.4767259999999</c:v>
                </c:pt>
                <c:pt idx="160">
                  <c:v>4480.4767259999999</c:v>
                </c:pt>
                <c:pt idx="161">
                  <c:v>4480.4767259999999</c:v>
                </c:pt>
                <c:pt idx="162">
                  <c:v>4480.4767259999999</c:v>
                </c:pt>
                <c:pt idx="163">
                  <c:v>4480.4767259999999</c:v>
                </c:pt>
                <c:pt idx="164">
                  <c:v>4480.4767259999999</c:v>
                </c:pt>
                <c:pt idx="165">
                  <c:v>4480.4767259999999</c:v>
                </c:pt>
                <c:pt idx="166">
                  <c:v>4480.4767259999999</c:v>
                </c:pt>
                <c:pt idx="167">
                  <c:v>4480.4767259999999</c:v>
                </c:pt>
                <c:pt idx="168">
                  <c:v>4480.4767259999999</c:v>
                </c:pt>
                <c:pt idx="169">
                  <c:v>4480.4767259999999</c:v>
                </c:pt>
                <c:pt idx="170">
                  <c:v>4480.4767259999999</c:v>
                </c:pt>
                <c:pt idx="171">
                  <c:v>4480.4767259999999</c:v>
                </c:pt>
                <c:pt idx="172">
                  <c:v>4480.4767259999999</c:v>
                </c:pt>
                <c:pt idx="173">
                  <c:v>4480.4767259999999</c:v>
                </c:pt>
                <c:pt idx="174">
                  <c:v>4480.4767259999999</c:v>
                </c:pt>
                <c:pt idx="175">
                  <c:v>4480.4767259999999</c:v>
                </c:pt>
                <c:pt idx="176">
                  <c:v>4480.4767259999999</c:v>
                </c:pt>
                <c:pt idx="177">
                  <c:v>4480.4767259999999</c:v>
                </c:pt>
                <c:pt idx="178">
                  <c:v>4480.4767259999999</c:v>
                </c:pt>
                <c:pt idx="179">
                  <c:v>4480.4767259999999</c:v>
                </c:pt>
                <c:pt idx="180">
                  <c:v>4480.4767259999999</c:v>
                </c:pt>
                <c:pt idx="181">
                  <c:v>4480.4767259999999</c:v>
                </c:pt>
                <c:pt idx="182">
                  <c:v>4480.4767259999999</c:v>
                </c:pt>
                <c:pt idx="183">
                  <c:v>4480.4767259999999</c:v>
                </c:pt>
                <c:pt idx="184">
                  <c:v>4480.4767259999999</c:v>
                </c:pt>
                <c:pt idx="185">
                  <c:v>4480.4767259999999</c:v>
                </c:pt>
                <c:pt idx="186">
                  <c:v>4480.4767259999999</c:v>
                </c:pt>
                <c:pt idx="187">
                  <c:v>4480.4767259999999</c:v>
                </c:pt>
                <c:pt idx="188">
                  <c:v>4480.4767259999999</c:v>
                </c:pt>
                <c:pt idx="189">
                  <c:v>4480.4767259999999</c:v>
                </c:pt>
                <c:pt idx="190">
                  <c:v>4480.4767259999999</c:v>
                </c:pt>
                <c:pt idx="191">
                  <c:v>4480.4767259999999</c:v>
                </c:pt>
                <c:pt idx="192">
                  <c:v>4480.4767259999999</c:v>
                </c:pt>
                <c:pt idx="193">
                  <c:v>4480.4767259999999</c:v>
                </c:pt>
                <c:pt idx="194">
                  <c:v>4480.4767259999999</c:v>
                </c:pt>
                <c:pt idx="195">
                  <c:v>4480.4767259999999</c:v>
                </c:pt>
                <c:pt idx="196">
                  <c:v>4480.4767259999999</c:v>
                </c:pt>
                <c:pt idx="197">
                  <c:v>4480.4767259999999</c:v>
                </c:pt>
                <c:pt idx="198">
                  <c:v>4480.4767259999999</c:v>
                </c:pt>
                <c:pt idx="199">
                  <c:v>4480.4767259999999</c:v>
                </c:pt>
                <c:pt idx="200">
                  <c:v>4480.4767259999999</c:v>
                </c:pt>
                <c:pt idx="201">
                  <c:v>4480.4767259999999</c:v>
                </c:pt>
                <c:pt idx="202">
                  <c:v>4480.4767259999999</c:v>
                </c:pt>
                <c:pt idx="203">
                  <c:v>4480.4767259999999</c:v>
                </c:pt>
                <c:pt idx="204">
                  <c:v>4480.4767259999999</c:v>
                </c:pt>
                <c:pt idx="205">
                  <c:v>4480.4767259999999</c:v>
                </c:pt>
                <c:pt idx="206">
                  <c:v>4480.4767259999999</c:v>
                </c:pt>
                <c:pt idx="207">
                  <c:v>4480.4767259999999</c:v>
                </c:pt>
                <c:pt idx="208">
                  <c:v>4480.4767259999999</c:v>
                </c:pt>
                <c:pt idx="209">
                  <c:v>4480.4767259999999</c:v>
                </c:pt>
                <c:pt idx="210">
                  <c:v>4480.4767259999999</c:v>
                </c:pt>
                <c:pt idx="211">
                  <c:v>4480.4767259999999</c:v>
                </c:pt>
                <c:pt idx="212">
                  <c:v>4480.4767259999999</c:v>
                </c:pt>
                <c:pt idx="213">
                  <c:v>4480.4767259999999</c:v>
                </c:pt>
                <c:pt idx="214">
                  <c:v>4480.4767259999999</c:v>
                </c:pt>
                <c:pt idx="215">
                  <c:v>4480.4767259999999</c:v>
                </c:pt>
                <c:pt idx="216">
                  <c:v>4480.4767259999999</c:v>
                </c:pt>
                <c:pt idx="217">
                  <c:v>4480.4767259999999</c:v>
                </c:pt>
                <c:pt idx="218">
                  <c:v>4480.4767259999999</c:v>
                </c:pt>
                <c:pt idx="219">
                  <c:v>4480.4767259999999</c:v>
                </c:pt>
                <c:pt idx="220">
                  <c:v>4480.4767259999999</c:v>
                </c:pt>
                <c:pt idx="221">
                  <c:v>4480.4767259999999</c:v>
                </c:pt>
                <c:pt idx="222">
                  <c:v>4480.4767259999999</c:v>
                </c:pt>
                <c:pt idx="223">
                  <c:v>4480.4767259999999</c:v>
                </c:pt>
                <c:pt idx="224">
                  <c:v>4480.4767259999999</c:v>
                </c:pt>
                <c:pt idx="225">
                  <c:v>4480.4767259999999</c:v>
                </c:pt>
                <c:pt idx="226">
                  <c:v>4480.4767259999999</c:v>
                </c:pt>
                <c:pt idx="227">
                  <c:v>4480.4767259999999</c:v>
                </c:pt>
                <c:pt idx="228">
                  <c:v>4480.4767259999999</c:v>
                </c:pt>
                <c:pt idx="229">
                  <c:v>4480.4767259999999</c:v>
                </c:pt>
                <c:pt idx="230">
                  <c:v>4480.4767259999999</c:v>
                </c:pt>
                <c:pt idx="231">
                  <c:v>4480.4767259999999</c:v>
                </c:pt>
                <c:pt idx="232">
                  <c:v>4480.4767259999999</c:v>
                </c:pt>
                <c:pt idx="233">
                  <c:v>4480.4767259999999</c:v>
                </c:pt>
                <c:pt idx="234">
                  <c:v>4480.4767259999999</c:v>
                </c:pt>
                <c:pt idx="235">
                  <c:v>4480.4767259999999</c:v>
                </c:pt>
                <c:pt idx="236">
                  <c:v>4480.4767259999999</c:v>
                </c:pt>
                <c:pt idx="237">
                  <c:v>4480.4767259999999</c:v>
                </c:pt>
                <c:pt idx="238">
                  <c:v>4480.4767259999999</c:v>
                </c:pt>
                <c:pt idx="239">
                  <c:v>4480.4767259999999</c:v>
                </c:pt>
                <c:pt idx="240">
                  <c:v>4480.4767259999999</c:v>
                </c:pt>
                <c:pt idx="241">
                  <c:v>4480.4767259999999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A7-483E-90D3-DC3447DC1CEE}"/>
            </c:ext>
          </c:extLst>
        </c:ser>
        <c:ser>
          <c:idx val="1"/>
          <c:order val="1"/>
          <c:tx>
            <c:strRef>
              <c:f>'Projections Data'!$F$18</c:f>
              <c:strCache>
                <c:ptCount val="1"/>
                <c:pt idx="0">
                  <c:v>Critically Ill (27% inc)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'Projections Data'!$G$3:$IN$3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'Projections Data'!$G$18:$IN$18</c:f>
              <c:numCache>
                <c:formatCode>_-* #,##0_-;\-* #,##0_-;_-* "-"??_-;_-@_-</c:formatCode>
                <c:ptCount val="242"/>
                <c:pt idx="0">
                  <c:v>5.452</c:v>
                </c:pt>
                <c:pt idx="1">
                  <c:v>7.7080000000000002</c:v>
                </c:pt>
                <c:pt idx="2">
                  <c:v>9.7289999999999992</c:v>
                </c:pt>
                <c:pt idx="3">
                  <c:v>12.878</c:v>
                </c:pt>
                <c:pt idx="4">
                  <c:v>15.134</c:v>
                </c:pt>
                <c:pt idx="5">
                  <c:v>18.048000000000002</c:v>
                </c:pt>
                <c:pt idx="6">
                  <c:v>21.573</c:v>
                </c:pt>
                <c:pt idx="7">
                  <c:v>27.73</c:v>
                </c:pt>
                <c:pt idx="8">
                  <c:v>37.741</c:v>
                </c:pt>
                <c:pt idx="9">
                  <c:v>53.814999999999998</c:v>
                </c:pt>
                <c:pt idx="10">
                  <c:v>63.685000000000002</c:v>
                </c:pt>
                <c:pt idx="11">
                  <c:v>72.944000000000003</c:v>
                </c:pt>
                <c:pt idx="12">
                  <c:v>86.668000000000006</c:v>
                </c:pt>
                <c:pt idx="13">
                  <c:v>115.714</c:v>
                </c:pt>
                <c:pt idx="14">
                  <c:v>146.69681089200617</c:v>
                </c:pt>
                <c:pt idx="15">
                  <c:v>185.37704620911731</c:v>
                </c:pt>
                <c:pt idx="16">
                  <c:v>236.13567936586122</c:v>
                </c:pt>
                <c:pt idx="17">
                  <c:v>300.41275535463069</c:v>
                </c:pt>
                <c:pt idx="18">
                  <c:v>382.04614321295151</c:v>
                </c:pt>
                <c:pt idx="19">
                  <c:v>483.81941395069526</c:v>
                </c:pt>
                <c:pt idx="20">
                  <c:v>610.5999107660549</c:v>
                </c:pt>
                <c:pt idx="21">
                  <c:v>767.89630512422366</c:v>
                </c:pt>
                <c:pt idx="22">
                  <c:v>977.7570218695646</c:v>
                </c:pt>
                <c:pt idx="23">
                  <c:v>1246.9860997225539</c:v>
                </c:pt>
                <c:pt idx="24">
                  <c:v>1580.7676227080024</c:v>
                </c:pt>
                <c:pt idx="25">
                  <c:v>1996.8061838999508</c:v>
                </c:pt>
                <c:pt idx="26">
                  <c:v>2530.7645841966764</c:v>
                </c:pt>
                <c:pt idx="27">
                  <c:v>3207.5067837155116</c:v>
                </c:pt>
                <c:pt idx="28">
                  <c:v>4065.2140589547212</c:v>
                </c:pt>
                <c:pt idx="29">
                  <c:v>5152.2775973617026</c:v>
                </c:pt>
                <c:pt idx="30">
                  <c:v>6530.0286910601153</c:v>
                </c:pt>
                <c:pt idx="31">
                  <c:v>8276.1990013704544</c:v>
                </c:pt>
                <c:pt idx="32">
                  <c:v>10489.306119597679</c:v>
                </c:pt>
                <c:pt idx="33">
                  <c:v>13294.211854066129</c:v>
                </c:pt>
                <c:pt idx="34">
                  <c:v>16849.166837698423</c:v>
                </c:pt>
                <c:pt idx="35">
                  <c:v>21354.738907501702</c:v>
                </c:pt>
                <c:pt idx="36">
                  <c:v>27065.128988292425</c:v>
                </c:pt>
                <c:pt idx="37">
                  <c:v>34302.512914151324</c:v>
                </c:pt>
                <c:pt idx="38">
                  <c:v>43475.218342188862</c:v>
                </c:pt>
                <c:pt idx="39">
                  <c:v>55100.762286171943</c:v>
                </c:pt>
                <c:pt idx="40">
                  <c:v>69835.049030011796</c:v>
                </c:pt>
                <c:pt idx="41">
                  <c:v>88509.375745026045</c:v>
                </c:pt>
                <c:pt idx="42">
                  <c:v>112177.33363955343</c:v>
                </c:pt>
                <c:pt idx="43">
                  <c:v>142174.25076785553</c:v>
                </c:pt>
                <c:pt idx="44">
                  <c:v>180192.53021604926</c:v>
                </c:pt>
                <c:pt idx="45">
                  <c:v>228377.13418780951</c:v>
                </c:pt>
                <c:pt idx="46">
                  <c:v>289446.60112881497</c:v>
                </c:pt>
                <c:pt idx="47">
                  <c:v>366846.42358339642</c:v>
                </c:pt>
                <c:pt idx="48">
                  <c:v>464943.44024456874</c:v>
                </c:pt>
                <c:pt idx="49">
                  <c:v>589272.20964800182</c:v>
                </c:pt>
                <c:pt idx="50">
                  <c:v>746847.26572501613</c:v>
                </c:pt>
                <c:pt idx="51">
                  <c:v>946558.8724337091</c:v>
                </c:pt>
                <c:pt idx="52">
                  <c:v>1199674.6056413441</c:v>
                </c:pt>
                <c:pt idx="53">
                  <c:v>1182276.8927022577</c:v>
                </c:pt>
                <c:pt idx="54">
                  <c:v>1157146.0253261738</c:v>
                </c:pt>
                <c:pt idx="55">
                  <c:v>1125295.0076168235</c:v>
                </c:pt>
                <c:pt idx="56">
                  <c:v>1084926.8295535871</c:v>
                </c:pt>
                <c:pt idx="57">
                  <c:v>1033763.9494530003</c:v>
                </c:pt>
                <c:pt idx="58">
                  <c:v>968919.7968116171</c:v>
                </c:pt>
                <c:pt idx="59">
                  <c:v>886735.91420937935</c:v>
                </c:pt>
                <c:pt idx="60">
                  <c:v>782575.54994443094</c:v>
                </c:pt>
                <c:pt idx="61">
                  <c:v>650562.05605394696</c:v>
                </c:pt>
                <c:pt idx="62">
                  <c:v>483247.33233770641</c:v>
                </c:pt>
                <c:pt idx="63">
                  <c:v>271191.61025019444</c:v>
                </c:pt>
                <c:pt idx="64">
                  <c:v>2430.8683903237024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A7-483E-90D3-DC3447DC1CEE}"/>
            </c:ext>
          </c:extLst>
        </c:ser>
        <c:ser>
          <c:idx val="2"/>
          <c:order val="2"/>
          <c:tx>
            <c:strRef>
              <c:f>'Projections Data'!$F$19</c:f>
              <c:strCache>
                <c:ptCount val="1"/>
                <c:pt idx="0">
                  <c:v>10% increase</c:v>
                </c:pt>
              </c:strCache>
            </c:strRef>
          </c:tx>
          <c:spPr>
            <a:ln w="2222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'Projections Data'!$G$3:$IN$3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'Projections Data'!$G$19:$IN$19</c:f>
              <c:numCache>
                <c:formatCode>_-* #,##0_-;\-* #,##0_-;_-* "-"??_-;_-@_-</c:formatCode>
                <c:ptCount val="242"/>
                <c:pt idx="0">
                  <c:v>5.452</c:v>
                </c:pt>
                <c:pt idx="1">
                  <c:v>7.7080000000000002</c:v>
                </c:pt>
                <c:pt idx="2">
                  <c:v>9.7289999999999992</c:v>
                </c:pt>
                <c:pt idx="3">
                  <c:v>12.878</c:v>
                </c:pt>
                <c:pt idx="4">
                  <c:v>15.134</c:v>
                </c:pt>
                <c:pt idx="5">
                  <c:v>18.048000000000002</c:v>
                </c:pt>
                <c:pt idx="6">
                  <c:v>21.573</c:v>
                </c:pt>
                <c:pt idx="7">
                  <c:v>27.73</c:v>
                </c:pt>
                <c:pt idx="8">
                  <c:v>37.741</c:v>
                </c:pt>
                <c:pt idx="9">
                  <c:v>53.814999999999998</c:v>
                </c:pt>
                <c:pt idx="10">
                  <c:v>63.685000000000002</c:v>
                </c:pt>
                <c:pt idx="11">
                  <c:v>72.944000000000003</c:v>
                </c:pt>
                <c:pt idx="12">
                  <c:v>86.668000000000006</c:v>
                </c:pt>
                <c:pt idx="13">
                  <c:v>115.714</c:v>
                </c:pt>
                <c:pt idx="14">
                  <c:v>126.03520000000002</c:v>
                </c:pt>
                <c:pt idx="15">
                  <c:v>136.46262000000002</c:v>
                </c:pt>
                <c:pt idx="16">
                  <c:v>149.14068200000006</c:v>
                </c:pt>
                <c:pt idx="17">
                  <c:v>162.65415020000006</c:v>
                </c:pt>
                <c:pt idx="18">
                  <c:v>177.19936522000009</c:v>
                </c:pt>
                <c:pt idx="19">
                  <c:v>190.91960174200011</c:v>
                </c:pt>
                <c:pt idx="20">
                  <c:v>202.77356191620018</c:v>
                </c:pt>
                <c:pt idx="21">
                  <c:v>210.75101810782019</c:v>
                </c:pt>
                <c:pt idx="22">
                  <c:v>227.33761991860223</c:v>
                </c:pt>
                <c:pt idx="23">
                  <c:v>247.18088191046249</c:v>
                </c:pt>
                <c:pt idx="24">
                  <c:v>260.01737010150879</c:v>
                </c:pt>
                <c:pt idx="25">
                  <c:v>263.92910711165962</c:v>
                </c:pt>
                <c:pt idx="26">
                  <c:v>290.32201782282561</c:v>
                </c:pt>
                <c:pt idx="27">
                  <c:v>319.35421960510814</c:v>
                </c:pt>
                <c:pt idx="28">
                  <c:v>351.28964156561904</c:v>
                </c:pt>
                <c:pt idx="29">
                  <c:v>386.41860572218098</c:v>
                </c:pt>
                <c:pt idx="30">
                  <c:v>425.06046629439913</c:v>
                </c:pt>
                <c:pt idx="31">
                  <c:v>467.56651292383901</c:v>
                </c:pt>
                <c:pt idx="32">
                  <c:v>514.32316421622295</c:v>
                </c:pt>
                <c:pt idx="33">
                  <c:v>565.75548063784549</c:v>
                </c:pt>
                <c:pt idx="34">
                  <c:v>622.33102870162998</c:v>
                </c:pt>
                <c:pt idx="35">
                  <c:v>684.56413157179304</c:v>
                </c:pt>
                <c:pt idx="36">
                  <c:v>753.02054472897237</c:v>
                </c:pt>
                <c:pt idx="37">
                  <c:v>828.32259920186971</c:v>
                </c:pt>
                <c:pt idx="38">
                  <c:v>911.15485912205691</c:v>
                </c:pt>
                <c:pt idx="39">
                  <c:v>1002.2703450342627</c:v>
                </c:pt>
                <c:pt idx="40">
                  <c:v>1102.4973795376889</c:v>
                </c:pt>
                <c:pt idx="41">
                  <c:v>1212.7471174914579</c:v>
                </c:pt>
                <c:pt idx="42">
                  <c:v>1334.0218292406039</c:v>
                </c:pt>
                <c:pt idx="43">
                  <c:v>1467.4240121646644</c:v>
                </c:pt>
                <c:pt idx="44">
                  <c:v>1614.1664133811312</c:v>
                </c:pt>
                <c:pt idx="45">
                  <c:v>1775.583054719244</c:v>
                </c:pt>
                <c:pt idx="46">
                  <c:v>1953.1413601911686</c:v>
                </c:pt>
                <c:pt idx="47">
                  <c:v>2148.4554962102852</c:v>
                </c:pt>
                <c:pt idx="48">
                  <c:v>2363.3010458313142</c:v>
                </c:pt>
                <c:pt idx="49">
                  <c:v>2599.631150414446</c:v>
                </c:pt>
                <c:pt idx="50">
                  <c:v>2859.5942654558903</c:v>
                </c:pt>
                <c:pt idx="51">
                  <c:v>3145.5536920014806</c:v>
                </c:pt>
                <c:pt idx="52">
                  <c:v>3460.1090612016283</c:v>
                </c:pt>
                <c:pt idx="53">
                  <c:v>3806.1199673217916</c:v>
                </c:pt>
                <c:pt idx="54">
                  <c:v>4186.7319640539708</c:v>
                </c:pt>
                <c:pt idx="55">
                  <c:v>4605.4051604593687</c:v>
                </c:pt>
                <c:pt idx="56">
                  <c:v>5065.9456765053055</c:v>
                </c:pt>
                <c:pt idx="57">
                  <c:v>5572.5402441558354</c:v>
                </c:pt>
                <c:pt idx="58">
                  <c:v>6129.7942685714206</c:v>
                </c:pt>
                <c:pt idx="59">
                  <c:v>6742.7736954285629</c:v>
                </c:pt>
                <c:pt idx="60">
                  <c:v>7417.0510649714206</c:v>
                </c:pt>
                <c:pt idx="61">
                  <c:v>8158.7561714685635</c:v>
                </c:pt>
                <c:pt idx="62">
                  <c:v>8974.6317886154211</c:v>
                </c:pt>
                <c:pt idx="63">
                  <c:v>9872.0949674769636</c:v>
                </c:pt>
                <c:pt idx="64">
                  <c:v>10859.304464224659</c:v>
                </c:pt>
                <c:pt idx="65">
                  <c:v>11945.234910647127</c:v>
                </c:pt>
                <c:pt idx="66">
                  <c:v>13139.758401711841</c:v>
                </c:pt>
                <c:pt idx="67">
                  <c:v>14453.734241883025</c:v>
                </c:pt>
                <c:pt idx="68">
                  <c:v>15899.10766607133</c:v>
                </c:pt>
                <c:pt idx="69">
                  <c:v>17489.018432678466</c:v>
                </c:pt>
                <c:pt idx="70">
                  <c:v>19237.920275946315</c:v>
                </c:pt>
                <c:pt idx="71">
                  <c:v>21161.71230354095</c:v>
                </c:pt>
                <c:pt idx="72">
                  <c:v>23277.883533895048</c:v>
                </c:pt>
                <c:pt idx="73">
                  <c:v>25605.671887284559</c:v>
                </c:pt>
                <c:pt idx="74">
                  <c:v>28166.239076013015</c:v>
                </c:pt>
                <c:pt idx="75">
                  <c:v>30982.862983614323</c:v>
                </c:pt>
                <c:pt idx="76">
                  <c:v>34081.149281975755</c:v>
                </c:pt>
                <c:pt idx="77">
                  <c:v>37489.264210173329</c:v>
                </c:pt>
                <c:pt idx="78">
                  <c:v>41238.190631190664</c:v>
                </c:pt>
                <c:pt idx="79">
                  <c:v>45362.009694309738</c:v>
                </c:pt>
                <c:pt idx="80">
                  <c:v>49898.21066374072</c:v>
                </c:pt>
                <c:pt idx="81">
                  <c:v>54888.031730114781</c:v>
                </c:pt>
                <c:pt idx="82">
                  <c:v>60376.834903126262</c:v>
                </c:pt>
                <c:pt idx="83">
                  <c:v>66414.518393438892</c:v>
                </c:pt>
                <c:pt idx="84">
                  <c:v>73055.970232782784</c:v>
                </c:pt>
                <c:pt idx="85">
                  <c:v>80361.567256061084</c:v>
                </c:pt>
                <c:pt idx="86">
                  <c:v>88397.723981667179</c:v>
                </c:pt>
                <c:pt idx="87">
                  <c:v>97237.496379833901</c:v>
                </c:pt>
                <c:pt idx="88">
                  <c:v>106961.24601781731</c:v>
                </c:pt>
                <c:pt idx="89">
                  <c:v>117657.37061959905</c:v>
                </c:pt>
                <c:pt idx="90">
                  <c:v>129423.10768155895</c:v>
                </c:pt>
                <c:pt idx="91">
                  <c:v>142365.41844971487</c:v>
                </c:pt>
                <c:pt idx="92">
                  <c:v>156601.96029468637</c:v>
                </c:pt>
                <c:pt idx="93">
                  <c:v>172262.15632415502</c:v>
                </c:pt>
                <c:pt idx="94">
                  <c:v>189488.37195657054</c:v>
                </c:pt>
                <c:pt idx="95">
                  <c:v>208437.20915222759</c:v>
                </c:pt>
                <c:pt idx="96">
                  <c:v>229280.93006745033</c:v>
                </c:pt>
                <c:pt idx="97">
                  <c:v>252209.0230741954</c:v>
                </c:pt>
                <c:pt idx="98">
                  <c:v>277429.925381615</c:v>
                </c:pt>
                <c:pt idx="99">
                  <c:v>305172.91791977658</c:v>
                </c:pt>
                <c:pt idx="100">
                  <c:v>335690.20971175429</c:v>
                </c:pt>
                <c:pt idx="101">
                  <c:v>369259.23068292974</c:v>
                </c:pt>
                <c:pt idx="102">
                  <c:v>406185.15375122282</c:v>
                </c:pt>
                <c:pt idx="103">
                  <c:v>446803.66912634502</c:v>
                </c:pt>
                <c:pt idx="104">
                  <c:v>491484.03603897948</c:v>
                </c:pt>
                <c:pt idx="105">
                  <c:v>540632.43964287743</c:v>
                </c:pt>
                <c:pt idx="106">
                  <c:v>594695.68360716524</c:v>
                </c:pt>
                <c:pt idx="107">
                  <c:v>654165.25196788192</c:v>
                </c:pt>
                <c:pt idx="108">
                  <c:v>719581.77716467017</c:v>
                </c:pt>
                <c:pt idx="109">
                  <c:v>791539.95488113735</c:v>
                </c:pt>
                <c:pt idx="110">
                  <c:v>869091.65122968878</c:v>
                </c:pt>
                <c:pt idx="111">
                  <c:v>828375.11567265762</c:v>
                </c:pt>
                <c:pt idx="112">
                  <c:v>783586.92655992322</c:v>
                </c:pt>
                <c:pt idx="113">
                  <c:v>734319.91853591544</c:v>
                </c:pt>
                <c:pt idx="114">
                  <c:v>680126.20970950695</c:v>
                </c:pt>
                <c:pt idx="115">
                  <c:v>620513.13000045752</c:v>
                </c:pt>
                <c:pt idx="116">
                  <c:v>554938.74232050334</c:v>
                </c:pt>
                <c:pt idx="117">
                  <c:v>482806.9158725536</c:v>
                </c:pt>
                <c:pt idx="118">
                  <c:v>403461.90677980892</c:v>
                </c:pt>
                <c:pt idx="119">
                  <c:v>316182.39677778969</c:v>
                </c:pt>
                <c:pt idx="120">
                  <c:v>220174.93577556851</c:v>
                </c:pt>
                <c:pt idx="121">
                  <c:v>114566.72867312521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A7-483E-90D3-DC3447DC1CEE}"/>
            </c:ext>
          </c:extLst>
        </c:ser>
        <c:ser>
          <c:idx val="3"/>
          <c:order val="3"/>
          <c:tx>
            <c:strRef>
              <c:f>'Projections Data'!$F$20</c:f>
              <c:strCache>
                <c:ptCount val="1"/>
                <c:pt idx="0">
                  <c:v>25% increase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'Projections Data'!$G$3:$IN$3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'Projections Data'!$G$20:$IN$20</c:f>
              <c:numCache>
                <c:formatCode>_-* #,##0_-;\-* #,##0_-;_-* "-"??_-;_-@_-</c:formatCode>
                <c:ptCount val="242"/>
                <c:pt idx="0">
                  <c:v>5.452</c:v>
                </c:pt>
                <c:pt idx="1">
                  <c:v>7.7080000000000002</c:v>
                </c:pt>
                <c:pt idx="2">
                  <c:v>9.7289999999999992</c:v>
                </c:pt>
                <c:pt idx="3">
                  <c:v>12.878</c:v>
                </c:pt>
                <c:pt idx="4">
                  <c:v>15.134</c:v>
                </c:pt>
                <c:pt idx="5">
                  <c:v>18.048000000000002</c:v>
                </c:pt>
                <c:pt idx="6">
                  <c:v>21.573</c:v>
                </c:pt>
                <c:pt idx="7">
                  <c:v>27.73</c:v>
                </c:pt>
                <c:pt idx="8">
                  <c:v>37.741</c:v>
                </c:pt>
                <c:pt idx="9">
                  <c:v>53.814999999999998</c:v>
                </c:pt>
                <c:pt idx="10">
                  <c:v>63.685000000000002</c:v>
                </c:pt>
                <c:pt idx="11">
                  <c:v>72.944000000000003</c:v>
                </c:pt>
                <c:pt idx="12">
                  <c:v>86.668000000000006</c:v>
                </c:pt>
                <c:pt idx="13">
                  <c:v>115.714</c:v>
                </c:pt>
                <c:pt idx="14">
                  <c:v>144.54849999999999</c:v>
                </c:pt>
                <c:pt idx="15">
                  <c:v>179.968875</c:v>
                </c:pt>
                <c:pt idx="16">
                  <c:v>225.92459375000001</c:v>
                </c:pt>
                <c:pt idx="17">
                  <c:v>283.2752421875</c:v>
                </c:pt>
                <c:pt idx="18">
                  <c:v>355.08105273437502</c:v>
                </c:pt>
                <c:pt idx="19">
                  <c:v>443.08756591796873</c:v>
                </c:pt>
                <c:pt idx="20">
                  <c:v>550.78095739746095</c:v>
                </c:pt>
                <c:pt idx="21">
                  <c:v>681.83744674682612</c:v>
                </c:pt>
                <c:pt idx="22">
                  <c:v>855.88055843353277</c:v>
                </c:pt>
                <c:pt idx="23">
                  <c:v>1076.5129480419159</c:v>
                </c:pt>
                <c:pt idx="24">
                  <c:v>1344.701185052395</c:v>
                </c:pt>
                <c:pt idx="25">
                  <c:v>1672.6044813154936</c:v>
                </c:pt>
                <c:pt idx="26">
                  <c:v>2090.7556016443668</c:v>
                </c:pt>
                <c:pt idx="27">
                  <c:v>2613.4445020554585</c:v>
                </c:pt>
                <c:pt idx="28">
                  <c:v>3266.8056275693234</c:v>
                </c:pt>
                <c:pt idx="29">
                  <c:v>4083.5070344616543</c:v>
                </c:pt>
                <c:pt idx="30">
                  <c:v>5104.3837930770678</c:v>
                </c:pt>
                <c:pt idx="31">
                  <c:v>6380.4797413463348</c:v>
                </c:pt>
                <c:pt idx="32">
                  <c:v>7975.5996766829185</c:v>
                </c:pt>
                <c:pt idx="33">
                  <c:v>9969.4995958536474</c:v>
                </c:pt>
                <c:pt idx="34">
                  <c:v>12461.874494817059</c:v>
                </c:pt>
                <c:pt idx="35">
                  <c:v>15577.343118521323</c:v>
                </c:pt>
                <c:pt idx="36">
                  <c:v>19471.678898151655</c:v>
                </c:pt>
                <c:pt idx="37">
                  <c:v>24339.598622689569</c:v>
                </c:pt>
                <c:pt idx="38">
                  <c:v>30424.498278361963</c:v>
                </c:pt>
                <c:pt idx="39">
                  <c:v>38030.622847952451</c:v>
                </c:pt>
                <c:pt idx="40">
                  <c:v>47538.278559940569</c:v>
                </c:pt>
                <c:pt idx="41">
                  <c:v>59422.848199925706</c:v>
                </c:pt>
                <c:pt idx="42">
                  <c:v>74278.560249907139</c:v>
                </c:pt>
                <c:pt idx="43">
                  <c:v>92848.200312383909</c:v>
                </c:pt>
                <c:pt idx="44">
                  <c:v>116060.25039047991</c:v>
                </c:pt>
                <c:pt idx="45">
                  <c:v>145075.31298809987</c:v>
                </c:pt>
                <c:pt idx="46">
                  <c:v>181344.14123512481</c:v>
                </c:pt>
                <c:pt idx="47">
                  <c:v>226680.17654390604</c:v>
                </c:pt>
                <c:pt idx="48">
                  <c:v>283350.22067988251</c:v>
                </c:pt>
                <c:pt idx="49">
                  <c:v>354187.77584985318</c:v>
                </c:pt>
                <c:pt idx="50">
                  <c:v>442734.71981231641</c:v>
                </c:pt>
                <c:pt idx="51">
                  <c:v>553418.39976539556</c:v>
                </c:pt>
                <c:pt idx="52">
                  <c:v>691772.99970674433</c:v>
                </c:pt>
                <c:pt idx="53">
                  <c:v>864716.24963343039</c:v>
                </c:pt>
                <c:pt idx="54">
                  <c:v>1080895.3120417881</c:v>
                </c:pt>
                <c:pt idx="55">
                  <c:v>1176557.5091803519</c:v>
                </c:pt>
                <c:pt idx="56">
                  <c:v>1151632.6347754397</c:v>
                </c:pt>
                <c:pt idx="57">
                  <c:v>1120476.5417692997</c:v>
                </c:pt>
                <c:pt idx="58">
                  <c:v>1081531.4255116247</c:v>
                </c:pt>
                <c:pt idx="59">
                  <c:v>1032850.0301895309</c:v>
                </c:pt>
                <c:pt idx="60">
                  <c:v>971998.28603691363</c:v>
                </c:pt>
                <c:pt idx="61">
                  <c:v>895933.60584614193</c:v>
                </c:pt>
                <c:pt idx="62">
                  <c:v>800852.75560767727</c:v>
                </c:pt>
                <c:pt idx="63">
                  <c:v>682001.69280959666</c:v>
                </c:pt>
                <c:pt idx="64">
                  <c:v>533437.8643119958</c:v>
                </c:pt>
                <c:pt idx="65">
                  <c:v>347733.07868999476</c:v>
                </c:pt>
                <c:pt idx="66">
                  <c:v>115602.09666249339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A7-483E-90D3-DC3447DC1CEE}"/>
            </c:ext>
          </c:extLst>
        </c:ser>
        <c:ser>
          <c:idx val="5"/>
          <c:order val="4"/>
          <c:tx>
            <c:strRef>
              <c:f>'Projections Data'!$F$22</c:f>
              <c:strCache>
                <c:ptCount val="1"/>
                <c:pt idx="0">
                  <c:v>40% increase</c:v>
                </c:pt>
              </c:strCache>
            </c:strRef>
          </c:tx>
          <c:spPr>
            <a:ln w="2222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'Projections Data'!$G$3:$IN$3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'Projections Data'!$G$22:$IN$22</c:f>
              <c:numCache>
                <c:formatCode>_-* #,##0_-;\-* #,##0_-;_-* "-"??_-;_-@_-</c:formatCode>
                <c:ptCount val="242"/>
                <c:pt idx="0">
                  <c:v>5.452</c:v>
                </c:pt>
                <c:pt idx="1">
                  <c:v>7.7080000000000002</c:v>
                </c:pt>
                <c:pt idx="2">
                  <c:v>9.7289999999999992</c:v>
                </c:pt>
                <c:pt idx="3">
                  <c:v>12.878</c:v>
                </c:pt>
                <c:pt idx="4">
                  <c:v>15.134</c:v>
                </c:pt>
                <c:pt idx="5">
                  <c:v>18.048000000000002</c:v>
                </c:pt>
                <c:pt idx="6">
                  <c:v>21.573</c:v>
                </c:pt>
                <c:pt idx="7">
                  <c:v>27.73</c:v>
                </c:pt>
                <c:pt idx="8">
                  <c:v>37.741</c:v>
                </c:pt>
                <c:pt idx="9">
                  <c:v>53.814999999999998</c:v>
                </c:pt>
                <c:pt idx="10">
                  <c:v>63.685000000000002</c:v>
                </c:pt>
                <c:pt idx="11">
                  <c:v>72.944000000000003</c:v>
                </c:pt>
                <c:pt idx="12">
                  <c:v>86.668000000000006</c:v>
                </c:pt>
                <c:pt idx="13">
                  <c:v>115.714</c:v>
                </c:pt>
                <c:pt idx="14">
                  <c:v>163.06179999999998</c:v>
                </c:pt>
                <c:pt idx="15">
                  <c:v>229.02911999999995</c:v>
                </c:pt>
                <c:pt idx="16">
                  <c:v>323.53596799999991</c:v>
                </c:pt>
                <c:pt idx="17">
                  <c:v>456.08995519999985</c:v>
                </c:pt>
                <c:pt idx="18">
                  <c:v>642.22013727999979</c:v>
                </c:pt>
                <c:pt idx="19">
                  <c:v>901.58039219199975</c:v>
                </c:pt>
                <c:pt idx="20">
                  <c:v>1263.2935490687996</c:v>
                </c:pt>
                <c:pt idx="21">
                  <c:v>1767.6333686963192</c:v>
                </c:pt>
                <c:pt idx="22">
                  <c:v>2486.3427161748468</c:v>
                </c:pt>
                <c:pt idx="23">
                  <c:v>3497.0948026447854</c:v>
                </c:pt>
                <c:pt idx="24">
                  <c:v>4905.9343237026987</c:v>
                </c:pt>
                <c:pt idx="25">
                  <c:v>6873.854053183778</c:v>
                </c:pt>
                <c:pt idx="26">
                  <c:v>9623.3956744572897</c:v>
                </c:pt>
                <c:pt idx="27">
                  <c:v>13472.753944240203</c:v>
                </c:pt>
                <c:pt idx="28">
                  <c:v>18861.855521936282</c:v>
                </c:pt>
                <c:pt idx="29">
                  <c:v>26406.597730710793</c:v>
                </c:pt>
                <c:pt idx="30">
                  <c:v>36969.23682299511</c:v>
                </c:pt>
                <c:pt idx="31">
                  <c:v>51756.931552193157</c:v>
                </c:pt>
                <c:pt idx="32">
                  <c:v>72459.704173070408</c:v>
                </c:pt>
                <c:pt idx="33">
                  <c:v>101443.58584229859</c:v>
                </c:pt>
                <c:pt idx="34">
                  <c:v>142021.020179218</c:v>
                </c:pt>
                <c:pt idx="35">
                  <c:v>198829.42825090521</c:v>
                </c:pt>
                <c:pt idx="36">
                  <c:v>278361.19955126732</c:v>
                </c:pt>
                <c:pt idx="37">
                  <c:v>389705.67937177414</c:v>
                </c:pt>
                <c:pt idx="38">
                  <c:v>545587.95112048381</c:v>
                </c:pt>
                <c:pt idx="39">
                  <c:v>763823.13156867726</c:v>
                </c:pt>
                <c:pt idx="40">
                  <c:v>1069352.384196148</c:v>
                </c:pt>
                <c:pt idx="41">
                  <c:v>1249376.2711140893</c:v>
                </c:pt>
                <c:pt idx="42">
                  <c:v>1238623.9768397249</c:v>
                </c:pt>
                <c:pt idx="43">
                  <c:v>1223570.7648556149</c:v>
                </c:pt>
                <c:pt idx="44">
                  <c:v>1202496.2680778608</c:v>
                </c:pt>
                <c:pt idx="45">
                  <c:v>1172991.9725890053</c:v>
                </c:pt>
                <c:pt idx="46">
                  <c:v>1131685.9589046072</c:v>
                </c:pt>
                <c:pt idx="47">
                  <c:v>1073857.5397464503</c:v>
                </c:pt>
                <c:pt idx="48">
                  <c:v>992897.75292503007</c:v>
                </c:pt>
                <c:pt idx="49">
                  <c:v>879554.05137504207</c:v>
                </c:pt>
                <c:pt idx="50">
                  <c:v>720872.86920505902</c:v>
                </c:pt>
                <c:pt idx="51">
                  <c:v>498719.21416708262</c:v>
                </c:pt>
                <c:pt idx="52">
                  <c:v>187704.09711391581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A7-483E-90D3-DC3447DC1CEE}"/>
            </c:ext>
          </c:extLst>
        </c:ser>
        <c:ser>
          <c:idx val="6"/>
          <c:order val="5"/>
          <c:tx>
            <c:strRef>
              <c:f>'Projections Data'!$F$23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percentage"/>
            <c:noEndCap val="1"/>
            <c:val val="70000000"/>
            <c:spPr>
              <a:noFill/>
              <a:ln w="285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'Projections Data'!$G$3:$IN$3</c:f>
              <c:numCache>
                <c:formatCode>m/d/yyyy</c:formatCode>
                <c:ptCount val="242"/>
                <c:pt idx="0">
                  <c:v>43895</c:v>
                </c:pt>
                <c:pt idx="1">
                  <c:v>43896</c:v>
                </c:pt>
                <c:pt idx="2">
                  <c:v>43897</c:v>
                </c:pt>
                <c:pt idx="3">
                  <c:v>43898</c:v>
                </c:pt>
                <c:pt idx="4">
                  <c:v>43899</c:v>
                </c:pt>
                <c:pt idx="5">
                  <c:v>43900</c:v>
                </c:pt>
                <c:pt idx="6">
                  <c:v>43901</c:v>
                </c:pt>
                <c:pt idx="7">
                  <c:v>43902</c:v>
                </c:pt>
                <c:pt idx="8">
                  <c:v>43903</c:v>
                </c:pt>
                <c:pt idx="9">
                  <c:v>43904</c:v>
                </c:pt>
                <c:pt idx="10">
                  <c:v>43905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43911</c:v>
                </c:pt>
                <c:pt idx="17">
                  <c:v>43912</c:v>
                </c:pt>
                <c:pt idx="18">
                  <c:v>43913</c:v>
                </c:pt>
                <c:pt idx="19">
                  <c:v>43914</c:v>
                </c:pt>
                <c:pt idx="20">
                  <c:v>43915</c:v>
                </c:pt>
                <c:pt idx="21">
                  <c:v>43916</c:v>
                </c:pt>
                <c:pt idx="22">
                  <c:v>43917</c:v>
                </c:pt>
                <c:pt idx="23">
                  <c:v>43918</c:v>
                </c:pt>
                <c:pt idx="24">
                  <c:v>43919</c:v>
                </c:pt>
                <c:pt idx="25">
                  <c:v>43920</c:v>
                </c:pt>
                <c:pt idx="26">
                  <c:v>43921</c:v>
                </c:pt>
                <c:pt idx="27">
                  <c:v>43922</c:v>
                </c:pt>
                <c:pt idx="28">
                  <c:v>43923</c:v>
                </c:pt>
                <c:pt idx="29">
                  <c:v>43924</c:v>
                </c:pt>
                <c:pt idx="30">
                  <c:v>43925</c:v>
                </c:pt>
                <c:pt idx="31">
                  <c:v>43926</c:v>
                </c:pt>
                <c:pt idx="32">
                  <c:v>43927</c:v>
                </c:pt>
                <c:pt idx="33">
                  <c:v>43928</c:v>
                </c:pt>
                <c:pt idx="34">
                  <c:v>43929</c:v>
                </c:pt>
                <c:pt idx="35">
                  <c:v>43930</c:v>
                </c:pt>
                <c:pt idx="36">
                  <c:v>43931</c:v>
                </c:pt>
                <c:pt idx="37">
                  <c:v>43932</c:v>
                </c:pt>
                <c:pt idx="38">
                  <c:v>43933</c:v>
                </c:pt>
                <c:pt idx="39">
                  <c:v>43934</c:v>
                </c:pt>
                <c:pt idx="40">
                  <c:v>43935</c:v>
                </c:pt>
                <c:pt idx="41">
                  <c:v>43936</c:v>
                </c:pt>
                <c:pt idx="42">
                  <c:v>43937</c:v>
                </c:pt>
                <c:pt idx="43">
                  <c:v>43938</c:v>
                </c:pt>
                <c:pt idx="44">
                  <c:v>43939</c:v>
                </c:pt>
                <c:pt idx="45">
                  <c:v>43940</c:v>
                </c:pt>
                <c:pt idx="46">
                  <c:v>43941</c:v>
                </c:pt>
                <c:pt idx="47">
                  <c:v>43942</c:v>
                </c:pt>
                <c:pt idx="48">
                  <c:v>43943</c:v>
                </c:pt>
                <c:pt idx="49">
                  <c:v>43944</c:v>
                </c:pt>
                <c:pt idx="50">
                  <c:v>43945</c:v>
                </c:pt>
                <c:pt idx="51">
                  <c:v>43946</c:v>
                </c:pt>
                <c:pt idx="52">
                  <c:v>43947</c:v>
                </c:pt>
                <c:pt idx="53">
                  <c:v>43948</c:v>
                </c:pt>
                <c:pt idx="54">
                  <c:v>43949</c:v>
                </c:pt>
                <c:pt idx="55">
                  <c:v>43950</c:v>
                </c:pt>
                <c:pt idx="56">
                  <c:v>43951</c:v>
                </c:pt>
                <c:pt idx="57">
                  <c:v>43952</c:v>
                </c:pt>
                <c:pt idx="58">
                  <c:v>43953</c:v>
                </c:pt>
                <c:pt idx="59">
                  <c:v>43954</c:v>
                </c:pt>
                <c:pt idx="60">
                  <c:v>43955</c:v>
                </c:pt>
                <c:pt idx="61">
                  <c:v>43956</c:v>
                </c:pt>
                <c:pt idx="62">
                  <c:v>43957</c:v>
                </c:pt>
                <c:pt idx="63">
                  <c:v>43958</c:v>
                </c:pt>
                <c:pt idx="64">
                  <c:v>43959</c:v>
                </c:pt>
                <c:pt idx="65">
                  <c:v>43960</c:v>
                </c:pt>
                <c:pt idx="66">
                  <c:v>43961</c:v>
                </c:pt>
                <c:pt idx="67">
                  <c:v>43962</c:v>
                </c:pt>
                <c:pt idx="68">
                  <c:v>43963</c:v>
                </c:pt>
                <c:pt idx="69">
                  <c:v>43964</c:v>
                </c:pt>
                <c:pt idx="70">
                  <c:v>43965</c:v>
                </c:pt>
                <c:pt idx="71">
                  <c:v>43966</c:v>
                </c:pt>
                <c:pt idx="72">
                  <c:v>43967</c:v>
                </c:pt>
                <c:pt idx="73">
                  <c:v>43968</c:v>
                </c:pt>
                <c:pt idx="74">
                  <c:v>43969</c:v>
                </c:pt>
                <c:pt idx="75">
                  <c:v>43970</c:v>
                </c:pt>
                <c:pt idx="76">
                  <c:v>43971</c:v>
                </c:pt>
                <c:pt idx="77">
                  <c:v>43972</c:v>
                </c:pt>
                <c:pt idx="78">
                  <c:v>43973</c:v>
                </c:pt>
                <c:pt idx="79">
                  <c:v>43974</c:v>
                </c:pt>
                <c:pt idx="80">
                  <c:v>43975</c:v>
                </c:pt>
                <c:pt idx="81">
                  <c:v>43976</c:v>
                </c:pt>
                <c:pt idx="82">
                  <c:v>43977</c:v>
                </c:pt>
                <c:pt idx="83">
                  <c:v>43978</c:v>
                </c:pt>
                <c:pt idx="84">
                  <c:v>43979</c:v>
                </c:pt>
                <c:pt idx="85">
                  <c:v>43980</c:v>
                </c:pt>
                <c:pt idx="86">
                  <c:v>43981</c:v>
                </c:pt>
                <c:pt idx="87">
                  <c:v>43982</c:v>
                </c:pt>
                <c:pt idx="88">
                  <c:v>43983</c:v>
                </c:pt>
                <c:pt idx="89">
                  <c:v>43984</c:v>
                </c:pt>
                <c:pt idx="90">
                  <c:v>43985</c:v>
                </c:pt>
                <c:pt idx="91">
                  <c:v>43986</c:v>
                </c:pt>
                <c:pt idx="92">
                  <c:v>43987</c:v>
                </c:pt>
                <c:pt idx="93">
                  <c:v>43988</c:v>
                </c:pt>
                <c:pt idx="94">
                  <c:v>43989</c:v>
                </c:pt>
                <c:pt idx="95">
                  <c:v>43990</c:v>
                </c:pt>
                <c:pt idx="96">
                  <c:v>43991</c:v>
                </c:pt>
                <c:pt idx="97">
                  <c:v>43992</c:v>
                </c:pt>
                <c:pt idx="98">
                  <c:v>43993</c:v>
                </c:pt>
                <c:pt idx="99">
                  <c:v>43994</c:v>
                </c:pt>
                <c:pt idx="100">
                  <c:v>43995</c:v>
                </c:pt>
                <c:pt idx="101">
                  <c:v>43996</c:v>
                </c:pt>
                <c:pt idx="102">
                  <c:v>43997</c:v>
                </c:pt>
                <c:pt idx="103">
                  <c:v>43998</c:v>
                </c:pt>
                <c:pt idx="104">
                  <c:v>43999</c:v>
                </c:pt>
                <c:pt idx="105">
                  <c:v>44000</c:v>
                </c:pt>
                <c:pt idx="106">
                  <c:v>44001</c:v>
                </c:pt>
                <c:pt idx="107">
                  <c:v>44002</c:v>
                </c:pt>
                <c:pt idx="108">
                  <c:v>44003</c:v>
                </c:pt>
                <c:pt idx="109">
                  <c:v>44004</c:v>
                </c:pt>
                <c:pt idx="110">
                  <c:v>44005</c:v>
                </c:pt>
                <c:pt idx="111">
                  <c:v>44006</c:v>
                </c:pt>
                <c:pt idx="112">
                  <c:v>44007</c:v>
                </c:pt>
                <c:pt idx="113">
                  <c:v>44008</c:v>
                </c:pt>
                <c:pt idx="114">
                  <c:v>44009</c:v>
                </c:pt>
                <c:pt idx="115">
                  <c:v>44010</c:v>
                </c:pt>
                <c:pt idx="116">
                  <c:v>44011</c:v>
                </c:pt>
                <c:pt idx="117">
                  <c:v>44012</c:v>
                </c:pt>
                <c:pt idx="118">
                  <c:v>44013</c:v>
                </c:pt>
                <c:pt idx="119">
                  <c:v>44014</c:v>
                </c:pt>
                <c:pt idx="120">
                  <c:v>44015</c:v>
                </c:pt>
                <c:pt idx="121">
                  <c:v>44016</c:v>
                </c:pt>
                <c:pt idx="122">
                  <c:v>44017</c:v>
                </c:pt>
                <c:pt idx="123">
                  <c:v>44018</c:v>
                </c:pt>
                <c:pt idx="124">
                  <c:v>44019</c:v>
                </c:pt>
                <c:pt idx="125">
                  <c:v>44020</c:v>
                </c:pt>
                <c:pt idx="126">
                  <c:v>44021</c:v>
                </c:pt>
                <c:pt idx="127">
                  <c:v>44022</c:v>
                </c:pt>
                <c:pt idx="128">
                  <c:v>44023</c:v>
                </c:pt>
                <c:pt idx="129">
                  <c:v>44024</c:v>
                </c:pt>
                <c:pt idx="130">
                  <c:v>44025</c:v>
                </c:pt>
                <c:pt idx="131">
                  <c:v>44026</c:v>
                </c:pt>
                <c:pt idx="132">
                  <c:v>44027</c:v>
                </c:pt>
                <c:pt idx="133">
                  <c:v>44028</c:v>
                </c:pt>
                <c:pt idx="134">
                  <c:v>44029</c:v>
                </c:pt>
                <c:pt idx="135">
                  <c:v>44030</c:v>
                </c:pt>
                <c:pt idx="136">
                  <c:v>44031</c:v>
                </c:pt>
                <c:pt idx="137">
                  <c:v>44032</c:v>
                </c:pt>
                <c:pt idx="138">
                  <c:v>44033</c:v>
                </c:pt>
                <c:pt idx="139">
                  <c:v>44034</c:v>
                </c:pt>
                <c:pt idx="140">
                  <c:v>44035</c:v>
                </c:pt>
                <c:pt idx="141">
                  <c:v>44036</c:v>
                </c:pt>
                <c:pt idx="142">
                  <c:v>44037</c:v>
                </c:pt>
                <c:pt idx="143">
                  <c:v>44038</c:v>
                </c:pt>
                <c:pt idx="144">
                  <c:v>44039</c:v>
                </c:pt>
                <c:pt idx="145">
                  <c:v>44040</c:v>
                </c:pt>
                <c:pt idx="146">
                  <c:v>44041</c:v>
                </c:pt>
                <c:pt idx="147">
                  <c:v>44042</c:v>
                </c:pt>
                <c:pt idx="148">
                  <c:v>44043</c:v>
                </c:pt>
                <c:pt idx="149">
                  <c:v>44044</c:v>
                </c:pt>
                <c:pt idx="150">
                  <c:v>44045</c:v>
                </c:pt>
                <c:pt idx="151">
                  <c:v>44046</c:v>
                </c:pt>
                <c:pt idx="152">
                  <c:v>44047</c:v>
                </c:pt>
                <c:pt idx="153">
                  <c:v>44048</c:v>
                </c:pt>
                <c:pt idx="154">
                  <c:v>44049</c:v>
                </c:pt>
                <c:pt idx="155">
                  <c:v>44050</c:v>
                </c:pt>
                <c:pt idx="156">
                  <c:v>44051</c:v>
                </c:pt>
                <c:pt idx="157">
                  <c:v>44052</c:v>
                </c:pt>
                <c:pt idx="158">
                  <c:v>44053</c:v>
                </c:pt>
                <c:pt idx="159">
                  <c:v>44054</c:v>
                </c:pt>
                <c:pt idx="160">
                  <c:v>44055</c:v>
                </c:pt>
                <c:pt idx="161">
                  <c:v>44056</c:v>
                </c:pt>
                <c:pt idx="162">
                  <c:v>44057</c:v>
                </c:pt>
                <c:pt idx="163">
                  <c:v>44058</c:v>
                </c:pt>
                <c:pt idx="164">
                  <c:v>44059</c:v>
                </c:pt>
                <c:pt idx="165">
                  <c:v>44060</c:v>
                </c:pt>
                <c:pt idx="166">
                  <c:v>44061</c:v>
                </c:pt>
                <c:pt idx="167">
                  <c:v>44062</c:v>
                </c:pt>
                <c:pt idx="168">
                  <c:v>44063</c:v>
                </c:pt>
                <c:pt idx="169">
                  <c:v>44064</c:v>
                </c:pt>
                <c:pt idx="170">
                  <c:v>44065</c:v>
                </c:pt>
                <c:pt idx="171">
                  <c:v>44066</c:v>
                </c:pt>
                <c:pt idx="172">
                  <c:v>44067</c:v>
                </c:pt>
                <c:pt idx="173">
                  <c:v>44068</c:v>
                </c:pt>
                <c:pt idx="174">
                  <c:v>44069</c:v>
                </c:pt>
                <c:pt idx="175">
                  <c:v>44070</c:v>
                </c:pt>
                <c:pt idx="176">
                  <c:v>44071</c:v>
                </c:pt>
                <c:pt idx="177">
                  <c:v>44072</c:v>
                </c:pt>
                <c:pt idx="178">
                  <c:v>44073</c:v>
                </c:pt>
                <c:pt idx="179">
                  <c:v>44074</c:v>
                </c:pt>
                <c:pt idx="180">
                  <c:v>44075</c:v>
                </c:pt>
                <c:pt idx="181">
                  <c:v>44076</c:v>
                </c:pt>
                <c:pt idx="182">
                  <c:v>44077</c:v>
                </c:pt>
                <c:pt idx="183">
                  <c:v>44078</c:v>
                </c:pt>
                <c:pt idx="184">
                  <c:v>44079</c:v>
                </c:pt>
                <c:pt idx="185">
                  <c:v>44080</c:v>
                </c:pt>
                <c:pt idx="186">
                  <c:v>44081</c:v>
                </c:pt>
                <c:pt idx="187">
                  <c:v>44082</c:v>
                </c:pt>
                <c:pt idx="188">
                  <c:v>44083</c:v>
                </c:pt>
                <c:pt idx="189">
                  <c:v>44084</c:v>
                </c:pt>
                <c:pt idx="190">
                  <c:v>44085</c:v>
                </c:pt>
                <c:pt idx="191">
                  <c:v>44086</c:v>
                </c:pt>
                <c:pt idx="192">
                  <c:v>44087</c:v>
                </c:pt>
                <c:pt idx="193">
                  <c:v>44088</c:v>
                </c:pt>
                <c:pt idx="194">
                  <c:v>44089</c:v>
                </c:pt>
                <c:pt idx="195">
                  <c:v>44090</c:v>
                </c:pt>
                <c:pt idx="196">
                  <c:v>44091</c:v>
                </c:pt>
                <c:pt idx="197">
                  <c:v>44092</c:v>
                </c:pt>
                <c:pt idx="198">
                  <c:v>44093</c:v>
                </c:pt>
                <c:pt idx="199">
                  <c:v>44094</c:v>
                </c:pt>
                <c:pt idx="200">
                  <c:v>44095</c:v>
                </c:pt>
                <c:pt idx="201">
                  <c:v>44096</c:v>
                </c:pt>
                <c:pt idx="202">
                  <c:v>44097</c:v>
                </c:pt>
                <c:pt idx="203">
                  <c:v>44098</c:v>
                </c:pt>
                <c:pt idx="204">
                  <c:v>44099</c:v>
                </c:pt>
                <c:pt idx="205">
                  <c:v>44100</c:v>
                </c:pt>
                <c:pt idx="206">
                  <c:v>44101</c:v>
                </c:pt>
                <c:pt idx="207">
                  <c:v>44102</c:v>
                </c:pt>
                <c:pt idx="208">
                  <c:v>44103</c:v>
                </c:pt>
                <c:pt idx="209">
                  <c:v>44104</c:v>
                </c:pt>
                <c:pt idx="210">
                  <c:v>44105</c:v>
                </c:pt>
                <c:pt idx="211">
                  <c:v>44106</c:v>
                </c:pt>
                <c:pt idx="212">
                  <c:v>44107</c:v>
                </c:pt>
                <c:pt idx="213">
                  <c:v>44108</c:v>
                </c:pt>
                <c:pt idx="214">
                  <c:v>44109</c:v>
                </c:pt>
                <c:pt idx="215">
                  <c:v>44110</c:v>
                </c:pt>
                <c:pt idx="216">
                  <c:v>44111</c:v>
                </c:pt>
                <c:pt idx="217">
                  <c:v>44112</c:v>
                </c:pt>
                <c:pt idx="218">
                  <c:v>44113</c:v>
                </c:pt>
                <c:pt idx="219">
                  <c:v>44114</c:v>
                </c:pt>
                <c:pt idx="220">
                  <c:v>44115</c:v>
                </c:pt>
                <c:pt idx="221">
                  <c:v>44116</c:v>
                </c:pt>
                <c:pt idx="222">
                  <c:v>44117</c:v>
                </c:pt>
                <c:pt idx="223">
                  <c:v>44118</c:v>
                </c:pt>
                <c:pt idx="224">
                  <c:v>44119</c:v>
                </c:pt>
                <c:pt idx="225">
                  <c:v>44120</c:v>
                </c:pt>
                <c:pt idx="226">
                  <c:v>44121</c:v>
                </c:pt>
                <c:pt idx="227">
                  <c:v>44122</c:v>
                </c:pt>
                <c:pt idx="228">
                  <c:v>44123</c:v>
                </c:pt>
                <c:pt idx="229">
                  <c:v>44124</c:v>
                </c:pt>
                <c:pt idx="230">
                  <c:v>44125</c:v>
                </c:pt>
                <c:pt idx="231">
                  <c:v>44126</c:v>
                </c:pt>
                <c:pt idx="232">
                  <c:v>44127</c:v>
                </c:pt>
                <c:pt idx="233">
                  <c:v>44128</c:v>
                </c:pt>
                <c:pt idx="234">
                  <c:v>44129</c:v>
                </c:pt>
                <c:pt idx="235">
                  <c:v>44130</c:v>
                </c:pt>
                <c:pt idx="236">
                  <c:v>44131</c:v>
                </c:pt>
                <c:pt idx="237">
                  <c:v>44132</c:v>
                </c:pt>
                <c:pt idx="238">
                  <c:v>44133</c:v>
                </c:pt>
                <c:pt idx="239">
                  <c:v>44134</c:v>
                </c:pt>
                <c:pt idx="240">
                  <c:v>44135</c:v>
                </c:pt>
                <c:pt idx="241">
                  <c:v>44136</c:v>
                </c:pt>
              </c:numCache>
            </c:numRef>
          </c:cat>
          <c:val>
            <c:numRef>
              <c:f>'Projections Data'!$G$23:$IN$23</c:f>
              <c:numCache>
                <c:formatCode>General</c:formatCode>
                <c:ptCount val="2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A7-483E-90D3-DC3447DC1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559824"/>
        <c:axId val="1014577744"/>
      </c:lineChart>
      <c:dateAx>
        <c:axId val="1216559824"/>
        <c:scaling>
          <c:orientation val="minMax"/>
          <c:max val="43928"/>
          <c:min val="438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14577744"/>
        <c:crosses val="autoZero"/>
        <c:auto val="0"/>
        <c:lblOffset val="100"/>
        <c:baseTimeUnit val="days"/>
        <c:majorUnit val="3"/>
        <c:majorTimeUnit val="days"/>
      </c:dateAx>
      <c:valAx>
        <c:axId val="1014577744"/>
        <c:scaling>
          <c:orientation val="minMax"/>
          <c:max val="6720.715088999999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21655982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9944042342335062"/>
          <c:w val="1"/>
          <c:h val="0.10055957657664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485542965665876E-2"/>
          <c:y val="4.0204678362573097E-2"/>
          <c:w val="0.72780846534149513"/>
          <c:h val="0.85166300298134812"/>
        </c:manualLayout>
      </c:layout>
      <c:lineChart>
        <c:grouping val="standard"/>
        <c:varyColors val="0"/>
        <c:ser>
          <c:idx val="1"/>
          <c:order val="0"/>
          <c:tx>
            <c:strRef>
              <c:f>DaysSince100!$H$2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ysClr val="windowText" lastClr="00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DaysSince100!$I$2:$DJ$2</c:f>
              <c:numCache>
                <c:formatCode>_-* #,##0_-;\-* #,##0_-;_-* "-"??_-;_-@_-</c:formatCode>
                <c:ptCount val="106"/>
                <c:pt idx="0" formatCode="General">
                  <c:v>100</c:v>
                </c:pt>
                <c:pt idx="1">
                  <c:v>150</c:v>
                </c:pt>
                <c:pt idx="2">
                  <c:v>225</c:v>
                </c:pt>
                <c:pt idx="3">
                  <c:v>337.5</c:v>
                </c:pt>
                <c:pt idx="4">
                  <c:v>506.25</c:v>
                </c:pt>
                <c:pt idx="5">
                  <c:v>759.375</c:v>
                </c:pt>
                <c:pt idx="6">
                  <c:v>1139.0625</c:v>
                </c:pt>
                <c:pt idx="7">
                  <c:v>1708.59375</c:v>
                </c:pt>
                <c:pt idx="8">
                  <c:v>2562.890625</c:v>
                </c:pt>
                <c:pt idx="9">
                  <c:v>3844.3359375</c:v>
                </c:pt>
                <c:pt idx="10">
                  <c:v>5766.50390625</c:v>
                </c:pt>
                <c:pt idx="11">
                  <c:v>8649.755859375</c:v>
                </c:pt>
                <c:pt idx="12">
                  <c:v>12974.6337890625</c:v>
                </c:pt>
                <c:pt idx="13">
                  <c:v>19461.95068359375</c:v>
                </c:pt>
                <c:pt idx="14">
                  <c:v>29192.926025390625</c:v>
                </c:pt>
                <c:pt idx="15">
                  <c:v>43789.389038085938</c:v>
                </c:pt>
                <c:pt idx="16">
                  <c:v>65684.083557128906</c:v>
                </c:pt>
                <c:pt idx="17">
                  <c:v>98526.125335693359</c:v>
                </c:pt>
                <c:pt idx="18">
                  <c:v>147789.18800354004</c:v>
                </c:pt>
                <c:pt idx="19">
                  <c:v>221683.78200531006</c:v>
                </c:pt>
                <c:pt idx="20">
                  <c:v>332525.67300796509</c:v>
                </c:pt>
                <c:pt idx="21">
                  <c:v>498788.50951194763</c:v>
                </c:pt>
                <c:pt idx="22">
                  <c:v>748182.76426792145</c:v>
                </c:pt>
                <c:pt idx="23">
                  <c:v>1122274.1464018822</c:v>
                </c:pt>
                <c:pt idx="24">
                  <c:v>1683411.2196028233</c:v>
                </c:pt>
                <c:pt idx="25">
                  <c:v>2525116.8294042349</c:v>
                </c:pt>
                <c:pt idx="26">
                  <c:v>3787675.2441063523</c:v>
                </c:pt>
                <c:pt idx="27">
                  <c:v>5681512.8661595285</c:v>
                </c:pt>
                <c:pt idx="28">
                  <c:v>8522269.2992392927</c:v>
                </c:pt>
                <c:pt idx="29">
                  <c:v>12783403.948858939</c:v>
                </c:pt>
                <c:pt idx="30">
                  <c:v>19175105.923288409</c:v>
                </c:pt>
                <c:pt idx="31">
                  <c:v>28762658.884932615</c:v>
                </c:pt>
                <c:pt idx="32">
                  <c:v>43143988.327398926</c:v>
                </c:pt>
                <c:pt idx="33">
                  <c:v>64715982.491098389</c:v>
                </c:pt>
                <c:pt idx="34">
                  <c:v>97073973.736647576</c:v>
                </c:pt>
                <c:pt idx="35">
                  <c:v>145610960.60497135</c:v>
                </c:pt>
                <c:pt idx="36">
                  <c:v>218416440.90745702</c:v>
                </c:pt>
                <c:pt idx="37">
                  <c:v>327624661.36118555</c:v>
                </c:pt>
                <c:pt idx="38">
                  <c:v>491436992.04177833</c:v>
                </c:pt>
                <c:pt idx="39">
                  <c:v>737155488.06266749</c:v>
                </c:pt>
                <c:pt idx="40">
                  <c:v>1105733232.0940013</c:v>
                </c:pt>
                <c:pt idx="41">
                  <c:v>1658599848.1410019</c:v>
                </c:pt>
                <c:pt idx="42">
                  <c:v>2487899772.211503</c:v>
                </c:pt>
                <c:pt idx="43">
                  <c:v>3731849658.3172545</c:v>
                </c:pt>
                <c:pt idx="44">
                  <c:v>5597774487.4758816</c:v>
                </c:pt>
                <c:pt idx="45">
                  <c:v>8396661731.2138224</c:v>
                </c:pt>
                <c:pt idx="46">
                  <c:v>12594992596.820734</c:v>
                </c:pt>
                <c:pt idx="47">
                  <c:v>18892488895.231102</c:v>
                </c:pt>
                <c:pt idx="48">
                  <c:v>28338733342.846653</c:v>
                </c:pt>
                <c:pt idx="49">
                  <c:v>42508100014.269981</c:v>
                </c:pt>
                <c:pt idx="50">
                  <c:v>63762150021.404968</c:v>
                </c:pt>
                <c:pt idx="51">
                  <c:v>95643225032.107452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DaysSince100!$H$3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ysClr val="windowText" lastClr="00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DaysSince100!$I$3:$DJ$3</c:f>
              <c:numCache>
                <c:formatCode>_-* #,##0_-;\-* #,##0_-;_-* "-"??_-;_-@_-</c:formatCode>
                <c:ptCount val="106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DaysSince100!$H$4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ysClr val="windowText" lastClr="00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DaysSince100!$I$4:$DJ$4</c:f>
              <c:numCache>
                <c:formatCode>_-* #,##0_-;\-* #,##0_-;_-* "-"??_-;_-@_-</c:formatCode>
                <c:ptCount val="106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DaysSince100!$H$5</c:f>
              <c:strCache>
                <c:ptCount val="1"/>
                <c:pt idx="0">
                  <c:v>China</c:v>
                </c:pt>
              </c:strCache>
            </c:strRef>
          </c:tx>
          <c:spPr>
            <a:ln w="444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DaysSince100!$I$5:$DJ$5</c:f>
              <c:numCache>
                <c:formatCode>General</c:formatCode>
                <c:ptCount val="106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44759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DaysSince100!$H$6</c:f>
              <c:strCache>
                <c:ptCount val="1"/>
                <c:pt idx="0">
                  <c:v>Italy</c:v>
                </c:pt>
              </c:strCache>
            </c:strRef>
          </c:tx>
          <c:spPr>
            <a:ln w="44450" cap="rnd" cmpd="sng" algn="ctr">
              <a:solidFill>
                <a:srgbClr val="5B9BD5">
                  <a:lumMod val="40000"/>
                  <a:lumOff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DaysSince100!$I$6:$CD$6</c:f>
              <c:numCache>
                <c:formatCode>General</c:formatCode>
                <c:ptCount val="74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14000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DaysSince100!$H$7</c:f>
              <c:strCache>
                <c:ptCount val="1"/>
                <c:pt idx="0">
                  <c:v>Iran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DaysSince100!$I$7:$CA$7</c:f>
              <c:numCache>
                <c:formatCode>General</c:formatCode>
                <c:ptCount val="71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  <c:pt idx="19">
                  <c:v>14991</c:v>
                </c:pt>
                <c:pt idx="20">
                  <c:v>16169</c:v>
                </c:pt>
                <c:pt idx="21">
                  <c:v>17361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DaysSince100!$H$8</c:f>
              <c:strCache>
                <c:ptCount val="1"/>
                <c:pt idx="0">
                  <c:v>Spain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DaysSince100!$I$8:$CG$8</c:f>
              <c:numCache>
                <c:formatCode>General</c:formatCode>
                <c:ptCount val="77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2277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14746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DaysSince100!$H$9</c:f>
              <c:strCache>
                <c:ptCount val="1"/>
                <c:pt idx="0">
                  <c:v>Germany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6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DaysSince100!$I$9:$BV$9</c:f>
              <c:numCache>
                <c:formatCode>General</c:formatCode>
                <c:ptCount val="66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11979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DaysSince100!$H$10</c:f>
              <c:strCache>
                <c:ptCount val="1"/>
                <c:pt idx="0">
                  <c:v>Korea, South</c:v>
                </c:pt>
              </c:strCache>
            </c:strRef>
          </c:tx>
          <c:spPr>
            <a:ln w="25400" cap="rnd" cmpd="sng" algn="ctr">
              <a:solidFill>
                <a:srgbClr val="002060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DaysSince100!$I$10:$BW$10</c:f>
              <c:numCache>
                <c:formatCode>General</c:formatCode>
                <c:ptCount val="67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DaysSince100!$H$11</c:f>
              <c:strCache>
                <c:ptCount val="1"/>
                <c:pt idx="0">
                  <c:v>France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DaysSince100!$I$11:$BW$11</c:f>
              <c:numCache>
                <c:formatCode>General</c:formatCode>
                <c:ptCount val="67"/>
                <c:pt idx="0">
                  <c:v>130</c:v>
                </c:pt>
                <c:pt idx="1">
                  <c:v>191</c:v>
                </c:pt>
                <c:pt idx="2">
                  <c:v>204</c:v>
                </c:pt>
                <c:pt idx="3">
                  <c:v>288</c:v>
                </c:pt>
                <c:pt idx="4">
                  <c:v>380</c:v>
                </c:pt>
                <c:pt idx="5">
                  <c:v>656</c:v>
                </c:pt>
                <c:pt idx="6">
                  <c:v>957</c:v>
                </c:pt>
                <c:pt idx="7">
                  <c:v>1134</c:v>
                </c:pt>
                <c:pt idx="8">
                  <c:v>1217</c:v>
                </c:pt>
                <c:pt idx="9">
                  <c:v>1792</c:v>
                </c:pt>
                <c:pt idx="10">
                  <c:v>2290</c:v>
                </c:pt>
                <c:pt idx="11">
                  <c:v>2290</c:v>
                </c:pt>
                <c:pt idx="12">
                  <c:v>3678</c:v>
                </c:pt>
                <c:pt idx="13">
                  <c:v>4487</c:v>
                </c:pt>
                <c:pt idx="14">
                  <c:v>4523</c:v>
                </c:pt>
                <c:pt idx="15">
                  <c:v>6668</c:v>
                </c:pt>
                <c:pt idx="16">
                  <c:v>7730</c:v>
                </c:pt>
                <c:pt idx="17">
                  <c:v>9134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11"/>
          <c:order val="10"/>
          <c:tx>
            <c:strRef>
              <c:f>DaysSince100!$H$12</c:f>
              <c:strCache>
                <c:ptCount val="1"/>
                <c:pt idx="0">
                  <c:v>US</c:v>
                </c:pt>
              </c:strCache>
            </c:strRef>
          </c:tx>
          <c:spPr>
            <a:ln w="44450" cap="rnd" cmpd="sng" algn="ctr">
              <a:solidFill>
                <a:srgbClr val="70AD47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DaysSince100!$I$12:$BU$12</c:f>
              <c:numCache>
                <c:formatCode>General</c:formatCode>
                <c:ptCount val="65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2728</c:v>
                </c:pt>
                <c:pt idx="12">
                  <c:v>3500</c:v>
                </c:pt>
                <c:pt idx="13">
                  <c:v>4633</c:v>
                </c:pt>
                <c:pt idx="14">
                  <c:v>6421</c:v>
                </c:pt>
                <c:pt idx="15">
                  <c:v>8019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939-447C-95C3-9E180202C83B}"/>
            </c:ext>
          </c:extLst>
        </c:ser>
        <c:ser>
          <c:idx val="12"/>
          <c:order val="11"/>
          <c:tx>
            <c:strRef>
              <c:f>DaysSince100!$H$13</c:f>
              <c:strCache>
                <c:ptCount val="1"/>
                <c:pt idx="0">
                  <c:v>Switzerland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DaysSince100!$I$13:$BS$13</c:f>
              <c:numCache>
                <c:formatCode>General</c:formatCode>
                <c:ptCount val="63"/>
                <c:pt idx="0">
                  <c:v>114</c:v>
                </c:pt>
                <c:pt idx="1">
                  <c:v>214</c:v>
                </c:pt>
                <c:pt idx="2">
                  <c:v>268</c:v>
                </c:pt>
                <c:pt idx="3">
                  <c:v>337</c:v>
                </c:pt>
                <c:pt idx="4">
                  <c:v>374</c:v>
                </c:pt>
                <c:pt idx="5">
                  <c:v>491</c:v>
                </c:pt>
                <c:pt idx="6">
                  <c:v>652</c:v>
                </c:pt>
                <c:pt idx="7">
                  <c:v>652</c:v>
                </c:pt>
                <c:pt idx="8">
                  <c:v>1139</c:v>
                </c:pt>
                <c:pt idx="9">
                  <c:v>1359</c:v>
                </c:pt>
                <c:pt idx="10">
                  <c:v>2200</c:v>
                </c:pt>
                <c:pt idx="11">
                  <c:v>2200</c:v>
                </c:pt>
                <c:pt idx="12">
                  <c:v>2700</c:v>
                </c:pt>
                <c:pt idx="13">
                  <c:v>3070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39-447C-95C3-9E180202C83B}"/>
            </c:ext>
          </c:extLst>
        </c:ser>
        <c:ser>
          <c:idx val="13"/>
          <c:order val="12"/>
          <c:tx>
            <c:strRef>
              <c:f>DaysSince100!$H$14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44450" cap="rnd" cmpd="sng" algn="ctr">
              <a:solidFill>
                <a:srgbClr val="A5A5A5">
                  <a:lumMod val="8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DaysSince100!$I$14:$BR$14</c:f>
              <c:numCache>
                <c:formatCode>General</c:formatCode>
                <c:ptCount val="62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803</c:v>
                </c:pt>
                <c:pt idx="9">
                  <c:v>1145</c:v>
                </c:pt>
                <c:pt idx="10">
                  <c:v>1355</c:v>
                </c:pt>
                <c:pt idx="11">
                  <c:v>1552</c:v>
                </c:pt>
                <c:pt idx="12">
                  <c:v>1960</c:v>
                </c:pt>
                <c:pt idx="13">
                  <c:v>2626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939-447C-95C3-9E180202C83B}"/>
            </c:ext>
          </c:extLst>
        </c:ser>
        <c:ser>
          <c:idx val="14"/>
          <c:order val="13"/>
          <c:tx>
            <c:strRef>
              <c:f>DaysSince100!$H$15</c:f>
              <c:strCache>
                <c:ptCount val="1"/>
                <c:pt idx="0">
                  <c:v>Netherlands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DaysSince100!$I$15:$BR$15</c:f>
              <c:numCache>
                <c:formatCode>General</c:formatCode>
                <c:ptCount val="62"/>
                <c:pt idx="0">
                  <c:v>128</c:v>
                </c:pt>
                <c:pt idx="1">
                  <c:v>188</c:v>
                </c:pt>
                <c:pt idx="2">
                  <c:v>265</c:v>
                </c:pt>
                <c:pt idx="3">
                  <c:v>321</c:v>
                </c:pt>
                <c:pt idx="4">
                  <c:v>382</c:v>
                </c:pt>
                <c:pt idx="5">
                  <c:v>503</c:v>
                </c:pt>
                <c:pt idx="6">
                  <c:v>503</c:v>
                </c:pt>
                <c:pt idx="7">
                  <c:v>804</c:v>
                </c:pt>
                <c:pt idx="8">
                  <c:v>960</c:v>
                </c:pt>
                <c:pt idx="9">
                  <c:v>1136</c:v>
                </c:pt>
                <c:pt idx="10">
                  <c:v>1414</c:v>
                </c:pt>
                <c:pt idx="11">
                  <c:v>1708</c:v>
                </c:pt>
                <c:pt idx="12">
                  <c:v>2051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939-447C-95C3-9E180202C83B}"/>
            </c:ext>
          </c:extLst>
        </c:ser>
        <c:ser>
          <c:idx val="16"/>
          <c:order val="14"/>
          <c:tx>
            <c:strRef>
              <c:f>DaysSince100!$H$16</c:f>
              <c:strCache>
                <c:ptCount val="1"/>
                <c:pt idx="0">
                  <c:v>Norway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DaysSince100!$I$16:$BN$16</c:f>
              <c:numCache>
                <c:formatCode>General</c:formatCode>
                <c:ptCount val="58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  <c:pt idx="11">
                  <c:v>1463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939-447C-95C3-9E180202C83B}"/>
            </c:ext>
          </c:extLst>
        </c:ser>
        <c:ser>
          <c:idx val="19"/>
          <c:order val="15"/>
          <c:tx>
            <c:strRef>
              <c:f>DaysSince100!$H$17</c:f>
              <c:strCache>
                <c:ptCount val="1"/>
                <c:pt idx="0">
                  <c:v>Austria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DaysSince100!$I$17:$BR$17</c:f>
              <c:numCache>
                <c:formatCode>General</c:formatCode>
                <c:ptCount val="62"/>
                <c:pt idx="0">
                  <c:v>104</c:v>
                </c:pt>
                <c:pt idx="1">
                  <c:v>131</c:v>
                </c:pt>
                <c:pt idx="2">
                  <c:v>182</c:v>
                </c:pt>
                <c:pt idx="3">
                  <c:v>246</c:v>
                </c:pt>
                <c:pt idx="4">
                  <c:v>302</c:v>
                </c:pt>
                <c:pt idx="5">
                  <c:v>504</c:v>
                </c:pt>
                <c:pt idx="6">
                  <c:v>655</c:v>
                </c:pt>
                <c:pt idx="7">
                  <c:v>860</c:v>
                </c:pt>
                <c:pt idx="8">
                  <c:v>1018</c:v>
                </c:pt>
                <c:pt idx="9">
                  <c:v>1332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939-447C-95C3-9E180202C83B}"/>
            </c:ext>
          </c:extLst>
        </c:ser>
        <c:ser>
          <c:idx val="20"/>
          <c:order val="16"/>
          <c:tx>
            <c:strRef>
              <c:f>DaysSince100!$H$18</c:f>
              <c:strCache>
                <c:ptCount val="1"/>
                <c:pt idx="0">
                  <c:v>Belgium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DaysSince100!$I$18:$BS$18</c:f>
              <c:numCache>
                <c:formatCode>General</c:formatCode>
                <c:ptCount val="63"/>
                <c:pt idx="0">
                  <c:v>109</c:v>
                </c:pt>
                <c:pt idx="1">
                  <c:v>169</c:v>
                </c:pt>
                <c:pt idx="2">
                  <c:v>200</c:v>
                </c:pt>
                <c:pt idx="3">
                  <c:v>239</c:v>
                </c:pt>
                <c:pt idx="4">
                  <c:v>267</c:v>
                </c:pt>
                <c:pt idx="5">
                  <c:v>314</c:v>
                </c:pt>
                <c:pt idx="6">
                  <c:v>314</c:v>
                </c:pt>
                <c:pt idx="7">
                  <c:v>559</c:v>
                </c:pt>
                <c:pt idx="8">
                  <c:v>689</c:v>
                </c:pt>
                <c:pt idx="9">
                  <c:v>886</c:v>
                </c:pt>
                <c:pt idx="10">
                  <c:v>1058</c:v>
                </c:pt>
                <c:pt idx="11">
                  <c:v>1243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939-447C-95C3-9E180202C83B}"/>
            </c:ext>
          </c:extLst>
        </c:ser>
        <c:ser>
          <c:idx val="23"/>
          <c:order val="17"/>
          <c:tx>
            <c:strRef>
              <c:f>DaysSince100!$H$19</c:f>
              <c:strCache>
                <c:ptCount val="1"/>
                <c:pt idx="0">
                  <c:v>Sweden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DaysSince100!$I$19:$CF$19</c:f>
              <c:numCache>
                <c:formatCode>General</c:formatCode>
                <c:ptCount val="76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939-447C-95C3-9E180202C83B}"/>
            </c:ext>
          </c:extLst>
        </c:ser>
        <c:ser>
          <c:idx val="26"/>
          <c:order val="18"/>
          <c:tx>
            <c:strRef>
              <c:f>DaysSince100!$H$20</c:f>
              <c:strCache>
                <c:ptCount val="1"/>
                <c:pt idx="0">
                  <c:v>Denmark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DaysSince100!$I$20:$CQ$20</c:f>
              <c:numCache>
                <c:formatCode>General</c:formatCode>
                <c:ptCount val="87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932</c:v>
                </c:pt>
                <c:pt idx="7">
                  <c:v>1024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939-447C-95C3-9E180202C83B}"/>
            </c:ext>
          </c:extLst>
        </c:ser>
        <c:ser>
          <c:idx val="27"/>
          <c:order val="19"/>
          <c:tx>
            <c:strRef>
              <c:f>DaysSince100!$H$21</c:f>
              <c:strCache>
                <c:ptCount val="1"/>
                <c:pt idx="0">
                  <c:v>Japan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DaysSince100!$I$21:$BR$21</c:f>
              <c:numCache>
                <c:formatCode>General</c:formatCode>
                <c:ptCount val="62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825</c:v>
                </c:pt>
                <c:pt idx="25">
                  <c:v>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39-447C-95C3-9E180202C83B}"/>
            </c:ext>
          </c:extLst>
        </c:ser>
        <c:ser>
          <c:idx val="29"/>
          <c:order val="20"/>
          <c:tx>
            <c:strRef>
              <c:f>DaysSince100!$H$23</c:f>
              <c:strCache>
                <c:ptCount val="1"/>
                <c:pt idx="0">
                  <c:v>Malaysia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DaysSince100!$I$23:$BM$23</c:f>
              <c:numCache>
                <c:formatCode>General</c:formatCode>
                <c:ptCount val="57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  <c:pt idx="8">
                  <c:v>673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939-447C-95C3-9E180202C83B}"/>
            </c:ext>
          </c:extLst>
        </c:ser>
        <c:ser>
          <c:idx val="30"/>
          <c:order val="21"/>
          <c:tx>
            <c:strRef>
              <c:f>DaysSince100!$H$24</c:f>
              <c:strCache>
                <c:ptCount val="1"/>
                <c:pt idx="0">
                  <c:v>Canada</c:v>
                </c:pt>
              </c:strCache>
            </c:strRef>
          </c:tx>
          <c:spPr>
            <a:ln w="25400" cap="rnd" cmpd="sng" algn="ctr">
              <a:solidFill>
                <a:srgbClr val="5B9BD5"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DaysSince100!$I$24:$BN$24</c:f>
              <c:numCache>
                <c:formatCode>General</c:formatCode>
                <c:ptCount val="58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939-447C-95C3-9E180202C83B}"/>
            </c:ext>
          </c:extLst>
        </c:ser>
        <c:ser>
          <c:idx val="31"/>
          <c:order val="22"/>
          <c:tx>
            <c:strRef>
              <c:f>DaysSince100!$H$25</c:f>
              <c:strCache>
                <c:ptCount val="1"/>
                <c:pt idx="0">
                  <c:v>Australia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DaysSince100!$I$25:$BX$25</c:f>
              <c:numCache>
                <c:formatCode>General</c:formatCode>
                <c:ptCount val="68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939-447C-95C3-9E180202C83B}"/>
            </c:ext>
          </c:extLst>
        </c:ser>
        <c:ser>
          <c:idx val="32"/>
          <c:order val="23"/>
          <c:tx>
            <c:strRef>
              <c:f>DaysSince100!$H$26</c:f>
              <c:strCache>
                <c:ptCount val="1"/>
                <c:pt idx="0">
                  <c:v>Portugal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DaysSince100!$I$26:$BO$26</c:f>
              <c:numCache>
                <c:formatCode>General</c:formatCode>
                <c:ptCount val="59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39-447C-95C3-9E180202C83B}"/>
            </c:ext>
          </c:extLst>
        </c:ser>
        <c:ser>
          <c:idx val="0"/>
          <c:order val="24"/>
          <c:tx>
            <c:strRef>
              <c:f>DaysSince100!$H$27</c:f>
              <c:strCache>
                <c:ptCount val="1"/>
                <c:pt idx="0">
                  <c:v>Qatar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60000"/>
                  <a:lumOff val="4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DaysSince100!$I$27:$BM$27</c:f>
              <c:numCache>
                <c:formatCode>General</c:formatCode>
                <c:ptCount val="57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  <c:pt idx="6">
                  <c:v>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939-447C-95C3-9E180202C83B}"/>
            </c:ext>
          </c:extLst>
        </c:ser>
        <c:ser>
          <c:idx val="15"/>
          <c:order val="25"/>
          <c:tx>
            <c:strRef>
              <c:f>DaysSince100!$H$28</c:f>
              <c:strCache>
                <c:ptCount val="1"/>
                <c:pt idx="0">
                  <c:v>Czechia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DaysSince100!$I$28:$BK$28</c:f>
              <c:numCache>
                <c:formatCode>General</c:formatCode>
                <c:ptCount val="55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  <c:pt idx="4">
                  <c:v>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39-447C-95C3-9E180202C83B}"/>
            </c:ext>
          </c:extLst>
        </c:ser>
        <c:ser>
          <c:idx val="33"/>
          <c:order val="26"/>
          <c:tx>
            <c:strRef>
              <c:f>DaysSince100!$H$29</c:f>
              <c:strCache>
                <c:ptCount val="1"/>
                <c:pt idx="0">
                  <c:v>Greece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DaysSince100!$I$29:$BN$29</c:f>
              <c:numCache>
                <c:formatCode>General</c:formatCode>
                <c:ptCount val="58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  <c:pt idx="3">
                  <c:v>331</c:v>
                </c:pt>
                <c:pt idx="4">
                  <c:v>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39-447C-95C3-9E180202C83B}"/>
            </c:ext>
          </c:extLst>
        </c:ser>
        <c:ser>
          <c:idx val="17"/>
          <c:order val="27"/>
          <c:tx>
            <c:strRef>
              <c:f>DaysSince100!$H$30</c:f>
              <c:strCache>
                <c:ptCount val="1"/>
                <c:pt idx="0">
                  <c:v>Israel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80000"/>
                  <a:lumOff val="2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DaysSince100!$I$30:$BM$30</c:f>
              <c:numCache>
                <c:formatCode>General</c:formatCode>
                <c:ptCount val="57"/>
                <c:pt idx="0">
                  <c:v>109</c:v>
                </c:pt>
                <c:pt idx="1">
                  <c:v>131</c:v>
                </c:pt>
                <c:pt idx="2">
                  <c:v>161</c:v>
                </c:pt>
                <c:pt idx="3">
                  <c:v>193</c:v>
                </c:pt>
                <c:pt idx="4">
                  <c:v>251</c:v>
                </c:pt>
                <c:pt idx="5">
                  <c:v>255</c:v>
                </c:pt>
                <c:pt idx="6">
                  <c:v>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39-447C-95C3-9E180202C83B}"/>
            </c:ext>
          </c:extLst>
        </c:ser>
        <c:ser>
          <c:idx val="18"/>
          <c:order val="28"/>
          <c:tx>
            <c:strRef>
              <c:f>DaysSince100!$H$31</c:f>
              <c:strCache>
                <c:ptCount val="1"/>
                <c:pt idx="0">
                  <c:v>Finland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DaysSince100!$I$31:$BK$31</c:f>
              <c:numCache>
                <c:formatCode>General</c:formatCode>
                <c:ptCount val="55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  <c:pt idx="3">
                  <c:v>277</c:v>
                </c:pt>
                <c:pt idx="4">
                  <c:v>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39-447C-95C3-9E180202C83B}"/>
            </c:ext>
          </c:extLst>
        </c:ser>
        <c:ser>
          <c:idx val="34"/>
          <c:order val="29"/>
          <c:tx>
            <c:strRef>
              <c:f>DaysSince100!$H$32</c:f>
              <c:strCache>
                <c:ptCount val="1"/>
                <c:pt idx="0">
                  <c:v>Brazil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DaysSince100!$I$32:$BK$32</c:f>
              <c:numCache>
                <c:formatCode>General</c:formatCode>
                <c:ptCount val="55"/>
                <c:pt idx="0">
                  <c:v>151</c:v>
                </c:pt>
                <c:pt idx="1">
                  <c:v>151</c:v>
                </c:pt>
                <c:pt idx="2">
                  <c:v>162</c:v>
                </c:pt>
                <c:pt idx="3">
                  <c:v>200</c:v>
                </c:pt>
                <c:pt idx="4">
                  <c:v>321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39-447C-95C3-9E180202C83B}"/>
            </c:ext>
          </c:extLst>
        </c:ser>
        <c:ser>
          <c:idx val="35"/>
          <c:order val="30"/>
          <c:tx>
            <c:strRef>
              <c:f>DaysSince100!$H$33</c:f>
              <c:strCache>
                <c:ptCount val="1"/>
                <c:pt idx="0">
                  <c:v>Slovenia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DaysSince100!$I$33:$BK$33</c:f>
              <c:numCache>
                <c:formatCode>General</c:formatCode>
                <c:ptCount val="55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  <c:pt idx="4">
                  <c:v>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39-447C-95C3-9E180202C83B}"/>
            </c:ext>
          </c:extLst>
        </c:ser>
        <c:ser>
          <c:idx val="36"/>
          <c:order val="31"/>
          <c:tx>
            <c:strRef>
              <c:f>DaysSince100!$H$34</c:f>
              <c:strCache>
                <c:ptCount val="1"/>
                <c:pt idx="0">
                  <c:v>Singapore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DaysSince100!$I$34:$BK$34</c:f>
              <c:numCache>
                <c:formatCode>General</c:formatCode>
                <c:ptCount val="55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  <c:pt idx="17">
                  <c:v>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39-447C-95C3-9E180202C83B}"/>
            </c:ext>
          </c:extLst>
        </c:ser>
        <c:ser>
          <c:idx val="21"/>
          <c:order val="32"/>
          <c:tx>
            <c:strRef>
              <c:f>DaysSince100!$H$35</c:f>
              <c:strCache>
                <c:ptCount val="1"/>
                <c:pt idx="0">
                  <c:v>Poland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DaysSince100!$I$35:$BL$35</c:f>
              <c:numCache>
                <c:formatCode>General</c:formatCode>
                <c:ptCount val="56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  <c:pt idx="3">
                  <c:v>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39-447C-95C3-9E180202C83B}"/>
            </c:ext>
          </c:extLst>
        </c:ser>
        <c:ser>
          <c:idx val="22"/>
          <c:order val="33"/>
          <c:tx>
            <c:strRef>
              <c:f>DaysSince100!$H$36</c:f>
              <c:strCache>
                <c:ptCount val="1"/>
                <c:pt idx="0">
                  <c:v>Pakistan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DaysSince100!$I$36:$BK$36</c:f>
              <c:numCache>
                <c:formatCode>General</c:formatCode>
                <c:ptCount val="55"/>
                <c:pt idx="0">
                  <c:v>136</c:v>
                </c:pt>
                <c:pt idx="1">
                  <c:v>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39-447C-95C3-9E180202C83B}"/>
            </c:ext>
          </c:extLst>
        </c:ser>
        <c:ser>
          <c:idx val="37"/>
          <c:order val="34"/>
          <c:tx>
            <c:strRef>
              <c:f>DaysSince100!$H$37</c:f>
              <c:strCache>
                <c:ptCount val="1"/>
                <c:pt idx="0">
                  <c:v>Bahrain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DaysSince100!$I$37:$BK$37</c:f>
              <c:numCache>
                <c:formatCode>General</c:formatCode>
                <c:ptCount val="55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189</c:v>
                </c:pt>
                <c:pt idx="4">
                  <c:v>210</c:v>
                </c:pt>
                <c:pt idx="5">
                  <c:v>214</c:v>
                </c:pt>
                <c:pt idx="6">
                  <c:v>214</c:v>
                </c:pt>
                <c:pt idx="7">
                  <c:v>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39-447C-95C3-9E180202C83B}"/>
            </c:ext>
          </c:extLst>
        </c:ser>
        <c:ser>
          <c:idx val="38"/>
          <c:order val="35"/>
          <c:tx>
            <c:strRef>
              <c:f>DaysSince100!$H$38</c:f>
              <c:strCache>
                <c:ptCount val="1"/>
                <c:pt idx="0">
                  <c:v>Estonia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DaysSince100!$I$38:$BJ$38</c:f>
              <c:numCache>
                <c:formatCode>General</c:formatCode>
                <c:ptCount val="54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  <c:pt idx="3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39-447C-95C3-9E180202C83B}"/>
            </c:ext>
          </c:extLst>
        </c:ser>
        <c:ser>
          <c:idx val="39"/>
          <c:order val="36"/>
          <c:tx>
            <c:strRef>
              <c:f>DaysSince100!$H$39</c:f>
              <c:strCache>
                <c:ptCount val="1"/>
                <c:pt idx="0">
                  <c:v>Ireland</c:v>
                </c:pt>
              </c:strCache>
            </c:strRef>
          </c:tx>
          <c:spPr>
            <a:ln w="25400" cap="rnd" cmpd="sng" algn="ctr">
              <a:solidFill>
                <a:srgbClr val="A5A5A5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DaysSince100!$I$39:$BJ$39</c:f>
              <c:numCache>
                <c:formatCode>General</c:formatCode>
                <c:ptCount val="54"/>
                <c:pt idx="0">
                  <c:v>129</c:v>
                </c:pt>
                <c:pt idx="1">
                  <c:v>129</c:v>
                </c:pt>
                <c:pt idx="2">
                  <c:v>169</c:v>
                </c:pt>
                <c:pt idx="3">
                  <c:v>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39-447C-95C3-9E180202C83B}"/>
            </c:ext>
          </c:extLst>
        </c:ser>
        <c:ser>
          <c:idx val="40"/>
          <c:order val="37"/>
          <c:tx>
            <c:strRef>
              <c:f>DaysSince100!$H$40</c:f>
              <c:strCache>
                <c:ptCount val="1"/>
                <c:pt idx="0">
                  <c:v>Iceland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8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DaysSince100!$I$40:$BJ$40</c:f>
              <c:numCache>
                <c:formatCode>General</c:formatCode>
                <c:ptCount val="54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  <c:pt idx="5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39-447C-95C3-9E180202C83B}"/>
            </c:ext>
          </c:extLst>
        </c:ser>
        <c:ser>
          <c:idx val="41"/>
          <c:order val="38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70AD47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39-447C-95C3-9E180202C83B}"/>
            </c:ext>
          </c:extLst>
        </c:ser>
        <c:ser>
          <c:idx val="42"/>
          <c:order val="39"/>
          <c:tx>
            <c:strRef>
              <c:f>DaysSince100!$H$41</c:f>
              <c:strCache>
                <c:ptCount val="1"/>
                <c:pt idx="0">
                  <c:v>Chile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DaysSince100!$I$41:$BJ$41</c:f>
              <c:numCache>
                <c:formatCode>General</c:formatCode>
                <c:ptCount val="54"/>
                <c:pt idx="0">
                  <c:v>155</c:v>
                </c:pt>
                <c:pt idx="1">
                  <c:v>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39-447C-95C3-9E180202C83B}"/>
            </c:ext>
          </c:extLst>
        </c:ser>
        <c:ser>
          <c:idx val="43"/>
          <c:order val="40"/>
          <c:tx>
            <c:strRef>
              <c:f>DaysSince100!$H$42</c:f>
              <c:strCache>
                <c:ptCount val="1"/>
                <c:pt idx="0">
                  <c:v>Egypt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DaysSince100!$I$42:$BJ$42</c:f>
              <c:numCache>
                <c:formatCode>General</c:formatCode>
                <c:ptCount val="54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  <c:pt idx="3">
                  <c:v>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41"/>
          <c:tx>
            <c:strRef>
              <c:f>DaysSince100!$H$43</c:f>
              <c:strCache>
                <c:ptCount val="1"/>
                <c:pt idx="0">
                  <c:v>Philippines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DaysSince100!$I$43:$BJ$43</c:f>
              <c:numCache>
                <c:formatCode>General</c:formatCode>
                <c:ptCount val="54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  <c:pt idx="3">
                  <c:v>187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5"/>
          <c:order val="42"/>
          <c:tx>
            <c:strRef>
              <c:f>DaysSince100!$H$44</c:f>
              <c:strCache>
                <c:ptCount val="1"/>
                <c:pt idx="0">
                  <c:v>Romania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DaysSince100!$I$44:$BI$44</c:f>
              <c:numCache>
                <c:formatCode>General</c:formatCode>
                <c:ptCount val="53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  <c:pt idx="3">
                  <c:v>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939-447C-95C3-9E180202C83B}"/>
            </c:ext>
          </c:extLst>
        </c:ser>
        <c:ser>
          <c:idx val="46"/>
          <c:order val="43"/>
          <c:tx>
            <c:strRef>
              <c:f>DaysSince100!$H$45</c:f>
              <c:strCache>
                <c:ptCount val="1"/>
                <c:pt idx="0">
                  <c:v>Thailand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DaysSince100!$I$45:$BJ$45</c:f>
              <c:numCache>
                <c:formatCode>General</c:formatCode>
                <c:ptCount val="54"/>
                <c:pt idx="0">
                  <c:v>114</c:v>
                </c:pt>
                <c:pt idx="1">
                  <c:v>147</c:v>
                </c:pt>
                <c:pt idx="2">
                  <c:v>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939-447C-95C3-9E180202C83B}"/>
            </c:ext>
          </c:extLst>
        </c:ser>
        <c:ser>
          <c:idx val="47"/>
          <c:order val="44"/>
          <c:tx>
            <c:strRef>
              <c:f>DaysSince100!$H$46</c:f>
              <c:strCache>
                <c:ptCount val="1"/>
                <c:pt idx="0">
                  <c:v>Indonesia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DaysSince100!$I$46:$BI$46</c:f>
              <c:numCache>
                <c:formatCode>General</c:formatCode>
                <c:ptCount val="53"/>
                <c:pt idx="0">
                  <c:v>117</c:v>
                </c:pt>
                <c:pt idx="1">
                  <c:v>134</c:v>
                </c:pt>
                <c:pt idx="2">
                  <c:v>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939-447C-95C3-9E180202C83B}"/>
            </c:ext>
          </c:extLst>
        </c:ser>
        <c:ser>
          <c:idx val="48"/>
          <c:order val="45"/>
          <c:tx>
            <c:strRef>
              <c:f>DaysSince100!$H$47</c:f>
              <c:strCache>
                <c:ptCount val="1"/>
                <c:pt idx="0">
                  <c:v>Saudi Arabia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DaysSince100!$I$47:$BI$47</c:f>
              <c:numCache>
                <c:formatCode>General</c:formatCode>
                <c:ptCount val="53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  <c:pt idx="3">
                  <c:v>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49"/>
          <c:order val="46"/>
          <c:tx>
            <c:strRef>
              <c:f>DaysSince100!$H$48</c:f>
              <c:strCache>
                <c:ptCount val="1"/>
                <c:pt idx="0">
                  <c:v>Iraq</c:v>
                </c:pt>
              </c:strCache>
            </c:strRef>
          </c:tx>
          <c:spPr>
            <a:ln w="25400" cap="rnd" cmpd="sng" algn="ctr">
              <a:solidFill>
                <a:srgbClr val="ED7D31">
                  <a:lumMod val="70000"/>
                  <a:lumOff val="3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DaysSince100!$I$48:$BI$48</c:f>
              <c:numCache>
                <c:formatCode>General</c:formatCode>
                <c:ptCount val="53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  <c:pt idx="3">
                  <c:v>124</c:v>
                </c:pt>
                <c:pt idx="4">
                  <c:v>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939-447C-95C3-9E180202C83B}"/>
            </c:ext>
          </c:extLst>
        </c:ser>
        <c:ser>
          <c:idx val="50"/>
          <c:order val="47"/>
          <c:tx>
            <c:strRef>
              <c:f>DaysSince100!$H$49</c:f>
              <c:strCache>
                <c:ptCount val="1"/>
                <c:pt idx="0">
                  <c:v>India</c:v>
                </c:pt>
              </c:strCache>
            </c:strRef>
          </c:tx>
          <c:spPr>
            <a:ln w="25400" cap="rnd" cmpd="sng" algn="ctr">
              <a:solidFill>
                <a:srgbClr val="5B9BD5">
                  <a:lumMod val="7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DaysSince100!$I$49:$BJ$49</c:f>
              <c:numCache>
                <c:formatCode>General</c:formatCode>
                <c:ptCount val="54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  <c:pt idx="3">
                  <c:v>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939-447C-95C3-9E180202C83B}"/>
            </c:ext>
          </c:extLst>
        </c:ser>
        <c:ser>
          <c:idx val="51"/>
          <c:order val="48"/>
          <c:tx>
            <c:strRef>
              <c:f>DaysSince100!$H$50</c:f>
              <c:strCache>
                <c:ptCount val="1"/>
                <c:pt idx="0">
                  <c:v>Luxembourg</c:v>
                </c:pt>
              </c:strCache>
            </c:strRef>
          </c:tx>
          <c:spPr>
            <a:ln w="25400" cap="rnd" cmpd="sng" algn="ctr">
              <a:solidFill>
                <a:srgbClr val="FFC000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DaysSince100!$I$50:$BJ$50</c:f>
              <c:numCache>
                <c:formatCode>General</c:formatCode>
                <c:ptCount val="54"/>
                <c:pt idx="0">
                  <c:v>140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49"/>
          <c:tx>
            <c:strRef>
              <c:f>DaysSince100!#REF!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 cap="rnd" cmpd="sng" algn="ctr">
              <a:solidFill>
                <a:srgbClr val="4472C4">
                  <a:lumMod val="50000"/>
                  <a:lumOff val="50000"/>
                  <a:alpha val="1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DaysSince100!$I$1:$DJ$1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cat>
          <c:val>
            <c:numRef>
              <c:f>DaysSince100!#REF!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2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/>
                  <a:t>Days since 100th infection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4000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5206056662831"/>
          <c:y val="2.1642300251611832E-2"/>
          <c:w val="0.18334793943337183"/>
          <c:h val="0.950622632658362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141514</xdr:colOff>
      <xdr:row>1</xdr:row>
      <xdr:rowOff>1089</xdr:rowOff>
    </xdr:from>
    <xdr:to>
      <xdr:col>17</xdr:col>
      <xdr:colOff>533400</xdr:colOff>
      <xdr:row>27</xdr:row>
      <xdr:rowOff>130628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CC1F0A1-4E22-436E-A279-1C8C5675E4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141514</xdr:colOff>
      <xdr:row>27</xdr:row>
      <xdr:rowOff>129540</xdr:rowOff>
    </xdr:from>
    <xdr:to>
      <xdr:col>17</xdr:col>
      <xdr:colOff>533399</xdr:colOff>
      <xdr:row>52</xdr:row>
      <xdr:rowOff>99060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FA082E9-A0DA-4384-8266-7FCF349A94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21</xdr:col>
      <xdr:colOff>0</xdr:colOff>
      <xdr:row>6</xdr:row>
      <xdr:rowOff>0</xdr:rowOff>
    </xdr:from>
    <xdr:ext cx="1173480" cy="264560"/>
    <xdr:sp macro="[0]!Sheet6.MinMax2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14499771" y="1045029"/>
          <a:ext cx="117348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oneCellAnchor>
    <xdr:from>
      <xdr:col>21</xdr:col>
      <xdr:colOff>0</xdr:colOff>
      <xdr:row>8</xdr:row>
      <xdr:rowOff>40278</xdr:rowOff>
    </xdr:from>
    <xdr:ext cx="1173480" cy="264560"/>
    <xdr:sp macro="[0]!Sheet6.MinMax3" textlink="">
      <xdr:nvSpPr>
        <xdr:cNvPr id="5" name="TextBox 4">
          <a:extLst>
            <a:ext uri="{FF2B5EF4-FFF2-40B4-BE49-F238E27FC236}">
              <a16:creationId xmlns:a16="http://schemas.microsoft.com/office/drawing/2014/main" id="{E9565EA1-B424-4026-921E-14680A1CE5ED}"/>
            </a:ext>
          </a:extLst>
        </xdr:cNvPr>
        <xdr:cNvSpPr txBox="1"/>
      </xdr:nvSpPr>
      <xdr:spPr>
        <a:xfrm>
          <a:off x="14499771" y="1433649"/>
          <a:ext cx="117348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graph2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22860</xdr:rowOff>
    </xdr:from>
    <xdr:to>
      <xdr:col>15</xdr:col>
      <xdr:colOff>502920</xdr:colOff>
      <xdr:row>29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82296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822960" cy="264560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RUN</a:t>
          </a:r>
        </a:p>
      </xdr:txBody>
    </xdr:sp>
    <xdr:clientData/>
  </xdr:oneCellAnchor>
  <xdr:oneCellAnchor>
    <xdr:from>
      <xdr:col>20</xdr:col>
      <xdr:colOff>137160</xdr:colOff>
      <xdr:row>6</xdr:row>
      <xdr:rowOff>7620</xdr:rowOff>
    </xdr:from>
    <xdr:ext cx="822960" cy="264560"/>
    <xdr:sp macro="[0]!Macro" textlink="">
      <xdr:nvSpPr>
        <xdr:cNvPr id="4" name="TextBox 3">
          <a:extLst>
            <a:ext uri="{FF2B5EF4-FFF2-40B4-BE49-F238E27FC236}">
              <a16:creationId xmlns:a16="http://schemas.microsoft.com/office/drawing/2014/main" id="{749CAB7E-3D04-40FF-AB14-4D2D57C87734}"/>
            </a:ext>
          </a:extLst>
        </xdr:cNvPr>
        <xdr:cNvSpPr txBox="1"/>
      </xdr:nvSpPr>
      <xdr:spPr>
        <a:xfrm>
          <a:off x="12496800" y="1104900"/>
          <a:ext cx="822960" cy="264560"/>
        </a:xfrm>
        <a:prstGeom prst="rect">
          <a:avLst/>
        </a:prstGeom>
        <a:solidFill>
          <a:srgbClr val="00B0F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Data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/>
  <dimension ref="A1:W53"/>
  <sheetViews>
    <sheetView showGridLines="0" tabSelected="1" zoomScale="70" zoomScaleNormal="70" workbookViewId="0">
      <selection activeCell="C12" sqref="C12:C17"/>
    </sheetView>
  </sheetViews>
  <sheetFormatPr defaultRowHeight="13.8" x14ac:dyDescent="0.25"/>
  <cols>
    <col min="1" max="1" width="3.21875" style="41" customWidth="1"/>
    <col min="2" max="2" width="32.44140625" style="41" bestFit="1" customWidth="1"/>
    <col min="3" max="3" width="17.21875" style="41" bestFit="1" customWidth="1"/>
    <col min="4" max="16384" width="8.88671875" style="41"/>
  </cols>
  <sheetData>
    <row r="1" spans="1:23" x14ac:dyDescent="0.25">
      <c r="A1" s="55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7"/>
    </row>
    <row r="2" spans="1:23" x14ac:dyDescent="0.25">
      <c r="A2" s="58"/>
      <c r="B2" s="71" t="str">
        <f>C7&amp;" Covid-19 Active Case Projections"</f>
        <v>UK Covid-19 Active Case Projections</v>
      </c>
      <c r="C2" s="71"/>
      <c r="D2" s="59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60"/>
    </row>
    <row r="3" spans="1:23" x14ac:dyDescent="0.25">
      <c r="A3" s="58"/>
      <c r="B3" s="71"/>
      <c r="C3" s="71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60"/>
    </row>
    <row r="4" spans="1:23" x14ac:dyDescent="0.25">
      <c r="A4" s="58"/>
      <c r="B4" s="71"/>
      <c r="C4" s="71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60"/>
    </row>
    <row r="5" spans="1:23" x14ac:dyDescent="0.25">
      <c r="A5" s="58"/>
      <c r="B5" s="71"/>
      <c r="C5" s="71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60"/>
    </row>
    <row r="6" spans="1:23" x14ac:dyDescent="0.25">
      <c r="A6" s="58"/>
      <c r="B6" s="59"/>
      <c r="C6" s="59"/>
      <c r="D6" s="59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60"/>
    </row>
    <row r="7" spans="1:23" x14ac:dyDescent="0.25">
      <c r="A7" s="58"/>
      <c r="B7" s="66" t="s">
        <v>516</v>
      </c>
      <c r="C7" s="67" t="s">
        <v>636</v>
      </c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60"/>
    </row>
    <row r="8" spans="1:23" x14ac:dyDescent="0.25">
      <c r="A8" s="58"/>
      <c r="B8" s="66"/>
      <c r="C8" s="67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60"/>
    </row>
    <row r="9" spans="1:23" x14ac:dyDescent="0.25">
      <c r="A9" s="58"/>
      <c r="B9" s="90"/>
      <c r="C9" s="90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60"/>
    </row>
    <row r="10" spans="1:23" ht="14.4" customHeight="1" x14ac:dyDescent="0.25">
      <c r="A10" s="58"/>
      <c r="B10" s="66" t="s">
        <v>637</v>
      </c>
      <c r="C10" s="95">
        <f>'Projections Data'!C4</f>
        <v>2626</v>
      </c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60"/>
    </row>
    <row r="11" spans="1:23" ht="14.4" customHeight="1" x14ac:dyDescent="0.25">
      <c r="A11" s="58"/>
      <c r="B11" s="66"/>
      <c r="C11" s="95"/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60"/>
    </row>
    <row r="12" spans="1:23" ht="14.4" customHeight="1" x14ac:dyDescent="0.25">
      <c r="A12" s="58"/>
      <c r="B12" s="66" t="s">
        <v>638</v>
      </c>
      <c r="C12" s="68">
        <f>'Projections Data'!C6</f>
        <v>2457</v>
      </c>
      <c r="D12" s="59"/>
      <c r="E12" s="59"/>
      <c r="F12" s="59"/>
      <c r="G12" s="59"/>
      <c r="H12" s="59"/>
      <c r="I12" s="59"/>
      <c r="J12" s="59"/>
      <c r="K12" s="59"/>
      <c r="L12" s="59"/>
      <c r="M12" s="59"/>
      <c r="N12" s="59"/>
      <c r="O12" s="59"/>
      <c r="P12" s="59"/>
      <c r="Q12" s="59"/>
      <c r="R12" s="60"/>
    </row>
    <row r="13" spans="1:23" ht="14.4" customHeight="1" x14ac:dyDescent="0.25">
      <c r="A13" s="58"/>
      <c r="B13" s="66"/>
      <c r="C13" s="68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60"/>
    </row>
    <row r="14" spans="1:23" ht="14.4" customHeight="1" x14ac:dyDescent="0.25">
      <c r="A14" s="58"/>
      <c r="B14" s="72" t="s">
        <v>640</v>
      </c>
      <c r="C14" s="98">
        <f>'Projections Data'!C7</f>
        <v>65</v>
      </c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60"/>
      <c r="V14" s="54" t="s">
        <v>614</v>
      </c>
      <c r="W14" s="41">
        <v>5</v>
      </c>
    </row>
    <row r="15" spans="1:23" ht="14.4" customHeight="1" x14ac:dyDescent="0.25">
      <c r="A15" s="58"/>
      <c r="B15" s="73"/>
      <c r="C15" s="99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60"/>
    </row>
    <row r="16" spans="1:23" ht="14.4" customHeight="1" x14ac:dyDescent="0.25">
      <c r="A16" s="58"/>
      <c r="B16" s="72" t="s">
        <v>641</v>
      </c>
      <c r="C16" s="96">
        <f>'Projections Data'!C8</f>
        <v>104</v>
      </c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60"/>
    </row>
    <row r="17" spans="1:21" ht="14.4" customHeight="1" x14ac:dyDescent="0.25">
      <c r="A17" s="58"/>
      <c r="B17" s="73"/>
      <c r="C17" s="97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60"/>
    </row>
    <row r="18" spans="1:21" ht="14.4" customHeight="1" x14ac:dyDescent="0.25">
      <c r="A18" s="58"/>
      <c r="B18" s="72" t="s">
        <v>639</v>
      </c>
      <c r="C18" s="76">
        <f>'Projections Data'!C13</f>
        <v>3328.2087423831099</v>
      </c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60"/>
    </row>
    <row r="19" spans="1:21" ht="14.4" customHeight="1" x14ac:dyDescent="0.25">
      <c r="A19" s="58"/>
      <c r="B19" s="73"/>
      <c r="C19" s="77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60"/>
    </row>
    <row r="20" spans="1:21" ht="14.4" customHeight="1" x14ac:dyDescent="0.25">
      <c r="A20" s="58"/>
      <c r="B20" s="74" t="s">
        <v>627</v>
      </c>
      <c r="C20" s="93">
        <f>'Projections Data'!C11</f>
        <v>0.26740622329897556</v>
      </c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60"/>
    </row>
    <row r="21" spans="1:21" ht="14.4" customHeight="1" x14ac:dyDescent="0.25">
      <c r="A21" s="58"/>
      <c r="B21" s="75"/>
      <c r="C21" s="94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60"/>
    </row>
    <row r="22" spans="1:21" ht="14.4" customHeight="1" x14ac:dyDescent="0.25">
      <c r="A22" s="58"/>
      <c r="B22" s="74" t="s">
        <v>635</v>
      </c>
      <c r="C22" s="91">
        <f>'Projections Data'!C22</f>
        <v>43904</v>
      </c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60"/>
      <c r="U22" s="41" t="s">
        <v>626</v>
      </c>
    </row>
    <row r="23" spans="1:21" ht="14.4" customHeight="1" x14ac:dyDescent="0.25">
      <c r="A23" s="58"/>
      <c r="B23" s="75"/>
      <c r="C23" s="92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60"/>
    </row>
    <row r="24" spans="1:21" ht="14.4" customHeight="1" x14ac:dyDescent="0.25">
      <c r="A24" s="58"/>
      <c r="B24" s="74" t="s">
        <v>634</v>
      </c>
      <c r="C24" s="91">
        <f>'Projections Data'!C23</f>
        <v>43910</v>
      </c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60"/>
    </row>
    <row r="25" spans="1:21" ht="14.4" customHeight="1" x14ac:dyDescent="0.25">
      <c r="A25" s="58"/>
      <c r="B25" s="75"/>
      <c r="C25" s="92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60"/>
    </row>
    <row r="26" spans="1:21" x14ac:dyDescent="0.25">
      <c r="A26" s="58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60"/>
    </row>
    <row r="27" spans="1:21" x14ac:dyDescent="0.25">
      <c r="A27" s="58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60"/>
    </row>
    <row r="28" spans="1:21" x14ac:dyDescent="0.25">
      <c r="A28" s="58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60"/>
    </row>
    <row r="29" spans="1:21" ht="13.8" customHeight="1" x14ac:dyDescent="0.25">
      <c r="A29" s="58"/>
      <c r="B29" s="83" t="str">
        <f>'Projections Data'!B34</f>
        <v>United Kingdom critically ill projections (4.7% of infected requiring critical care)</v>
      </c>
      <c r="C29" s="83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60"/>
    </row>
    <row r="30" spans="1:21" ht="13.8" customHeight="1" x14ac:dyDescent="0.25">
      <c r="A30" s="58"/>
      <c r="B30" s="83"/>
      <c r="C30" s="83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60"/>
    </row>
    <row r="31" spans="1:21" ht="15.6" customHeight="1" x14ac:dyDescent="0.25">
      <c r="A31" s="58"/>
      <c r="B31" s="83"/>
      <c r="C31" s="83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60"/>
    </row>
    <row r="32" spans="1:21" ht="15.6" customHeight="1" x14ac:dyDescent="0.25">
      <c r="A32" s="58"/>
      <c r="B32" s="83"/>
      <c r="C32" s="83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60"/>
    </row>
    <row r="33" spans="1:18" ht="15.6" customHeight="1" x14ac:dyDescent="0.25">
      <c r="A33" s="58"/>
      <c r="B33" s="83"/>
      <c r="C33" s="83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60"/>
    </row>
    <row r="34" spans="1:18" ht="15.6" customHeight="1" x14ac:dyDescent="0.25">
      <c r="A34" s="58"/>
      <c r="B34" s="83"/>
      <c r="C34" s="83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60"/>
    </row>
    <row r="35" spans="1:18" x14ac:dyDescent="0.25">
      <c r="A35" s="58"/>
      <c r="B35" s="82"/>
      <c r="C35" s="82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60"/>
    </row>
    <row r="36" spans="1:18" x14ac:dyDescent="0.25">
      <c r="A36" s="58"/>
      <c r="B36" s="82"/>
      <c r="C36" s="82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60"/>
    </row>
    <row r="37" spans="1:18" x14ac:dyDescent="0.25">
      <c r="A37" s="58"/>
      <c r="B37" s="72" t="s">
        <v>500</v>
      </c>
      <c r="C37" s="76">
        <f>'Projections Data'!C15</f>
        <v>4480.4767259999999</v>
      </c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60"/>
    </row>
    <row r="38" spans="1:18" x14ac:dyDescent="0.25">
      <c r="A38" s="58"/>
      <c r="B38" s="73"/>
      <c r="C38" s="77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60"/>
    </row>
    <row r="39" spans="1:18" ht="27.6" customHeight="1" x14ac:dyDescent="0.25">
      <c r="A39" s="58"/>
      <c r="B39" s="74" t="s">
        <v>622</v>
      </c>
      <c r="C39" s="78">
        <f>'Projections Data'!C14</f>
        <v>4.7E-2</v>
      </c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60"/>
    </row>
    <row r="40" spans="1:18" x14ac:dyDescent="0.25">
      <c r="A40" s="58"/>
      <c r="B40" s="75"/>
      <c r="C40" s="7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60"/>
    </row>
    <row r="41" spans="1:18" ht="27.6" customHeight="1" x14ac:dyDescent="0.25">
      <c r="A41" s="58"/>
      <c r="B41" s="74" t="s">
        <v>623</v>
      </c>
      <c r="C41" s="76">
        <f ca="1">HLOOKUP(TODAY(),'Projections Data'!G3:BL18,16,FALSE)</f>
        <v>115.714</v>
      </c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60"/>
    </row>
    <row r="42" spans="1:18" x14ac:dyDescent="0.25">
      <c r="A42" s="58"/>
      <c r="B42" s="75"/>
      <c r="C42" s="77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60"/>
    </row>
    <row r="43" spans="1:18" ht="13.8" customHeight="1" x14ac:dyDescent="0.25">
      <c r="A43" s="58"/>
      <c r="B43" s="65" t="s">
        <v>607</v>
      </c>
      <c r="C43" s="80">
        <f ca="1">'Projections Data'!D29-4</f>
        <v>43924</v>
      </c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60"/>
    </row>
    <row r="44" spans="1:18" x14ac:dyDescent="0.25">
      <c r="A44" s="58"/>
      <c r="B44" s="65"/>
      <c r="C44" s="80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60"/>
    </row>
    <row r="45" spans="1:18" ht="13.8" customHeight="1" x14ac:dyDescent="0.25">
      <c r="A45" s="58"/>
      <c r="B45" s="65" t="s">
        <v>608</v>
      </c>
      <c r="C45" s="81">
        <f ca="1">C43-TODAY()</f>
        <v>16</v>
      </c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60"/>
    </row>
    <row r="46" spans="1:18" x14ac:dyDescent="0.25">
      <c r="A46" s="58"/>
      <c r="B46" s="65"/>
      <c r="C46" s="81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60"/>
    </row>
    <row r="47" spans="1:18" x14ac:dyDescent="0.25">
      <c r="A47" s="58"/>
      <c r="B47" s="82"/>
      <c r="C47" s="82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60"/>
    </row>
    <row r="48" spans="1:18" x14ac:dyDescent="0.25">
      <c r="A48" s="58"/>
      <c r="B48" s="82"/>
      <c r="C48" s="82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60"/>
    </row>
    <row r="49" spans="1:18" x14ac:dyDescent="0.25">
      <c r="A49" s="58"/>
      <c r="B49" s="82"/>
      <c r="C49" s="82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60"/>
    </row>
    <row r="50" spans="1:18" x14ac:dyDescent="0.25">
      <c r="A50" s="58"/>
      <c r="B50" s="82"/>
      <c r="C50" s="82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60"/>
    </row>
    <row r="51" spans="1:18" x14ac:dyDescent="0.25">
      <c r="A51" s="58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60"/>
    </row>
    <row r="52" spans="1:18" x14ac:dyDescent="0.25">
      <c r="A52" s="58"/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60"/>
    </row>
    <row r="53" spans="1:18" ht="14.4" thickBot="1" x14ac:dyDescent="0.3">
      <c r="A53" s="61"/>
      <c r="B53" s="62"/>
      <c r="C53" s="62"/>
      <c r="D53" s="62"/>
      <c r="E53" s="62"/>
      <c r="F53" s="62"/>
      <c r="G53" s="62"/>
      <c r="H53" s="62"/>
      <c r="I53" s="62"/>
      <c r="J53" s="62"/>
      <c r="K53" s="62"/>
      <c r="L53" s="62"/>
      <c r="M53" s="62"/>
      <c r="N53" s="62"/>
      <c r="O53" s="62"/>
      <c r="P53" s="62"/>
      <c r="Q53" s="62"/>
      <c r="R53" s="63"/>
    </row>
  </sheetData>
  <mergeCells count="30">
    <mergeCell ref="B22:B23"/>
    <mergeCell ref="C22:C23"/>
    <mergeCell ref="C24:C25"/>
    <mergeCell ref="B24:B25"/>
    <mergeCell ref="B29:C34"/>
    <mergeCell ref="C39:C40"/>
    <mergeCell ref="B39:B40"/>
    <mergeCell ref="C37:C38"/>
    <mergeCell ref="B37:B38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41:B42"/>
    <mergeCell ref="B10:B11"/>
    <mergeCell ref="C45:C46"/>
    <mergeCell ref="B45:B46"/>
    <mergeCell ref="C43:C44"/>
    <mergeCell ref="B43:B44"/>
    <mergeCell ref="C41:C42"/>
    <mergeCell ref="B20:B21"/>
    <mergeCell ref="C20:C21"/>
    <mergeCell ref="B18:B19"/>
    <mergeCell ref="C18:C19"/>
  </mergeCells>
  <pageMargins left="0.7" right="0.7" top="0.75" bottom="0.75" header="0.3" footer="0.3"/>
  <pageSetup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/>
  <dimension ref="B1:IN264"/>
  <sheetViews>
    <sheetView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D6" sqref="D6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1.21875" style="19" bestFit="1" customWidth="1"/>
    <col min="4" max="4" width="10.5546875" style="19" bestFit="1" customWidth="1"/>
    <col min="5" max="5" width="4" style="19" bestFit="1" customWidth="1"/>
    <col min="6" max="6" width="22.33203125" style="19" bestFit="1" customWidth="1"/>
    <col min="7" max="7" width="10.5546875" style="19" bestFit="1" customWidth="1"/>
    <col min="8" max="8" width="14" style="19" bestFit="1" customWidth="1"/>
    <col min="9" max="9" width="10.5546875" style="19" bestFit="1" customWidth="1"/>
    <col min="10" max="10" width="12.109375" style="19" bestFit="1" customWidth="1"/>
    <col min="11" max="11" width="14.44140625" style="19" bestFit="1" customWidth="1"/>
    <col min="12" max="12" width="11.109375" style="19" bestFit="1" customWidth="1"/>
    <col min="13" max="13" width="10.5546875" style="19" bestFit="1" customWidth="1"/>
    <col min="14" max="14" width="13.77734375" style="19" customWidth="1"/>
    <col min="15" max="18" width="10.5546875" style="19" bestFit="1" customWidth="1"/>
    <col min="19" max="19" width="13.44140625" style="19" customWidth="1"/>
    <col min="20" max="20" width="12.33203125" style="19" bestFit="1" customWidth="1"/>
    <col min="21" max="44" width="10.5546875" style="19" bestFit="1" customWidth="1"/>
    <col min="45" max="248" width="11.21875" style="19" bestFit="1" customWidth="1"/>
    <col min="249" max="16384" width="8.77734375" style="19"/>
  </cols>
  <sheetData>
    <row r="1" spans="2:248" x14ac:dyDescent="0.3">
      <c r="B1" s="19" t="str">
        <f>Projections!$C$7</f>
        <v>UK</v>
      </c>
    </row>
    <row r="2" spans="2:248" x14ac:dyDescent="0.3">
      <c r="B2" s="19" t="str">
        <f>VLOOKUP(Projections!C7,'Country Summary'!B:C,2,FALSE)</f>
        <v>United Kingdom</v>
      </c>
    </row>
    <row r="3" spans="2:248" x14ac:dyDescent="0.3">
      <c r="G3" s="20">
        <f ca="1">VLOOKUP(B1,'Country Summary'!B:E,4,FALSE)</f>
        <v>43895</v>
      </c>
      <c r="H3" s="20">
        <f ca="1">G3+1</f>
        <v>43896</v>
      </c>
      <c r="I3" s="20">
        <f t="shared" ref="I3:BL3" ca="1" si="0">H3+1</f>
        <v>43897</v>
      </c>
      <c r="J3" s="20">
        <f t="shared" ca="1" si="0"/>
        <v>43898</v>
      </c>
      <c r="K3" s="20">
        <f t="shared" ca="1" si="0"/>
        <v>43899</v>
      </c>
      <c r="L3" s="20">
        <f t="shared" ca="1" si="0"/>
        <v>43900</v>
      </c>
      <c r="M3" s="20">
        <f t="shared" ca="1" si="0"/>
        <v>43901</v>
      </c>
      <c r="N3" s="20">
        <f t="shared" ca="1" si="0"/>
        <v>43902</v>
      </c>
      <c r="O3" s="20">
        <f t="shared" ca="1" si="0"/>
        <v>43903</v>
      </c>
      <c r="P3" s="20">
        <f t="shared" ca="1" si="0"/>
        <v>43904</v>
      </c>
      <c r="Q3" s="20">
        <f t="shared" ca="1" si="0"/>
        <v>43905</v>
      </c>
      <c r="R3" s="20">
        <f t="shared" ca="1" si="0"/>
        <v>43906</v>
      </c>
      <c r="S3" s="20">
        <f t="shared" ca="1" si="0"/>
        <v>43907</v>
      </c>
      <c r="T3" s="20">
        <f t="shared" ca="1" si="0"/>
        <v>43908</v>
      </c>
      <c r="U3" s="20">
        <f t="shared" ca="1" si="0"/>
        <v>43909</v>
      </c>
      <c r="V3" s="20">
        <f t="shared" ca="1" si="0"/>
        <v>43910</v>
      </c>
      <c r="W3" s="20">
        <f t="shared" ca="1" si="0"/>
        <v>43911</v>
      </c>
      <c r="X3" s="20">
        <f t="shared" ca="1" si="0"/>
        <v>43912</v>
      </c>
      <c r="Y3" s="20">
        <f t="shared" ca="1" si="0"/>
        <v>43913</v>
      </c>
      <c r="Z3" s="20">
        <f t="shared" ca="1" si="0"/>
        <v>43914</v>
      </c>
      <c r="AA3" s="20">
        <f t="shared" ca="1" si="0"/>
        <v>43915</v>
      </c>
      <c r="AB3" s="20">
        <f t="shared" ca="1" si="0"/>
        <v>43916</v>
      </c>
      <c r="AC3" s="20">
        <f t="shared" ca="1" si="0"/>
        <v>43917</v>
      </c>
      <c r="AD3" s="20">
        <f t="shared" ca="1" si="0"/>
        <v>43918</v>
      </c>
      <c r="AE3" s="20">
        <f t="shared" ca="1" si="0"/>
        <v>43919</v>
      </c>
      <c r="AF3" s="20">
        <f t="shared" ca="1" si="0"/>
        <v>43920</v>
      </c>
      <c r="AG3" s="20">
        <f t="shared" ca="1" si="0"/>
        <v>43921</v>
      </c>
      <c r="AH3" s="20">
        <f t="shared" ca="1" si="0"/>
        <v>43922</v>
      </c>
      <c r="AI3" s="20">
        <f t="shared" ca="1" si="0"/>
        <v>43923</v>
      </c>
      <c r="AJ3" s="20">
        <f t="shared" ca="1" si="0"/>
        <v>43924</v>
      </c>
      <c r="AK3" s="20">
        <f t="shared" ca="1" si="0"/>
        <v>43925</v>
      </c>
      <c r="AL3" s="20">
        <f t="shared" ca="1" si="0"/>
        <v>43926</v>
      </c>
      <c r="AM3" s="20">
        <f t="shared" ca="1" si="0"/>
        <v>43927</v>
      </c>
      <c r="AN3" s="20">
        <f t="shared" ca="1" si="0"/>
        <v>43928</v>
      </c>
      <c r="AO3" s="20">
        <f t="shared" ca="1" si="0"/>
        <v>43929</v>
      </c>
      <c r="AP3" s="20">
        <f t="shared" ca="1" si="0"/>
        <v>43930</v>
      </c>
      <c r="AQ3" s="20">
        <f t="shared" ca="1" si="0"/>
        <v>43931</v>
      </c>
      <c r="AR3" s="20">
        <f t="shared" ca="1" si="0"/>
        <v>43932</v>
      </c>
      <c r="AS3" s="20">
        <f t="shared" ca="1" si="0"/>
        <v>43933</v>
      </c>
      <c r="AT3" s="20">
        <f t="shared" ca="1" si="0"/>
        <v>43934</v>
      </c>
      <c r="AU3" s="20">
        <f t="shared" ca="1" si="0"/>
        <v>43935</v>
      </c>
      <c r="AV3" s="20">
        <f t="shared" ca="1" si="0"/>
        <v>43936</v>
      </c>
      <c r="AW3" s="20">
        <f t="shared" ca="1" si="0"/>
        <v>43937</v>
      </c>
      <c r="AX3" s="20">
        <f t="shared" ca="1" si="0"/>
        <v>43938</v>
      </c>
      <c r="AY3" s="20">
        <f t="shared" ca="1" si="0"/>
        <v>43939</v>
      </c>
      <c r="AZ3" s="20">
        <f t="shared" ca="1" si="0"/>
        <v>43940</v>
      </c>
      <c r="BA3" s="20">
        <f t="shared" ca="1" si="0"/>
        <v>43941</v>
      </c>
      <c r="BB3" s="20">
        <f t="shared" ca="1" si="0"/>
        <v>43942</v>
      </c>
      <c r="BC3" s="20">
        <f t="shared" ca="1" si="0"/>
        <v>43943</v>
      </c>
      <c r="BD3" s="20">
        <f t="shared" ca="1" si="0"/>
        <v>43944</v>
      </c>
      <c r="BE3" s="20">
        <f t="shared" ca="1" si="0"/>
        <v>43945</v>
      </c>
      <c r="BF3" s="20">
        <f t="shared" ca="1" si="0"/>
        <v>43946</v>
      </c>
      <c r="BG3" s="20">
        <f t="shared" ca="1" si="0"/>
        <v>43947</v>
      </c>
      <c r="BH3" s="20">
        <f t="shared" ca="1" si="0"/>
        <v>43948</v>
      </c>
      <c r="BI3" s="20">
        <f t="shared" ca="1" si="0"/>
        <v>43949</v>
      </c>
      <c r="BJ3" s="20">
        <f t="shared" ca="1" si="0"/>
        <v>43950</v>
      </c>
      <c r="BK3" s="20">
        <f t="shared" ca="1" si="0"/>
        <v>43951</v>
      </c>
      <c r="BL3" s="20">
        <f t="shared" ca="1" si="0"/>
        <v>43952</v>
      </c>
      <c r="BM3" s="20">
        <f t="shared" ref="BM3:BO4" ca="1" si="1">BL3+1</f>
        <v>43953</v>
      </c>
      <c r="BN3" s="20">
        <f t="shared" ca="1" si="1"/>
        <v>43954</v>
      </c>
      <c r="BO3" s="20">
        <f t="shared" ca="1" si="1"/>
        <v>43955</v>
      </c>
      <c r="BP3" s="20">
        <f t="shared" ref="BP3:CN3" ca="1" si="2">BO3+1</f>
        <v>43956</v>
      </c>
      <c r="BQ3" s="20">
        <f t="shared" ca="1" si="2"/>
        <v>43957</v>
      </c>
      <c r="BR3" s="20">
        <f t="shared" ca="1" si="2"/>
        <v>43958</v>
      </c>
      <c r="BS3" s="20">
        <f t="shared" ca="1" si="2"/>
        <v>43959</v>
      </c>
      <c r="BT3" s="20">
        <f t="shared" ca="1" si="2"/>
        <v>43960</v>
      </c>
      <c r="BU3" s="20">
        <f t="shared" ca="1" si="2"/>
        <v>43961</v>
      </c>
      <c r="BV3" s="20">
        <f t="shared" ca="1" si="2"/>
        <v>43962</v>
      </c>
      <c r="BW3" s="20">
        <f t="shared" ca="1" si="2"/>
        <v>43963</v>
      </c>
      <c r="BX3" s="20">
        <f t="shared" ca="1" si="2"/>
        <v>43964</v>
      </c>
      <c r="BY3" s="20">
        <f t="shared" ca="1" si="2"/>
        <v>43965</v>
      </c>
      <c r="BZ3" s="20">
        <f t="shared" ca="1" si="2"/>
        <v>43966</v>
      </c>
      <c r="CA3" s="20">
        <f t="shared" ca="1" si="2"/>
        <v>43967</v>
      </c>
      <c r="CB3" s="20">
        <f t="shared" ca="1" si="2"/>
        <v>43968</v>
      </c>
      <c r="CC3" s="20">
        <f t="shared" ca="1" si="2"/>
        <v>43969</v>
      </c>
      <c r="CD3" s="20">
        <f t="shared" ca="1" si="2"/>
        <v>43970</v>
      </c>
      <c r="CE3" s="20">
        <f t="shared" ca="1" si="2"/>
        <v>43971</v>
      </c>
      <c r="CF3" s="20">
        <f t="shared" ca="1" si="2"/>
        <v>43972</v>
      </c>
      <c r="CG3" s="20">
        <f t="shared" ca="1" si="2"/>
        <v>43973</v>
      </c>
      <c r="CH3" s="20">
        <f t="shared" ca="1" si="2"/>
        <v>43974</v>
      </c>
      <c r="CI3" s="20">
        <f t="shared" ca="1" si="2"/>
        <v>43975</v>
      </c>
      <c r="CJ3" s="20">
        <f t="shared" ca="1" si="2"/>
        <v>43976</v>
      </c>
      <c r="CK3" s="20">
        <f t="shared" ca="1" si="2"/>
        <v>43977</v>
      </c>
      <c r="CL3" s="20">
        <f t="shared" ca="1" si="2"/>
        <v>43978</v>
      </c>
      <c r="CM3" s="20">
        <f t="shared" ca="1" si="2"/>
        <v>43979</v>
      </c>
      <c r="CN3" s="20">
        <f t="shared" ca="1" si="2"/>
        <v>43980</v>
      </c>
      <c r="CO3" s="20">
        <f t="shared" ref="CO3:DC3" ca="1" si="3">CN3+1</f>
        <v>43981</v>
      </c>
      <c r="CP3" s="20">
        <f t="shared" ca="1" si="3"/>
        <v>43982</v>
      </c>
      <c r="CQ3" s="20">
        <f t="shared" ca="1" si="3"/>
        <v>43983</v>
      </c>
      <c r="CR3" s="20">
        <f t="shared" ca="1" si="3"/>
        <v>43984</v>
      </c>
      <c r="CS3" s="20">
        <f t="shared" ca="1" si="3"/>
        <v>43985</v>
      </c>
      <c r="CT3" s="20">
        <f t="shared" ca="1" si="3"/>
        <v>43986</v>
      </c>
      <c r="CU3" s="20">
        <f t="shared" ca="1" si="3"/>
        <v>43987</v>
      </c>
      <c r="CV3" s="20">
        <f t="shared" ca="1" si="3"/>
        <v>43988</v>
      </c>
      <c r="CW3" s="20">
        <f t="shared" ca="1" si="3"/>
        <v>43989</v>
      </c>
      <c r="CX3" s="20">
        <f t="shared" ca="1" si="3"/>
        <v>43990</v>
      </c>
      <c r="CY3" s="20">
        <f t="shared" ca="1" si="3"/>
        <v>43991</v>
      </c>
      <c r="CZ3" s="20">
        <f t="shared" ca="1" si="3"/>
        <v>43992</v>
      </c>
      <c r="DA3" s="20">
        <f t="shared" ca="1" si="3"/>
        <v>43993</v>
      </c>
      <c r="DB3" s="20">
        <f t="shared" ca="1" si="3"/>
        <v>43994</v>
      </c>
      <c r="DC3" s="20">
        <f t="shared" ca="1" si="3"/>
        <v>43995</v>
      </c>
      <c r="DD3" s="20">
        <f t="shared" ref="DD3:FJ3" ca="1" si="4">DC3+1</f>
        <v>43996</v>
      </c>
      <c r="DE3" s="20">
        <f t="shared" ca="1" si="4"/>
        <v>43997</v>
      </c>
      <c r="DF3" s="20">
        <f t="shared" ca="1" si="4"/>
        <v>43998</v>
      </c>
      <c r="DG3" s="20">
        <f t="shared" ca="1" si="4"/>
        <v>43999</v>
      </c>
      <c r="DH3" s="20">
        <f t="shared" ca="1" si="4"/>
        <v>44000</v>
      </c>
      <c r="DI3" s="20">
        <f t="shared" ca="1" si="4"/>
        <v>44001</v>
      </c>
      <c r="DJ3" s="20">
        <f t="shared" ca="1" si="4"/>
        <v>44002</v>
      </c>
      <c r="DK3" s="20">
        <f t="shared" ca="1" si="4"/>
        <v>44003</v>
      </c>
      <c r="DL3" s="20">
        <f t="shared" ca="1" si="4"/>
        <v>44004</v>
      </c>
      <c r="DM3" s="20">
        <f t="shared" ca="1" si="4"/>
        <v>44005</v>
      </c>
      <c r="DN3" s="20">
        <f t="shared" ca="1" si="4"/>
        <v>44006</v>
      </c>
      <c r="DO3" s="20">
        <f t="shared" ca="1" si="4"/>
        <v>44007</v>
      </c>
      <c r="DP3" s="20">
        <f t="shared" ca="1" si="4"/>
        <v>44008</v>
      </c>
      <c r="DQ3" s="20">
        <f t="shared" ca="1" si="4"/>
        <v>44009</v>
      </c>
      <c r="DR3" s="20">
        <f t="shared" ca="1" si="4"/>
        <v>44010</v>
      </c>
      <c r="DS3" s="20">
        <f t="shared" ca="1" si="4"/>
        <v>44011</v>
      </c>
      <c r="DT3" s="20">
        <f t="shared" ca="1" si="4"/>
        <v>44012</v>
      </c>
      <c r="DU3" s="20">
        <f t="shared" ca="1" si="4"/>
        <v>44013</v>
      </c>
      <c r="DV3" s="20">
        <f t="shared" ca="1" si="4"/>
        <v>44014</v>
      </c>
      <c r="DW3" s="20">
        <f t="shared" ca="1" si="4"/>
        <v>44015</v>
      </c>
      <c r="DX3" s="20">
        <f t="shared" ca="1" si="4"/>
        <v>44016</v>
      </c>
      <c r="DY3" s="20">
        <f t="shared" ca="1" si="4"/>
        <v>44017</v>
      </c>
      <c r="DZ3" s="20">
        <f t="shared" ca="1" si="4"/>
        <v>44018</v>
      </c>
      <c r="EA3" s="20">
        <f t="shared" ca="1" si="4"/>
        <v>44019</v>
      </c>
      <c r="EB3" s="20">
        <f t="shared" ca="1" si="4"/>
        <v>44020</v>
      </c>
      <c r="EC3" s="20">
        <f t="shared" ca="1" si="4"/>
        <v>44021</v>
      </c>
      <c r="ED3" s="20">
        <f t="shared" ca="1" si="4"/>
        <v>44022</v>
      </c>
      <c r="EE3" s="20">
        <f t="shared" ca="1" si="4"/>
        <v>44023</v>
      </c>
      <c r="EF3" s="20">
        <f t="shared" ca="1" si="4"/>
        <v>44024</v>
      </c>
      <c r="EG3" s="20">
        <f t="shared" ca="1" si="4"/>
        <v>44025</v>
      </c>
      <c r="EH3" s="20">
        <f t="shared" ca="1" si="4"/>
        <v>44026</v>
      </c>
      <c r="EI3" s="20">
        <f t="shared" ca="1" si="4"/>
        <v>44027</v>
      </c>
      <c r="EJ3" s="20">
        <f t="shared" ca="1" si="4"/>
        <v>44028</v>
      </c>
      <c r="EK3" s="20">
        <f t="shared" ca="1" si="4"/>
        <v>44029</v>
      </c>
      <c r="EL3" s="20">
        <f t="shared" ca="1" si="4"/>
        <v>44030</v>
      </c>
      <c r="EM3" s="20">
        <f t="shared" ca="1" si="4"/>
        <v>44031</v>
      </c>
      <c r="EN3" s="20">
        <f t="shared" ca="1" si="4"/>
        <v>44032</v>
      </c>
      <c r="EO3" s="20">
        <f t="shared" ca="1" si="4"/>
        <v>44033</v>
      </c>
      <c r="EP3" s="20">
        <f t="shared" ca="1" si="4"/>
        <v>44034</v>
      </c>
      <c r="EQ3" s="20">
        <f t="shared" ca="1" si="4"/>
        <v>44035</v>
      </c>
      <c r="ER3" s="20">
        <f t="shared" ca="1" si="4"/>
        <v>44036</v>
      </c>
      <c r="ES3" s="20">
        <f t="shared" ca="1" si="4"/>
        <v>44037</v>
      </c>
      <c r="ET3" s="20">
        <f t="shared" ca="1" si="4"/>
        <v>44038</v>
      </c>
      <c r="EU3" s="20">
        <f t="shared" ca="1" si="4"/>
        <v>44039</v>
      </c>
      <c r="EV3" s="20">
        <f t="shared" ca="1" si="4"/>
        <v>44040</v>
      </c>
      <c r="EW3" s="20">
        <f t="shared" ca="1" si="4"/>
        <v>44041</v>
      </c>
      <c r="EX3" s="20">
        <f t="shared" ca="1" si="4"/>
        <v>44042</v>
      </c>
      <c r="EY3" s="20">
        <f t="shared" ca="1" si="4"/>
        <v>44043</v>
      </c>
      <c r="EZ3" s="20">
        <f t="shared" ca="1" si="4"/>
        <v>44044</v>
      </c>
      <c r="FA3" s="20">
        <f t="shared" ca="1" si="4"/>
        <v>44045</v>
      </c>
      <c r="FB3" s="20">
        <f t="shared" ca="1" si="4"/>
        <v>44046</v>
      </c>
      <c r="FC3" s="20">
        <f t="shared" ca="1" si="4"/>
        <v>44047</v>
      </c>
      <c r="FD3" s="20">
        <f t="shared" ca="1" si="4"/>
        <v>44048</v>
      </c>
      <c r="FE3" s="20">
        <f t="shared" ca="1" si="4"/>
        <v>44049</v>
      </c>
      <c r="FF3" s="20">
        <f t="shared" ca="1" si="4"/>
        <v>44050</v>
      </c>
      <c r="FG3" s="20">
        <f t="shared" ca="1" si="4"/>
        <v>44051</v>
      </c>
      <c r="FH3" s="20">
        <f t="shared" ca="1" si="4"/>
        <v>44052</v>
      </c>
      <c r="FI3" s="20">
        <f t="shared" ca="1" si="4"/>
        <v>44053</v>
      </c>
      <c r="FJ3" s="20">
        <f t="shared" ca="1" si="4"/>
        <v>44054</v>
      </c>
      <c r="FK3" s="20">
        <f t="shared" ref="FK3:HV3" ca="1" si="5">FJ3+1</f>
        <v>44055</v>
      </c>
      <c r="FL3" s="20">
        <f t="shared" ca="1" si="5"/>
        <v>44056</v>
      </c>
      <c r="FM3" s="20">
        <f t="shared" ca="1" si="5"/>
        <v>44057</v>
      </c>
      <c r="FN3" s="20">
        <f t="shared" ca="1" si="5"/>
        <v>44058</v>
      </c>
      <c r="FO3" s="20">
        <f t="shared" ca="1" si="5"/>
        <v>44059</v>
      </c>
      <c r="FP3" s="20">
        <f t="shared" ca="1" si="5"/>
        <v>44060</v>
      </c>
      <c r="FQ3" s="20">
        <f t="shared" ca="1" si="5"/>
        <v>44061</v>
      </c>
      <c r="FR3" s="20">
        <f t="shared" ca="1" si="5"/>
        <v>44062</v>
      </c>
      <c r="FS3" s="20">
        <f t="shared" ca="1" si="5"/>
        <v>44063</v>
      </c>
      <c r="FT3" s="20">
        <f t="shared" ca="1" si="5"/>
        <v>44064</v>
      </c>
      <c r="FU3" s="20">
        <f t="shared" ca="1" si="5"/>
        <v>44065</v>
      </c>
      <c r="FV3" s="20">
        <f t="shared" ca="1" si="5"/>
        <v>44066</v>
      </c>
      <c r="FW3" s="20">
        <f t="shared" ca="1" si="5"/>
        <v>44067</v>
      </c>
      <c r="FX3" s="20">
        <f t="shared" ca="1" si="5"/>
        <v>44068</v>
      </c>
      <c r="FY3" s="20">
        <f t="shared" ca="1" si="5"/>
        <v>44069</v>
      </c>
      <c r="FZ3" s="20">
        <f t="shared" ca="1" si="5"/>
        <v>44070</v>
      </c>
      <c r="GA3" s="20">
        <f t="shared" ca="1" si="5"/>
        <v>44071</v>
      </c>
      <c r="GB3" s="20">
        <f t="shared" ca="1" si="5"/>
        <v>44072</v>
      </c>
      <c r="GC3" s="20">
        <f t="shared" ca="1" si="5"/>
        <v>44073</v>
      </c>
      <c r="GD3" s="20">
        <f t="shared" ca="1" si="5"/>
        <v>44074</v>
      </c>
      <c r="GE3" s="20">
        <f t="shared" ca="1" si="5"/>
        <v>44075</v>
      </c>
      <c r="GF3" s="20">
        <f t="shared" ca="1" si="5"/>
        <v>44076</v>
      </c>
      <c r="GG3" s="20">
        <f t="shared" ca="1" si="5"/>
        <v>44077</v>
      </c>
      <c r="GH3" s="20">
        <f t="shared" ca="1" si="5"/>
        <v>44078</v>
      </c>
      <c r="GI3" s="20">
        <f t="shared" ca="1" si="5"/>
        <v>44079</v>
      </c>
      <c r="GJ3" s="20">
        <f t="shared" ca="1" si="5"/>
        <v>44080</v>
      </c>
      <c r="GK3" s="20">
        <f t="shared" ca="1" si="5"/>
        <v>44081</v>
      </c>
      <c r="GL3" s="20">
        <f t="shared" ca="1" si="5"/>
        <v>44082</v>
      </c>
      <c r="GM3" s="20">
        <f t="shared" ca="1" si="5"/>
        <v>44083</v>
      </c>
      <c r="GN3" s="20">
        <f t="shared" ca="1" si="5"/>
        <v>44084</v>
      </c>
      <c r="GO3" s="20">
        <f t="shared" ca="1" si="5"/>
        <v>44085</v>
      </c>
      <c r="GP3" s="20">
        <f t="shared" ca="1" si="5"/>
        <v>44086</v>
      </c>
      <c r="GQ3" s="20">
        <f t="shared" ca="1" si="5"/>
        <v>44087</v>
      </c>
      <c r="GR3" s="20">
        <f t="shared" ca="1" si="5"/>
        <v>44088</v>
      </c>
      <c r="GS3" s="20">
        <f t="shared" ca="1" si="5"/>
        <v>44089</v>
      </c>
      <c r="GT3" s="20">
        <f t="shared" ca="1" si="5"/>
        <v>44090</v>
      </c>
      <c r="GU3" s="20">
        <f t="shared" ca="1" si="5"/>
        <v>44091</v>
      </c>
      <c r="GV3" s="20">
        <f t="shared" ca="1" si="5"/>
        <v>44092</v>
      </c>
      <c r="GW3" s="20">
        <f t="shared" ca="1" si="5"/>
        <v>44093</v>
      </c>
      <c r="GX3" s="20">
        <f t="shared" ca="1" si="5"/>
        <v>44094</v>
      </c>
      <c r="GY3" s="20">
        <f t="shared" ca="1" si="5"/>
        <v>44095</v>
      </c>
      <c r="GZ3" s="20">
        <f t="shared" ca="1" si="5"/>
        <v>44096</v>
      </c>
      <c r="HA3" s="20">
        <f t="shared" ca="1" si="5"/>
        <v>44097</v>
      </c>
      <c r="HB3" s="20">
        <f t="shared" ca="1" si="5"/>
        <v>44098</v>
      </c>
      <c r="HC3" s="20">
        <f t="shared" ca="1" si="5"/>
        <v>44099</v>
      </c>
      <c r="HD3" s="20">
        <f t="shared" ca="1" si="5"/>
        <v>44100</v>
      </c>
      <c r="HE3" s="20">
        <f t="shared" ca="1" si="5"/>
        <v>44101</v>
      </c>
      <c r="HF3" s="20">
        <f t="shared" ca="1" si="5"/>
        <v>44102</v>
      </c>
      <c r="HG3" s="20">
        <f t="shared" ca="1" si="5"/>
        <v>44103</v>
      </c>
      <c r="HH3" s="20">
        <f t="shared" ca="1" si="5"/>
        <v>44104</v>
      </c>
      <c r="HI3" s="20">
        <f t="shared" ca="1" si="5"/>
        <v>44105</v>
      </c>
      <c r="HJ3" s="20">
        <f t="shared" ca="1" si="5"/>
        <v>44106</v>
      </c>
      <c r="HK3" s="20">
        <f t="shared" ca="1" si="5"/>
        <v>44107</v>
      </c>
      <c r="HL3" s="20">
        <f t="shared" ca="1" si="5"/>
        <v>44108</v>
      </c>
      <c r="HM3" s="20">
        <f t="shared" ca="1" si="5"/>
        <v>44109</v>
      </c>
      <c r="HN3" s="20">
        <f t="shared" ca="1" si="5"/>
        <v>44110</v>
      </c>
      <c r="HO3" s="20">
        <f t="shared" ca="1" si="5"/>
        <v>44111</v>
      </c>
      <c r="HP3" s="20">
        <f t="shared" ca="1" si="5"/>
        <v>44112</v>
      </c>
      <c r="HQ3" s="20">
        <f t="shared" ca="1" si="5"/>
        <v>44113</v>
      </c>
      <c r="HR3" s="20">
        <f t="shared" ca="1" si="5"/>
        <v>44114</v>
      </c>
      <c r="HS3" s="20">
        <f t="shared" ca="1" si="5"/>
        <v>44115</v>
      </c>
      <c r="HT3" s="20">
        <f t="shared" ca="1" si="5"/>
        <v>44116</v>
      </c>
      <c r="HU3" s="20">
        <f t="shared" ca="1" si="5"/>
        <v>44117</v>
      </c>
      <c r="HV3" s="20">
        <f t="shared" ca="1" si="5"/>
        <v>44118</v>
      </c>
      <c r="HW3" s="20">
        <f t="shared" ref="HW3:IN3" ca="1" si="6">HV3+1</f>
        <v>44119</v>
      </c>
      <c r="HX3" s="20">
        <f t="shared" ca="1" si="6"/>
        <v>44120</v>
      </c>
      <c r="HY3" s="20">
        <f t="shared" ca="1" si="6"/>
        <v>44121</v>
      </c>
      <c r="HZ3" s="20">
        <f t="shared" ca="1" si="6"/>
        <v>44122</v>
      </c>
      <c r="IA3" s="20">
        <f t="shared" ca="1" si="6"/>
        <v>44123</v>
      </c>
      <c r="IB3" s="20">
        <f t="shared" ca="1" si="6"/>
        <v>44124</v>
      </c>
      <c r="IC3" s="20">
        <f t="shared" ca="1" si="6"/>
        <v>44125</v>
      </c>
      <c r="ID3" s="20">
        <f t="shared" ca="1" si="6"/>
        <v>44126</v>
      </c>
      <c r="IE3" s="20">
        <f t="shared" ca="1" si="6"/>
        <v>44127</v>
      </c>
      <c r="IF3" s="20">
        <f t="shared" ca="1" si="6"/>
        <v>44128</v>
      </c>
      <c r="IG3" s="20">
        <f t="shared" ca="1" si="6"/>
        <v>44129</v>
      </c>
      <c r="IH3" s="20">
        <f t="shared" ca="1" si="6"/>
        <v>44130</v>
      </c>
      <c r="II3" s="20">
        <f t="shared" ca="1" si="6"/>
        <v>44131</v>
      </c>
      <c r="IJ3" s="20">
        <f t="shared" ca="1" si="6"/>
        <v>44132</v>
      </c>
      <c r="IK3" s="20">
        <f t="shared" ca="1" si="6"/>
        <v>44133</v>
      </c>
      <c r="IL3" s="20">
        <f t="shared" ca="1" si="6"/>
        <v>44134</v>
      </c>
      <c r="IM3" s="20">
        <f t="shared" ca="1" si="6"/>
        <v>44135</v>
      </c>
      <c r="IN3" s="20">
        <f t="shared" ca="1" si="6"/>
        <v>44136</v>
      </c>
    </row>
    <row r="4" spans="2:248" x14ac:dyDescent="0.3">
      <c r="B4" s="19" t="s">
        <v>481</v>
      </c>
      <c r="C4" s="21">
        <f>VLOOKUP(B2,DaysSince100!C:D,2,FALSE)</f>
        <v>2626</v>
      </c>
      <c r="G4" s="19">
        <v>0</v>
      </c>
      <c r="H4" s="19">
        <f>G4+1</f>
        <v>1</v>
      </c>
      <c r="I4" s="19">
        <f t="shared" ref="I4:BL4" si="7">H4+1</f>
        <v>2</v>
      </c>
      <c r="J4" s="19">
        <f t="shared" si="7"/>
        <v>3</v>
      </c>
      <c r="K4" s="19">
        <f t="shared" si="7"/>
        <v>4</v>
      </c>
      <c r="L4" s="19">
        <f t="shared" si="7"/>
        <v>5</v>
      </c>
      <c r="M4" s="19">
        <f t="shared" si="7"/>
        <v>6</v>
      </c>
      <c r="N4" s="19">
        <f t="shared" si="7"/>
        <v>7</v>
      </c>
      <c r="O4" s="19">
        <f t="shared" si="7"/>
        <v>8</v>
      </c>
      <c r="P4" s="19">
        <f t="shared" si="7"/>
        <v>9</v>
      </c>
      <c r="Q4" s="19">
        <f t="shared" si="7"/>
        <v>10</v>
      </c>
      <c r="R4" s="19">
        <f t="shared" si="7"/>
        <v>11</v>
      </c>
      <c r="S4" s="19">
        <f t="shared" si="7"/>
        <v>12</v>
      </c>
      <c r="T4" s="19">
        <f t="shared" si="7"/>
        <v>13</v>
      </c>
      <c r="U4" s="19">
        <f t="shared" si="7"/>
        <v>14</v>
      </c>
      <c r="V4" s="19">
        <f t="shared" si="7"/>
        <v>15</v>
      </c>
      <c r="W4" s="19">
        <f t="shared" si="7"/>
        <v>16</v>
      </c>
      <c r="X4" s="19">
        <f t="shared" si="7"/>
        <v>17</v>
      </c>
      <c r="Y4" s="19">
        <f t="shared" si="7"/>
        <v>18</v>
      </c>
      <c r="Z4" s="19">
        <f t="shared" si="7"/>
        <v>19</v>
      </c>
      <c r="AA4" s="19">
        <f t="shared" si="7"/>
        <v>20</v>
      </c>
      <c r="AB4" s="19">
        <f t="shared" si="7"/>
        <v>21</v>
      </c>
      <c r="AC4" s="19">
        <f t="shared" si="7"/>
        <v>22</v>
      </c>
      <c r="AD4" s="19">
        <f t="shared" si="7"/>
        <v>23</v>
      </c>
      <c r="AE4" s="19">
        <f t="shared" si="7"/>
        <v>24</v>
      </c>
      <c r="AF4" s="19">
        <f t="shared" si="7"/>
        <v>25</v>
      </c>
      <c r="AG4" s="19">
        <f t="shared" si="7"/>
        <v>26</v>
      </c>
      <c r="AH4" s="19">
        <f t="shared" si="7"/>
        <v>27</v>
      </c>
      <c r="AI4" s="19">
        <f t="shared" si="7"/>
        <v>28</v>
      </c>
      <c r="AJ4" s="19">
        <f t="shared" si="7"/>
        <v>29</v>
      </c>
      <c r="AK4" s="19">
        <f t="shared" si="7"/>
        <v>30</v>
      </c>
      <c r="AL4" s="19">
        <f t="shared" si="7"/>
        <v>31</v>
      </c>
      <c r="AM4" s="19">
        <f t="shared" si="7"/>
        <v>32</v>
      </c>
      <c r="AN4" s="19">
        <f t="shared" si="7"/>
        <v>33</v>
      </c>
      <c r="AO4" s="19">
        <f t="shared" si="7"/>
        <v>34</v>
      </c>
      <c r="AP4" s="19">
        <f t="shared" si="7"/>
        <v>35</v>
      </c>
      <c r="AQ4" s="19">
        <f t="shared" si="7"/>
        <v>36</v>
      </c>
      <c r="AR4" s="19">
        <f t="shared" si="7"/>
        <v>37</v>
      </c>
      <c r="AS4" s="19">
        <f t="shared" si="7"/>
        <v>38</v>
      </c>
      <c r="AT4" s="19">
        <f t="shared" si="7"/>
        <v>39</v>
      </c>
      <c r="AU4" s="19">
        <f t="shared" si="7"/>
        <v>40</v>
      </c>
      <c r="AV4" s="19">
        <f t="shared" si="7"/>
        <v>41</v>
      </c>
      <c r="AW4" s="19">
        <f t="shared" si="7"/>
        <v>42</v>
      </c>
      <c r="AX4" s="19">
        <f t="shared" si="7"/>
        <v>43</v>
      </c>
      <c r="AY4" s="19">
        <f t="shared" si="7"/>
        <v>44</v>
      </c>
      <c r="AZ4" s="19">
        <f t="shared" si="7"/>
        <v>45</v>
      </c>
      <c r="BA4" s="19">
        <f t="shared" si="7"/>
        <v>46</v>
      </c>
      <c r="BB4" s="19">
        <f t="shared" si="7"/>
        <v>47</v>
      </c>
      <c r="BC4" s="19">
        <f t="shared" si="7"/>
        <v>48</v>
      </c>
      <c r="BD4" s="19">
        <f t="shared" si="7"/>
        <v>49</v>
      </c>
      <c r="BE4" s="19">
        <f t="shared" si="7"/>
        <v>50</v>
      </c>
      <c r="BF4" s="19">
        <f t="shared" si="7"/>
        <v>51</v>
      </c>
      <c r="BG4" s="19">
        <f t="shared" si="7"/>
        <v>52</v>
      </c>
      <c r="BH4" s="19">
        <f t="shared" si="7"/>
        <v>53</v>
      </c>
      <c r="BI4" s="19">
        <f t="shared" si="7"/>
        <v>54</v>
      </c>
      <c r="BJ4" s="19">
        <f t="shared" si="7"/>
        <v>55</v>
      </c>
      <c r="BK4" s="19">
        <f t="shared" si="7"/>
        <v>56</v>
      </c>
      <c r="BL4" s="19">
        <f t="shared" si="7"/>
        <v>57</v>
      </c>
      <c r="BM4" s="19">
        <f t="shared" si="1"/>
        <v>58</v>
      </c>
      <c r="BN4" s="19">
        <f t="shared" si="1"/>
        <v>59</v>
      </c>
      <c r="BO4" s="19">
        <f t="shared" si="1"/>
        <v>60</v>
      </c>
      <c r="BP4" s="19">
        <f t="shared" ref="BP4:CN4" si="8">BO4+1</f>
        <v>61</v>
      </c>
      <c r="BQ4" s="19">
        <f t="shared" si="8"/>
        <v>62</v>
      </c>
      <c r="BR4" s="19">
        <f t="shared" si="8"/>
        <v>63</v>
      </c>
      <c r="BS4" s="19">
        <f t="shared" si="8"/>
        <v>64</v>
      </c>
      <c r="BT4" s="19">
        <f t="shared" si="8"/>
        <v>65</v>
      </c>
      <c r="BU4" s="19">
        <f t="shared" si="8"/>
        <v>66</v>
      </c>
      <c r="BV4" s="19">
        <f t="shared" si="8"/>
        <v>67</v>
      </c>
      <c r="BW4" s="19">
        <f t="shared" si="8"/>
        <v>68</v>
      </c>
      <c r="BX4" s="19">
        <f t="shared" si="8"/>
        <v>69</v>
      </c>
      <c r="BY4" s="19">
        <f t="shared" si="8"/>
        <v>70</v>
      </c>
      <c r="BZ4" s="19">
        <f t="shared" si="8"/>
        <v>71</v>
      </c>
      <c r="CA4" s="19">
        <f t="shared" si="8"/>
        <v>72</v>
      </c>
      <c r="CB4" s="19">
        <f t="shared" si="8"/>
        <v>73</v>
      </c>
      <c r="CC4" s="19">
        <f t="shared" si="8"/>
        <v>74</v>
      </c>
      <c r="CD4" s="19">
        <f t="shared" si="8"/>
        <v>75</v>
      </c>
      <c r="CE4" s="19">
        <f t="shared" si="8"/>
        <v>76</v>
      </c>
      <c r="CF4" s="19">
        <f t="shared" si="8"/>
        <v>77</v>
      </c>
      <c r="CG4" s="19">
        <f t="shared" si="8"/>
        <v>78</v>
      </c>
      <c r="CH4" s="19">
        <f t="shared" si="8"/>
        <v>79</v>
      </c>
      <c r="CI4" s="19">
        <f t="shared" si="8"/>
        <v>80</v>
      </c>
      <c r="CJ4" s="19">
        <f t="shared" si="8"/>
        <v>81</v>
      </c>
      <c r="CK4" s="19">
        <f t="shared" si="8"/>
        <v>82</v>
      </c>
      <c r="CL4" s="19">
        <f t="shared" si="8"/>
        <v>83</v>
      </c>
      <c r="CM4" s="19">
        <f t="shared" si="8"/>
        <v>84</v>
      </c>
      <c r="CN4" s="19">
        <f t="shared" si="8"/>
        <v>85</v>
      </c>
      <c r="CO4" s="19">
        <f t="shared" ref="CO4:DC4" si="9">CN4+1</f>
        <v>86</v>
      </c>
      <c r="CP4" s="19">
        <f t="shared" si="9"/>
        <v>87</v>
      </c>
      <c r="CQ4" s="19">
        <f t="shared" si="9"/>
        <v>88</v>
      </c>
      <c r="CR4" s="19">
        <f t="shared" si="9"/>
        <v>89</v>
      </c>
      <c r="CS4" s="19">
        <f t="shared" si="9"/>
        <v>90</v>
      </c>
      <c r="CT4" s="19">
        <f t="shared" si="9"/>
        <v>91</v>
      </c>
      <c r="CU4" s="19">
        <f t="shared" si="9"/>
        <v>92</v>
      </c>
      <c r="CV4" s="19">
        <f t="shared" si="9"/>
        <v>93</v>
      </c>
      <c r="CW4" s="19">
        <f t="shared" si="9"/>
        <v>94</v>
      </c>
      <c r="CX4" s="19">
        <f t="shared" si="9"/>
        <v>95</v>
      </c>
      <c r="CY4" s="19">
        <f t="shared" si="9"/>
        <v>96</v>
      </c>
      <c r="CZ4" s="19">
        <f t="shared" si="9"/>
        <v>97</v>
      </c>
      <c r="DA4" s="19">
        <f t="shared" si="9"/>
        <v>98</v>
      </c>
      <c r="DB4" s="19">
        <f t="shared" si="9"/>
        <v>99</v>
      </c>
      <c r="DC4" s="19">
        <f t="shared" si="9"/>
        <v>100</v>
      </c>
      <c r="DD4" s="19">
        <f t="shared" ref="DD4:FJ4" si="10">DC4+1</f>
        <v>101</v>
      </c>
      <c r="DE4" s="19">
        <f t="shared" si="10"/>
        <v>102</v>
      </c>
      <c r="DF4" s="19">
        <f t="shared" si="10"/>
        <v>103</v>
      </c>
      <c r="DG4" s="19">
        <f t="shared" si="10"/>
        <v>104</v>
      </c>
      <c r="DH4" s="19">
        <f t="shared" si="10"/>
        <v>105</v>
      </c>
      <c r="DI4" s="19">
        <f t="shared" si="10"/>
        <v>106</v>
      </c>
      <c r="DJ4" s="19">
        <f t="shared" si="10"/>
        <v>107</v>
      </c>
      <c r="DK4" s="19">
        <f t="shared" si="10"/>
        <v>108</v>
      </c>
      <c r="DL4" s="19">
        <f t="shared" si="10"/>
        <v>109</v>
      </c>
      <c r="DM4" s="19">
        <f t="shared" si="10"/>
        <v>110</v>
      </c>
      <c r="DN4" s="19">
        <f t="shared" si="10"/>
        <v>111</v>
      </c>
      <c r="DO4" s="19">
        <f t="shared" si="10"/>
        <v>112</v>
      </c>
      <c r="DP4" s="19">
        <f t="shared" si="10"/>
        <v>113</v>
      </c>
      <c r="DQ4" s="19">
        <f t="shared" si="10"/>
        <v>114</v>
      </c>
      <c r="DR4" s="19">
        <f t="shared" si="10"/>
        <v>115</v>
      </c>
      <c r="DS4" s="19">
        <f t="shared" si="10"/>
        <v>116</v>
      </c>
      <c r="DT4" s="19">
        <f t="shared" si="10"/>
        <v>117</v>
      </c>
      <c r="DU4" s="19">
        <f t="shared" si="10"/>
        <v>118</v>
      </c>
      <c r="DV4" s="19">
        <f t="shared" si="10"/>
        <v>119</v>
      </c>
      <c r="DW4" s="19">
        <f t="shared" si="10"/>
        <v>120</v>
      </c>
      <c r="DX4" s="19">
        <f t="shared" si="10"/>
        <v>121</v>
      </c>
      <c r="DY4" s="19">
        <f t="shared" si="10"/>
        <v>122</v>
      </c>
      <c r="DZ4" s="19">
        <f t="shared" si="10"/>
        <v>123</v>
      </c>
      <c r="EA4" s="19">
        <f t="shared" si="10"/>
        <v>124</v>
      </c>
      <c r="EB4" s="19">
        <f t="shared" si="10"/>
        <v>125</v>
      </c>
      <c r="EC4" s="19">
        <f t="shared" si="10"/>
        <v>126</v>
      </c>
      <c r="ED4" s="19">
        <f t="shared" si="10"/>
        <v>127</v>
      </c>
      <c r="EE4" s="19">
        <f t="shared" si="10"/>
        <v>128</v>
      </c>
      <c r="EF4" s="19">
        <f t="shared" si="10"/>
        <v>129</v>
      </c>
      <c r="EG4" s="19">
        <f t="shared" si="10"/>
        <v>130</v>
      </c>
      <c r="EH4" s="19">
        <f t="shared" si="10"/>
        <v>131</v>
      </c>
      <c r="EI4" s="19">
        <f t="shared" si="10"/>
        <v>132</v>
      </c>
      <c r="EJ4" s="19">
        <f t="shared" si="10"/>
        <v>133</v>
      </c>
      <c r="EK4" s="19">
        <f t="shared" si="10"/>
        <v>134</v>
      </c>
      <c r="EL4" s="19">
        <f t="shared" si="10"/>
        <v>135</v>
      </c>
      <c r="EM4" s="19">
        <f t="shared" si="10"/>
        <v>136</v>
      </c>
      <c r="EN4" s="19">
        <f t="shared" si="10"/>
        <v>137</v>
      </c>
      <c r="EO4" s="19">
        <f t="shared" si="10"/>
        <v>138</v>
      </c>
      <c r="EP4" s="19">
        <f t="shared" si="10"/>
        <v>139</v>
      </c>
      <c r="EQ4" s="19">
        <f t="shared" si="10"/>
        <v>140</v>
      </c>
      <c r="ER4" s="19">
        <f t="shared" si="10"/>
        <v>141</v>
      </c>
      <c r="ES4" s="19">
        <f t="shared" si="10"/>
        <v>142</v>
      </c>
      <c r="ET4" s="19">
        <f t="shared" si="10"/>
        <v>143</v>
      </c>
      <c r="EU4" s="19">
        <f t="shared" si="10"/>
        <v>144</v>
      </c>
      <c r="EV4" s="19">
        <f t="shared" si="10"/>
        <v>145</v>
      </c>
      <c r="EW4" s="19">
        <f t="shared" si="10"/>
        <v>146</v>
      </c>
      <c r="EX4" s="19">
        <f t="shared" si="10"/>
        <v>147</v>
      </c>
      <c r="EY4" s="19">
        <f t="shared" si="10"/>
        <v>148</v>
      </c>
      <c r="EZ4" s="19">
        <f t="shared" si="10"/>
        <v>149</v>
      </c>
      <c r="FA4" s="19">
        <f t="shared" si="10"/>
        <v>150</v>
      </c>
      <c r="FB4" s="19">
        <f t="shared" si="10"/>
        <v>151</v>
      </c>
      <c r="FC4" s="19">
        <f t="shared" si="10"/>
        <v>152</v>
      </c>
      <c r="FD4" s="19">
        <f t="shared" si="10"/>
        <v>153</v>
      </c>
      <c r="FE4" s="19">
        <f t="shared" si="10"/>
        <v>154</v>
      </c>
      <c r="FF4" s="19">
        <f t="shared" si="10"/>
        <v>155</v>
      </c>
      <c r="FG4" s="19">
        <f t="shared" si="10"/>
        <v>156</v>
      </c>
      <c r="FH4" s="19">
        <f t="shared" si="10"/>
        <v>157</v>
      </c>
      <c r="FI4" s="19">
        <f t="shared" si="10"/>
        <v>158</v>
      </c>
      <c r="FJ4" s="19">
        <f t="shared" si="10"/>
        <v>159</v>
      </c>
      <c r="FK4" s="19">
        <f t="shared" ref="FK4:HV4" si="11">FJ4+1</f>
        <v>160</v>
      </c>
      <c r="FL4" s="19">
        <f t="shared" si="11"/>
        <v>161</v>
      </c>
      <c r="FM4" s="19">
        <f t="shared" si="11"/>
        <v>162</v>
      </c>
      <c r="FN4" s="19">
        <f t="shared" si="11"/>
        <v>163</v>
      </c>
      <c r="FO4" s="19">
        <f t="shared" si="11"/>
        <v>164</v>
      </c>
      <c r="FP4" s="19">
        <f t="shared" si="11"/>
        <v>165</v>
      </c>
      <c r="FQ4" s="19">
        <f t="shared" si="11"/>
        <v>166</v>
      </c>
      <c r="FR4" s="19">
        <f t="shared" si="11"/>
        <v>167</v>
      </c>
      <c r="FS4" s="19">
        <f t="shared" si="11"/>
        <v>168</v>
      </c>
      <c r="FT4" s="19">
        <f t="shared" si="11"/>
        <v>169</v>
      </c>
      <c r="FU4" s="19">
        <f t="shared" si="11"/>
        <v>170</v>
      </c>
      <c r="FV4" s="19">
        <f t="shared" si="11"/>
        <v>171</v>
      </c>
      <c r="FW4" s="19">
        <f t="shared" si="11"/>
        <v>172</v>
      </c>
      <c r="FX4" s="19">
        <f t="shared" si="11"/>
        <v>173</v>
      </c>
      <c r="FY4" s="19">
        <f t="shared" si="11"/>
        <v>174</v>
      </c>
      <c r="FZ4" s="19">
        <f t="shared" si="11"/>
        <v>175</v>
      </c>
      <c r="GA4" s="19">
        <f t="shared" si="11"/>
        <v>176</v>
      </c>
      <c r="GB4" s="19">
        <f t="shared" si="11"/>
        <v>177</v>
      </c>
      <c r="GC4" s="19">
        <f t="shared" si="11"/>
        <v>178</v>
      </c>
      <c r="GD4" s="19">
        <f t="shared" si="11"/>
        <v>179</v>
      </c>
      <c r="GE4" s="19">
        <f t="shared" si="11"/>
        <v>180</v>
      </c>
      <c r="GF4" s="19">
        <f t="shared" si="11"/>
        <v>181</v>
      </c>
      <c r="GG4" s="19">
        <f t="shared" si="11"/>
        <v>182</v>
      </c>
      <c r="GH4" s="19">
        <f t="shared" si="11"/>
        <v>183</v>
      </c>
      <c r="GI4" s="19">
        <f t="shared" si="11"/>
        <v>184</v>
      </c>
      <c r="GJ4" s="19">
        <f t="shared" si="11"/>
        <v>185</v>
      </c>
      <c r="GK4" s="19">
        <f t="shared" si="11"/>
        <v>186</v>
      </c>
      <c r="GL4" s="19">
        <f t="shared" si="11"/>
        <v>187</v>
      </c>
      <c r="GM4" s="19">
        <f t="shared" si="11"/>
        <v>188</v>
      </c>
      <c r="GN4" s="19">
        <f t="shared" si="11"/>
        <v>189</v>
      </c>
      <c r="GO4" s="19">
        <f t="shared" si="11"/>
        <v>190</v>
      </c>
      <c r="GP4" s="19">
        <f t="shared" si="11"/>
        <v>191</v>
      </c>
      <c r="GQ4" s="19">
        <f t="shared" si="11"/>
        <v>192</v>
      </c>
      <c r="GR4" s="19">
        <f t="shared" si="11"/>
        <v>193</v>
      </c>
      <c r="GS4" s="19">
        <f t="shared" si="11"/>
        <v>194</v>
      </c>
      <c r="GT4" s="19">
        <f t="shared" si="11"/>
        <v>195</v>
      </c>
      <c r="GU4" s="19">
        <f t="shared" si="11"/>
        <v>196</v>
      </c>
      <c r="GV4" s="19">
        <f t="shared" si="11"/>
        <v>197</v>
      </c>
      <c r="GW4" s="19">
        <f t="shared" si="11"/>
        <v>198</v>
      </c>
      <c r="GX4" s="19">
        <f t="shared" si="11"/>
        <v>199</v>
      </c>
      <c r="GY4" s="19">
        <f t="shared" si="11"/>
        <v>200</v>
      </c>
      <c r="GZ4" s="19">
        <f t="shared" si="11"/>
        <v>201</v>
      </c>
      <c r="HA4" s="19">
        <f t="shared" si="11"/>
        <v>202</v>
      </c>
      <c r="HB4" s="19">
        <f t="shared" si="11"/>
        <v>203</v>
      </c>
      <c r="HC4" s="19">
        <f t="shared" si="11"/>
        <v>204</v>
      </c>
      <c r="HD4" s="19">
        <f t="shared" si="11"/>
        <v>205</v>
      </c>
      <c r="HE4" s="19">
        <f t="shared" si="11"/>
        <v>206</v>
      </c>
      <c r="HF4" s="19">
        <f t="shared" si="11"/>
        <v>207</v>
      </c>
      <c r="HG4" s="19">
        <f t="shared" si="11"/>
        <v>208</v>
      </c>
      <c r="HH4" s="19">
        <f t="shared" si="11"/>
        <v>209</v>
      </c>
      <c r="HI4" s="19">
        <f t="shared" si="11"/>
        <v>210</v>
      </c>
      <c r="HJ4" s="19">
        <f t="shared" si="11"/>
        <v>211</v>
      </c>
      <c r="HK4" s="19">
        <f t="shared" si="11"/>
        <v>212</v>
      </c>
      <c r="HL4" s="19">
        <f t="shared" si="11"/>
        <v>213</v>
      </c>
      <c r="HM4" s="19">
        <f t="shared" si="11"/>
        <v>214</v>
      </c>
      <c r="HN4" s="19">
        <f t="shared" si="11"/>
        <v>215</v>
      </c>
      <c r="HO4" s="19">
        <f t="shared" si="11"/>
        <v>216</v>
      </c>
      <c r="HP4" s="19">
        <f t="shared" si="11"/>
        <v>217</v>
      </c>
      <c r="HQ4" s="19">
        <f t="shared" si="11"/>
        <v>218</v>
      </c>
      <c r="HR4" s="19">
        <f t="shared" si="11"/>
        <v>219</v>
      </c>
      <c r="HS4" s="19">
        <f t="shared" si="11"/>
        <v>220</v>
      </c>
      <c r="HT4" s="19">
        <f t="shared" si="11"/>
        <v>221</v>
      </c>
      <c r="HU4" s="19">
        <f t="shared" si="11"/>
        <v>222</v>
      </c>
      <c r="HV4" s="19">
        <f t="shared" si="11"/>
        <v>223</v>
      </c>
      <c r="HW4" s="19">
        <f t="shared" ref="HW4:IN4" si="12">HV4+1</f>
        <v>224</v>
      </c>
      <c r="HX4" s="19">
        <f t="shared" si="12"/>
        <v>225</v>
      </c>
      <c r="HY4" s="19">
        <f t="shared" si="12"/>
        <v>226</v>
      </c>
      <c r="HZ4" s="19">
        <f t="shared" si="12"/>
        <v>227</v>
      </c>
      <c r="IA4" s="19">
        <f t="shared" si="12"/>
        <v>228</v>
      </c>
      <c r="IB4" s="19">
        <f t="shared" si="12"/>
        <v>229</v>
      </c>
      <c r="IC4" s="19">
        <f t="shared" si="12"/>
        <v>230</v>
      </c>
      <c r="ID4" s="19">
        <f t="shared" si="12"/>
        <v>231</v>
      </c>
      <c r="IE4" s="19">
        <f t="shared" si="12"/>
        <v>232</v>
      </c>
      <c r="IF4" s="19">
        <f t="shared" si="12"/>
        <v>233</v>
      </c>
      <c r="IG4" s="19">
        <f t="shared" si="12"/>
        <v>234</v>
      </c>
      <c r="IH4" s="19">
        <f t="shared" si="12"/>
        <v>235</v>
      </c>
      <c r="II4" s="19">
        <f t="shared" si="12"/>
        <v>236</v>
      </c>
      <c r="IJ4" s="19">
        <f t="shared" si="12"/>
        <v>237</v>
      </c>
      <c r="IK4" s="19">
        <f t="shared" si="12"/>
        <v>238</v>
      </c>
      <c r="IL4" s="19">
        <f t="shared" si="12"/>
        <v>239</v>
      </c>
      <c r="IM4" s="19">
        <f t="shared" si="12"/>
        <v>240</v>
      </c>
      <c r="IN4" s="19">
        <f t="shared" si="12"/>
        <v>241</v>
      </c>
    </row>
    <row r="5" spans="2:248" x14ac:dyDescent="0.3">
      <c r="B5" s="19" t="s">
        <v>488</v>
      </c>
      <c r="C5" s="21">
        <f>COUNTIF(G5:BL5,"&gt;"&amp;0)</f>
        <v>14</v>
      </c>
      <c r="F5" s="19" t="s">
        <v>485</v>
      </c>
      <c r="G5" s="21">
        <f>IF(VLOOKUP($B$2,DaysSince100!$H:$DJ,'Projections Data'!G$4+2,FALSE)=0,#N/A,VLOOKUP($B$2,DaysSince100!$H:$DJ,'Projections Data'!G$4+2,FALSE))</f>
        <v>116</v>
      </c>
      <c r="H5" s="21">
        <f>IF(VLOOKUP($B$2,DaysSince100!$H:$DJ,'Projections Data'!H$4+2,FALSE)=0,#N/A,VLOOKUP($B$2,DaysSince100!$H:$DJ,'Projections Data'!H$4+2,FALSE))</f>
        <v>164</v>
      </c>
      <c r="I5" s="21">
        <f>IF(VLOOKUP($B$2,DaysSince100!$H:$DJ,'Projections Data'!I$4+2,FALSE)=0,#N/A,VLOOKUP($B$2,DaysSince100!$H:$DJ,'Projections Data'!I$4+2,FALSE))</f>
        <v>207</v>
      </c>
      <c r="J5" s="21">
        <f>IF(VLOOKUP($B$2,DaysSince100!$H:$DJ,'Projections Data'!J$4+2,FALSE)=0,#N/A,VLOOKUP($B$2,DaysSince100!$H:$DJ,'Projections Data'!J$4+2,FALSE))</f>
        <v>274</v>
      </c>
      <c r="K5" s="21">
        <f>IF(VLOOKUP($B$2,DaysSince100!$H:$DJ,'Projections Data'!K$4+2,FALSE)=0,#N/A,VLOOKUP($B$2,DaysSince100!$H:$DJ,'Projections Data'!K$4+2,FALSE))</f>
        <v>322</v>
      </c>
      <c r="L5" s="21">
        <f>IF(VLOOKUP($B$2,DaysSince100!$H:$DJ,'Projections Data'!L$4+2,FALSE)=0,#N/A,VLOOKUP($B$2,DaysSince100!$H:$DJ,'Projections Data'!L$4+2,FALSE))</f>
        <v>384</v>
      </c>
      <c r="M5" s="21">
        <f>IF(VLOOKUP($B$2,DaysSince100!$H:$DJ,'Projections Data'!M$4+2,FALSE)=0,#N/A,VLOOKUP($B$2,DaysSince100!$H:$DJ,'Projections Data'!M$4+2,FALSE))</f>
        <v>459</v>
      </c>
      <c r="N5" s="21">
        <f>IF(VLOOKUP($B$2,DaysSince100!$H:$DJ,'Projections Data'!N$4+2,FALSE)=0,#N/A,VLOOKUP($B$2,DaysSince100!$H:$DJ,'Projections Data'!N$4+2,FALSE))</f>
        <v>590</v>
      </c>
      <c r="O5" s="21">
        <f>IF(VLOOKUP($B$2,DaysSince100!$H:$DJ,'Projections Data'!O$4+2,FALSE)=0,#N/A,VLOOKUP($B$2,DaysSince100!$H:$DJ,'Projections Data'!O$4+2,FALSE))</f>
        <v>803</v>
      </c>
      <c r="P5" s="21">
        <f>IF(VLOOKUP($B$2,DaysSince100!$H:$DJ,'Projections Data'!P$4+2,FALSE)=0,#N/A,VLOOKUP($B$2,DaysSince100!$H:$DJ,'Projections Data'!P$4+2,FALSE))</f>
        <v>1145</v>
      </c>
      <c r="Q5" s="21">
        <f>IF(VLOOKUP($B$2,DaysSince100!$H:$DJ,'Projections Data'!Q$4+2,FALSE)=0,#N/A,VLOOKUP($B$2,DaysSince100!$H:$DJ,'Projections Data'!Q$4+2,FALSE))</f>
        <v>1355</v>
      </c>
      <c r="R5" s="21">
        <f>IF(VLOOKUP($B$2,DaysSince100!$H:$DJ,'Projections Data'!R$4+2,FALSE)=0,#N/A,VLOOKUP($B$2,DaysSince100!$H:$DJ,'Projections Data'!R$4+2,FALSE))</f>
        <v>1552</v>
      </c>
      <c r="S5" s="21">
        <f>IF(VLOOKUP($B$2,DaysSince100!$H:$DJ,'Projections Data'!S$4+2,FALSE)=0,#N/A,VLOOKUP($B$2,DaysSince100!$H:$DJ,'Projections Data'!S$4+2,FALSE))</f>
        <v>1960</v>
      </c>
      <c r="T5" s="21">
        <f>IF(VLOOKUP($B$2,DaysSince100!$H:$DJ,'Projections Data'!T$4+2,FALSE)=0,#N/A,VLOOKUP($B$2,DaysSince100!$H:$DJ,'Projections Data'!T$4+2,FALSE))</f>
        <v>2626</v>
      </c>
      <c r="U5" s="21" t="e">
        <f>IF(VLOOKUP($B$2,DaysSince100!$H:$DJ,'Projections Data'!U$4+2,FALSE)=0,#N/A,VLOOKUP($B$2,DaysSince100!$H:$DJ,'Projections Data'!U$4+2,FALSE))</f>
        <v>#N/A</v>
      </c>
      <c r="V5" s="21" t="e">
        <f>IF(VLOOKUP($B$2,DaysSince100!$H:$DJ,'Projections Data'!V$4+2,FALSE)=0,#N/A,VLOOKUP($B$2,DaysSince100!$H:$DJ,'Projections Data'!V$4+2,FALSE))</f>
        <v>#N/A</v>
      </c>
      <c r="W5" s="21" t="e">
        <f>IF(VLOOKUP($B$2,DaysSince100!$H:$DJ,'Projections Data'!W$4+2,FALSE)=0,#N/A,VLOOKUP($B$2,DaysSince100!$H:$DJ,'Projections Data'!W$4+2,FALSE))</f>
        <v>#N/A</v>
      </c>
      <c r="X5" s="21" t="e">
        <f>IF(VLOOKUP($B$2,DaysSince100!$H:$DJ,'Projections Data'!X$4+2,FALSE)=0,#N/A,VLOOKUP($B$2,DaysSince100!$H:$DJ,'Projections Data'!X$4+2,FALSE))</f>
        <v>#N/A</v>
      </c>
      <c r="Y5" s="21" t="e">
        <f>IF(VLOOKUP($B$2,DaysSince100!$H:$DJ,'Projections Data'!Y$4+2,FALSE)=0,#N/A,VLOOKUP($B$2,DaysSince100!$H:$DJ,'Projections Data'!Y$4+2,FALSE))</f>
        <v>#N/A</v>
      </c>
      <c r="Z5" s="21" t="e">
        <f>IF(VLOOKUP($B$2,DaysSince100!$H:$DJ,'Projections Data'!Z$4+2,FALSE)=0,#N/A,VLOOKUP($B$2,DaysSince100!$H:$DJ,'Projections Data'!Z$4+2,FALSE))</f>
        <v>#N/A</v>
      </c>
      <c r="AA5" s="21" t="e">
        <f>IF(VLOOKUP($B$2,DaysSince100!$H:$DJ,'Projections Data'!AA$4+2,FALSE)=0,#N/A,VLOOKUP($B$2,DaysSince100!$H:$DJ,'Projections Data'!AA$4+2,FALSE))</f>
        <v>#N/A</v>
      </c>
      <c r="AB5" s="21" t="e">
        <f>IF(VLOOKUP($B$2,DaysSince100!$H:$DJ,'Projections Data'!AB$4+2,FALSE)=0,#N/A,VLOOKUP($B$2,DaysSince100!$H:$DJ,'Projections Data'!AB$4+2,FALSE))</f>
        <v>#N/A</v>
      </c>
      <c r="AC5" s="21" t="e">
        <f>IF(VLOOKUP($B$2,DaysSince100!$H:$DJ,'Projections Data'!AC$4+2,FALSE)=0,#N/A,VLOOKUP($B$2,DaysSince100!$H:$DJ,'Projections Data'!AC$4+2,FALSE))</f>
        <v>#N/A</v>
      </c>
      <c r="AD5" s="21" t="e">
        <f>IF(VLOOKUP($B$2,DaysSince100!$H:$DJ,'Projections Data'!AD$4+2,FALSE)=0,#N/A,VLOOKUP($B$2,DaysSince100!$H:$DJ,'Projections Data'!AD$4+2,FALSE))</f>
        <v>#N/A</v>
      </c>
      <c r="AE5" s="21" t="e">
        <f>IF(VLOOKUP($B$2,DaysSince100!$H:$DJ,'Projections Data'!AE$4+2,FALSE)=0,#N/A,VLOOKUP($B$2,DaysSince100!$H:$DJ,'Projections Data'!AE$4+2,FALSE))</f>
        <v>#N/A</v>
      </c>
      <c r="AF5" s="21" t="e">
        <f>IF(VLOOKUP($B$2,DaysSince100!$H:$DJ,'Projections Data'!AF$4+2,FALSE)=0,#N/A,VLOOKUP($B$2,DaysSince100!$H:$DJ,'Projections Data'!AF$4+2,FALSE))</f>
        <v>#N/A</v>
      </c>
      <c r="AG5" s="21" t="e">
        <f>IF(VLOOKUP($B$2,DaysSince100!$H:$DJ,'Projections Data'!AG$4+2,FALSE)=0,#N/A,VLOOKUP($B$2,DaysSince100!$H:$DJ,'Projections Data'!AG$4+2,FALSE))</f>
        <v>#N/A</v>
      </c>
      <c r="AH5" s="21" t="e">
        <f>IF(VLOOKUP($B$2,DaysSince100!$H:$DJ,'Projections Data'!AH$4+2,FALSE)=0,#N/A,VLOOKUP($B$2,DaysSince100!$H:$DJ,'Projections Data'!AH$4+2,FALSE))</f>
        <v>#N/A</v>
      </c>
      <c r="AI5" s="21" t="e">
        <f>IF(VLOOKUP($B$2,DaysSince100!$H:$DJ,'Projections Data'!AI$4+2,FALSE)=0,#N/A,VLOOKUP($B$2,DaysSince100!$H:$DJ,'Projections Data'!AI$4+2,FALSE))</f>
        <v>#N/A</v>
      </c>
      <c r="AJ5" s="21" t="e">
        <f>IF(VLOOKUP($B$2,DaysSince100!$H:$DJ,'Projections Data'!AJ$4+2,FALSE)=0,#N/A,VLOOKUP($B$2,DaysSince100!$H:$DJ,'Projections Data'!AJ$4+2,FALSE))</f>
        <v>#N/A</v>
      </c>
      <c r="AK5" s="21" t="e">
        <f>IF(VLOOKUP($B$2,DaysSince100!$H:$DJ,'Projections Data'!AK$4+2,FALSE)=0,#N/A,VLOOKUP($B$2,DaysSince100!$H:$DJ,'Projections Data'!AK$4+2,FALSE))</f>
        <v>#N/A</v>
      </c>
      <c r="AL5" s="21" t="e">
        <f>IF(VLOOKUP($B$2,DaysSince100!$H:$DJ,'Projections Data'!AL$4+2,FALSE)=0,#N/A,VLOOKUP($B$2,DaysSince100!$H:$DJ,'Projections Data'!AL$4+2,FALSE))</f>
        <v>#N/A</v>
      </c>
      <c r="AM5" s="21" t="e">
        <f>IF(VLOOKUP($B$2,DaysSince100!$H:$DJ,'Projections Data'!AM$4+2,FALSE)=0,#N/A,VLOOKUP($B$2,DaysSince100!$H:$DJ,'Projections Data'!AM$4+2,FALSE))</f>
        <v>#N/A</v>
      </c>
      <c r="AN5" s="21" t="e">
        <f>IF(VLOOKUP($B$2,DaysSince100!$H:$DJ,'Projections Data'!AN$4+2,FALSE)=0,#N/A,VLOOKUP($B$2,DaysSince100!$H:$DJ,'Projections Data'!AN$4+2,FALSE))</f>
        <v>#N/A</v>
      </c>
      <c r="AO5" s="21" t="e">
        <f>IF(VLOOKUP($B$2,DaysSince100!$H:$DJ,'Projections Data'!AO$4+2,FALSE)=0,#N/A,VLOOKUP($B$2,DaysSince100!$H:$DJ,'Projections Data'!AO$4+2,FALSE))</f>
        <v>#N/A</v>
      </c>
      <c r="AP5" s="21" t="e">
        <f>IF(VLOOKUP($B$2,DaysSince100!$H:$DJ,'Projections Data'!AP$4+2,FALSE)=0,#N/A,VLOOKUP($B$2,DaysSince100!$H:$DJ,'Projections Data'!AP$4+2,FALSE))</f>
        <v>#N/A</v>
      </c>
      <c r="AQ5" s="21" t="e">
        <f>IF(VLOOKUP($B$2,DaysSince100!$H:$DJ,'Projections Data'!AQ$4+2,FALSE)=0,#N/A,VLOOKUP($B$2,DaysSince100!$H:$DJ,'Projections Data'!AQ$4+2,FALSE))</f>
        <v>#N/A</v>
      </c>
      <c r="AR5" s="21" t="e">
        <f>IF(VLOOKUP($B$2,DaysSince100!$H:$DJ,'Projections Data'!AR$4+2,FALSE)=0,#N/A,VLOOKUP($B$2,DaysSince100!$H:$DJ,'Projections Data'!AR$4+2,FALSE))</f>
        <v>#N/A</v>
      </c>
      <c r="AS5" s="21" t="e">
        <f>IF(VLOOKUP($B$2,DaysSince100!$H:$DJ,'Projections Data'!AS$4+2,FALSE)=0,#N/A,VLOOKUP($B$2,DaysSince100!$H:$DJ,'Projections Data'!AS$4+2,FALSE))</f>
        <v>#N/A</v>
      </c>
      <c r="AT5" s="21" t="e">
        <f>IF(VLOOKUP($B$2,DaysSince100!$H:$DJ,'Projections Data'!AT$4+2,FALSE)=0,#N/A,VLOOKUP($B$2,DaysSince100!$H:$DJ,'Projections Data'!AT$4+2,FALSE))</f>
        <v>#N/A</v>
      </c>
      <c r="AU5" s="21" t="e">
        <f>IF(VLOOKUP($B$2,DaysSince100!$H:$DJ,'Projections Data'!AU$4+2,FALSE)=0,#N/A,VLOOKUP($B$2,DaysSince100!$H:$DJ,'Projections Data'!AU$4+2,FALSE))</f>
        <v>#N/A</v>
      </c>
      <c r="AV5" s="21" t="e">
        <f>IF(VLOOKUP($B$2,DaysSince100!$H:$DJ,'Projections Data'!AV$4+2,FALSE)=0,#N/A,VLOOKUP($B$2,DaysSince100!$H:$DJ,'Projections Data'!AV$4+2,FALSE))</f>
        <v>#N/A</v>
      </c>
      <c r="AW5" s="21" t="e">
        <f>IF(VLOOKUP($B$2,DaysSince100!$H:$DJ,'Projections Data'!AW$4+2,FALSE)=0,#N/A,VLOOKUP($B$2,DaysSince100!$H:$DJ,'Projections Data'!AW$4+2,FALSE))</f>
        <v>#N/A</v>
      </c>
      <c r="AX5" s="21" t="e">
        <f>IF(VLOOKUP($B$2,DaysSince100!$H:$DJ,'Projections Data'!AX$4+2,FALSE)=0,#N/A,VLOOKUP($B$2,DaysSince100!$H:$DJ,'Projections Data'!AX$4+2,FALSE))</f>
        <v>#N/A</v>
      </c>
      <c r="AY5" s="21" t="e">
        <f>IF(VLOOKUP($B$2,DaysSince100!$H:$DJ,'Projections Data'!AY$4+2,FALSE)=0,#N/A,VLOOKUP($B$2,DaysSince100!$H:$DJ,'Projections Data'!AY$4+2,FALSE))</f>
        <v>#N/A</v>
      </c>
      <c r="AZ5" s="21" t="e">
        <f>IF(VLOOKUP($B$2,DaysSince100!$H:$DJ,'Projections Data'!AZ$4+2,FALSE)=0,#N/A,VLOOKUP($B$2,DaysSince100!$H:$DJ,'Projections Data'!AZ$4+2,FALSE))</f>
        <v>#N/A</v>
      </c>
      <c r="BA5" s="21" t="e">
        <f>IF(VLOOKUP($B$2,DaysSince100!$H:$DJ,'Projections Data'!BA$4+2,FALSE)=0,#N/A,VLOOKUP($B$2,DaysSince100!$H:$DJ,'Projections Data'!BA$4+2,FALSE))</f>
        <v>#N/A</v>
      </c>
      <c r="BB5" s="21" t="e">
        <f>IF(VLOOKUP($B$2,DaysSince100!$H:$DJ,'Projections Data'!BB$4+2,FALSE)=0,#N/A,VLOOKUP($B$2,DaysSince100!$H:$DJ,'Projections Data'!BB$4+2,FALSE))</f>
        <v>#N/A</v>
      </c>
      <c r="BC5" s="21" t="e">
        <f>IF(VLOOKUP($B$2,DaysSince100!$H:$DJ,'Projections Data'!BC$4+2,FALSE)=0,#N/A,VLOOKUP($B$2,DaysSince100!$H:$DJ,'Projections Data'!BC$4+2,FALSE))</f>
        <v>#N/A</v>
      </c>
      <c r="BD5" s="21" t="e">
        <f>IF(VLOOKUP($B$2,DaysSince100!$H:$DJ,'Projections Data'!BD$4+2,FALSE)=0,#N/A,VLOOKUP($B$2,DaysSince100!$H:$DJ,'Projections Data'!BD$4+2,FALSE))</f>
        <v>#N/A</v>
      </c>
      <c r="BE5" s="21" t="e">
        <f>IF(VLOOKUP($B$2,DaysSince100!$H:$DJ,'Projections Data'!BE$4+2,FALSE)=0,#N/A,VLOOKUP($B$2,DaysSince100!$H:$DJ,'Projections Data'!BE$4+2,FALSE))</f>
        <v>#N/A</v>
      </c>
      <c r="BF5" s="21" t="e">
        <f>IF(VLOOKUP($B$2,DaysSince100!$H:$DJ,'Projections Data'!BF$4+2,FALSE)=0,#N/A,VLOOKUP($B$2,DaysSince100!$H:$DJ,'Projections Data'!BF$4+2,FALSE))</f>
        <v>#N/A</v>
      </c>
      <c r="BG5" s="21" t="e">
        <f>IF(VLOOKUP($B$2,DaysSince100!$H:$DJ,'Projections Data'!BG$4+2,FALSE)=0,#N/A,VLOOKUP($B$2,DaysSince100!$H:$DJ,'Projections Data'!BG$4+2,FALSE))</f>
        <v>#N/A</v>
      </c>
      <c r="BH5" s="21" t="e">
        <f>IF(VLOOKUP($B$2,DaysSince100!$H:$DJ,'Projections Data'!BH$4+2,FALSE)=0,#N/A,VLOOKUP($B$2,DaysSince100!$H:$DJ,'Projections Data'!BH$4+2,FALSE))</f>
        <v>#N/A</v>
      </c>
      <c r="BI5" s="21" t="e">
        <f>IF(VLOOKUP($B$2,DaysSince100!$H:$DJ,'Projections Data'!BI$4+2,FALSE)=0,#N/A,VLOOKUP($B$2,DaysSince100!$H:$DJ,'Projections Data'!BI$4+2,FALSE))</f>
        <v>#N/A</v>
      </c>
      <c r="BJ5" s="21" t="e">
        <f>IF(VLOOKUP($B$2,DaysSince100!$H:$DJ,'Projections Data'!BJ$4+2,FALSE)=0,#N/A,VLOOKUP($B$2,DaysSince100!$H:$DJ,'Projections Data'!BJ$4+2,FALSE))</f>
        <v>#N/A</v>
      </c>
      <c r="BK5" s="21" t="e">
        <f>IF(VLOOKUP($B$2,DaysSince100!$H:$DJ,'Projections Data'!BK$4+2,FALSE)=0,#N/A,VLOOKUP($B$2,DaysSince100!$H:$DJ,'Projections Data'!BK$4+2,FALSE))</f>
        <v>#N/A</v>
      </c>
      <c r="BL5" s="21" t="e">
        <f>IF(VLOOKUP($B$2,DaysSince100!$H:$DJ,'Projections Data'!BL$4+2,FALSE)=0,#N/A,VLOOKUP($B$2,DaysSince100!$H:$DJ,'Projections Data'!BL$4+2,FALSE))</f>
        <v>#N/A</v>
      </c>
      <c r="BM5" s="21" t="e">
        <f>IF(VLOOKUP($B$2,DaysSince100!$H:$DJ,'Projections Data'!BM$4+2,FALSE)=0,#N/A,VLOOKUP($B$2,DaysSince100!$H:$DJ,'Projections Data'!BM$4+2,FALSE))</f>
        <v>#N/A</v>
      </c>
      <c r="BN5" s="21" t="e">
        <f>IF(VLOOKUP($B$2,DaysSince100!$H:$DJ,'Projections Data'!BN$4+2,FALSE)=0,#N/A,VLOOKUP($B$2,DaysSince100!$H:$DJ,'Projections Data'!BN$4+2,FALSE))</f>
        <v>#N/A</v>
      </c>
      <c r="BO5" s="21" t="e">
        <f>IF(VLOOKUP($B$2,DaysSince100!$H:$DJ,'Projections Data'!BO$4+2,FALSE)=0,#N/A,VLOOKUP($B$2,DaysSince100!$H:$DJ,'Projections Data'!BO$4+2,FALSE))</f>
        <v>#N/A</v>
      </c>
      <c r="BP5" s="21" t="e">
        <f>IF(VLOOKUP($B$2,DaysSince100!$H:$DJ,'Projections Data'!BP$4+2,FALSE)=0,#N/A,VLOOKUP($B$2,DaysSince100!$H:$DJ,'Projections Data'!BP$4+2,FALSE))</f>
        <v>#N/A</v>
      </c>
      <c r="BQ5" s="21" t="e">
        <f>IF(VLOOKUP($B$2,DaysSince100!$H:$DJ,'Projections Data'!BQ$4+2,FALSE)=0,#N/A,VLOOKUP($B$2,DaysSince100!$H:$DJ,'Projections Data'!BQ$4+2,FALSE))</f>
        <v>#N/A</v>
      </c>
      <c r="BR5" s="21" t="e">
        <f>IF(VLOOKUP($B$2,DaysSince100!$H:$DJ,'Projections Data'!BR$4+2,FALSE)=0,#N/A,VLOOKUP($B$2,DaysSince100!$H:$DJ,'Projections Data'!BR$4+2,FALSE))</f>
        <v>#N/A</v>
      </c>
      <c r="BS5" s="21" t="e">
        <f>IF(VLOOKUP($B$2,DaysSince100!$H:$DJ,'Projections Data'!BS$4+2,FALSE)=0,#N/A,VLOOKUP($B$2,DaysSince100!$H:$DJ,'Projections Data'!BS$4+2,FALSE))</f>
        <v>#N/A</v>
      </c>
      <c r="BT5" s="21" t="e">
        <f>IF(VLOOKUP($B$2,DaysSince100!$H:$DJ,'Projections Data'!BT$4+2,FALSE)=0,#N/A,VLOOKUP($B$2,DaysSince100!$H:$DJ,'Projections Data'!BT$4+2,FALSE))</f>
        <v>#N/A</v>
      </c>
      <c r="BU5" s="21" t="e">
        <f>IF(VLOOKUP($B$2,DaysSince100!$H:$DJ,'Projections Data'!BU$4+2,FALSE)=0,#N/A,VLOOKUP($B$2,DaysSince100!$H:$DJ,'Projections Data'!BU$4+2,FALSE))</f>
        <v>#N/A</v>
      </c>
      <c r="BV5" s="21" t="e">
        <f>IF(VLOOKUP($B$2,DaysSince100!$H:$DJ,'Projections Data'!BV$4+2,FALSE)=0,#N/A,VLOOKUP($B$2,DaysSince100!$H:$DJ,'Projections Data'!BV$4+2,FALSE))</f>
        <v>#N/A</v>
      </c>
      <c r="BW5" s="21" t="e">
        <f>IF(VLOOKUP($B$2,DaysSince100!$H:$DJ,'Projections Data'!BW$4+2,FALSE)=0,#N/A,VLOOKUP($B$2,DaysSince100!$H:$DJ,'Projections Data'!BW$4+2,FALSE))</f>
        <v>#N/A</v>
      </c>
      <c r="BX5" s="21" t="e">
        <f>IF(VLOOKUP($B$2,DaysSince100!$H:$DJ,'Projections Data'!BX$4+2,FALSE)=0,#N/A,VLOOKUP($B$2,DaysSince100!$H:$DJ,'Projections Data'!BX$4+2,FALSE))</f>
        <v>#N/A</v>
      </c>
      <c r="BY5" s="21" t="e">
        <f>IF(VLOOKUP($B$2,DaysSince100!$H:$DJ,'Projections Data'!BY$4+2,FALSE)=0,#N/A,VLOOKUP($B$2,DaysSince100!$H:$DJ,'Projections Data'!BY$4+2,FALSE))</f>
        <v>#N/A</v>
      </c>
      <c r="BZ5" s="21" t="e">
        <f>IF(VLOOKUP($B$2,DaysSince100!$H:$DJ,'Projections Data'!BZ$4+2,FALSE)=0,#N/A,VLOOKUP($B$2,DaysSince100!$H:$DJ,'Projections Data'!BZ$4+2,FALSE))</f>
        <v>#N/A</v>
      </c>
      <c r="CA5" s="21" t="e">
        <f>IF(VLOOKUP($B$2,DaysSince100!$H:$DJ,'Projections Data'!CA$4+2,FALSE)=0,#N/A,VLOOKUP($B$2,DaysSince100!$H:$DJ,'Projections Data'!CA$4+2,FALSE))</f>
        <v>#N/A</v>
      </c>
      <c r="CB5" s="21" t="e">
        <f>IF(VLOOKUP($B$2,DaysSince100!$H:$DJ,'Projections Data'!CB$4+2,FALSE)=0,#N/A,VLOOKUP($B$2,DaysSince100!$H:$DJ,'Projections Data'!CB$4+2,FALSE))</f>
        <v>#N/A</v>
      </c>
      <c r="CC5" s="21" t="e">
        <f>IF(VLOOKUP($B$2,DaysSince100!$H:$DJ,'Projections Data'!CC$4+2,FALSE)=0,#N/A,VLOOKUP($B$2,DaysSince100!$H:$DJ,'Projections Data'!CC$4+2,FALSE))</f>
        <v>#N/A</v>
      </c>
      <c r="CD5" s="21" t="e">
        <f>IF(VLOOKUP($B$2,DaysSince100!$H:$DJ,'Projections Data'!CD$4+2,FALSE)=0,#N/A,VLOOKUP($B$2,DaysSince100!$H:$DJ,'Projections Data'!CD$4+2,FALSE))</f>
        <v>#N/A</v>
      </c>
      <c r="CE5" s="21" t="e">
        <f>IF(VLOOKUP($B$2,DaysSince100!$H:$DJ,'Projections Data'!CE$4+2,FALSE)=0,#N/A,VLOOKUP($B$2,DaysSince100!$H:$DJ,'Projections Data'!CE$4+2,FALSE))</f>
        <v>#N/A</v>
      </c>
      <c r="CF5" s="21" t="e">
        <f>IF(VLOOKUP($B$2,DaysSince100!$H:$DJ,'Projections Data'!CF$4+2,FALSE)=0,#N/A,VLOOKUP($B$2,DaysSince100!$H:$DJ,'Projections Data'!CF$4+2,FALSE))</f>
        <v>#N/A</v>
      </c>
      <c r="CG5" s="21" t="e">
        <f>IF(VLOOKUP($B$2,DaysSince100!$H:$DJ,'Projections Data'!CG$4+2,FALSE)=0,#N/A,VLOOKUP($B$2,DaysSince100!$H:$DJ,'Projections Data'!CG$4+2,FALSE))</f>
        <v>#N/A</v>
      </c>
      <c r="CH5" s="21" t="e">
        <f>IF(VLOOKUP($B$2,DaysSince100!$H:$DJ,'Projections Data'!CH$4+2,FALSE)=0,#N/A,VLOOKUP($B$2,DaysSince100!$H:$DJ,'Projections Data'!CH$4+2,FALSE))</f>
        <v>#N/A</v>
      </c>
      <c r="CI5" s="21" t="e">
        <f>IF(VLOOKUP($B$2,DaysSince100!$H:$DJ,'Projections Data'!CI$4+2,FALSE)=0,#N/A,VLOOKUP($B$2,DaysSince100!$H:$DJ,'Projections Data'!CI$4+2,FALSE))</f>
        <v>#N/A</v>
      </c>
      <c r="CJ5" s="21" t="e">
        <f>IF(VLOOKUP($B$2,DaysSince100!$H:$DJ,'Projections Data'!CJ$4+2,FALSE)=0,#N/A,VLOOKUP($B$2,DaysSince100!$H:$DJ,'Projections Data'!CJ$4+2,FALSE))</f>
        <v>#N/A</v>
      </c>
      <c r="CK5" s="21" t="e">
        <f>IF(VLOOKUP($B$2,DaysSince100!$H:$DJ,'Projections Data'!CK$4+2,FALSE)=0,#N/A,VLOOKUP($B$2,DaysSince100!$H:$DJ,'Projections Data'!CK$4+2,FALSE))</f>
        <v>#N/A</v>
      </c>
      <c r="CL5" s="21" t="e">
        <f>IF(VLOOKUP($B$2,DaysSince100!$H:$DJ,'Projections Data'!CL$4+2,FALSE)=0,#N/A,VLOOKUP($B$2,DaysSince100!$H:$DJ,'Projections Data'!CL$4+2,FALSE))</f>
        <v>#N/A</v>
      </c>
      <c r="CM5" s="21" t="e">
        <f>IF(VLOOKUP($B$2,DaysSince100!$H:$DJ,'Projections Data'!CM$4+2,FALSE)=0,#N/A,VLOOKUP($B$2,DaysSince100!$H:$DJ,'Projections Data'!CM$4+2,FALSE))</f>
        <v>#N/A</v>
      </c>
      <c r="CN5" s="21" t="e">
        <f>IF(VLOOKUP($B$2,DaysSince100!$H:$DJ,'Projections Data'!CN$4+2,FALSE)=0,#N/A,VLOOKUP($B$2,DaysSince100!$H:$DJ,'Projections Data'!CN$4+2,FALSE))</f>
        <v>#N/A</v>
      </c>
      <c r="CO5" s="21" t="e">
        <f>IF(VLOOKUP($B$2,DaysSince100!$H:$DJ,'Projections Data'!CO$4+2,FALSE)=0,#N/A,VLOOKUP($B$2,DaysSince100!$H:$DJ,'Projections Data'!CO$4+2,FALSE))</f>
        <v>#N/A</v>
      </c>
      <c r="CP5" s="21" t="e">
        <f>IF(VLOOKUP($B$2,DaysSince100!$H:$DJ,'Projections Data'!CP$4+2,FALSE)=0,#N/A,VLOOKUP($B$2,DaysSince100!$H:$DJ,'Projections Data'!CP$4+2,FALSE))</f>
        <v>#N/A</v>
      </c>
      <c r="CQ5" s="21" t="e">
        <f>IF(VLOOKUP($B$2,DaysSince100!$H:$DJ,'Projections Data'!CQ$4+2,FALSE)=0,#N/A,VLOOKUP($B$2,DaysSince100!$H:$DJ,'Projections Data'!CQ$4+2,FALSE))</f>
        <v>#N/A</v>
      </c>
      <c r="CR5" s="21" t="e">
        <f>IF(VLOOKUP($B$2,DaysSince100!$H:$DJ,'Projections Data'!CR$4+2,FALSE)=0,#N/A,VLOOKUP($B$2,DaysSince100!$H:$DJ,'Projections Data'!CR$4+2,FALSE))</f>
        <v>#N/A</v>
      </c>
      <c r="CS5" s="21" t="e">
        <f>IF(VLOOKUP($B$2,DaysSince100!$H:$DJ,'Projections Data'!CS$4+2,FALSE)=0,#N/A,VLOOKUP($B$2,DaysSince100!$H:$DJ,'Projections Data'!CS$4+2,FALSE))</f>
        <v>#N/A</v>
      </c>
      <c r="CT5" s="21" t="e">
        <f>IF(VLOOKUP($B$2,DaysSince100!$H:$DJ,'Projections Data'!CT$4+2,FALSE)=0,#N/A,VLOOKUP($B$2,DaysSince100!$H:$DJ,'Projections Data'!CT$4+2,FALSE))</f>
        <v>#N/A</v>
      </c>
      <c r="CU5" s="21" t="e">
        <f>IF(VLOOKUP($B$2,DaysSince100!$H:$KU,'Projections Data'!CU$4+2,FALSE)=0,#N/A,VLOOKUP($B$2,DaysSince100!$H:$KU,'Projections Data'!CU$4+2,FALSE))</f>
        <v>#N/A</v>
      </c>
      <c r="CV5" s="21" t="e">
        <f>IF(VLOOKUP($B$2,DaysSince100!$H:$KU,'Projections Data'!CV$4+2,FALSE)=0,#N/A,VLOOKUP($B$2,DaysSince100!$H:$KU,'Projections Data'!CV$4+2,FALSE))</f>
        <v>#N/A</v>
      </c>
      <c r="CW5" s="21" t="e">
        <f>IF(VLOOKUP($B$2,DaysSince100!$H:$KU,'Projections Data'!CW$4+2,FALSE)=0,#N/A,VLOOKUP($B$2,DaysSince100!$H:$KU,'Projections Data'!CW$4+2,FALSE))</f>
        <v>#N/A</v>
      </c>
      <c r="CX5" s="21" t="e">
        <f>IF(VLOOKUP($B$2,DaysSince100!$H:$KU,'Projections Data'!CX$4+2,FALSE)=0,#N/A,VLOOKUP($B$2,DaysSince100!$H:$KU,'Projections Data'!CX$4+2,FALSE))</f>
        <v>#N/A</v>
      </c>
      <c r="CY5" s="21" t="e">
        <f>IF(VLOOKUP($B$2,DaysSince100!$H:$KU,'Projections Data'!CY$4+2,FALSE)=0,#N/A,VLOOKUP($B$2,DaysSince100!$H:$KU,'Projections Data'!CY$4+2,FALSE))</f>
        <v>#N/A</v>
      </c>
      <c r="CZ5" s="21" t="e">
        <f>IF(VLOOKUP($B$2,DaysSince100!$H:$KU,'Projections Data'!CZ$4+2,FALSE)=0,#N/A,VLOOKUP($B$2,DaysSince100!$H:$KU,'Projections Data'!CZ$4+2,FALSE))</f>
        <v>#N/A</v>
      </c>
      <c r="DA5" s="21" t="e">
        <f>IF(VLOOKUP($B$2,DaysSince100!$H:$KU,'Projections Data'!DA$4+2,FALSE)=0,#N/A,VLOOKUP($B$2,DaysSince100!$H:$KU,'Projections Data'!DA$4+2,FALSE))</f>
        <v>#N/A</v>
      </c>
      <c r="DB5" s="21" t="e">
        <f>IF(VLOOKUP($B$2,DaysSince100!$H:$KU,'Projections Data'!DB$4+2,FALSE)=0,#N/A,VLOOKUP($B$2,DaysSince100!$H:$KU,'Projections Data'!DB$4+2,FALSE))</f>
        <v>#N/A</v>
      </c>
      <c r="DC5" s="21" t="e">
        <f>IF(VLOOKUP($B$2,DaysSince100!$H:$KU,'Projections Data'!DC$4+2,FALSE)=0,#N/A,VLOOKUP($B$2,DaysSince100!$H:$KU,'Projections Data'!DC$4+2,FALSE))</f>
        <v>#N/A</v>
      </c>
      <c r="DD5" s="21" t="e">
        <f>IF(VLOOKUP($B$2,DaysSince100!$H:$KU,'Projections Data'!DD$4+2,FALSE)=0,#N/A,VLOOKUP($B$2,DaysSince100!$H:$KU,'Projections Data'!DD$4+2,FALSE))</f>
        <v>#N/A</v>
      </c>
      <c r="DE5" s="21" t="e">
        <f>IF(VLOOKUP($B$2,DaysSince100!$H:$KU,'Projections Data'!DE$4+2,FALSE)=0,#N/A,VLOOKUP($B$2,DaysSince100!$H:$KU,'Projections Data'!DE$4+2,FALSE))</f>
        <v>#N/A</v>
      </c>
      <c r="DF5" s="21" t="e">
        <f>IF(VLOOKUP($B$2,DaysSince100!$H:$KU,'Projections Data'!DF$4+2,FALSE)=0,#N/A,VLOOKUP($B$2,DaysSince100!$H:$KU,'Projections Data'!DF$4+2,FALSE))</f>
        <v>#N/A</v>
      </c>
      <c r="DG5" s="21" t="e">
        <f>IF(VLOOKUP($B$2,DaysSince100!$H:$KU,'Projections Data'!DG$4+2,FALSE)=0,#N/A,VLOOKUP($B$2,DaysSince100!$H:$KU,'Projections Data'!DG$4+2,FALSE))</f>
        <v>#N/A</v>
      </c>
      <c r="DH5" s="21" t="e">
        <f>IF(VLOOKUP($B$2,DaysSince100!$H:$KU,'Projections Data'!DH$4+2,FALSE)=0,#N/A,VLOOKUP($B$2,DaysSince100!$H:$KU,'Projections Data'!DH$4+2,FALSE))</f>
        <v>#N/A</v>
      </c>
      <c r="DI5" s="21" t="e">
        <f>IF(VLOOKUP($B$2,DaysSince100!$H:$KU,'Projections Data'!DI$4+2,FALSE)=0,#N/A,VLOOKUP($B$2,DaysSince100!$H:$KU,'Projections Data'!DI$4+2,FALSE))</f>
        <v>#N/A</v>
      </c>
      <c r="DJ5" s="21" t="e">
        <f>IF(VLOOKUP($B$2,DaysSince100!$H:$KU,'Projections Data'!DJ$4+2,FALSE)=0,#N/A,VLOOKUP($B$2,DaysSince100!$H:$KU,'Projections Data'!DJ$4+2,FALSE))</f>
        <v>#N/A</v>
      </c>
      <c r="DK5" s="21" t="e">
        <f>IF(VLOOKUP($B$2,DaysSince100!$H:$KU,'Projections Data'!DK$4+2,FALSE)=0,#N/A,VLOOKUP($B$2,DaysSince100!$H:$KU,'Projections Data'!DK$4+2,FALSE))</f>
        <v>#N/A</v>
      </c>
      <c r="DL5" s="21" t="e">
        <f>IF(VLOOKUP($B$2,DaysSince100!$H:$KU,'Projections Data'!DL$4+2,FALSE)=0,#N/A,VLOOKUP($B$2,DaysSince100!$H:$KU,'Projections Data'!DL$4+2,FALSE))</f>
        <v>#N/A</v>
      </c>
      <c r="DM5" s="21" t="e">
        <f>IF(VLOOKUP($B$2,DaysSince100!$H:$KU,'Projections Data'!DM$4+2,FALSE)=0,#N/A,VLOOKUP($B$2,DaysSince100!$H:$KU,'Projections Data'!DM$4+2,FALSE))</f>
        <v>#N/A</v>
      </c>
      <c r="DN5" s="21" t="e">
        <f>IF(VLOOKUP($B$2,DaysSince100!$H:$KU,'Projections Data'!DN$4+2,FALSE)=0,#N/A,VLOOKUP($B$2,DaysSince100!$H:$KU,'Projections Data'!DN$4+2,FALSE))</f>
        <v>#N/A</v>
      </c>
      <c r="DO5" s="21" t="e">
        <f>IF(VLOOKUP($B$2,DaysSince100!$H:$KU,'Projections Data'!DO$4+2,FALSE)=0,#N/A,VLOOKUP($B$2,DaysSince100!$H:$KU,'Projections Data'!DO$4+2,FALSE))</f>
        <v>#N/A</v>
      </c>
      <c r="DP5" s="21" t="e">
        <f>IF(VLOOKUP($B$2,DaysSince100!$H:$KU,'Projections Data'!DP$4+2,FALSE)=0,#N/A,VLOOKUP($B$2,DaysSince100!$H:$KU,'Projections Data'!DP$4+2,FALSE))</f>
        <v>#N/A</v>
      </c>
      <c r="DQ5" s="21" t="e">
        <f>IF(VLOOKUP($B$2,DaysSince100!$H:$KU,'Projections Data'!DQ$4+2,FALSE)=0,#N/A,VLOOKUP($B$2,DaysSince100!$H:$KU,'Projections Data'!DQ$4+2,FALSE))</f>
        <v>#N/A</v>
      </c>
      <c r="DR5" s="21" t="e">
        <f>IF(VLOOKUP($B$2,DaysSince100!$H:$KU,'Projections Data'!DR$4+2,FALSE)=0,#N/A,VLOOKUP($B$2,DaysSince100!$H:$KU,'Projections Data'!DR$4+2,FALSE))</f>
        <v>#N/A</v>
      </c>
      <c r="DS5" s="21" t="e">
        <f>IF(VLOOKUP($B$2,DaysSince100!$H:$KU,'Projections Data'!DS$4+2,FALSE)=0,#N/A,VLOOKUP($B$2,DaysSince100!$H:$KU,'Projections Data'!DS$4+2,FALSE))</f>
        <v>#N/A</v>
      </c>
      <c r="DT5" s="21" t="e">
        <f>IF(VLOOKUP($B$2,DaysSince100!$H:$KU,'Projections Data'!DT$4+2,FALSE)=0,#N/A,VLOOKUP($B$2,DaysSince100!$H:$KU,'Projections Data'!DT$4+2,FALSE))</f>
        <v>#N/A</v>
      </c>
      <c r="DU5" s="21" t="e">
        <f>IF(VLOOKUP($B$2,DaysSince100!$H:$KU,'Projections Data'!DU$4+2,FALSE)=0,#N/A,VLOOKUP($B$2,DaysSince100!$H:$KU,'Projections Data'!DU$4+2,FALSE))</f>
        <v>#N/A</v>
      </c>
      <c r="DV5" s="21" t="e">
        <f>IF(VLOOKUP($B$2,DaysSince100!$H:$KU,'Projections Data'!DV$4+2,FALSE)=0,#N/A,VLOOKUP($B$2,DaysSince100!$H:$KU,'Projections Data'!DV$4+2,FALSE))</f>
        <v>#N/A</v>
      </c>
      <c r="DW5" s="21" t="e">
        <f>IF(VLOOKUP($B$2,DaysSince100!$H:$KU,'Projections Data'!DW$4+2,FALSE)=0,#N/A,VLOOKUP($B$2,DaysSince100!$H:$KU,'Projections Data'!DW$4+2,FALSE))</f>
        <v>#N/A</v>
      </c>
      <c r="DX5" s="21" t="e">
        <f>IF(VLOOKUP($B$2,DaysSince100!$H:$KU,'Projections Data'!DX$4+2,FALSE)=0,#N/A,VLOOKUP($B$2,DaysSince100!$H:$KU,'Projections Data'!DX$4+2,FALSE))</f>
        <v>#N/A</v>
      </c>
      <c r="DY5" s="21" t="e">
        <f>IF(VLOOKUP($B$2,DaysSince100!$H:$KU,'Projections Data'!DY$4+2,FALSE)=0,#N/A,VLOOKUP($B$2,DaysSince100!$H:$KU,'Projections Data'!DY$4+2,FALSE))</f>
        <v>#N/A</v>
      </c>
      <c r="DZ5" s="21" t="e">
        <f>IF(VLOOKUP($B$2,DaysSince100!$H:$KU,'Projections Data'!DZ$4+2,FALSE)=0,#N/A,VLOOKUP($B$2,DaysSince100!$H:$KU,'Projections Data'!DZ$4+2,FALSE))</f>
        <v>#N/A</v>
      </c>
      <c r="EA5" s="21" t="e">
        <f>IF(VLOOKUP($B$2,DaysSince100!$H:$KU,'Projections Data'!EA$4+2,FALSE)=0,#N/A,VLOOKUP($B$2,DaysSince100!$H:$KU,'Projections Data'!EA$4+2,FALSE))</f>
        <v>#N/A</v>
      </c>
      <c r="EB5" s="21" t="e">
        <f>IF(VLOOKUP($B$2,DaysSince100!$H:$KU,'Projections Data'!EB$4+2,FALSE)=0,#N/A,VLOOKUP($B$2,DaysSince100!$H:$KU,'Projections Data'!EB$4+2,FALSE))</f>
        <v>#N/A</v>
      </c>
      <c r="EC5" s="21" t="e">
        <f>IF(VLOOKUP($B$2,DaysSince100!$H:$KU,'Projections Data'!EC$4+2,FALSE)=0,#N/A,VLOOKUP($B$2,DaysSince100!$H:$KU,'Projections Data'!EC$4+2,FALSE))</f>
        <v>#N/A</v>
      </c>
      <c r="ED5" s="21" t="e">
        <f>IF(VLOOKUP($B$2,DaysSince100!$H:$KU,'Projections Data'!ED$4+2,FALSE)=0,#N/A,VLOOKUP($B$2,DaysSince100!$H:$KU,'Projections Data'!ED$4+2,FALSE))</f>
        <v>#N/A</v>
      </c>
      <c r="EE5" s="21" t="e">
        <f>IF(VLOOKUP($B$2,DaysSince100!$H:$KU,'Projections Data'!EE$4+2,FALSE)=0,#N/A,VLOOKUP($B$2,DaysSince100!$H:$KU,'Projections Data'!EE$4+2,FALSE))</f>
        <v>#N/A</v>
      </c>
      <c r="EF5" s="21" t="e">
        <f>IF(VLOOKUP($B$2,DaysSince100!$H:$KU,'Projections Data'!EF$4+2,FALSE)=0,#N/A,VLOOKUP($B$2,DaysSince100!$H:$KU,'Projections Data'!EF$4+2,FALSE))</f>
        <v>#N/A</v>
      </c>
      <c r="EG5" s="21" t="e">
        <f>IF(VLOOKUP($B$2,DaysSince100!$H:$KU,'Projections Data'!EG$4+2,FALSE)=0,#N/A,VLOOKUP($B$2,DaysSince100!$H:$KU,'Projections Data'!EG$4+2,FALSE))</f>
        <v>#N/A</v>
      </c>
      <c r="EH5" s="21" t="e">
        <f>IF(VLOOKUP($B$2,DaysSince100!$H:$KU,'Projections Data'!EH$4+2,FALSE)=0,#N/A,VLOOKUP($B$2,DaysSince100!$H:$KU,'Projections Data'!EH$4+2,FALSE))</f>
        <v>#N/A</v>
      </c>
      <c r="EI5" s="21" t="e">
        <f>IF(VLOOKUP($B$2,DaysSince100!$H:$KU,'Projections Data'!EI$4+2,FALSE)=0,#N/A,VLOOKUP($B$2,DaysSince100!$H:$KU,'Projections Data'!EI$4+2,FALSE))</f>
        <v>#N/A</v>
      </c>
      <c r="EJ5" s="21" t="e">
        <f>IF(VLOOKUP($B$2,DaysSince100!$H:$KU,'Projections Data'!EJ$4+2,FALSE)=0,#N/A,VLOOKUP($B$2,DaysSince100!$H:$KU,'Projections Data'!EJ$4+2,FALSE))</f>
        <v>#N/A</v>
      </c>
      <c r="EK5" s="21" t="e">
        <f>IF(VLOOKUP($B$2,DaysSince100!$H:$KU,'Projections Data'!EK$4+2,FALSE)=0,#N/A,VLOOKUP($B$2,DaysSince100!$H:$KU,'Projections Data'!EK$4+2,FALSE))</f>
        <v>#N/A</v>
      </c>
      <c r="EL5" s="21" t="e">
        <f>IF(VLOOKUP($B$2,DaysSince100!$H:$KU,'Projections Data'!EL$4+2,FALSE)=0,#N/A,VLOOKUP($B$2,DaysSince100!$H:$KU,'Projections Data'!EL$4+2,FALSE))</f>
        <v>#N/A</v>
      </c>
      <c r="EM5" s="21" t="e">
        <f>IF(VLOOKUP($B$2,DaysSince100!$H:$KU,'Projections Data'!EM$4+2,FALSE)=0,#N/A,VLOOKUP($B$2,DaysSince100!$H:$KU,'Projections Data'!EM$4+2,FALSE))</f>
        <v>#N/A</v>
      </c>
      <c r="EN5" s="21" t="e">
        <f>IF(VLOOKUP($B$2,DaysSince100!$H:$KU,'Projections Data'!EN$4+2,FALSE)=0,#N/A,VLOOKUP($B$2,DaysSince100!$H:$KU,'Projections Data'!EN$4+2,FALSE))</f>
        <v>#N/A</v>
      </c>
      <c r="EO5" s="21" t="e">
        <f>IF(VLOOKUP($B$2,DaysSince100!$H:$KU,'Projections Data'!EO$4+2,FALSE)=0,#N/A,VLOOKUP($B$2,DaysSince100!$H:$KU,'Projections Data'!EO$4+2,FALSE))</f>
        <v>#N/A</v>
      </c>
      <c r="EP5" s="21" t="e">
        <f>IF(VLOOKUP($B$2,DaysSince100!$H:$KU,'Projections Data'!EP$4+2,FALSE)=0,#N/A,VLOOKUP($B$2,DaysSince100!$H:$KU,'Projections Data'!EP$4+2,FALSE))</f>
        <v>#N/A</v>
      </c>
      <c r="EQ5" s="21" t="e">
        <f>IF(VLOOKUP($B$2,DaysSince100!$H:$KU,'Projections Data'!EQ$4+2,FALSE)=0,#N/A,VLOOKUP($B$2,DaysSince100!$H:$KU,'Projections Data'!EQ$4+2,FALSE))</f>
        <v>#N/A</v>
      </c>
      <c r="ER5" s="21" t="e">
        <f>IF(VLOOKUP($B$2,DaysSince100!$H:$KU,'Projections Data'!ER$4+2,FALSE)=0,#N/A,VLOOKUP($B$2,DaysSince100!$H:$KU,'Projections Data'!ER$4+2,FALSE))</f>
        <v>#N/A</v>
      </c>
      <c r="ES5" s="21" t="e">
        <f>IF(VLOOKUP($B$2,DaysSince100!$H:$KU,'Projections Data'!ES$4+2,FALSE)=0,#N/A,VLOOKUP($B$2,DaysSince100!$H:$KU,'Projections Data'!ES$4+2,FALSE))</f>
        <v>#N/A</v>
      </c>
      <c r="ET5" s="21" t="e">
        <f>IF(VLOOKUP($B$2,DaysSince100!$H:$KU,'Projections Data'!ET$4+2,FALSE)=0,#N/A,VLOOKUP($B$2,DaysSince100!$H:$KU,'Projections Data'!ET$4+2,FALSE))</f>
        <v>#N/A</v>
      </c>
      <c r="EU5" s="21" t="e">
        <f>IF(VLOOKUP($B$2,DaysSince100!$H:$KU,'Projections Data'!EU$4+2,FALSE)=0,#N/A,VLOOKUP($B$2,DaysSince100!$H:$KU,'Projections Data'!EU$4+2,FALSE))</f>
        <v>#N/A</v>
      </c>
      <c r="EV5" s="21" t="e">
        <f>IF(VLOOKUP($B$2,DaysSince100!$H:$KU,'Projections Data'!EV$4+2,FALSE)=0,#N/A,VLOOKUP($B$2,DaysSince100!$H:$KU,'Projections Data'!EV$4+2,FALSE))</f>
        <v>#N/A</v>
      </c>
      <c r="EW5" s="21" t="e">
        <f>IF(VLOOKUP($B$2,DaysSince100!$H:$KU,'Projections Data'!EW$4+2,FALSE)=0,#N/A,VLOOKUP($B$2,DaysSince100!$H:$KU,'Projections Data'!EW$4+2,FALSE))</f>
        <v>#N/A</v>
      </c>
      <c r="EX5" s="21" t="e">
        <f>IF(VLOOKUP($B$2,DaysSince100!$H:$KU,'Projections Data'!EX$4+2,FALSE)=0,#N/A,VLOOKUP($B$2,DaysSince100!$H:$KU,'Projections Data'!EX$4+2,FALSE))</f>
        <v>#N/A</v>
      </c>
      <c r="EY5" s="21" t="e">
        <f>IF(VLOOKUP($B$2,DaysSince100!$H:$KU,'Projections Data'!EY$4+2,FALSE)=0,#N/A,VLOOKUP($B$2,DaysSince100!$H:$KU,'Projections Data'!EY$4+2,FALSE))</f>
        <v>#N/A</v>
      </c>
      <c r="EZ5" s="21" t="e">
        <f>IF(VLOOKUP($B$2,DaysSince100!$H:$KU,'Projections Data'!EZ$4+2,FALSE)=0,#N/A,VLOOKUP($B$2,DaysSince100!$H:$KU,'Projections Data'!EZ$4+2,FALSE))</f>
        <v>#N/A</v>
      </c>
      <c r="FA5" s="21" t="e">
        <f>IF(VLOOKUP($B$2,DaysSince100!$H:$KU,'Projections Data'!FA$4+2,FALSE)=0,#N/A,VLOOKUP($B$2,DaysSince100!$H:$KU,'Projections Data'!FA$4+2,FALSE))</f>
        <v>#N/A</v>
      </c>
      <c r="FB5" s="21" t="e">
        <f>IF(VLOOKUP($B$2,DaysSince100!$H:$KU,'Projections Data'!FB$4+2,FALSE)=0,#N/A,VLOOKUP($B$2,DaysSince100!$H:$KU,'Projections Data'!FB$4+2,FALSE))</f>
        <v>#N/A</v>
      </c>
      <c r="FC5" s="21" t="e">
        <f>IF(VLOOKUP($B$2,DaysSince100!$H:$KU,'Projections Data'!FC$4+2,FALSE)=0,#N/A,VLOOKUP($B$2,DaysSince100!$H:$KU,'Projections Data'!FC$4+2,FALSE))</f>
        <v>#N/A</v>
      </c>
      <c r="FD5" s="21" t="e">
        <f>IF(VLOOKUP($B$2,DaysSince100!$H:$KU,'Projections Data'!FD$4+2,FALSE)=0,#N/A,VLOOKUP($B$2,DaysSince100!$H:$KU,'Projections Data'!FD$4+2,FALSE))</f>
        <v>#N/A</v>
      </c>
      <c r="FE5" s="21" t="e">
        <f>IF(VLOOKUP($B$2,DaysSince100!$H:$KU,'Projections Data'!FE$4+2,FALSE)=0,#N/A,VLOOKUP($B$2,DaysSince100!$H:$KU,'Projections Data'!FE$4+2,FALSE))</f>
        <v>#N/A</v>
      </c>
      <c r="FF5" s="21" t="e">
        <f>IF(VLOOKUP($B$2,DaysSince100!$H:$KU,'Projections Data'!FF$4+2,FALSE)=0,#N/A,VLOOKUP($B$2,DaysSince100!$H:$KU,'Projections Data'!FF$4+2,FALSE))</f>
        <v>#N/A</v>
      </c>
      <c r="FG5" s="21" t="e">
        <f>IF(VLOOKUP($B$2,DaysSince100!$H:$KU,'Projections Data'!FG$4+2,FALSE)=0,#N/A,VLOOKUP($B$2,DaysSince100!$H:$KU,'Projections Data'!FG$4+2,FALSE))</f>
        <v>#N/A</v>
      </c>
      <c r="FH5" s="21" t="e">
        <f>IF(VLOOKUP($B$2,DaysSince100!$H:$KU,'Projections Data'!FH$4+2,FALSE)=0,#N/A,VLOOKUP($B$2,DaysSince100!$H:$KU,'Projections Data'!FH$4+2,FALSE))</f>
        <v>#N/A</v>
      </c>
      <c r="FI5" s="21" t="e">
        <f>IF(VLOOKUP($B$2,DaysSince100!$H:$KU,'Projections Data'!FI$4+2,FALSE)=0,#N/A,VLOOKUP($B$2,DaysSince100!$H:$KU,'Projections Data'!FI$4+2,FALSE))</f>
        <v>#N/A</v>
      </c>
      <c r="FJ5" s="21" t="e">
        <f>IF(VLOOKUP($B$2,DaysSince100!$H:$KU,'Projections Data'!FJ$4+2,FALSE)=0,#N/A,VLOOKUP($B$2,DaysSince100!$H:$KU,'Projections Data'!FJ$4+2,FALSE))</f>
        <v>#N/A</v>
      </c>
      <c r="FK5" s="21" t="e">
        <f>IF(VLOOKUP($B$2,DaysSince100!$H:$KU,'Projections Data'!FK$4+2,FALSE)=0,#N/A,VLOOKUP($B$2,DaysSince100!$H:$KU,'Projections Data'!FK$4+2,FALSE))</f>
        <v>#N/A</v>
      </c>
      <c r="FL5" s="21" t="e">
        <f>IF(VLOOKUP($B$2,DaysSince100!$H:$KU,'Projections Data'!FL$4+2,FALSE)=0,#N/A,VLOOKUP($B$2,DaysSince100!$H:$KU,'Projections Data'!FL$4+2,FALSE))</f>
        <v>#N/A</v>
      </c>
      <c r="FM5" s="21" t="e">
        <f>IF(VLOOKUP($B$2,DaysSince100!$H:$KU,'Projections Data'!FM$4+2,FALSE)=0,#N/A,VLOOKUP($B$2,DaysSince100!$H:$KU,'Projections Data'!FM$4+2,FALSE))</f>
        <v>#N/A</v>
      </c>
      <c r="FN5" s="21" t="e">
        <f>IF(VLOOKUP($B$2,DaysSince100!$H:$KU,'Projections Data'!FN$4+2,FALSE)=0,#N/A,VLOOKUP($B$2,DaysSince100!$H:$KU,'Projections Data'!FN$4+2,FALSE))</f>
        <v>#N/A</v>
      </c>
      <c r="FO5" s="21" t="e">
        <f>IF(VLOOKUP($B$2,DaysSince100!$H:$KU,'Projections Data'!FO$4+2,FALSE)=0,#N/A,VLOOKUP($B$2,DaysSince100!$H:$KU,'Projections Data'!FO$4+2,FALSE))</f>
        <v>#N/A</v>
      </c>
      <c r="FP5" s="21" t="e">
        <f>IF(VLOOKUP($B$2,DaysSince100!$H:$KU,'Projections Data'!FP$4+2,FALSE)=0,#N/A,VLOOKUP($B$2,DaysSince100!$H:$KU,'Projections Data'!FP$4+2,FALSE))</f>
        <v>#N/A</v>
      </c>
      <c r="FQ5" s="21" t="e">
        <f>IF(VLOOKUP($B$2,DaysSince100!$H:$KU,'Projections Data'!FQ$4+2,FALSE)=0,#N/A,VLOOKUP($B$2,DaysSince100!$H:$KU,'Projections Data'!FQ$4+2,FALSE))</f>
        <v>#N/A</v>
      </c>
      <c r="FR5" s="21" t="e">
        <f>IF(VLOOKUP($B$2,DaysSince100!$H:$KU,'Projections Data'!FR$4+2,FALSE)=0,#N/A,VLOOKUP($B$2,DaysSince100!$H:$KU,'Projections Data'!FR$4+2,FALSE))</f>
        <v>#N/A</v>
      </c>
      <c r="FS5" s="21" t="e">
        <f>IF(VLOOKUP($B$2,DaysSince100!$H:$KU,'Projections Data'!FS$4+2,FALSE)=0,#N/A,VLOOKUP($B$2,DaysSince100!$H:$KU,'Projections Data'!FS$4+2,FALSE))</f>
        <v>#N/A</v>
      </c>
      <c r="FT5" s="21" t="e">
        <f>IF(VLOOKUP($B$2,DaysSince100!$H:$KU,'Projections Data'!FT$4+2,FALSE)=0,#N/A,VLOOKUP($B$2,DaysSince100!$H:$KU,'Projections Data'!FT$4+2,FALSE))</f>
        <v>#N/A</v>
      </c>
      <c r="FU5" s="21" t="e">
        <f>IF(VLOOKUP($B$2,DaysSince100!$H:$KU,'Projections Data'!FU$4+2,FALSE)=0,#N/A,VLOOKUP($B$2,DaysSince100!$H:$KU,'Projections Data'!FU$4+2,FALSE))</f>
        <v>#N/A</v>
      </c>
      <c r="FV5" s="21" t="e">
        <f>IF(VLOOKUP($B$2,DaysSince100!$H:$KU,'Projections Data'!FV$4+2,FALSE)=0,#N/A,VLOOKUP($B$2,DaysSince100!$H:$KU,'Projections Data'!FV$4+2,FALSE))</f>
        <v>#N/A</v>
      </c>
      <c r="FW5" s="21" t="e">
        <f>IF(VLOOKUP($B$2,DaysSince100!$H:$KU,'Projections Data'!FW$4+2,FALSE)=0,#N/A,VLOOKUP($B$2,DaysSince100!$H:$KU,'Projections Data'!FW$4+2,FALSE))</f>
        <v>#N/A</v>
      </c>
      <c r="FX5" s="21" t="e">
        <f>IF(VLOOKUP($B$2,DaysSince100!$H:$KU,'Projections Data'!FX$4+2,FALSE)=0,#N/A,VLOOKUP($B$2,DaysSince100!$H:$KU,'Projections Data'!FX$4+2,FALSE))</f>
        <v>#N/A</v>
      </c>
      <c r="FY5" s="21" t="e">
        <f>IF(VLOOKUP($B$2,DaysSince100!$H:$KU,'Projections Data'!FY$4+2,FALSE)=0,#N/A,VLOOKUP($B$2,DaysSince100!$H:$KU,'Projections Data'!FY$4+2,FALSE))</f>
        <v>#N/A</v>
      </c>
      <c r="FZ5" s="21" t="e">
        <f>IF(VLOOKUP($B$2,DaysSince100!$H:$KU,'Projections Data'!FZ$4+2,FALSE)=0,#N/A,VLOOKUP($B$2,DaysSince100!$H:$KU,'Projections Data'!FZ$4+2,FALSE))</f>
        <v>#N/A</v>
      </c>
      <c r="GA5" s="21" t="e">
        <f>IF(VLOOKUP($B$2,DaysSince100!$H:$KU,'Projections Data'!GA$4+2,FALSE)=0,#N/A,VLOOKUP($B$2,DaysSince100!$H:$KU,'Projections Data'!GA$4+2,FALSE))</f>
        <v>#N/A</v>
      </c>
      <c r="GB5" s="21" t="e">
        <f>IF(VLOOKUP($B$2,DaysSince100!$H:$KU,'Projections Data'!GB$4+2,FALSE)=0,#N/A,VLOOKUP($B$2,DaysSince100!$H:$KU,'Projections Data'!GB$4+2,FALSE))</f>
        <v>#N/A</v>
      </c>
      <c r="GC5" s="21" t="e">
        <f>IF(VLOOKUP($B$2,DaysSince100!$H:$KU,'Projections Data'!GC$4+2,FALSE)=0,#N/A,VLOOKUP($B$2,DaysSince100!$H:$KU,'Projections Data'!GC$4+2,FALSE))</f>
        <v>#N/A</v>
      </c>
      <c r="GD5" s="21" t="e">
        <f>IF(VLOOKUP($B$2,DaysSince100!$H:$KU,'Projections Data'!GD$4+2,FALSE)=0,#N/A,VLOOKUP($B$2,DaysSince100!$H:$KU,'Projections Data'!GD$4+2,FALSE))</f>
        <v>#N/A</v>
      </c>
      <c r="GE5" s="21" t="e">
        <f>IF(VLOOKUP($B$2,DaysSince100!$H:$KU,'Projections Data'!GE$4+2,FALSE)=0,#N/A,VLOOKUP($B$2,DaysSince100!$H:$KU,'Projections Data'!GE$4+2,FALSE))</f>
        <v>#N/A</v>
      </c>
      <c r="GF5" s="21" t="e">
        <f>IF(VLOOKUP($B$2,DaysSince100!$H:$KU,'Projections Data'!GF$4+2,FALSE)=0,#N/A,VLOOKUP($B$2,DaysSince100!$H:$KU,'Projections Data'!GF$4+2,FALSE))</f>
        <v>#N/A</v>
      </c>
      <c r="GG5" s="21" t="e">
        <f>IF(VLOOKUP($B$2,DaysSince100!$H:$KU,'Projections Data'!GG$4+2,FALSE)=0,#N/A,VLOOKUP($B$2,DaysSince100!$H:$KU,'Projections Data'!GG$4+2,FALSE))</f>
        <v>#N/A</v>
      </c>
      <c r="GH5" s="21" t="e">
        <f>IF(VLOOKUP($B$2,DaysSince100!$H:$KU,'Projections Data'!GH$4+2,FALSE)=0,#N/A,VLOOKUP($B$2,DaysSince100!$H:$KU,'Projections Data'!GH$4+2,FALSE))</f>
        <v>#N/A</v>
      </c>
      <c r="GI5" s="21" t="e">
        <f>IF(VLOOKUP($B$2,DaysSince100!$H:$KU,'Projections Data'!GI$4+2,FALSE)=0,#N/A,VLOOKUP($B$2,DaysSince100!$H:$KU,'Projections Data'!GI$4+2,FALSE))</f>
        <v>#N/A</v>
      </c>
      <c r="GJ5" s="21" t="e">
        <f>IF(VLOOKUP($B$2,DaysSince100!$H:$KU,'Projections Data'!GJ$4+2,FALSE)=0,#N/A,VLOOKUP($B$2,DaysSince100!$H:$KU,'Projections Data'!GJ$4+2,FALSE))</f>
        <v>#N/A</v>
      </c>
      <c r="GK5" s="21" t="e">
        <f>IF(VLOOKUP($B$2,DaysSince100!$H:$KU,'Projections Data'!GK$4+2,FALSE)=0,#N/A,VLOOKUP($B$2,DaysSince100!$H:$KU,'Projections Data'!GK$4+2,FALSE))</f>
        <v>#N/A</v>
      </c>
      <c r="GL5" s="21" t="e">
        <f>IF(VLOOKUP($B$2,DaysSince100!$H:$KU,'Projections Data'!GL$4+2,FALSE)=0,#N/A,VLOOKUP($B$2,DaysSince100!$H:$KU,'Projections Data'!GL$4+2,FALSE))</f>
        <v>#N/A</v>
      </c>
      <c r="GM5" s="21" t="e">
        <f>IF(VLOOKUP($B$2,DaysSince100!$H:$KU,'Projections Data'!GM$4+2,FALSE)=0,#N/A,VLOOKUP($B$2,DaysSince100!$H:$KU,'Projections Data'!GM$4+2,FALSE))</f>
        <v>#N/A</v>
      </c>
      <c r="GN5" s="21" t="e">
        <f>IF(VLOOKUP($B$2,DaysSince100!$H:$KU,'Projections Data'!GN$4+2,FALSE)=0,#N/A,VLOOKUP($B$2,DaysSince100!$H:$KU,'Projections Data'!GN$4+2,FALSE))</f>
        <v>#N/A</v>
      </c>
      <c r="GO5" s="21" t="e">
        <f>IF(VLOOKUP($B$2,DaysSince100!$H:$KU,'Projections Data'!GO$4+2,FALSE)=0,#N/A,VLOOKUP($B$2,DaysSince100!$H:$KU,'Projections Data'!GO$4+2,FALSE))</f>
        <v>#N/A</v>
      </c>
      <c r="GP5" s="21" t="e">
        <f>IF(VLOOKUP($B$2,DaysSince100!$H:$KU,'Projections Data'!GP$4+2,FALSE)=0,#N/A,VLOOKUP($B$2,DaysSince100!$H:$KU,'Projections Data'!GP$4+2,FALSE))</f>
        <v>#N/A</v>
      </c>
      <c r="GQ5" s="21" t="e">
        <f>IF(VLOOKUP($B$2,DaysSince100!$H:$KU,'Projections Data'!GQ$4+2,FALSE)=0,#N/A,VLOOKUP($B$2,DaysSince100!$H:$KU,'Projections Data'!GQ$4+2,FALSE))</f>
        <v>#N/A</v>
      </c>
      <c r="GR5" s="21" t="e">
        <f>IF(VLOOKUP($B$2,DaysSince100!$H:$KU,'Projections Data'!GR$4+2,FALSE)=0,#N/A,VLOOKUP($B$2,DaysSince100!$H:$KU,'Projections Data'!GR$4+2,FALSE))</f>
        <v>#N/A</v>
      </c>
      <c r="GS5" s="21" t="e">
        <f>IF(VLOOKUP($B$2,DaysSince100!$H:$KU,'Projections Data'!GS$4+2,FALSE)=0,#N/A,VLOOKUP($B$2,DaysSince100!$H:$KU,'Projections Data'!GS$4+2,FALSE))</f>
        <v>#N/A</v>
      </c>
      <c r="GT5" s="21" t="e">
        <f>IF(VLOOKUP($B$2,DaysSince100!$H:$KU,'Projections Data'!GT$4+2,FALSE)=0,#N/A,VLOOKUP($B$2,DaysSince100!$H:$KU,'Projections Data'!GT$4+2,FALSE))</f>
        <v>#N/A</v>
      </c>
      <c r="GU5" s="21" t="e">
        <f>IF(VLOOKUP($B$2,DaysSince100!$H:$KU,'Projections Data'!GU$4+2,FALSE)=0,#N/A,VLOOKUP($B$2,DaysSince100!$H:$KU,'Projections Data'!GU$4+2,FALSE))</f>
        <v>#N/A</v>
      </c>
      <c r="GV5" s="21" t="e">
        <f>IF(VLOOKUP($B$2,DaysSince100!$H:$KU,'Projections Data'!GV$4+2,FALSE)=0,#N/A,VLOOKUP($B$2,DaysSince100!$H:$KU,'Projections Data'!GV$4+2,FALSE))</f>
        <v>#N/A</v>
      </c>
      <c r="GW5" s="21" t="e">
        <f>IF(VLOOKUP($B$2,DaysSince100!$H:$KU,'Projections Data'!GW$4+2,FALSE)=0,#N/A,VLOOKUP($B$2,DaysSince100!$H:$KU,'Projections Data'!GW$4+2,FALSE))</f>
        <v>#N/A</v>
      </c>
      <c r="GX5" s="21" t="e">
        <f>IF(VLOOKUP($B$2,DaysSince100!$H:$KU,'Projections Data'!GX$4+2,FALSE)=0,#N/A,VLOOKUP($B$2,DaysSince100!$H:$KU,'Projections Data'!GX$4+2,FALSE))</f>
        <v>#N/A</v>
      </c>
      <c r="GY5" s="21" t="e">
        <f>IF(VLOOKUP($B$2,DaysSince100!$H:$KU,'Projections Data'!GY$4+2,FALSE)=0,#N/A,VLOOKUP($B$2,DaysSince100!$H:$KU,'Projections Data'!GY$4+2,FALSE))</f>
        <v>#N/A</v>
      </c>
      <c r="GZ5" s="21" t="e">
        <f>IF(VLOOKUP($B$2,DaysSince100!$H:$KU,'Projections Data'!GZ$4+2,FALSE)=0,#N/A,VLOOKUP($B$2,DaysSince100!$H:$KU,'Projections Data'!GZ$4+2,FALSE))</f>
        <v>#N/A</v>
      </c>
      <c r="HA5" s="21" t="e">
        <f>IF(VLOOKUP($B$2,DaysSince100!$H:$KU,'Projections Data'!HA$4+2,FALSE)=0,#N/A,VLOOKUP($B$2,DaysSince100!$H:$KU,'Projections Data'!HA$4+2,FALSE))</f>
        <v>#N/A</v>
      </c>
      <c r="HB5" s="21" t="e">
        <f>IF(VLOOKUP($B$2,DaysSince100!$H:$KU,'Projections Data'!HB$4+2,FALSE)=0,#N/A,VLOOKUP($B$2,DaysSince100!$H:$KU,'Projections Data'!HB$4+2,FALSE))</f>
        <v>#N/A</v>
      </c>
      <c r="HC5" s="21" t="e">
        <f>IF(VLOOKUP($B$2,DaysSince100!$H:$KU,'Projections Data'!HC$4+2,FALSE)=0,#N/A,VLOOKUP($B$2,DaysSince100!$H:$KU,'Projections Data'!HC$4+2,FALSE))</f>
        <v>#N/A</v>
      </c>
      <c r="HD5" s="21" t="e">
        <f>IF(VLOOKUP($B$2,DaysSince100!$H:$KU,'Projections Data'!HD$4+2,FALSE)=0,#N/A,VLOOKUP($B$2,DaysSince100!$H:$KU,'Projections Data'!HD$4+2,FALSE))</f>
        <v>#N/A</v>
      </c>
      <c r="HE5" s="21" t="e">
        <f>IF(VLOOKUP($B$2,DaysSince100!$H:$KU,'Projections Data'!HE$4+2,FALSE)=0,#N/A,VLOOKUP($B$2,DaysSince100!$H:$KU,'Projections Data'!HE$4+2,FALSE))</f>
        <v>#N/A</v>
      </c>
      <c r="HF5" s="21" t="e">
        <f>IF(VLOOKUP($B$2,DaysSince100!$H:$KU,'Projections Data'!HF$4+2,FALSE)=0,#N/A,VLOOKUP($B$2,DaysSince100!$H:$KU,'Projections Data'!HF$4+2,FALSE))</f>
        <v>#N/A</v>
      </c>
      <c r="HG5" s="21" t="e">
        <f>IF(VLOOKUP($B$2,DaysSince100!$H:$KU,'Projections Data'!HG$4+2,FALSE)=0,#N/A,VLOOKUP($B$2,DaysSince100!$H:$KU,'Projections Data'!HG$4+2,FALSE))</f>
        <v>#N/A</v>
      </c>
      <c r="HH5" s="21" t="e">
        <f>IF(VLOOKUP($B$2,DaysSince100!$H:$KU,'Projections Data'!HH$4+2,FALSE)=0,#N/A,VLOOKUP($B$2,DaysSince100!$H:$KU,'Projections Data'!HH$4+2,FALSE))</f>
        <v>#N/A</v>
      </c>
      <c r="HI5" s="21" t="e">
        <f>IF(VLOOKUP($B$2,DaysSince100!$H:$KU,'Projections Data'!HI$4+2,FALSE)=0,#N/A,VLOOKUP($B$2,DaysSince100!$H:$KU,'Projections Data'!HI$4+2,FALSE))</f>
        <v>#N/A</v>
      </c>
      <c r="HJ5" s="21" t="e">
        <f>IF(VLOOKUP($B$2,DaysSince100!$H:$KU,'Projections Data'!HJ$4+2,FALSE)=0,#N/A,VLOOKUP($B$2,DaysSince100!$H:$KU,'Projections Data'!HJ$4+2,FALSE))</f>
        <v>#N/A</v>
      </c>
      <c r="HK5" s="21" t="e">
        <f>IF(VLOOKUP($B$2,DaysSince100!$H:$KU,'Projections Data'!HK$4+2,FALSE)=0,#N/A,VLOOKUP($B$2,DaysSince100!$H:$KU,'Projections Data'!HK$4+2,FALSE))</f>
        <v>#N/A</v>
      </c>
      <c r="HL5" s="21" t="e">
        <f>IF(VLOOKUP($B$2,DaysSince100!$H:$KU,'Projections Data'!HL$4+2,FALSE)=0,#N/A,VLOOKUP($B$2,DaysSince100!$H:$KU,'Projections Data'!HL$4+2,FALSE))</f>
        <v>#N/A</v>
      </c>
      <c r="HM5" s="21" t="e">
        <f>IF(VLOOKUP($B$2,DaysSince100!$H:$KU,'Projections Data'!HM$4+2,FALSE)=0,#N/A,VLOOKUP($B$2,DaysSince100!$H:$KU,'Projections Data'!HM$4+2,FALSE))</f>
        <v>#N/A</v>
      </c>
      <c r="HN5" s="21" t="e">
        <f>IF(VLOOKUP($B$2,DaysSince100!$H:$KU,'Projections Data'!HN$4+2,FALSE)=0,#N/A,VLOOKUP($B$2,DaysSince100!$H:$KU,'Projections Data'!HN$4+2,FALSE))</f>
        <v>#N/A</v>
      </c>
      <c r="HO5" s="21" t="e">
        <f>IF(VLOOKUP($B$2,DaysSince100!$H:$KU,'Projections Data'!HO$4+2,FALSE)=0,#N/A,VLOOKUP($B$2,DaysSince100!$H:$KU,'Projections Data'!HO$4+2,FALSE))</f>
        <v>#N/A</v>
      </c>
      <c r="HP5" s="21" t="e">
        <f>IF(VLOOKUP($B$2,DaysSince100!$H:$KU,'Projections Data'!HP$4+2,FALSE)=0,#N/A,VLOOKUP($B$2,DaysSince100!$H:$KU,'Projections Data'!HP$4+2,FALSE))</f>
        <v>#N/A</v>
      </c>
      <c r="HQ5" s="21" t="e">
        <f>IF(VLOOKUP($B$2,DaysSince100!$H:$KU,'Projections Data'!HQ$4+2,FALSE)=0,#N/A,VLOOKUP($B$2,DaysSince100!$H:$KU,'Projections Data'!HQ$4+2,FALSE))</f>
        <v>#N/A</v>
      </c>
      <c r="HR5" s="21" t="e">
        <f>IF(VLOOKUP($B$2,DaysSince100!$H:$KU,'Projections Data'!HR$4+2,FALSE)=0,#N/A,VLOOKUP($B$2,DaysSince100!$H:$KU,'Projections Data'!HR$4+2,FALSE))</f>
        <v>#N/A</v>
      </c>
      <c r="HS5" s="21" t="e">
        <f>IF(VLOOKUP($B$2,DaysSince100!$H:$KU,'Projections Data'!HS$4+2,FALSE)=0,#N/A,VLOOKUP($B$2,DaysSince100!$H:$KU,'Projections Data'!HS$4+2,FALSE))</f>
        <v>#N/A</v>
      </c>
      <c r="HT5" s="21" t="e">
        <f>IF(VLOOKUP($B$2,DaysSince100!$H:$KU,'Projections Data'!HT$4+2,FALSE)=0,#N/A,VLOOKUP($B$2,DaysSince100!$H:$KU,'Projections Data'!HT$4+2,FALSE))</f>
        <v>#N/A</v>
      </c>
      <c r="HU5" s="21" t="e">
        <f>IF(VLOOKUP($B$2,DaysSince100!$H:$KU,'Projections Data'!HU$4+2,FALSE)=0,#N/A,VLOOKUP($B$2,DaysSince100!$H:$KU,'Projections Data'!HU$4+2,FALSE))</f>
        <v>#N/A</v>
      </c>
      <c r="HV5" s="21" t="e">
        <f>IF(VLOOKUP($B$2,DaysSince100!$H:$KU,'Projections Data'!HV$4+2,FALSE)=0,#N/A,VLOOKUP($B$2,DaysSince100!$H:$KU,'Projections Data'!HV$4+2,FALSE))</f>
        <v>#N/A</v>
      </c>
      <c r="HW5" s="21" t="e">
        <f>IF(VLOOKUP($B$2,DaysSince100!$H:$KU,'Projections Data'!HW$4+2,FALSE)=0,#N/A,VLOOKUP($B$2,DaysSince100!$H:$KU,'Projections Data'!HW$4+2,FALSE))</f>
        <v>#N/A</v>
      </c>
      <c r="HX5" s="21" t="e">
        <f>IF(VLOOKUP($B$2,DaysSince100!$H:$KU,'Projections Data'!HX$4+2,FALSE)=0,#N/A,VLOOKUP($B$2,DaysSince100!$H:$KU,'Projections Data'!HX$4+2,FALSE))</f>
        <v>#N/A</v>
      </c>
      <c r="HY5" s="21" t="e">
        <f>IF(VLOOKUP($B$2,DaysSince100!$H:$KU,'Projections Data'!HY$4+2,FALSE)=0,#N/A,VLOOKUP($B$2,DaysSince100!$H:$KU,'Projections Data'!HY$4+2,FALSE))</f>
        <v>#N/A</v>
      </c>
      <c r="HZ5" s="21" t="e">
        <f>IF(VLOOKUP($B$2,DaysSince100!$H:$KU,'Projections Data'!HZ$4+2,FALSE)=0,#N/A,VLOOKUP($B$2,DaysSince100!$H:$KU,'Projections Data'!HZ$4+2,FALSE))</f>
        <v>#N/A</v>
      </c>
      <c r="IA5" s="21" t="e">
        <f>IF(VLOOKUP($B$2,DaysSince100!$H:$KU,'Projections Data'!IA$4+2,FALSE)=0,#N/A,VLOOKUP($B$2,DaysSince100!$H:$KU,'Projections Data'!IA$4+2,FALSE))</f>
        <v>#N/A</v>
      </c>
      <c r="IB5" s="21" t="e">
        <f>IF(VLOOKUP($B$2,DaysSince100!$H:$KU,'Projections Data'!IB$4+2,FALSE)=0,#N/A,VLOOKUP($B$2,DaysSince100!$H:$KU,'Projections Data'!IB$4+2,FALSE))</f>
        <v>#N/A</v>
      </c>
      <c r="IC5" s="21" t="e">
        <f>IF(VLOOKUP($B$2,DaysSince100!$H:$KU,'Projections Data'!IC$4+2,FALSE)=0,#N/A,VLOOKUP($B$2,DaysSince100!$H:$KU,'Projections Data'!IC$4+2,FALSE))</f>
        <v>#N/A</v>
      </c>
      <c r="ID5" s="21" t="e">
        <f>IF(VLOOKUP($B$2,DaysSince100!$H:$KU,'Projections Data'!ID$4+2,FALSE)=0,#N/A,VLOOKUP($B$2,DaysSince100!$H:$KU,'Projections Data'!ID$4+2,FALSE))</f>
        <v>#N/A</v>
      </c>
      <c r="IE5" s="21" t="e">
        <f>IF(VLOOKUP($B$2,DaysSince100!$H:$KU,'Projections Data'!IE$4+2,FALSE)=0,#N/A,VLOOKUP($B$2,DaysSince100!$H:$KU,'Projections Data'!IE$4+2,FALSE))</f>
        <v>#N/A</v>
      </c>
      <c r="IF5" s="21" t="e">
        <f>IF(VLOOKUP($B$2,DaysSince100!$H:$KU,'Projections Data'!IF$4+2,FALSE)=0,#N/A,VLOOKUP($B$2,DaysSince100!$H:$KU,'Projections Data'!IF$4+2,FALSE))</f>
        <v>#N/A</v>
      </c>
      <c r="IG5" s="21" t="e">
        <f>IF(VLOOKUP($B$2,DaysSince100!$H:$KU,'Projections Data'!IG$4+2,FALSE)=0,#N/A,VLOOKUP($B$2,DaysSince100!$H:$KU,'Projections Data'!IG$4+2,FALSE))</f>
        <v>#N/A</v>
      </c>
      <c r="IH5" s="21" t="e">
        <f>IF(VLOOKUP($B$2,DaysSince100!$H:$KU,'Projections Data'!IH$4+2,FALSE)=0,#N/A,VLOOKUP($B$2,DaysSince100!$H:$KU,'Projections Data'!IH$4+2,FALSE))</f>
        <v>#N/A</v>
      </c>
      <c r="II5" s="21" t="e">
        <f>IF(VLOOKUP($B$2,DaysSince100!$H:$KU,'Projections Data'!II$4+2,FALSE)=0,#N/A,VLOOKUP($B$2,DaysSince100!$H:$KU,'Projections Data'!II$4+2,FALSE))</f>
        <v>#N/A</v>
      </c>
      <c r="IJ5" s="21" t="e">
        <f>IF(VLOOKUP($B$2,DaysSince100!$H:$KU,'Projections Data'!IJ$4+2,FALSE)=0,#N/A,VLOOKUP($B$2,DaysSince100!$H:$KU,'Projections Data'!IJ$4+2,FALSE))</f>
        <v>#N/A</v>
      </c>
      <c r="IK5" s="21" t="e">
        <f>IF(VLOOKUP($B$2,DaysSince100!$H:$KU,'Projections Data'!IK$4+2,FALSE)=0,#N/A,VLOOKUP($B$2,DaysSince100!$H:$KU,'Projections Data'!IK$4+2,FALSE))</f>
        <v>#N/A</v>
      </c>
      <c r="IL5" s="21" t="e">
        <f>IF(VLOOKUP($B$2,DaysSince100!$H:$KU,'Projections Data'!IL$4+2,FALSE)=0,#N/A,VLOOKUP($B$2,DaysSince100!$H:$KU,'Projections Data'!IL$4+2,FALSE))</f>
        <v>#N/A</v>
      </c>
      <c r="IM5" s="21" t="e">
        <f>IF(VLOOKUP($B$2,DaysSince100!$H:$KU,'Projections Data'!IM$4+2,FALSE)=0,#N/A,VLOOKUP($B$2,DaysSince100!$H:$KU,'Projections Data'!IM$4+2,FALSE))</f>
        <v>#N/A</v>
      </c>
      <c r="IN5" s="21" t="e">
        <f>IF(VLOOKUP($B$2,DaysSince100!$H:$KU,'Projections Data'!IN$4+2,FALSE)=0,#N/A,VLOOKUP($B$2,DaysSince100!$H:$KU,'Projections Data'!IN$4+2,FALSE))</f>
        <v>#N/A</v>
      </c>
    </row>
    <row r="6" spans="2:248" x14ac:dyDescent="0.3">
      <c r="B6" s="19" t="s">
        <v>638</v>
      </c>
      <c r="C6" s="21">
        <f>C4-C7-C8</f>
        <v>2457</v>
      </c>
      <c r="D6" s="19">
        <f>HLOOKUP(C5-1,G4:IN7,4,FALSE)</f>
        <v>2462</v>
      </c>
      <c r="F6" s="19" t="str">
        <f>"Current Avg ("&amp;TEXT(C11,"0%")&amp;")"</f>
        <v>Current Avg (27%)</v>
      </c>
      <c r="G6" s="21">
        <f>IF(IF(AND(ISNA(G$5),ISNA(F$5)),F6*(1+$C$11),IF(AND(F$5&gt;0,ISNA(G$5)),F6*(1+$C$11),G$5))&gt;$C$20,$C$20,IF(AND(ISNA(G$5),ISNA(F$5)),F6*(1+$C$11),IF(AND(F$5&gt;0,ISNA(G$5)),F6*(1+$C$11),G$5)))</f>
        <v>116</v>
      </c>
      <c r="H6" s="21">
        <f>IF(IF(AND(ISNA(H$5),ISNA(G$5)),G6*(1+$C$11),IF(AND(G$5&gt;0,ISNA(H$5)),G6*(1+$C$11),H$5))&gt;$C$20,$C$20,IF(AND(ISNA(H$5),ISNA(G$5)),G6*(1+$C$11),IF(AND(G$5&gt;0,ISNA(H$5)),G6*(1+$C$11),H$5)))</f>
        <v>164</v>
      </c>
      <c r="I6" s="21">
        <f>IF(IF(AND(ISNA(I$5),ISNA(H$5)),H6*(1+$C$11),IF(AND(H$5&gt;0,ISNA(I$5)),H6*(1+$C$11),I$5))&gt;$C$20,$C$20,IF(AND(ISNA(I$5),ISNA(H$5)),H6*(1+$C$11),IF(AND(H$5&gt;0,ISNA(I$5)),H6*(1+$C$11),I$5)))</f>
        <v>207</v>
      </c>
      <c r="J6" s="21">
        <f>IF(IF(AND(ISNA(J$5),ISNA(I$5)),I6*(1+$C$11),IF(AND(I$5&gt;0,ISNA(J$5)),I6*(1+$C$11),J$5))&gt;$C$20,$C$20,IF(AND(ISNA(J$5),ISNA(I$5)),I6*(1+$C$11),IF(AND(I$5&gt;0,ISNA(J$5)),I6*(1+$C$11),J$5)))</f>
        <v>274</v>
      </c>
      <c r="K6" s="21">
        <f>IF(IF(AND(ISNA(K$5),ISNA(J$5)),J6*(1+$C$11),IF(AND(J$5&gt;0,ISNA(K$5)),J6*(1+$C$11),K$5))&gt;$C$20,$C$20,IF(AND(ISNA(K$5),ISNA(J$5)),J6*(1+$C$11),IF(AND(J$5&gt;0,ISNA(K$5)),J6*(1+$C$11),K$5)))</f>
        <v>322</v>
      </c>
      <c r="L6" s="21">
        <f>IF(IF(AND(ISNA(L$5),ISNA(K$5)),K6*(1+$C$11),IF(AND(K$5&gt;0,ISNA(L$5)),K6*(1+$C$11),L$5))&gt;$C$20,$C$20,IF(AND(ISNA(L$5),ISNA(K$5)),K6*(1+$C$11),IF(AND(K$5&gt;0,ISNA(L$5)),K6*(1+$C$11),L$5)))</f>
        <v>384</v>
      </c>
      <c r="M6" s="21">
        <f>IF(IF(AND(ISNA(M$5),ISNA(L$5)),L6*(1+$C$11),IF(AND(L$5&gt;0,ISNA(M$5)),L6*(1+$C$11),M$5))&gt;$C$20,$C$20,IF(AND(ISNA(M$5),ISNA(L$5)),L6*(1+$C$11),IF(AND(L$5&gt;0,ISNA(M$5)),L6*(1+$C$11),M$5)))</f>
        <v>459</v>
      </c>
      <c r="N6" s="21">
        <f>IF(IF(AND(ISNA(N$5),ISNA(M$5)),M6*(1+$C$11),IF(AND(M$5&gt;0,ISNA(N$5)),M6*(1+$C$11),N$5))&gt;$C$20,$C$20,IF(AND(ISNA(N$5),ISNA(M$5)),M6*(1+$C$11),IF(AND(M$5&gt;0,ISNA(N$5)),M6*(1+$C$11),N$5)))</f>
        <v>590</v>
      </c>
      <c r="O6" s="21">
        <f>IF(IF(AND(ISNA(O$5),ISNA(N$5)),N6*(1+$C$11),IF(AND(N$5&gt;0,ISNA(O$5)),N6*(1+$C$11),O$5))&gt;$C$20,$C$20,IF(AND(ISNA(O$5),ISNA(N$5)),N6*(1+$C$11),IF(AND(N$5&gt;0,ISNA(O$5)),N6*(1+$C$11),O$5)))</f>
        <v>803</v>
      </c>
      <c r="P6" s="21">
        <f>IF(IF(AND(ISNA(P$5),ISNA(O$5)),O6*(1+$C$11),IF(AND(O$5&gt;0,ISNA(P$5)),O6*(1+$C$11),P$5))&gt;$C$20,$C$20,IF(AND(ISNA(P$5),ISNA(O$5)),O6*(1+$C$11),IF(AND(O$5&gt;0,ISNA(P$5)),O6*(1+$C$11),P$5)))</f>
        <v>1145</v>
      </c>
      <c r="Q6" s="21">
        <f>IF(IF(AND(ISNA(Q$5),ISNA(P$5)),P6*(1+$C$11),IF(AND(P$5&gt;0,ISNA(Q$5)),P6*(1+$C$11),Q$5))&gt;$C$20,$C$20,IF(AND(ISNA(Q$5),ISNA(P$5)),P6*(1+$C$11),IF(AND(P$5&gt;0,ISNA(Q$5)),P6*(1+$C$11),Q$5)))</f>
        <v>1355</v>
      </c>
      <c r="R6" s="21">
        <f>IF(IF(AND(ISNA(R$5),ISNA(Q$5)),Q6*(1+$C$11),IF(AND(Q$5&gt;0,ISNA(R$5)),Q6*(1+$C$11),R$5))&gt;$C$20,$C$20,IF(AND(ISNA(R$5),ISNA(Q$5)),Q6*(1+$C$11),IF(AND(Q$5&gt;0,ISNA(R$5)),Q6*(1+$C$11),R$5)))</f>
        <v>1552</v>
      </c>
      <c r="S6" s="21">
        <f>IF(IF(AND(ISNA(S$5),ISNA(R$5)),R6*(1+$C$11),IF(AND(R$5&gt;0,ISNA(S$5)),R6*(1+$C$11),S$5))&gt;$C$20,$C$20,IF(AND(ISNA(S$5),ISNA(R$5)),R6*(1+$C$11),IF(AND(R$5&gt;0,ISNA(S$5)),R6*(1+$C$11),S$5)))</f>
        <v>1960</v>
      </c>
      <c r="T6" s="21">
        <f>IF(IF(AND(ISNA(T$5),ISNA(S$5)),S6*(1+$C$11),IF(AND(S$5&gt;0,ISNA(T$5)),S6*(1+$C$11),T$5))&gt;$C$20,$C$20,IF(AND(ISNA(T$5),ISNA(S$5)),S6*(1+$C$11),IF(AND(S$5&gt;0,ISNA(T$5)),S6*(1+$C$11),T$5)))</f>
        <v>2626</v>
      </c>
      <c r="U6" s="21">
        <f>IF(IF(AND(ISNA(U$5),ISNA(T$5)),T6*(1+$C$11),IF(AND(T$5&gt;0,ISNA(U$5)),T6*(1+$C$11),U$5))&gt;$C$20,$C$20,IF(AND(ISNA(U$5),ISNA(T$5)),T6*(1+$C$11),IF(AND(T$5&gt;0,ISNA(U$5)),T6*(1+$C$11),U$5)))</f>
        <v>3328.2087423831099</v>
      </c>
      <c r="V6" s="21">
        <f>IF(IF(AND(ISNA(V$5),ISNA(U$5)),U6*(1+$C$11),IF(AND(U$5&gt;0,ISNA(V$5)),U6*(1+$C$11),V$5))&gt;$C$20,$C$20,IF(AND(ISNA(V$5),ISNA(U$5)),U6*(1+$C$11),IF(AND(U$5&gt;0,ISNA(V$5)),U6*(1+$C$11),V$5)))</f>
        <v>4218.1924725344106</v>
      </c>
      <c r="W6" s="21">
        <f>IF(IF(AND(ISNA(W$5),ISNA(V$5)),V6*(1+$C$11),IF(AND(V$5&gt;0,ISNA(W$5)),V6*(1+$C$11),W$5))&gt;$C$20,$C$20,IF(AND(ISNA(W$5),ISNA(V$5)),V6*(1+$C$11),IF(AND(V$5&gt;0,ISNA(W$5)),V6*(1+$C$11),W$5)))</f>
        <v>5346.1633907630048</v>
      </c>
      <c r="X6" s="21">
        <f>IF(IF(AND(ISNA(X$5),ISNA(W$5)),W6*(1+$C$11),IF(AND(W$5&gt;0,ISNA(X$5)),W6*(1+$C$11),X$5))&gt;$C$20,$C$20,IF(AND(ISNA(X$5),ISNA(W$5)),W6*(1+$C$11),IF(AND(W$5&gt;0,ISNA(X$5)),W6*(1+$C$11),X$5)))</f>
        <v>6775.7607522261851</v>
      </c>
      <c r="Y6" s="21">
        <f>IF(IF(AND(ISNA(Y$5),ISNA(X$5)),X6*(1+$C$11),IF(AND(X$5&gt;0,ISNA(Y$5)),X6*(1+$C$11),Y$5))&gt;$C$20,$C$20,IF(AND(ISNA(Y$5),ISNA(X$5)),X6*(1+$C$11),IF(AND(X$5&gt;0,ISNA(Y$5)),X6*(1+$C$11),Y$5)))</f>
        <v>8587.6413449564152</v>
      </c>
      <c r="Z6" s="21">
        <f>IF(IF(AND(ISNA(Z$5),ISNA(Y$5)),Y6*(1+$C$11),IF(AND(Y$5&gt;0,ISNA(Z$5)),Y6*(1+$C$11),Z$5))&gt;$C$20,$C$20,IF(AND(ISNA(Z$5),ISNA(Y$5)),Y6*(1+$C$11),IF(AND(Y$5&gt;0,ISNA(Z$5)),Y6*(1+$C$11),Z$5)))</f>
        <v>10884.030084057345</v>
      </c>
      <c r="AA6" s="21">
        <f>IF(IF(AND(ISNA(AA$5),ISNA(Z$5)),Z6*(1+$C$11),IF(AND(Z$5&gt;0,ISNA(AA$5)),Z6*(1+$C$11),AA$5))&gt;$C$20,$C$20,IF(AND(ISNA(AA$5),ISNA(Z$5)),Z6*(1+$C$11),IF(AND(Z$5&gt;0,ISNA(AA$5)),Z6*(1+$C$11),AA$5)))</f>
        <v>13794.487463107551</v>
      </c>
      <c r="AB6" s="21">
        <f>IF(IF(AND(ISNA(AB$5),ISNA(AA$5)),AA6*(1+$C$11),IF(AND(AA$5&gt;0,ISNA(AB$5)),AA6*(1+$C$11),AB$5))&gt;$C$20,$C$20,IF(AND(ISNA(AB$5),ISNA(AA$5)),AA6*(1+$C$11),IF(AND(AA$5&gt;0,ISNA(AB$5)),AA6*(1+$C$11),AB$5)))</f>
        <v>17483.219257962206</v>
      </c>
      <c r="AC6" s="21">
        <f>IF(IF(AND(ISNA(AC$5),ISNA(AB$5)),AB6*(1+$C$11),IF(AND(AB$5&gt;0,ISNA(AC$5)),AB6*(1+$C$11),AC$5))&gt;$C$20,$C$20,IF(AND(ISNA(AC$5),ISNA(AB$5)),AB6*(1+$C$11),IF(AND(AB$5&gt;0,ISNA(AC$5)),AB6*(1+$C$11),AC$5)))</f>
        <v>22158.340890841799</v>
      </c>
      <c r="AD6" s="21">
        <f>IF(IF(AND(ISNA(AD$5),ISNA(AC$5)),AC6*(1+$C$11),IF(AND(AC$5&gt;0,ISNA(AD$5)),AC6*(1+$C$11),AD$5))&gt;$C$20,$C$20,IF(AND(ISNA(AD$5),ISNA(AC$5)),AC6*(1+$C$11),IF(AND(AC$5&gt;0,ISNA(AD$5)),AC6*(1+$C$11),AD$5)))</f>
        <v>28083.619143033062</v>
      </c>
      <c r="AE6" s="21">
        <f>IF(IF(AND(ISNA(AE$5),ISNA(AD$5)),AD6*(1+$C$11),IF(AND(AD$5&gt;0,ISNA(AE$5)),AD6*(1+$C$11),AE$5))&gt;$C$20,$C$20,IF(AND(ISNA(AE$5),ISNA(AD$5)),AD6*(1+$C$11),IF(AND(AD$5&gt;0,ISNA(AE$5)),AD6*(1+$C$11),AE$5)))</f>
        <v>35593.353674638347</v>
      </c>
      <c r="AF6" s="21">
        <f>IF(IF(AND(ISNA(AF$5),ISNA(AE$5)),AE6*(1+$C$11),IF(AND(AE$5&gt;0,ISNA(AF$5)),AE6*(1+$C$11),AF$5))&gt;$C$20,$C$20,IF(AND(ISNA(AF$5),ISNA(AE$5)),AE6*(1+$C$11),IF(AND(AE$5&gt;0,ISNA(AF$5)),AE6*(1+$C$11),AF$5)))</f>
        <v>45111.237955318102</v>
      </c>
      <c r="AG6" s="21">
        <f>IF(IF(AND(ISNA(AG$5),ISNA(AF$5)),AF6*(1+$C$11),IF(AND(AF$5&gt;0,ISNA(AG$5)),AF6*(1+$C$11),AG$5))&gt;$C$20,$C$20,IF(AND(ISNA(AG$5),ISNA(AF$5)),AF6*(1+$C$11),IF(AND(AF$5&gt;0,ISNA(AG$5)),AF6*(1+$C$11),AG$5)))</f>
        <v>57174.263725291115</v>
      </c>
      <c r="AH6" s="21">
        <f>IF(IF(AND(ISNA(AH$5),ISNA(AG$5)),AG6*(1+$C$11),IF(AND(AG$5&gt;0,ISNA(AH$5)),AG6*(1+$C$11),AH$5))&gt;$C$20,$C$20,IF(AND(ISNA(AH$5),ISNA(AG$5)),AG6*(1+$C$11),IF(AND(AG$5&gt;0,ISNA(AH$5)),AG6*(1+$C$11),AH$5)))</f>
        <v>72463.017657970835</v>
      </c>
      <c r="AI6" s="21">
        <f>IF(IF(AND(ISNA(AI$5),ISNA(AH$5)),AH6*(1+$C$11),IF(AND(AH$5&gt;0,ISNA(AI$5)),AH6*(1+$C$11),AI$5))&gt;$C$20,$C$20,IF(AND(ISNA(AI$5),ISNA(AH$5)),AH6*(1+$C$11),IF(AND(AH$5&gt;0,ISNA(AI$5)),AH6*(1+$C$11),AI$5)))</f>
        <v>91840.079538735794</v>
      </c>
      <c r="AJ6" s="21">
        <f>IF(IF(AND(ISNA(AJ$5),ISNA(AI$5)),AI6*(1+$C$11),IF(AND(AI$5&gt;0,ISNA(AJ$5)),AI6*(1+$C$11),AJ$5))&gt;$C$20,$C$20,IF(AND(ISNA(AJ$5),ISNA(AI$5)),AI6*(1+$C$11),IF(AND(AI$5&gt;0,ISNA(AJ$5)),AI6*(1+$C$11),AJ$5)))</f>
        <v>116398.68835566666</v>
      </c>
      <c r="AK6" s="21">
        <f>IF(IF(AND(ISNA(AK$5),ISNA(AJ$5)),AJ6*(1+$C$11),IF(AND(AJ$5&gt;0,ISNA(AK$5)),AJ6*(1+$C$11),AK$5))&gt;$C$20,$C$20,IF(AND(ISNA(AK$5),ISNA(AJ$5)),AJ6*(1+$C$11),IF(AND(AJ$5&gt;0,ISNA(AK$5)),AJ6*(1+$C$11),AK$5)))</f>
        <v>147524.42200580993</v>
      </c>
      <c r="AL6" s="21">
        <f>IF(IF(AND(ISNA(AL$5),ISNA(AK$5)),AK6*(1+$C$11),IF(AND(AK$5&gt;0,ISNA(AL$5)),AK6*(1+$C$11),AL$5))&gt;$C$20,$C$20,IF(AND(ISNA(AL$5),ISNA(AK$5)),AK6*(1+$C$11),IF(AND(AK$5&gt;0,ISNA(AL$5)),AK6*(1+$C$11),AL$5)))</f>
        <v>186973.37053874784</v>
      </c>
      <c r="AM6" s="21">
        <f>IF(IF(AND(ISNA(AM$5),ISNA(AL$5)),AL6*(1+$C$11),IF(AND(AL$5&gt;0,ISNA(AM$5)),AL6*(1+$C$11),AM$5))&gt;$C$20,$C$20,IF(AND(ISNA(AM$5),ISNA(AL$5)),AL6*(1+$C$11),IF(AND(AL$5&gt;0,ISNA(AM$5)),AL6*(1+$C$11),AM$5)))</f>
        <v>236971.21341199434</v>
      </c>
      <c r="AN6" s="21">
        <f>IF(IF(AND(ISNA(AN$5),ISNA(AM$5)),AM6*(1+$C$11),IF(AND(AM$5&gt;0,ISNA(AN$5)),AM6*(1+$C$11),AN$5))&gt;$C$20,$C$20,IF(AND(ISNA(AN$5),ISNA(AM$5)),AM6*(1+$C$11),IF(AND(AM$5&gt;0,ISNA(AN$5)),AM6*(1+$C$11),AN$5)))</f>
        <v>300338.7906210713</v>
      </c>
      <c r="AO6" s="21">
        <f>IF(IF(AND(ISNA(AO$5),ISNA(AN$5)),AN6*(1+$C$11),IF(AND(AN$5&gt;0,ISNA(AO$5)),AN6*(1+$C$11),AO$5))&gt;$C$20,$C$20,IF(AND(ISNA(AO$5),ISNA(AN$5)),AN6*(1+$C$11),IF(AND(AN$5&gt;0,ISNA(AO$5)),AN6*(1+$C$11),AO$5)))</f>
        <v>380651.25233123376</v>
      </c>
      <c r="AP6" s="21">
        <f>IF(IF(AND(ISNA(AP$5),ISNA(AO$5)),AO6*(1+$C$11),IF(AND(AO$5&gt;0,ISNA(AP$5)),AO6*(1+$C$11),AP$5))&gt;$C$20,$C$20,IF(AND(ISNA(AP$5),ISNA(AO$5)),AO6*(1+$C$11),IF(AND(AO$5&gt;0,ISNA(AP$5)),AO6*(1+$C$11),AP$5)))</f>
        <v>482439.76611115434</v>
      </c>
      <c r="AQ6" s="21">
        <f>IF(IF(AND(ISNA(AQ$5),ISNA(AP$5)),AP6*(1+$C$11),IF(AND(AP$5&gt;0,ISNA(AQ$5)),AP6*(1+$C$11),AQ$5))&gt;$C$20,$C$20,IF(AND(ISNA(AQ$5),ISNA(AP$5)),AP6*(1+$C$11),IF(AND(AP$5&gt;0,ISNA(AQ$5)),AP6*(1+$C$11),AQ$5)))</f>
        <v>611447.16193617927</v>
      </c>
      <c r="AR6" s="21">
        <f>IF(IF(AND(ISNA(AR$5),ISNA(AQ$5)),AQ6*(1+$C$11),IF(AND(AQ$5&gt;0,ISNA(AR$5)),AQ6*(1+$C$11),AR$5))&gt;$C$20,$C$20,IF(AND(ISNA(AR$5),ISNA(AQ$5)),AQ6*(1+$C$11),IF(AND(AQ$5&gt;0,ISNA(AR$5)),AQ6*(1+$C$11),AR$5)))</f>
        <v>774951.93825641007</v>
      </c>
      <c r="AS6" s="21">
        <f>IF(IF(AND(ISNA(AS$5),ISNA(AR$5)),AR6*(1+$C$11),IF(AND(AR$5&gt;0,ISNA(AS$5)),AR6*(1+$C$11),AS$5))&gt;$C$20,$C$20,IF(AND(ISNA(AS$5),ISNA(AR$5)),AR6*(1+$C$11),IF(AND(AR$5&gt;0,ISNA(AS$5)),AR6*(1+$C$11),AS$5)))</f>
        <v>982178.90930377762</v>
      </c>
      <c r="AT6" s="21">
        <f>IF(IF(AND(ISNA(AT$5),ISNA(AS$5)),AS6*(1+$C$11),IF(AND(AS$5&gt;0,ISNA(AT$5)),AS6*(1+$C$11),AT$5))&gt;$C$20,$C$20,IF(AND(ISNA(AT$5),ISNA(AS$5)),AS6*(1+$C$11),IF(AND(AS$5&gt;0,ISNA(AT$5)),AS6*(1+$C$11),AT$5)))</f>
        <v>1244819.6620446078</v>
      </c>
      <c r="AU6" s="21">
        <f>IF(IF(AND(ISNA(AU$5),ISNA(AT$5)),AT6*(1+$C$11),IF(AND(AT$5&gt;0,ISNA(AU$5)),AT6*(1+$C$11),AU$5))&gt;$C$20,$C$20,IF(AND(ISNA(AU$5),ISNA(AT$5)),AT6*(1+$C$11),IF(AND(AT$5&gt;0,ISNA(AU$5)),AT6*(1+$C$11),AU$5)))</f>
        <v>1577692.1865602634</v>
      </c>
      <c r="AV6" s="21">
        <f>IF(IF(AND(ISNA(AV$5),ISNA(AU$5)),AU6*(1+$C$11),IF(AND(AU$5&gt;0,ISNA(AV$5)),AU6*(1+$C$11),AV$5))&gt;$C$20,$C$20,IF(AND(ISNA(AV$5),ISNA(AU$5)),AU6*(1+$C$11),IF(AND(AU$5&gt;0,ISNA(AV$5)),AU6*(1+$C$11),AV$5)))</f>
        <v>1999576.8956966463</v>
      </c>
      <c r="AW6" s="21">
        <f>IF(IF(AND(ISNA(AW$5),ISNA(AV$5)),AV6*(1+$C$11),IF(AND(AV$5&gt;0,ISNA(AW$5)),AV6*(1+$C$11),AW$5))&gt;$C$20,$C$20,IF(AND(ISNA(AW$5),ISNA(AV$5)),AV6*(1+$C$11),IF(AND(AV$5&gt;0,ISNA(AW$5)),AV6*(1+$C$11),AW$5)))</f>
        <v>2534276.2015707763</v>
      </c>
      <c r="AX6" s="21">
        <f>IF(IF(AND(ISNA(AX$5),ISNA(AW$5)),AW6*(1+$C$11),IF(AND(AW$5&gt;0,ISNA(AX$5)),AW6*(1+$C$11),AX$5))&gt;$C$20,$C$20,IF(AND(ISNA(AX$5),ISNA(AW$5)),AW6*(1+$C$11),IF(AND(AW$5&gt;0,ISNA(AX$5)),AW6*(1+$C$11),AX$5)))</f>
        <v>3211957.4294292908</v>
      </c>
      <c r="AY6" s="21">
        <f>IF(IF(AND(ISNA(AY$5),ISNA(AX$5)),AX6*(1+$C$11),IF(AND(AX$5&gt;0,ISNA(AY$5)),AX6*(1+$C$11),AY$5))&gt;$C$20,$C$20,IF(AND(ISNA(AY$5),ISNA(AX$5)),AX6*(1+$C$11),IF(AND(AX$5&gt;0,ISNA(AY$5)),AX6*(1+$C$11),AY$5)))</f>
        <v>4070854.8350300635</v>
      </c>
      <c r="AZ6" s="21">
        <f>IF(IF(AND(ISNA(AZ$5),ISNA(AY$5)),AY6*(1+$C$11),IF(AND(AY$5&gt;0,ISNA(AZ$5)),AY6*(1+$C$11),AZ$5))&gt;$C$20,$C$20,IF(AND(ISNA(AZ$5),ISNA(AY$5)),AY6*(1+$C$11),IF(AND(AY$5&gt;0,ISNA(AZ$5)),AY6*(1+$C$11),AZ$5)))</f>
        <v>5159426.7520638267</v>
      </c>
      <c r="BA6" s="21">
        <f>IF(IF(AND(ISNA(BA$5),ISNA(AZ$5)),AZ6*(1+$C$11),IF(AND(AZ$5&gt;0,ISNA(BA$5)),AZ6*(1+$C$11),BA$5))&gt;$C$20,$C$20,IF(AND(ISNA(BA$5),ISNA(AZ$5)),AZ6*(1+$C$11),IF(AND(AZ$5&gt;0,ISNA(BA$5)),AZ6*(1+$C$11),BA$5)))</f>
        <v>6539089.5742209144</v>
      </c>
      <c r="BB6" s="21">
        <f>IF(IF(AND(ISNA(BB$5),ISNA(BA$5)),BA6*(1+$C$11),IF(AND(BA$5&gt;0,ISNA(BB$5)),BA6*(1+$C$11),BB$5))&gt;$C$20,$C$20,IF(AND(ISNA(BB$5),ISNA(BA$5)),BA6*(1+$C$11),IF(AND(BA$5&gt;0,ISNA(BB$5)),BA6*(1+$C$11),BB$5)))</f>
        <v>8287682.8210770357</v>
      </c>
      <c r="BC6" s="21">
        <f>IF(IF(AND(ISNA(BC$5),ISNA(BB$5)),BB6*(1+$C$11),IF(AND(BB$5&gt;0,ISNA(BC$5)),BB6*(1+$C$11),BC$5))&gt;$C$20,$C$20,IF(AND(ISNA(BC$5),ISNA(BB$5)),BB6*(1+$C$11),IF(AND(BB$5&gt;0,ISNA(BC$5)),BB6*(1+$C$11),BC$5)))</f>
        <v>10503860.784161046</v>
      </c>
      <c r="BD6" s="21">
        <f>IF(IF(AND(ISNA(BD$5),ISNA(BC$5)),BC6*(1+$C$11),IF(AND(BC$5&gt;0,ISNA(BD$5)),BC6*(1+$C$11),BD$5))&gt;$C$20,$C$20,IF(AND(ISNA(BD$5),ISNA(BC$5)),BC6*(1+$C$11),IF(AND(BC$5&gt;0,ISNA(BD$5)),BC6*(1+$C$11),BD$5)))</f>
        <v>13312658.526511768</v>
      </c>
      <c r="BE6" s="21">
        <f>IF(IF(AND(ISNA(BE$5),ISNA(BD$5)),BD6*(1+$C$11),IF(AND(BD$5&gt;0,ISNA(BE$5)),BD6*(1+$C$11),BE$5))&gt;$C$20,$C$20,IF(AND(ISNA(BE$5),ISNA(BD$5)),BD6*(1+$C$11),IF(AND(BD$5&gt;0,ISNA(BE$5)),BD6*(1+$C$11),BE$5)))</f>
        <v>16872546.265155185</v>
      </c>
      <c r="BF6" s="21">
        <f>IF(IF(AND(ISNA(BF$5),ISNA(BE$5)),BE6*(1+$C$11),IF(AND(BE$5&gt;0,ISNA(BF$5)),BE6*(1+$C$11),BF$5))&gt;$C$20,$C$20,IF(AND(ISNA(BF$5),ISNA(BE$5)),BE6*(1+$C$11),IF(AND(BE$5&gt;0,ISNA(BF$5)),BE6*(1+$C$11),BF$5)))</f>
        <v>21384370.139357567</v>
      </c>
      <c r="BG6" s="21">
        <f>IF(IF(AND(ISNA(BG$5),ISNA(BF$5)),BF6*(1+$C$11),IF(AND(BF$5&gt;0,ISNA(BG$5)),BF6*(1+$C$11),BG$5))&gt;$C$20,$C$20,IF(AND(ISNA(BG$5),ISNA(BF$5)),BF6*(1+$C$11),IF(AND(BF$5&gt;0,ISNA(BG$5)),BF6*(1+$C$11),BG$5)))</f>
        <v>27102683.795950562</v>
      </c>
      <c r="BH6" s="21">
        <f>IF(IF(AND(ISNA(BH$5),ISNA(BG$5)),BG6*(1+$C$11),IF(AND(BG$5&gt;0,ISNA(BH$5)),BG6*(1+$C$11),BH$5))&gt;$C$20,$C$20,IF(AND(ISNA(BH$5),ISNA(BG$5)),BG6*(1+$C$11),IF(AND(BG$5&gt;0,ISNA(BH$5)),BG6*(1+$C$11),BH$5)))</f>
        <v>27154404.400000002</v>
      </c>
      <c r="BI6" s="21">
        <f>IF(IF(AND(ISNA(BI$5),ISNA(BH$5)),BH6*(1+$C$11),IF(AND(BH$5&gt;0,ISNA(BI$5)),BH6*(1+$C$11),BI$5))&gt;$C$20,$C$20,IF(AND(ISNA(BI$5),ISNA(BH$5)),BH6*(1+$C$11),IF(AND(BH$5&gt;0,ISNA(BI$5)),BH6*(1+$C$11),BI$5)))</f>
        <v>27154404.400000002</v>
      </c>
      <c r="BJ6" s="21">
        <f>IF(IF(AND(ISNA(BJ$5),ISNA(BI$5)),BI6*(1+$C$11),IF(AND(BI$5&gt;0,ISNA(BJ$5)),BI6*(1+$C$11),BJ$5))&gt;$C$20,$C$20,IF(AND(ISNA(BJ$5),ISNA(BI$5)),BI6*(1+$C$11),IF(AND(BI$5&gt;0,ISNA(BJ$5)),BI6*(1+$C$11),BJ$5)))</f>
        <v>27154404.400000002</v>
      </c>
      <c r="BK6" s="21">
        <f>IF(IF(AND(ISNA(BK$5),ISNA(BJ$5)),BJ6*(1+$C$11),IF(AND(BJ$5&gt;0,ISNA(BK$5)),BJ6*(1+$C$11),BK$5))&gt;$C$20,$C$20,IF(AND(ISNA(BK$5),ISNA(BJ$5)),BJ6*(1+$C$11),IF(AND(BJ$5&gt;0,ISNA(BK$5)),BJ6*(1+$C$11),BK$5)))</f>
        <v>27154404.400000002</v>
      </c>
      <c r="BL6" s="21">
        <f>IF(IF(AND(ISNA(BL$5),ISNA(BK$5)),BK6*(1+$C$11),IF(AND(BK$5&gt;0,ISNA(BL$5)),BK6*(1+$C$11),BL$5))&gt;$C$20,$C$20,IF(AND(ISNA(BL$5),ISNA(BK$5)),BK6*(1+$C$11),IF(AND(BK$5&gt;0,ISNA(BL$5)),BK6*(1+$C$11),BL$5)))</f>
        <v>27154404.400000002</v>
      </c>
      <c r="BM6" s="21">
        <f>IF(IF(AND(ISNA(BM$5),ISNA(BL$5)),BL6*(1+$C$11),IF(AND(BL$5&gt;0,ISNA(BM$5)),BL6*(1+$C$11),BM$5))&gt;$C$20,$C$20,IF(AND(ISNA(BM$5),ISNA(BL$5)),BL6*(1+$C$11),IF(AND(BL$5&gt;0,ISNA(BM$5)),BL6*(1+$C$11),BM$5)))</f>
        <v>27154404.400000002</v>
      </c>
      <c r="BN6" s="21">
        <f>IF(IF(AND(ISNA(BN$5),ISNA(BM$5)),BM6*(1+$C$11),IF(AND(BM$5&gt;0,ISNA(BN$5)),BM6*(1+$C$11),BN$5))&gt;$C$20,$C$20,IF(AND(ISNA(BN$5),ISNA(BM$5)),BM6*(1+$C$11),IF(AND(BM$5&gt;0,ISNA(BN$5)),BM6*(1+$C$11),BN$5)))</f>
        <v>27154404.400000002</v>
      </c>
      <c r="BO6" s="21">
        <f>IF(IF(AND(ISNA(BO$5),ISNA(BN$5)),BN6*(1+$C$11),IF(AND(BN$5&gt;0,ISNA(BO$5)),BN6*(1+$C$11),BO$5))&gt;$C$20,$C$20,IF(AND(ISNA(BO$5),ISNA(BN$5)),BN6*(1+$C$11),IF(AND(BN$5&gt;0,ISNA(BO$5)),BN6*(1+$C$11),BO$5)))</f>
        <v>27154404.400000002</v>
      </c>
      <c r="BP6" s="21">
        <f>IF(IF(AND(ISNA(BP$5),ISNA(BO$5)),BO6*(1+$C$11),IF(AND(BO$5&gt;0,ISNA(BP$5)),BO6*(1+$C$11),BP$5))&gt;$C$20,$C$20,IF(AND(ISNA(BP$5),ISNA(BO$5)),BO6*(1+$C$11),IF(AND(BO$5&gt;0,ISNA(BP$5)),BO6*(1+$C$11),BP$5)))</f>
        <v>27154404.400000002</v>
      </c>
      <c r="BQ6" s="21">
        <f>IF(IF(AND(ISNA(BQ$5),ISNA(BP$5)),BP6*(1+$C$11),IF(AND(BP$5&gt;0,ISNA(BQ$5)),BP6*(1+$C$11),BQ$5))&gt;$C$20,$C$20,IF(AND(ISNA(BQ$5),ISNA(BP$5)),BP6*(1+$C$11),IF(AND(BP$5&gt;0,ISNA(BQ$5)),BP6*(1+$C$11),BQ$5)))</f>
        <v>27154404.400000002</v>
      </c>
      <c r="BR6" s="21">
        <f>IF(IF(AND(ISNA(BR$5),ISNA(BQ$5)),BQ6*(1+$C$11),IF(AND(BQ$5&gt;0,ISNA(BR$5)),BQ6*(1+$C$11),BR$5))&gt;$C$20,$C$20,IF(AND(ISNA(BR$5),ISNA(BQ$5)),BQ6*(1+$C$11),IF(AND(BQ$5&gt;0,ISNA(BR$5)),BQ6*(1+$C$11),BR$5)))</f>
        <v>27154404.400000002</v>
      </c>
      <c r="BS6" s="21">
        <f>IF(IF(AND(ISNA(BS$5),ISNA(BR$5)),BR6*(1+$C$11),IF(AND(BR$5&gt;0,ISNA(BS$5)),BR6*(1+$C$11),BS$5))&gt;$C$20,$C$20,IF(AND(ISNA(BS$5),ISNA(BR$5)),BR6*(1+$C$11),IF(AND(BR$5&gt;0,ISNA(BS$5)),BR6*(1+$C$11),BS$5)))</f>
        <v>27154404.400000002</v>
      </c>
      <c r="BT6" s="21">
        <f>IF(IF(AND(ISNA(BT$5),ISNA(BS$5)),BS6*(1+$C$11),IF(AND(BS$5&gt;0,ISNA(BT$5)),BS6*(1+$C$11),BT$5))&gt;$C$20,$C$20,IF(AND(ISNA(BT$5),ISNA(BS$5)),BS6*(1+$C$11),IF(AND(BS$5&gt;0,ISNA(BT$5)),BS6*(1+$C$11),BT$5)))</f>
        <v>27154404.400000002</v>
      </c>
      <c r="BU6" s="21">
        <f>IF(IF(AND(ISNA(BU$5),ISNA(BT$5)),BT6*(1+$C$11),IF(AND(BT$5&gt;0,ISNA(BU$5)),BT6*(1+$C$11),BU$5))&gt;$C$20,$C$20,IF(AND(ISNA(BU$5),ISNA(BT$5)),BT6*(1+$C$11),IF(AND(BT$5&gt;0,ISNA(BU$5)),BT6*(1+$C$11),BU$5)))</f>
        <v>27154404.400000002</v>
      </c>
      <c r="BV6" s="21">
        <f>IF(IF(AND(ISNA(BV$5),ISNA(BU$5)),BU6*(1+$C$11),IF(AND(BU$5&gt;0,ISNA(BV$5)),BU6*(1+$C$11),BV$5))&gt;$C$20,$C$20,IF(AND(ISNA(BV$5),ISNA(BU$5)),BU6*(1+$C$11),IF(AND(BU$5&gt;0,ISNA(BV$5)),BU6*(1+$C$11),BV$5)))</f>
        <v>27154404.400000002</v>
      </c>
      <c r="BW6" s="21">
        <f>IF(IF(AND(ISNA(BW$5),ISNA(BV$5)),BV6*(1+$C$11),IF(AND(BV$5&gt;0,ISNA(BW$5)),BV6*(1+$C$11),BW$5))&gt;$C$20,$C$20,IF(AND(ISNA(BW$5),ISNA(BV$5)),BV6*(1+$C$11),IF(AND(BV$5&gt;0,ISNA(BW$5)),BV6*(1+$C$11),BW$5)))</f>
        <v>27154404.400000002</v>
      </c>
      <c r="BX6" s="21">
        <f>IF(IF(AND(ISNA(BX$5),ISNA(BW$5)),BW6*(1+$C$11),IF(AND(BW$5&gt;0,ISNA(BX$5)),BW6*(1+$C$11),BX$5))&gt;$C$20,$C$20,IF(AND(ISNA(BX$5),ISNA(BW$5)),BW6*(1+$C$11),IF(AND(BW$5&gt;0,ISNA(BX$5)),BW6*(1+$C$11),BX$5)))</f>
        <v>27154404.400000002</v>
      </c>
      <c r="BY6" s="21">
        <f>IF(IF(AND(ISNA(BY$5),ISNA(BX$5)),BX6*(1+$C$11),IF(AND(BX$5&gt;0,ISNA(BY$5)),BX6*(1+$C$11),BY$5))&gt;$C$20,$C$20,IF(AND(ISNA(BY$5),ISNA(BX$5)),BX6*(1+$C$11),IF(AND(BX$5&gt;0,ISNA(BY$5)),BX6*(1+$C$11),BY$5)))</f>
        <v>27154404.400000002</v>
      </c>
      <c r="BZ6" s="21">
        <f>IF(IF(AND(ISNA(BZ$5),ISNA(BY$5)),BY6*(1+$C$11),IF(AND(BY$5&gt;0,ISNA(BZ$5)),BY6*(1+$C$11),BZ$5))&gt;$C$20,$C$20,IF(AND(ISNA(BZ$5),ISNA(BY$5)),BY6*(1+$C$11),IF(AND(BY$5&gt;0,ISNA(BZ$5)),BY6*(1+$C$11),BZ$5)))</f>
        <v>27154404.400000002</v>
      </c>
      <c r="CA6" s="21">
        <f>IF(IF(AND(ISNA(CA$5),ISNA(BZ$5)),BZ6*(1+$C$11),IF(AND(BZ$5&gt;0,ISNA(CA$5)),BZ6*(1+$C$11),CA$5))&gt;$C$20,$C$20,IF(AND(ISNA(CA$5),ISNA(BZ$5)),BZ6*(1+$C$11),IF(AND(BZ$5&gt;0,ISNA(CA$5)),BZ6*(1+$C$11),CA$5)))</f>
        <v>27154404.400000002</v>
      </c>
      <c r="CB6" s="21">
        <f>IF(IF(AND(ISNA(CB$5),ISNA(CA$5)),CA6*(1+$C$11),IF(AND(CA$5&gt;0,ISNA(CB$5)),CA6*(1+$C$11),CB$5))&gt;$C$20,$C$20,IF(AND(ISNA(CB$5),ISNA(CA$5)),CA6*(1+$C$11),IF(AND(CA$5&gt;0,ISNA(CB$5)),CA6*(1+$C$11),CB$5)))</f>
        <v>27154404.400000002</v>
      </c>
      <c r="CC6" s="21">
        <f>IF(IF(AND(ISNA(CC$5),ISNA(CB$5)),CB6*(1+$C$11),IF(AND(CB$5&gt;0,ISNA(CC$5)),CB6*(1+$C$11),CC$5))&gt;$C$20,$C$20,IF(AND(ISNA(CC$5),ISNA(CB$5)),CB6*(1+$C$11),IF(AND(CB$5&gt;0,ISNA(CC$5)),CB6*(1+$C$11),CC$5)))</f>
        <v>27154404.400000002</v>
      </c>
      <c r="CD6" s="21">
        <f>IF(IF(AND(ISNA(CD$5),ISNA(CC$5)),CC6*(1+$C$11),IF(AND(CC$5&gt;0,ISNA(CD$5)),CC6*(1+$C$11),CD$5))&gt;$C$20,$C$20,IF(AND(ISNA(CD$5),ISNA(CC$5)),CC6*(1+$C$11),IF(AND(CC$5&gt;0,ISNA(CD$5)),CC6*(1+$C$11),CD$5)))</f>
        <v>27154404.400000002</v>
      </c>
      <c r="CE6" s="21">
        <f>IF(IF(AND(ISNA(CE$5),ISNA(CD$5)),CD6*(1+$C$11),IF(AND(CD$5&gt;0,ISNA(CE$5)),CD6*(1+$C$11),CE$5))&gt;$C$20,$C$20,IF(AND(ISNA(CE$5),ISNA(CD$5)),CD6*(1+$C$11),IF(AND(CD$5&gt;0,ISNA(CE$5)),CD6*(1+$C$11),CE$5)))</f>
        <v>27154404.400000002</v>
      </c>
      <c r="CF6" s="21">
        <f>IF(IF(AND(ISNA(CF$5),ISNA(CE$5)),CE6*(1+$C$11),IF(AND(CE$5&gt;0,ISNA(CF$5)),CE6*(1+$C$11),CF$5))&gt;$C$20,$C$20,IF(AND(ISNA(CF$5),ISNA(CE$5)),CE6*(1+$C$11),IF(AND(CE$5&gt;0,ISNA(CF$5)),CE6*(1+$C$11),CF$5)))</f>
        <v>27154404.400000002</v>
      </c>
      <c r="CG6" s="21">
        <f>IF(IF(AND(ISNA(CG$5),ISNA(CF$5)),CF6*(1+$C$11),IF(AND(CF$5&gt;0,ISNA(CG$5)),CF6*(1+$C$11),CG$5))&gt;$C$20,$C$20,IF(AND(ISNA(CG$5),ISNA(CF$5)),CF6*(1+$C$11),IF(AND(CF$5&gt;0,ISNA(CG$5)),CF6*(1+$C$11),CG$5)))</f>
        <v>27154404.400000002</v>
      </c>
      <c r="CH6" s="21">
        <f>IF(IF(AND(ISNA(CH$5),ISNA(CG$5)),CG6*(1+$C$11),IF(AND(CG$5&gt;0,ISNA(CH$5)),CG6*(1+$C$11),CH$5))&gt;$C$20,$C$20,IF(AND(ISNA(CH$5),ISNA(CG$5)),CG6*(1+$C$11),IF(AND(CG$5&gt;0,ISNA(CH$5)),CG6*(1+$C$11),CH$5)))</f>
        <v>27154404.400000002</v>
      </c>
      <c r="CI6" s="21">
        <f>IF(IF(AND(ISNA(CI$5),ISNA(CH$5)),CH6*(1+$C$11),IF(AND(CH$5&gt;0,ISNA(CI$5)),CH6*(1+$C$11),CI$5))&gt;$C$20,$C$20,IF(AND(ISNA(CI$5),ISNA(CH$5)),CH6*(1+$C$11),IF(AND(CH$5&gt;0,ISNA(CI$5)),CH6*(1+$C$11),CI$5)))</f>
        <v>27154404.400000002</v>
      </c>
      <c r="CJ6" s="21">
        <f>IF(IF(AND(ISNA(CJ$5),ISNA(CI$5)),CI6*(1+$C$11),IF(AND(CI$5&gt;0,ISNA(CJ$5)),CI6*(1+$C$11),CJ$5))&gt;$C$20,$C$20,IF(AND(ISNA(CJ$5),ISNA(CI$5)),CI6*(1+$C$11),IF(AND(CI$5&gt;0,ISNA(CJ$5)),CI6*(1+$C$11),CJ$5)))</f>
        <v>27154404.400000002</v>
      </c>
      <c r="CK6" s="21">
        <f>IF(IF(AND(ISNA(CK$5),ISNA(CJ$5)),CJ6*(1+$C$11),IF(AND(CJ$5&gt;0,ISNA(CK$5)),CJ6*(1+$C$11),CK$5))&gt;$C$20,$C$20,IF(AND(ISNA(CK$5),ISNA(CJ$5)),CJ6*(1+$C$11),IF(AND(CJ$5&gt;0,ISNA(CK$5)),CJ6*(1+$C$11),CK$5)))</f>
        <v>27154404.400000002</v>
      </c>
      <c r="CL6" s="21">
        <f>IF(IF(AND(ISNA(CL$5),ISNA(CK$5)),CK6*(1+$C$11),IF(AND(CK$5&gt;0,ISNA(CL$5)),CK6*(1+$C$11),CL$5))&gt;$C$20,$C$20,IF(AND(ISNA(CL$5),ISNA(CK$5)),CK6*(1+$C$11),IF(AND(CK$5&gt;0,ISNA(CL$5)),CK6*(1+$C$11),CL$5)))</f>
        <v>27154404.400000002</v>
      </c>
      <c r="CM6" s="21">
        <f>IF(IF(AND(ISNA(CM$5),ISNA(CL$5)),CL6*(1+$C$11),IF(AND(CL$5&gt;0,ISNA(CM$5)),CL6*(1+$C$11),CM$5))&gt;$C$20,$C$20,IF(AND(ISNA(CM$5),ISNA(CL$5)),CL6*(1+$C$11),IF(AND(CL$5&gt;0,ISNA(CM$5)),CL6*(1+$C$11),CM$5)))</f>
        <v>27154404.400000002</v>
      </c>
      <c r="CN6" s="21">
        <f>IF(IF(AND(ISNA(CN$5),ISNA(CM$5)),CM6*(1+$C$11),IF(AND(CM$5&gt;0,ISNA(CN$5)),CM6*(1+$C$11),CN$5))&gt;$C$20,$C$20,IF(AND(ISNA(CN$5),ISNA(CM$5)),CM6*(1+$C$11),IF(AND(CM$5&gt;0,ISNA(CN$5)),CM6*(1+$C$11),CN$5)))</f>
        <v>27154404.400000002</v>
      </c>
      <c r="CO6" s="21">
        <f>IF(IF(AND(ISNA(CO$5),ISNA(CN$5)),CN6*(1+$C$11),IF(AND(CN$5&gt;0,ISNA(CO$5)),CN6*(1+$C$11),CO$5))&gt;$C$20,$C$20,IF(AND(ISNA(CO$5),ISNA(CN$5)),CN6*(1+$C$11),IF(AND(CN$5&gt;0,ISNA(CO$5)),CN6*(1+$C$11),CO$5)))</f>
        <v>27154404.400000002</v>
      </c>
      <c r="CP6" s="21">
        <f>IF(IF(AND(ISNA(CP$5),ISNA(CO$5)),CO6*(1+$C$11),IF(AND(CO$5&gt;0,ISNA(CP$5)),CO6*(1+$C$11),CP$5))&gt;$C$20,$C$20,IF(AND(ISNA(CP$5),ISNA(CO$5)),CO6*(1+$C$11),IF(AND(CO$5&gt;0,ISNA(CP$5)),CO6*(1+$C$11),CP$5)))</f>
        <v>27154404.400000002</v>
      </c>
      <c r="CQ6" s="21">
        <f>IF(IF(AND(ISNA(CQ$5),ISNA(CP$5)),CP6*(1+$C$11),IF(AND(CP$5&gt;0,ISNA(CQ$5)),CP6*(1+$C$11),CQ$5))&gt;$C$20,$C$20,IF(AND(ISNA(CQ$5),ISNA(CP$5)),CP6*(1+$C$11),IF(AND(CP$5&gt;0,ISNA(CQ$5)),CP6*(1+$C$11),CQ$5)))</f>
        <v>27154404.400000002</v>
      </c>
      <c r="CR6" s="21">
        <f>IF(IF(AND(ISNA(CR$5),ISNA(CQ$5)),CQ6*(1+$C$11),IF(AND(CQ$5&gt;0,ISNA(CR$5)),CQ6*(1+$C$11),CR$5))&gt;$C$20,$C$20,IF(AND(ISNA(CR$5),ISNA(CQ$5)),CQ6*(1+$C$11),IF(AND(CQ$5&gt;0,ISNA(CR$5)),CQ6*(1+$C$11),CR$5)))</f>
        <v>27154404.400000002</v>
      </c>
      <c r="CS6" s="21">
        <f>IF(IF(AND(ISNA(CS$5),ISNA(CR$5)),CR6*(1+$C$11),IF(AND(CR$5&gt;0,ISNA(CS$5)),CR6*(1+$C$11),CS$5))&gt;$C$20,$C$20,IF(AND(ISNA(CS$5),ISNA(CR$5)),CR6*(1+$C$11),IF(AND(CR$5&gt;0,ISNA(CS$5)),CR6*(1+$C$11),CS$5)))</f>
        <v>27154404.400000002</v>
      </c>
      <c r="CT6" s="21">
        <f>IF(IF(AND(ISNA(CT$5),ISNA(CS$5)),CS6*(1+$C$11),IF(AND(CS$5&gt;0,ISNA(CT$5)),CS6*(1+$C$11),CT$5))&gt;$C$20,$C$20,IF(AND(ISNA(CT$5),ISNA(CS$5)),CS6*(1+$C$11),IF(AND(CS$5&gt;0,ISNA(CT$5)),CS6*(1+$C$11),CT$5)))</f>
        <v>27154404.400000002</v>
      </c>
      <c r="CU6" s="21">
        <f>IF(IF(AND(ISNA(CU$5),ISNA(CT$5)),CT6*(1+$C$11),IF(AND(CT$5&gt;0,ISNA(CU$5)),CT6*(1+$C$11),CU$5))&gt;$C$20,$C$20,IF(AND(ISNA(CU$5),ISNA(CT$5)),CT6*(1+$C$11),IF(AND(CT$5&gt;0,ISNA(CU$5)),CT6*(1+$C$11),CU$5)))</f>
        <v>27154404.400000002</v>
      </c>
      <c r="CV6" s="21">
        <f>IF(IF(AND(ISNA(CV$5),ISNA(CU$5)),CU6*(1+$C$11),IF(AND(CU$5&gt;0,ISNA(CV$5)),CU6*(1+$C$11),CV$5))&gt;$C$20,$C$20,IF(AND(ISNA(CV$5),ISNA(CU$5)),CU6*(1+$C$11),IF(AND(CU$5&gt;0,ISNA(CV$5)),CU6*(1+$C$11),CV$5)))</f>
        <v>27154404.400000002</v>
      </c>
      <c r="CW6" s="21">
        <f>IF(IF(AND(ISNA(CW$5),ISNA(CV$5)),CV6*(1+$C$11),IF(AND(CV$5&gt;0,ISNA(CW$5)),CV6*(1+$C$11),CW$5))&gt;$C$20,$C$20,IF(AND(ISNA(CW$5),ISNA(CV$5)),CV6*(1+$C$11),IF(AND(CV$5&gt;0,ISNA(CW$5)),CV6*(1+$C$11),CW$5)))</f>
        <v>27154404.400000002</v>
      </c>
      <c r="CX6" s="21">
        <f>IF(IF(AND(ISNA(CX$5),ISNA(CW$5)),CW6*(1+$C$11),IF(AND(CW$5&gt;0,ISNA(CX$5)),CW6*(1+$C$11),CX$5))&gt;$C$20,$C$20,IF(AND(ISNA(CX$5),ISNA(CW$5)),CW6*(1+$C$11),IF(AND(CW$5&gt;0,ISNA(CX$5)),CW6*(1+$C$11),CX$5)))</f>
        <v>27154404.400000002</v>
      </c>
      <c r="CY6" s="21">
        <f>IF(IF(AND(ISNA(CY$5),ISNA(CX$5)),CX6*(1+$C$11),IF(AND(CX$5&gt;0,ISNA(CY$5)),CX6*(1+$C$11),CY$5))&gt;$C$20,$C$20,IF(AND(ISNA(CY$5),ISNA(CX$5)),CX6*(1+$C$11),IF(AND(CX$5&gt;0,ISNA(CY$5)),CX6*(1+$C$11),CY$5)))</f>
        <v>27154404.400000002</v>
      </c>
      <c r="CZ6" s="21">
        <f>IF(IF(AND(ISNA(CZ$5),ISNA(CY$5)),CY6*(1+$C$11),IF(AND(CY$5&gt;0,ISNA(CZ$5)),CY6*(1+$C$11),CZ$5))&gt;$C$20,$C$20,IF(AND(ISNA(CZ$5),ISNA(CY$5)),CY6*(1+$C$11),IF(AND(CY$5&gt;0,ISNA(CZ$5)),CY6*(1+$C$11),CZ$5)))</f>
        <v>27154404.400000002</v>
      </c>
      <c r="DA6" s="21">
        <f>IF(IF(AND(ISNA(DA$5),ISNA(CZ$5)),CZ6*(1+$C$11),IF(AND(CZ$5&gt;0,ISNA(DA$5)),CZ6*(1+$C$11),DA$5))&gt;$C$20,$C$20,IF(AND(ISNA(DA$5),ISNA(CZ$5)),CZ6*(1+$C$11),IF(AND(CZ$5&gt;0,ISNA(DA$5)),CZ6*(1+$C$11),DA$5)))</f>
        <v>27154404.400000002</v>
      </c>
      <c r="DB6" s="21">
        <f>IF(IF(AND(ISNA(DB$5),ISNA(DA$5)),DA6*(1+$C$11),IF(AND(DA$5&gt;0,ISNA(DB$5)),DA6*(1+$C$11),DB$5))&gt;$C$20,$C$20,IF(AND(ISNA(DB$5),ISNA(DA$5)),DA6*(1+$C$11),IF(AND(DA$5&gt;0,ISNA(DB$5)),DA6*(1+$C$11),DB$5)))</f>
        <v>27154404.400000002</v>
      </c>
      <c r="DC6" s="21">
        <f>IF(IF(AND(ISNA(DC$5),ISNA(DB$5)),DB6*(1+$C$11),IF(AND(DB$5&gt;0,ISNA(DC$5)),DB6*(1+$C$11),DC$5))&gt;$C$20,$C$20,IF(AND(ISNA(DC$5),ISNA(DB$5)),DB6*(1+$C$11),IF(AND(DB$5&gt;0,ISNA(DC$5)),DB6*(1+$C$11),DC$5)))</f>
        <v>27154404.400000002</v>
      </c>
      <c r="DD6" s="21">
        <f>IF(IF(AND(ISNA(DD$5),ISNA(DC$5)),DC6*(1+$C$11),IF(AND(DC$5&gt;0,ISNA(DD$5)),DC6*(1+$C$11),DD$5))&gt;$C$20,$C$20,IF(AND(ISNA(DD$5),ISNA(DC$5)),DC6*(1+$C$11),IF(AND(DC$5&gt;0,ISNA(DD$5)),DC6*(1+$C$11),DD$5)))</f>
        <v>27154404.400000002</v>
      </c>
      <c r="DE6" s="21">
        <f>IF(IF(AND(ISNA(DE$5),ISNA(DD$5)),DD6*(1+$C$11),IF(AND(DD$5&gt;0,ISNA(DE$5)),DD6*(1+$C$11),DE$5))&gt;$C$20,$C$20,IF(AND(ISNA(DE$5),ISNA(DD$5)),DD6*(1+$C$11),IF(AND(DD$5&gt;0,ISNA(DE$5)),DD6*(1+$C$11),DE$5)))</f>
        <v>27154404.400000002</v>
      </c>
      <c r="DF6" s="21">
        <f>IF(IF(AND(ISNA(DF$5),ISNA(DE$5)),DE6*(1+$C$11),IF(AND(DE$5&gt;0,ISNA(DF$5)),DE6*(1+$C$11),DF$5))&gt;$C$20,$C$20,IF(AND(ISNA(DF$5),ISNA(DE$5)),DE6*(1+$C$11),IF(AND(DE$5&gt;0,ISNA(DF$5)),DE6*(1+$C$11),DF$5)))</f>
        <v>27154404.400000002</v>
      </c>
      <c r="DG6" s="21">
        <f>IF(IF(AND(ISNA(DG$5),ISNA(DF$5)),DF6*(1+$C$11),IF(AND(DF$5&gt;0,ISNA(DG$5)),DF6*(1+$C$11),DG$5))&gt;$C$20,$C$20,IF(AND(ISNA(DG$5),ISNA(DF$5)),DF6*(1+$C$11),IF(AND(DF$5&gt;0,ISNA(DG$5)),DF6*(1+$C$11),DG$5)))</f>
        <v>27154404.400000002</v>
      </c>
      <c r="DH6" s="21">
        <f>IF(IF(AND(ISNA(DH$5),ISNA(DG$5)),DG6*(1+$C$11),IF(AND(DG$5&gt;0,ISNA(DH$5)),DG6*(1+$C$11),DH$5))&gt;$C$20,$C$20,IF(AND(ISNA(DH$5),ISNA(DG$5)),DG6*(1+$C$11),IF(AND(DG$5&gt;0,ISNA(DH$5)),DG6*(1+$C$11),DH$5)))</f>
        <v>27154404.400000002</v>
      </c>
      <c r="DI6" s="21">
        <f>IF(IF(AND(ISNA(DI$5),ISNA(DH$5)),DH6*(1+$C$11),IF(AND(DH$5&gt;0,ISNA(DI$5)),DH6*(1+$C$11),DI$5))&gt;$C$20,$C$20,IF(AND(ISNA(DI$5),ISNA(DH$5)),DH6*(1+$C$11),IF(AND(DH$5&gt;0,ISNA(DI$5)),DH6*(1+$C$11),DI$5)))</f>
        <v>27154404.400000002</v>
      </c>
      <c r="DJ6" s="21">
        <f>IF(IF(AND(ISNA(DJ$5),ISNA(DI$5)),DI6*(1+$C$11),IF(AND(DI$5&gt;0,ISNA(DJ$5)),DI6*(1+$C$11),DJ$5))&gt;$C$20,$C$20,IF(AND(ISNA(DJ$5),ISNA(DI$5)),DI6*(1+$C$11),IF(AND(DI$5&gt;0,ISNA(DJ$5)),DI6*(1+$C$11),DJ$5)))</f>
        <v>27154404.400000002</v>
      </c>
      <c r="DK6" s="21">
        <f>IF(IF(AND(ISNA(DK$5),ISNA(DJ$5)),DJ6*(1+$C$11),IF(AND(DJ$5&gt;0,ISNA(DK$5)),DJ6*(1+$C$11),DK$5))&gt;$C$20,$C$20,IF(AND(ISNA(DK$5),ISNA(DJ$5)),DJ6*(1+$C$11),IF(AND(DJ$5&gt;0,ISNA(DK$5)),DJ6*(1+$C$11),DK$5)))</f>
        <v>27154404.400000002</v>
      </c>
      <c r="DL6" s="21">
        <f>IF(IF(AND(ISNA(DL$5),ISNA(DK$5)),DK6*(1+$C$11),IF(AND(DK$5&gt;0,ISNA(DL$5)),DK6*(1+$C$11),DL$5))&gt;$C$20,$C$20,IF(AND(ISNA(DL$5),ISNA(DK$5)),DK6*(1+$C$11),IF(AND(DK$5&gt;0,ISNA(DL$5)),DK6*(1+$C$11),DL$5)))</f>
        <v>27154404.400000002</v>
      </c>
      <c r="DM6" s="21">
        <f>IF(IF(AND(ISNA(DM$5),ISNA(DL$5)),DL6*(1+$C$11),IF(AND(DL$5&gt;0,ISNA(DM$5)),DL6*(1+$C$11),DM$5))&gt;$C$20,$C$20,IF(AND(ISNA(DM$5),ISNA(DL$5)),DL6*(1+$C$11),IF(AND(DL$5&gt;0,ISNA(DM$5)),DL6*(1+$C$11),DM$5)))</f>
        <v>27154404.400000002</v>
      </c>
      <c r="DN6" s="21">
        <f>IF(IF(AND(ISNA(DN$5),ISNA(DM$5)),DM6*(1+$C$11),IF(AND(DM$5&gt;0,ISNA(DN$5)),DM6*(1+$C$11),DN$5))&gt;$C$20,$C$20,IF(AND(ISNA(DN$5),ISNA(DM$5)),DM6*(1+$C$11),IF(AND(DM$5&gt;0,ISNA(DN$5)),DM6*(1+$C$11),DN$5)))</f>
        <v>27154404.400000002</v>
      </c>
      <c r="DO6" s="21">
        <f>IF(IF(AND(ISNA(DO$5),ISNA(DN$5)),DN6*(1+$C$11),IF(AND(DN$5&gt;0,ISNA(DO$5)),DN6*(1+$C$11),DO$5))&gt;$C$20,$C$20,IF(AND(ISNA(DO$5),ISNA(DN$5)),DN6*(1+$C$11),IF(AND(DN$5&gt;0,ISNA(DO$5)),DN6*(1+$C$11),DO$5)))</f>
        <v>27154404.400000002</v>
      </c>
      <c r="DP6" s="21">
        <f>IF(IF(AND(ISNA(DP$5),ISNA(DO$5)),DO6*(1+$C$11),IF(AND(DO$5&gt;0,ISNA(DP$5)),DO6*(1+$C$11),DP$5))&gt;$C$20,$C$20,IF(AND(ISNA(DP$5),ISNA(DO$5)),DO6*(1+$C$11),IF(AND(DO$5&gt;0,ISNA(DP$5)),DO6*(1+$C$11),DP$5)))</f>
        <v>27154404.400000002</v>
      </c>
      <c r="DQ6" s="21">
        <f>IF(IF(AND(ISNA(DQ$5),ISNA(DP$5)),DP6*(1+$C$11),IF(AND(DP$5&gt;0,ISNA(DQ$5)),DP6*(1+$C$11),DQ$5))&gt;$C$20,$C$20,IF(AND(ISNA(DQ$5),ISNA(DP$5)),DP6*(1+$C$11),IF(AND(DP$5&gt;0,ISNA(DQ$5)),DP6*(1+$C$11),DQ$5)))</f>
        <v>27154404.400000002</v>
      </c>
      <c r="DR6" s="21">
        <f>IF(IF(AND(ISNA(DR$5),ISNA(DQ$5)),DQ6*(1+$C$11),IF(AND(DQ$5&gt;0,ISNA(DR$5)),DQ6*(1+$C$11),DR$5))&gt;$C$20,$C$20,IF(AND(ISNA(DR$5),ISNA(DQ$5)),DQ6*(1+$C$11),IF(AND(DQ$5&gt;0,ISNA(DR$5)),DQ6*(1+$C$11),DR$5)))</f>
        <v>27154404.400000002</v>
      </c>
      <c r="DS6" s="21">
        <f>IF(IF(AND(ISNA(DS$5),ISNA(DR$5)),DR6*(1+$C$11),IF(AND(DR$5&gt;0,ISNA(DS$5)),DR6*(1+$C$11),DS$5))&gt;$C$20,$C$20,IF(AND(ISNA(DS$5),ISNA(DR$5)),DR6*(1+$C$11),IF(AND(DR$5&gt;0,ISNA(DS$5)),DR6*(1+$C$11),DS$5)))</f>
        <v>27154404.400000002</v>
      </c>
      <c r="DT6" s="21">
        <f>IF(IF(AND(ISNA(DT$5),ISNA(DS$5)),DS6*(1+$C$11),IF(AND(DS$5&gt;0,ISNA(DT$5)),DS6*(1+$C$11),DT$5))&gt;$C$20,$C$20,IF(AND(ISNA(DT$5),ISNA(DS$5)),DS6*(1+$C$11),IF(AND(DS$5&gt;0,ISNA(DT$5)),DS6*(1+$C$11),DT$5)))</f>
        <v>27154404.400000002</v>
      </c>
      <c r="DU6" s="21">
        <f>IF(IF(AND(ISNA(DU$5),ISNA(DT$5)),DT6*(1+$C$11),IF(AND(DT$5&gt;0,ISNA(DU$5)),DT6*(1+$C$11),DU$5))&gt;$C$20,$C$20,IF(AND(ISNA(DU$5),ISNA(DT$5)),DT6*(1+$C$11),IF(AND(DT$5&gt;0,ISNA(DU$5)),DT6*(1+$C$11),DU$5)))</f>
        <v>27154404.400000002</v>
      </c>
      <c r="DV6" s="21">
        <f>IF(IF(AND(ISNA(DV$5),ISNA(DU$5)),DU6*(1+$C$11),IF(AND(DU$5&gt;0,ISNA(DV$5)),DU6*(1+$C$11),DV$5))&gt;$C$20,$C$20,IF(AND(ISNA(DV$5),ISNA(DU$5)),DU6*(1+$C$11),IF(AND(DU$5&gt;0,ISNA(DV$5)),DU6*(1+$C$11),DV$5)))</f>
        <v>27154404.400000002</v>
      </c>
      <c r="DW6" s="21">
        <f>IF(IF(AND(ISNA(DW$5),ISNA(DV$5)),DV6*(1+$C$11),IF(AND(DV$5&gt;0,ISNA(DW$5)),DV6*(1+$C$11),DW$5))&gt;$C$20,$C$20,IF(AND(ISNA(DW$5),ISNA(DV$5)),DV6*(1+$C$11),IF(AND(DV$5&gt;0,ISNA(DW$5)),DV6*(1+$C$11),DW$5)))</f>
        <v>27154404.400000002</v>
      </c>
      <c r="DX6" s="21">
        <f>IF(IF(AND(ISNA(DX$5),ISNA(DW$5)),DW6*(1+$C$11),IF(AND(DW$5&gt;0,ISNA(DX$5)),DW6*(1+$C$11),DX$5))&gt;$C$20,$C$20,IF(AND(ISNA(DX$5),ISNA(DW$5)),DW6*(1+$C$11),IF(AND(DW$5&gt;0,ISNA(DX$5)),DW6*(1+$C$11),DX$5)))</f>
        <v>27154404.400000002</v>
      </c>
      <c r="DY6" s="21">
        <f>IF(IF(AND(ISNA(DY$5),ISNA(DX$5)),DX6*(1+$C$11),IF(AND(DX$5&gt;0,ISNA(DY$5)),DX6*(1+$C$11),DY$5))&gt;$C$20,$C$20,IF(AND(ISNA(DY$5),ISNA(DX$5)),DX6*(1+$C$11),IF(AND(DX$5&gt;0,ISNA(DY$5)),DX6*(1+$C$11),DY$5)))</f>
        <v>27154404.400000002</v>
      </c>
      <c r="DZ6" s="21">
        <f>IF(IF(AND(ISNA(DZ$5),ISNA(DY$5)),DY6*(1+$C$11),IF(AND(DY$5&gt;0,ISNA(DZ$5)),DY6*(1+$C$11),DZ$5))&gt;$C$20,$C$20,IF(AND(ISNA(DZ$5),ISNA(DY$5)),DY6*(1+$C$11),IF(AND(DY$5&gt;0,ISNA(DZ$5)),DY6*(1+$C$11),DZ$5)))</f>
        <v>27154404.400000002</v>
      </c>
      <c r="EA6" s="21">
        <f>IF(IF(AND(ISNA(EA$5),ISNA(DZ$5)),DZ6*(1+$C$11),IF(AND(DZ$5&gt;0,ISNA(EA$5)),DZ6*(1+$C$11),EA$5))&gt;$C$20,$C$20,IF(AND(ISNA(EA$5),ISNA(DZ$5)),DZ6*(1+$C$11),IF(AND(DZ$5&gt;0,ISNA(EA$5)),DZ6*(1+$C$11),EA$5)))</f>
        <v>27154404.400000002</v>
      </c>
      <c r="EB6" s="21">
        <f>IF(IF(AND(ISNA(EB$5),ISNA(EA$5)),EA6*(1+$C$11),IF(AND(EA$5&gt;0,ISNA(EB$5)),EA6*(1+$C$11),EB$5))&gt;$C$20,$C$20,IF(AND(ISNA(EB$5),ISNA(EA$5)),EA6*(1+$C$11),IF(AND(EA$5&gt;0,ISNA(EB$5)),EA6*(1+$C$11),EB$5)))</f>
        <v>27154404.400000002</v>
      </c>
      <c r="EC6" s="21">
        <f>IF(IF(AND(ISNA(EC$5),ISNA(EB$5)),EB6*(1+$C$11),IF(AND(EB$5&gt;0,ISNA(EC$5)),EB6*(1+$C$11),EC$5))&gt;$C$20,$C$20,IF(AND(ISNA(EC$5),ISNA(EB$5)),EB6*(1+$C$11),IF(AND(EB$5&gt;0,ISNA(EC$5)),EB6*(1+$C$11),EC$5)))</f>
        <v>27154404.400000002</v>
      </c>
      <c r="ED6" s="21">
        <f>IF(IF(AND(ISNA(ED$5),ISNA(EC$5)),EC6*(1+$C$11),IF(AND(EC$5&gt;0,ISNA(ED$5)),EC6*(1+$C$11),ED$5))&gt;$C$20,$C$20,IF(AND(ISNA(ED$5),ISNA(EC$5)),EC6*(1+$C$11),IF(AND(EC$5&gt;0,ISNA(ED$5)),EC6*(1+$C$11),ED$5)))</f>
        <v>27154404.400000002</v>
      </c>
      <c r="EE6" s="21">
        <f>IF(IF(AND(ISNA(EE$5),ISNA(ED$5)),ED6*(1+$C$11),IF(AND(ED$5&gt;0,ISNA(EE$5)),ED6*(1+$C$11),EE$5))&gt;$C$20,$C$20,IF(AND(ISNA(EE$5),ISNA(ED$5)),ED6*(1+$C$11),IF(AND(ED$5&gt;0,ISNA(EE$5)),ED6*(1+$C$11),EE$5)))</f>
        <v>27154404.400000002</v>
      </c>
      <c r="EF6" s="21">
        <f>IF(IF(AND(ISNA(EF$5),ISNA(EE$5)),EE6*(1+$C$11),IF(AND(EE$5&gt;0,ISNA(EF$5)),EE6*(1+$C$11),EF$5))&gt;$C$20,$C$20,IF(AND(ISNA(EF$5),ISNA(EE$5)),EE6*(1+$C$11),IF(AND(EE$5&gt;0,ISNA(EF$5)),EE6*(1+$C$11),EF$5)))</f>
        <v>27154404.400000002</v>
      </c>
      <c r="EG6" s="21">
        <f>IF(IF(AND(ISNA(EG$5),ISNA(EF$5)),EF6*(1+$C$11),IF(AND(EF$5&gt;0,ISNA(EG$5)),EF6*(1+$C$11),EG$5))&gt;$C$20,$C$20,IF(AND(ISNA(EG$5),ISNA(EF$5)),EF6*(1+$C$11),IF(AND(EF$5&gt;0,ISNA(EG$5)),EF6*(1+$C$11),EG$5)))</f>
        <v>27154404.400000002</v>
      </c>
      <c r="EH6" s="21">
        <f>IF(IF(AND(ISNA(EH$5),ISNA(EG$5)),EG6*(1+$C$11),IF(AND(EG$5&gt;0,ISNA(EH$5)),EG6*(1+$C$11),EH$5))&gt;$C$20,$C$20,IF(AND(ISNA(EH$5),ISNA(EG$5)),EG6*(1+$C$11),IF(AND(EG$5&gt;0,ISNA(EH$5)),EG6*(1+$C$11),EH$5)))</f>
        <v>27154404.400000002</v>
      </c>
      <c r="EI6" s="21">
        <f>IF(IF(AND(ISNA(EI$5),ISNA(EH$5)),EH6*(1+$C$11),IF(AND(EH$5&gt;0,ISNA(EI$5)),EH6*(1+$C$11),EI$5))&gt;$C$20,$C$20,IF(AND(ISNA(EI$5),ISNA(EH$5)),EH6*(1+$C$11),IF(AND(EH$5&gt;0,ISNA(EI$5)),EH6*(1+$C$11),EI$5)))</f>
        <v>27154404.400000002</v>
      </c>
      <c r="EJ6" s="21">
        <f>IF(IF(AND(ISNA(EJ$5),ISNA(EI$5)),EI6*(1+$C$11),IF(AND(EI$5&gt;0,ISNA(EJ$5)),EI6*(1+$C$11),EJ$5))&gt;$C$20,$C$20,IF(AND(ISNA(EJ$5),ISNA(EI$5)),EI6*(1+$C$11),IF(AND(EI$5&gt;0,ISNA(EJ$5)),EI6*(1+$C$11),EJ$5)))</f>
        <v>27154404.400000002</v>
      </c>
      <c r="EK6" s="21">
        <f>IF(IF(AND(ISNA(EK$5),ISNA(EJ$5)),EJ6*(1+$C$11),IF(AND(EJ$5&gt;0,ISNA(EK$5)),EJ6*(1+$C$11),EK$5))&gt;$C$20,$C$20,IF(AND(ISNA(EK$5),ISNA(EJ$5)),EJ6*(1+$C$11),IF(AND(EJ$5&gt;0,ISNA(EK$5)),EJ6*(1+$C$11),EK$5)))</f>
        <v>27154404.400000002</v>
      </c>
      <c r="EL6" s="21">
        <f>IF(IF(AND(ISNA(EL$5),ISNA(EK$5)),EK6*(1+$C$11),IF(AND(EK$5&gt;0,ISNA(EL$5)),EK6*(1+$C$11),EL$5))&gt;$C$20,$C$20,IF(AND(ISNA(EL$5),ISNA(EK$5)),EK6*(1+$C$11),IF(AND(EK$5&gt;0,ISNA(EL$5)),EK6*(1+$C$11),EL$5)))</f>
        <v>27154404.400000002</v>
      </c>
      <c r="EM6" s="21">
        <f>IF(IF(AND(ISNA(EM$5),ISNA(EL$5)),EL6*(1+$C$11),IF(AND(EL$5&gt;0,ISNA(EM$5)),EL6*(1+$C$11),EM$5))&gt;$C$20,$C$20,IF(AND(ISNA(EM$5),ISNA(EL$5)),EL6*(1+$C$11),IF(AND(EL$5&gt;0,ISNA(EM$5)),EL6*(1+$C$11),EM$5)))</f>
        <v>27154404.400000002</v>
      </c>
      <c r="EN6" s="21">
        <f>IF(IF(AND(ISNA(EN$5),ISNA(EM$5)),EM6*(1+$C$11),IF(AND(EM$5&gt;0,ISNA(EN$5)),EM6*(1+$C$11),EN$5))&gt;$C$20,$C$20,IF(AND(ISNA(EN$5),ISNA(EM$5)),EM6*(1+$C$11),IF(AND(EM$5&gt;0,ISNA(EN$5)),EM6*(1+$C$11),EN$5)))</f>
        <v>27154404.400000002</v>
      </c>
      <c r="EO6" s="21">
        <f>IF(IF(AND(ISNA(EO$5),ISNA(EN$5)),EN6*(1+$C$11),IF(AND(EN$5&gt;0,ISNA(EO$5)),EN6*(1+$C$11),EO$5))&gt;$C$20,$C$20,IF(AND(ISNA(EO$5),ISNA(EN$5)),EN6*(1+$C$11),IF(AND(EN$5&gt;0,ISNA(EO$5)),EN6*(1+$C$11),EO$5)))</f>
        <v>27154404.400000002</v>
      </c>
      <c r="EP6" s="21">
        <f>IF(IF(AND(ISNA(EP$5),ISNA(EO$5)),EO6*(1+$C$11),IF(AND(EO$5&gt;0,ISNA(EP$5)),EO6*(1+$C$11),EP$5))&gt;$C$20,$C$20,IF(AND(ISNA(EP$5),ISNA(EO$5)),EO6*(1+$C$11),IF(AND(EO$5&gt;0,ISNA(EP$5)),EO6*(1+$C$11),EP$5)))</f>
        <v>27154404.400000002</v>
      </c>
      <c r="EQ6" s="21">
        <f>IF(IF(AND(ISNA(EQ$5),ISNA(EP$5)),EP6*(1+$C$11),IF(AND(EP$5&gt;0,ISNA(EQ$5)),EP6*(1+$C$11),EQ$5))&gt;$C$20,$C$20,IF(AND(ISNA(EQ$5),ISNA(EP$5)),EP6*(1+$C$11),IF(AND(EP$5&gt;0,ISNA(EQ$5)),EP6*(1+$C$11),EQ$5)))</f>
        <v>27154404.400000002</v>
      </c>
      <c r="ER6" s="21">
        <f>IF(IF(AND(ISNA(ER$5),ISNA(EQ$5)),EQ6*(1+$C$11),IF(AND(EQ$5&gt;0,ISNA(ER$5)),EQ6*(1+$C$11),ER$5))&gt;$C$20,$C$20,IF(AND(ISNA(ER$5),ISNA(EQ$5)),EQ6*(1+$C$11),IF(AND(EQ$5&gt;0,ISNA(ER$5)),EQ6*(1+$C$11),ER$5)))</f>
        <v>27154404.400000002</v>
      </c>
      <c r="ES6" s="21">
        <f>IF(IF(AND(ISNA(ES$5),ISNA(ER$5)),ER6*(1+$C$11),IF(AND(ER$5&gt;0,ISNA(ES$5)),ER6*(1+$C$11),ES$5))&gt;$C$20,$C$20,IF(AND(ISNA(ES$5),ISNA(ER$5)),ER6*(1+$C$11),IF(AND(ER$5&gt;0,ISNA(ES$5)),ER6*(1+$C$11),ES$5)))</f>
        <v>27154404.400000002</v>
      </c>
      <c r="ET6" s="21">
        <f>IF(IF(AND(ISNA(ET$5),ISNA(ES$5)),ES6*(1+$C$11),IF(AND(ES$5&gt;0,ISNA(ET$5)),ES6*(1+$C$11),ET$5))&gt;$C$20,$C$20,IF(AND(ISNA(ET$5),ISNA(ES$5)),ES6*(1+$C$11),IF(AND(ES$5&gt;0,ISNA(ET$5)),ES6*(1+$C$11),ET$5)))</f>
        <v>27154404.400000002</v>
      </c>
      <c r="EU6" s="21">
        <f>IF(IF(AND(ISNA(EU$5),ISNA(ET$5)),ET6*(1+$C$11),IF(AND(ET$5&gt;0,ISNA(EU$5)),ET6*(1+$C$11),EU$5))&gt;$C$20,$C$20,IF(AND(ISNA(EU$5),ISNA(ET$5)),ET6*(1+$C$11),IF(AND(ET$5&gt;0,ISNA(EU$5)),ET6*(1+$C$11),EU$5)))</f>
        <v>27154404.400000002</v>
      </c>
      <c r="EV6" s="21">
        <f>IF(IF(AND(ISNA(EV$5),ISNA(EU$5)),EU6*(1+$C$11),IF(AND(EU$5&gt;0,ISNA(EV$5)),EU6*(1+$C$11),EV$5))&gt;$C$20,$C$20,IF(AND(ISNA(EV$5),ISNA(EU$5)),EU6*(1+$C$11),IF(AND(EU$5&gt;0,ISNA(EV$5)),EU6*(1+$C$11),EV$5)))</f>
        <v>27154404.400000002</v>
      </c>
      <c r="EW6" s="21">
        <f>IF(IF(AND(ISNA(EW$5),ISNA(EV$5)),EV6*(1+$C$11),IF(AND(EV$5&gt;0,ISNA(EW$5)),EV6*(1+$C$11),EW$5))&gt;$C$20,$C$20,IF(AND(ISNA(EW$5),ISNA(EV$5)),EV6*(1+$C$11),IF(AND(EV$5&gt;0,ISNA(EW$5)),EV6*(1+$C$11),EW$5)))</f>
        <v>27154404.400000002</v>
      </c>
      <c r="EX6" s="21">
        <f>IF(IF(AND(ISNA(EX$5),ISNA(EW$5)),EW6*(1+$C$11),IF(AND(EW$5&gt;0,ISNA(EX$5)),EW6*(1+$C$11),EX$5))&gt;$C$20,$C$20,IF(AND(ISNA(EX$5),ISNA(EW$5)),EW6*(1+$C$11),IF(AND(EW$5&gt;0,ISNA(EX$5)),EW6*(1+$C$11),EX$5)))</f>
        <v>27154404.400000002</v>
      </c>
      <c r="EY6" s="21">
        <f>IF(IF(AND(ISNA(EY$5),ISNA(EX$5)),EX6*(1+$C$11),IF(AND(EX$5&gt;0,ISNA(EY$5)),EX6*(1+$C$11),EY$5))&gt;$C$20,$C$20,IF(AND(ISNA(EY$5),ISNA(EX$5)),EX6*(1+$C$11),IF(AND(EX$5&gt;0,ISNA(EY$5)),EX6*(1+$C$11),EY$5)))</f>
        <v>27154404.400000002</v>
      </c>
      <c r="EZ6" s="21">
        <f>IF(IF(AND(ISNA(EZ$5),ISNA(EY$5)),EY6*(1+$C$11),IF(AND(EY$5&gt;0,ISNA(EZ$5)),EY6*(1+$C$11),EZ$5))&gt;$C$20,$C$20,IF(AND(ISNA(EZ$5),ISNA(EY$5)),EY6*(1+$C$11),IF(AND(EY$5&gt;0,ISNA(EZ$5)),EY6*(1+$C$11),EZ$5)))</f>
        <v>27154404.400000002</v>
      </c>
      <c r="FA6" s="21">
        <f>IF(IF(AND(ISNA(FA$5),ISNA(EZ$5)),EZ6*(1+$C$11),IF(AND(EZ$5&gt;0,ISNA(FA$5)),EZ6*(1+$C$11),FA$5))&gt;$C$20,$C$20,IF(AND(ISNA(FA$5),ISNA(EZ$5)),EZ6*(1+$C$11),IF(AND(EZ$5&gt;0,ISNA(FA$5)),EZ6*(1+$C$11),FA$5)))</f>
        <v>27154404.400000002</v>
      </c>
      <c r="FB6" s="21">
        <f>IF(IF(AND(ISNA(FB$5),ISNA(FA$5)),FA6*(1+$C$11),IF(AND(FA$5&gt;0,ISNA(FB$5)),FA6*(1+$C$11),FB$5))&gt;$C$20,$C$20,IF(AND(ISNA(FB$5),ISNA(FA$5)),FA6*(1+$C$11),IF(AND(FA$5&gt;0,ISNA(FB$5)),FA6*(1+$C$11),FB$5)))</f>
        <v>27154404.400000002</v>
      </c>
      <c r="FC6" s="21">
        <f>IF(IF(AND(ISNA(FC$5),ISNA(FB$5)),FB6*(1+$C$11),IF(AND(FB$5&gt;0,ISNA(FC$5)),FB6*(1+$C$11),FC$5))&gt;$C$20,$C$20,IF(AND(ISNA(FC$5),ISNA(FB$5)),FB6*(1+$C$11),IF(AND(FB$5&gt;0,ISNA(FC$5)),FB6*(1+$C$11),FC$5)))</f>
        <v>27154404.400000002</v>
      </c>
      <c r="FD6" s="21">
        <f>IF(IF(AND(ISNA(FD$5),ISNA(FC$5)),FC6*(1+$C$11),IF(AND(FC$5&gt;0,ISNA(FD$5)),FC6*(1+$C$11),FD$5))&gt;$C$20,$C$20,IF(AND(ISNA(FD$5),ISNA(FC$5)),FC6*(1+$C$11),IF(AND(FC$5&gt;0,ISNA(FD$5)),FC6*(1+$C$11),FD$5)))</f>
        <v>27154404.400000002</v>
      </c>
      <c r="FE6" s="21">
        <f>IF(IF(AND(ISNA(FE$5),ISNA(FD$5)),FD6*(1+$C$11),IF(AND(FD$5&gt;0,ISNA(FE$5)),FD6*(1+$C$11),FE$5))&gt;$C$20,$C$20,IF(AND(ISNA(FE$5),ISNA(FD$5)),FD6*(1+$C$11),IF(AND(FD$5&gt;0,ISNA(FE$5)),FD6*(1+$C$11),FE$5)))</f>
        <v>27154404.400000002</v>
      </c>
      <c r="FF6" s="21">
        <f>IF(IF(AND(ISNA(FF$5),ISNA(FE$5)),FE6*(1+$C$11),IF(AND(FE$5&gt;0,ISNA(FF$5)),FE6*(1+$C$11),FF$5))&gt;$C$20,$C$20,IF(AND(ISNA(FF$5),ISNA(FE$5)),FE6*(1+$C$11),IF(AND(FE$5&gt;0,ISNA(FF$5)),FE6*(1+$C$11),FF$5)))</f>
        <v>27154404.400000002</v>
      </c>
      <c r="FG6" s="21">
        <f>IF(IF(AND(ISNA(FG$5),ISNA(FF$5)),FF6*(1+$C$11),IF(AND(FF$5&gt;0,ISNA(FG$5)),FF6*(1+$C$11),FG$5))&gt;$C$20,$C$20,IF(AND(ISNA(FG$5),ISNA(FF$5)),FF6*(1+$C$11),IF(AND(FF$5&gt;0,ISNA(FG$5)),FF6*(1+$C$11),FG$5)))</f>
        <v>27154404.400000002</v>
      </c>
      <c r="FH6" s="21">
        <f>IF(IF(AND(ISNA(FH$5),ISNA(FG$5)),FG6*(1+$C$11),IF(AND(FG$5&gt;0,ISNA(FH$5)),FG6*(1+$C$11),FH$5))&gt;$C$20,$C$20,IF(AND(ISNA(FH$5),ISNA(FG$5)),FG6*(1+$C$11),IF(AND(FG$5&gt;0,ISNA(FH$5)),FG6*(1+$C$11),FH$5)))</f>
        <v>27154404.400000002</v>
      </c>
      <c r="FI6" s="21">
        <f>IF(IF(AND(ISNA(FI$5),ISNA(FH$5)),FH6*(1+$C$11),IF(AND(FH$5&gt;0,ISNA(FI$5)),FH6*(1+$C$11),FI$5))&gt;$C$20,$C$20,IF(AND(ISNA(FI$5),ISNA(FH$5)),FH6*(1+$C$11),IF(AND(FH$5&gt;0,ISNA(FI$5)),FH6*(1+$C$11),FI$5)))</f>
        <v>27154404.400000002</v>
      </c>
      <c r="FJ6" s="21">
        <f>IF(IF(AND(ISNA(FJ$5),ISNA(FI$5)),FI6*(1+$C$11),IF(AND(FI$5&gt;0,ISNA(FJ$5)),FI6*(1+$C$11),FJ$5))&gt;$C$20,$C$20,IF(AND(ISNA(FJ$5),ISNA(FI$5)),FI6*(1+$C$11),IF(AND(FI$5&gt;0,ISNA(FJ$5)),FI6*(1+$C$11),FJ$5)))</f>
        <v>27154404.400000002</v>
      </c>
      <c r="FK6" s="21">
        <f>IF(IF(AND(ISNA(FK$5),ISNA(FJ$5)),FJ6*(1+$C$11),IF(AND(FJ$5&gt;0,ISNA(FK$5)),FJ6*(1+$C$11),FK$5))&gt;$C$20,$C$20,IF(AND(ISNA(FK$5),ISNA(FJ$5)),FJ6*(1+$C$11),IF(AND(FJ$5&gt;0,ISNA(FK$5)),FJ6*(1+$C$11),FK$5)))</f>
        <v>27154404.400000002</v>
      </c>
      <c r="FL6" s="21">
        <f>IF(IF(AND(ISNA(FL$5),ISNA(FK$5)),FK6*(1+$C$11),IF(AND(FK$5&gt;0,ISNA(FL$5)),FK6*(1+$C$11),FL$5))&gt;$C$20,$C$20,IF(AND(ISNA(FL$5),ISNA(FK$5)),FK6*(1+$C$11),IF(AND(FK$5&gt;0,ISNA(FL$5)),FK6*(1+$C$11),FL$5)))</f>
        <v>27154404.400000002</v>
      </c>
      <c r="FM6" s="21">
        <f>IF(IF(AND(ISNA(FM$5),ISNA(FL$5)),FL6*(1+$C$11),IF(AND(FL$5&gt;0,ISNA(FM$5)),FL6*(1+$C$11),FM$5))&gt;$C$20,$C$20,IF(AND(ISNA(FM$5),ISNA(FL$5)),FL6*(1+$C$11),IF(AND(FL$5&gt;0,ISNA(FM$5)),FL6*(1+$C$11),FM$5)))</f>
        <v>27154404.400000002</v>
      </c>
      <c r="FN6" s="21">
        <f>IF(IF(AND(ISNA(FN$5),ISNA(FM$5)),FM6*(1+$C$11),IF(AND(FM$5&gt;0,ISNA(FN$5)),FM6*(1+$C$11),FN$5))&gt;$C$20,$C$20,IF(AND(ISNA(FN$5),ISNA(FM$5)),FM6*(1+$C$11),IF(AND(FM$5&gt;0,ISNA(FN$5)),FM6*(1+$C$11),FN$5)))</f>
        <v>27154404.400000002</v>
      </c>
      <c r="FO6" s="21">
        <f>IF(IF(AND(ISNA(FO$5),ISNA(FN$5)),FN6*(1+$C$11),IF(AND(FN$5&gt;0,ISNA(FO$5)),FN6*(1+$C$11),FO$5))&gt;$C$20,$C$20,IF(AND(ISNA(FO$5),ISNA(FN$5)),FN6*(1+$C$11),IF(AND(FN$5&gt;0,ISNA(FO$5)),FN6*(1+$C$11),FO$5)))</f>
        <v>27154404.400000002</v>
      </c>
      <c r="FP6" s="21">
        <f>IF(IF(AND(ISNA(FP$5),ISNA(FO$5)),FO6*(1+$C$11),IF(AND(FO$5&gt;0,ISNA(FP$5)),FO6*(1+$C$11),FP$5))&gt;$C$20,$C$20,IF(AND(ISNA(FP$5),ISNA(FO$5)),FO6*(1+$C$11),IF(AND(FO$5&gt;0,ISNA(FP$5)),FO6*(1+$C$11),FP$5)))</f>
        <v>27154404.400000002</v>
      </c>
      <c r="FQ6" s="21">
        <f>IF(IF(AND(ISNA(FQ$5),ISNA(FP$5)),FP6*(1+$C$11),IF(AND(FP$5&gt;0,ISNA(FQ$5)),FP6*(1+$C$11),FQ$5))&gt;$C$20,$C$20,IF(AND(ISNA(FQ$5),ISNA(FP$5)),FP6*(1+$C$11),IF(AND(FP$5&gt;0,ISNA(FQ$5)),FP6*(1+$C$11),FQ$5)))</f>
        <v>27154404.400000002</v>
      </c>
      <c r="FR6" s="21">
        <f>IF(IF(AND(ISNA(FR$5),ISNA(FQ$5)),FQ6*(1+$C$11),IF(AND(FQ$5&gt;0,ISNA(FR$5)),FQ6*(1+$C$11),FR$5))&gt;$C$20,$C$20,IF(AND(ISNA(FR$5),ISNA(FQ$5)),FQ6*(1+$C$11),IF(AND(FQ$5&gt;0,ISNA(FR$5)),FQ6*(1+$C$11),FR$5)))</f>
        <v>27154404.400000002</v>
      </c>
      <c r="FS6" s="21">
        <f>IF(IF(AND(ISNA(FS$5),ISNA(FR$5)),FR6*(1+$C$11),IF(AND(FR$5&gt;0,ISNA(FS$5)),FR6*(1+$C$11),FS$5))&gt;$C$20,$C$20,IF(AND(ISNA(FS$5),ISNA(FR$5)),FR6*(1+$C$11),IF(AND(FR$5&gt;0,ISNA(FS$5)),FR6*(1+$C$11),FS$5)))</f>
        <v>27154404.400000002</v>
      </c>
      <c r="FT6" s="21">
        <f>IF(IF(AND(ISNA(FT$5),ISNA(FS$5)),FS6*(1+$C$11),IF(AND(FS$5&gt;0,ISNA(FT$5)),FS6*(1+$C$11),FT$5))&gt;$C$20,$C$20,IF(AND(ISNA(FT$5),ISNA(FS$5)),FS6*(1+$C$11),IF(AND(FS$5&gt;0,ISNA(FT$5)),FS6*(1+$C$11),FT$5)))</f>
        <v>27154404.400000002</v>
      </c>
      <c r="FU6" s="21">
        <f>IF(IF(AND(ISNA(FU$5),ISNA(FT$5)),FT6*(1+$C$11),IF(AND(FT$5&gt;0,ISNA(FU$5)),FT6*(1+$C$11),FU$5))&gt;$C$20,$C$20,IF(AND(ISNA(FU$5),ISNA(FT$5)),FT6*(1+$C$11),IF(AND(FT$5&gt;0,ISNA(FU$5)),FT6*(1+$C$11),FU$5)))</f>
        <v>27154404.400000002</v>
      </c>
      <c r="FV6" s="21">
        <f>IF(IF(AND(ISNA(FV$5),ISNA(FU$5)),FU6*(1+$C$11),IF(AND(FU$5&gt;0,ISNA(FV$5)),FU6*(1+$C$11),FV$5))&gt;$C$20,$C$20,IF(AND(ISNA(FV$5),ISNA(FU$5)),FU6*(1+$C$11),IF(AND(FU$5&gt;0,ISNA(FV$5)),FU6*(1+$C$11),FV$5)))</f>
        <v>27154404.400000002</v>
      </c>
      <c r="FW6" s="21">
        <f>IF(IF(AND(ISNA(FW$5),ISNA(FV$5)),FV6*(1+$C$11),IF(AND(FV$5&gt;0,ISNA(FW$5)),FV6*(1+$C$11),FW$5))&gt;$C$20,$C$20,IF(AND(ISNA(FW$5),ISNA(FV$5)),FV6*(1+$C$11),IF(AND(FV$5&gt;0,ISNA(FW$5)),FV6*(1+$C$11),FW$5)))</f>
        <v>27154404.400000002</v>
      </c>
      <c r="FX6" s="21">
        <f>IF(IF(AND(ISNA(FX$5),ISNA(FW$5)),FW6*(1+$C$11),IF(AND(FW$5&gt;0,ISNA(FX$5)),FW6*(1+$C$11),FX$5))&gt;$C$20,$C$20,IF(AND(ISNA(FX$5),ISNA(FW$5)),FW6*(1+$C$11),IF(AND(FW$5&gt;0,ISNA(FX$5)),FW6*(1+$C$11),FX$5)))</f>
        <v>27154404.400000002</v>
      </c>
      <c r="FY6" s="21">
        <f>IF(IF(AND(ISNA(FY$5),ISNA(FX$5)),FX6*(1+$C$11),IF(AND(FX$5&gt;0,ISNA(FY$5)),FX6*(1+$C$11),FY$5))&gt;$C$20,$C$20,IF(AND(ISNA(FY$5),ISNA(FX$5)),FX6*(1+$C$11),IF(AND(FX$5&gt;0,ISNA(FY$5)),FX6*(1+$C$11),FY$5)))</f>
        <v>27154404.400000002</v>
      </c>
      <c r="FZ6" s="21">
        <f>IF(IF(AND(ISNA(FZ$5),ISNA(FY$5)),FY6*(1+$C$11),IF(AND(FY$5&gt;0,ISNA(FZ$5)),FY6*(1+$C$11),FZ$5))&gt;$C$20,$C$20,IF(AND(ISNA(FZ$5),ISNA(FY$5)),FY6*(1+$C$11),IF(AND(FY$5&gt;0,ISNA(FZ$5)),FY6*(1+$C$11),FZ$5)))</f>
        <v>27154404.400000002</v>
      </c>
      <c r="GA6" s="21">
        <f>IF(IF(AND(ISNA(GA$5),ISNA(FZ$5)),FZ6*(1+$C$11),IF(AND(FZ$5&gt;0,ISNA(GA$5)),FZ6*(1+$C$11),GA$5))&gt;$C$20,$C$20,IF(AND(ISNA(GA$5),ISNA(FZ$5)),FZ6*(1+$C$11),IF(AND(FZ$5&gt;0,ISNA(GA$5)),FZ6*(1+$C$11),GA$5)))</f>
        <v>27154404.400000002</v>
      </c>
      <c r="GB6" s="21">
        <f>IF(IF(AND(ISNA(GB$5),ISNA(GA$5)),GA6*(1+$C$11),IF(AND(GA$5&gt;0,ISNA(GB$5)),GA6*(1+$C$11),GB$5))&gt;$C$20,$C$20,IF(AND(ISNA(GB$5),ISNA(GA$5)),GA6*(1+$C$11),IF(AND(GA$5&gt;0,ISNA(GB$5)),GA6*(1+$C$11),GB$5)))</f>
        <v>27154404.400000002</v>
      </c>
      <c r="GC6" s="21">
        <f>IF(IF(AND(ISNA(GC$5),ISNA(GB$5)),GB6*(1+$C$11),IF(AND(GB$5&gt;0,ISNA(GC$5)),GB6*(1+$C$11),GC$5))&gt;$C$20,$C$20,IF(AND(ISNA(GC$5),ISNA(GB$5)),GB6*(1+$C$11),IF(AND(GB$5&gt;0,ISNA(GC$5)),GB6*(1+$C$11),GC$5)))</f>
        <v>27154404.400000002</v>
      </c>
      <c r="GD6" s="21">
        <f>IF(IF(AND(ISNA(GD$5),ISNA(GC$5)),GC6*(1+$C$11),IF(AND(GC$5&gt;0,ISNA(GD$5)),GC6*(1+$C$11),GD$5))&gt;$C$20,$C$20,IF(AND(ISNA(GD$5),ISNA(GC$5)),GC6*(1+$C$11),IF(AND(GC$5&gt;0,ISNA(GD$5)),GC6*(1+$C$11),GD$5)))</f>
        <v>27154404.400000002</v>
      </c>
      <c r="GE6" s="21">
        <f>IF(IF(AND(ISNA(GE$5),ISNA(GD$5)),GD6*(1+$C$11),IF(AND(GD$5&gt;0,ISNA(GE$5)),GD6*(1+$C$11),GE$5))&gt;$C$20,$C$20,IF(AND(ISNA(GE$5),ISNA(GD$5)),GD6*(1+$C$11),IF(AND(GD$5&gt;0,ISNA(GE$5)),GD6*(1+$C$11),GE$5)))</f>
        <v>27154404.400000002</v>
      </c>
      <c r="GF6" s="21">
        <f>IF(IF(AND(ISNA(GF$5),ISNA(GE$5)),GE6*(1+$C$11),IF(AND(GE$5&gt;0,ISNA(GF$5)),GE6*(1+$C$11),GF$5))&gt;$C$20,$C$20,IF(AND(ISNA(GF$5),ISNA(GE$5)),GE6*(1+$C$11),IF(AND(GE$5&gt;0,ISNA(GF$5)),GE6*(1+$C$11),GF$5)))</f>
        <v>27154404.400000002</v>
      </c>
      <c r="GG6" s="21">
        <f>IF(IF(AND(ISNA(GG$5),ISNA(GF$5)),GF6*(1+$C$11),IF(AND(GF$5&gt;0,ISNA(GG$5)),GF6*(1+$C$11),GG$5))&gt;$C$20,$C$20,IF(AND(ISNA(GG$5),ISNA(GF$5)),GF6*(1+$C$11),IF(AND(GF$5&gt;0,ISNA(GG$5)),GF6*(1+$C$11),GG$5)))</f>
        <v>27154404.400000002</v>
      </c>
      <c r="GH6" s="21">
        <f>IF(IF(AND(ISNA(GH$5),ISNA(GG$5)),GG6*(1+$C$11),IF(AND(GG$5&gt;0,ISNA(GH$5)),GG6*(1+$C$11),GH$5))&gt;$C$20,$C$20,IF(AND(ISNA(GH$5),ISNA(GG$5)),GG6*(1+$C$11),IF(AND(GG$5&gt;0,ISNA(GH$5)),GG6*(1+$C$11),GH$5)))</f>
        <v>27154404.400000002</v>
      </c>
      <c r="GI6" s="21">
        <f>IF(IF(AND(ISNA(GI$5),ISNA(GH$5)),GH6*(1+$C$11),IF(AND(GH$5&gt;0,ISNA(GI$5)),GH6*(1+$C$11),GI$5))&gt;$C$20,$C$20,IF(AND(ISNA(GI$5),ISNA(GH$5)),GH6*(1+$C$11),IF(AND(GH$5&gt;0,ISNA(GI$5)),GH6*(1+$C$11),GI$5)))</f>
        <v>27154404.400000002</v>
      </c>
      <c r="GJ6" s="21">
        <f>IF(IF(AND(ISNA(GJ$5),ISNA(GI$5)),GI6*(1+$C$11),IF(AND(GI$5&gt;0,ISNA(GJ$5)),GI6*(1+$C$11),GJ$5))&gt;$C$20,$C$20,IF(AND(ISNA(GJ$5),ISNA(GI$5)),GI6*(1+$C$11),IF(AND(GI$5&gt;0,ISNA(GJ$5)),GI6*(1+$C$11),GJ$5)))</f>
        <v>27154404.400000002</v>
      </c>
      <c r="GK6" s="21">
        <f>IF(IF(AND(ISNA(GK$5),ISNA(GJ$5)),GJ6*(1+$C$11),IF(AND(GJ$5&gt;0,ISNA(GK$5)),GJ6*(1+$C$11),GK$5))&gt;$C$20,$C$20,IF(AND(ISNA(GK$5),ISNA(GJ$5)),GJ6*(1+$C$11),IF(AND(GJ$5&gt;0,ISNA(GK$5)),GJ6*(1+$C$11),GK$5)))</f>
        <v>27154404.400000002</v>
      </c>
      <c r="GL6" s="21">
        <f>IF(IF(AND(ISNA(GL$5),ISNA(GK$5)),GK6*(1+$C$11),IF(AND(GK$5&gt;0,ISNA(GL$5)),GK6*(1+$C$11),GL$5))&gt;$C$20,$C$20,IF(AND(ISNA(GL$5),ISNA(GK$5)),GK6*(1+$C$11),IF(AND(GK$5&gt;0,ISNA(GL$5)),GK6*(1+$C$11),GL$5)))</f>
        <v>27154404.400000002</v>
      </c>
      <c r="GM6" s="21">
        <f>IF(IF(AND(ISNA(GM$5),ISNA(GL$5)),GL6*(1+$C$11),IF(AND(GL$5&gt;0,ISNA(GM$5)),GL6*(1+$C$11),GM$5))&gt;$C$20,$C$20,IF(AND(ISNA(GM$5),ISNA(GL$5)),GL6*(1+$C$11),IF(AND(GL$5&gt;0,ISNA(GM$5)),GL6*(1+$C$11),GM$5)))</f>
        <v>27154404.400000002</v>
      </c>
      <c r="GN6" s="21">
        <f>IF(IF(AND(ISNA(GN$5),ISNA(GM$5)),GM6*(1+$C$11),IF(AND(GM$5&gt;0,ISNA(GN$5)),GM6*(1+$C$11),GN$5))&gt;$C$20,$C$20,IF(AND(ISNA(GN$5),ISNA(GM$5)),GM6*(1+$C$11),IF(AND(GM$5&gt;0,ISNA(GN$5)),GM6*(1+$C$11),GN$5)))</f>
        <v>27154404.400000002</v>
      </c>
      <c r="GO6" s="21">
        <f>IF(IF(AND(ISNA(GO$5),ISNA(GN$5)),GN6*(1+$C$11),IF(AND(GN$5&gt;0,ISNA(GO$5)),GN6*(1+$C$11),GO$5))&gt;$C$20,$C$20,IF(AND(ISNA(GO$5),ISNA(GN$5)),GN6*(1+$C$11),IF(AND(GN$5&gt;0,ISNA(GO$5)),GN6*(1+$C$11),GO$5)))</f>
        <v>27154404.400000002</v>
      </c>
      <c r="GP6" s="21">
        <f>IF(IF(AND(ISNA(GP$5),ISNA(GO$5)),GO6*(1+$C$11),IF(AND(GO$5&gt;0,ISNA(GP$5)),GO6*(1+$C$11),GP$5))&gt;$C$20,$C$20,IF(AND(ISNA(GP$5),ISNA(GO$5)),GO6*(1+$C$11),IF(AND(GO$5&gt;0,ISNA(GP$5)),GO6*(1+$C$11),GP$5)))</f>
        <v>27154404.400000002</v>
      </c>
      <c r="GQ6" s="21">
        <f>IF(IF(AND(ISNA(GQ$5),ISNA(GP$5)),GP6*(1+$C$11),IF(AND(GP$5&gt;0,ISNA(GQ$5)),GP6*(1+$C$11),GQ$5))&gt;$C$20,$C$20,IF(AND(ISNA(GQ$5),ISNA(GP$5)),GP6*(1+$C$11),IF(AND(GP$5&gt;0,ISNA(GQ$5)),GP6*(1+$C$11),GQ$5)))</f>
        <v>27154404.400000002</v>
      </c>
      <c r="GR6" s="21">
        <f>IF(IF(AND(ISNA(GR$5),ISNA(GQ$5)),GQ6*(1+$C$11),IF(AND(GQ$5&gt;0,ISNA(GR$5)),GQ6*(1+$C$11),GR$5))&gt;$C$20,$C$20,IF(AND(ISNA(GR$5),ISNA(GQ$5)),GQ6*(1+$C$11),IF(AND(GQ$5&gt;0,ISNA(GR$5)),GQ6*(1+$C$11),GR$5)))</f>
        <v>27154404.400000002</v>
      </c>
      <c r="GS6" s="21">
        <f>IF(IF(AND(ISNA(GS$5),ISNA(GR$5)),GR6*(1+$C$11),IF(AND(GR$5&gt;0,ISNA(GS$5)),GR6*(1+$C$11),GS$5))&gt;$C$20,$C$20,IF(AND(ISNA(GS$5),ISNA(GR$5)),GR6*(1+$C$11),IF(AND(GR$5&gt;0,ISNA(GS$5)),GR6*(1+$C$11),GS$5)))</f>
        <v>27154404.400000002</v>
      </c>
      <c r="GT6" s="21">
        <f>IF(IF(AND(ISNA(GT$5),ISNA(GS$5)),GS6*(1+$C$11),IF(AND(GS$5&gt;0,ISNA(GT$5)),GS6*(1+$C$11),GT$5))&gt;$C$20,$C$20,IF(AND(ISNA(GT$5),ISNA(GS$5)),GS6*(1+$C$11),IF(AND(GS$5&gt;0,ISNA(GT$5)),GS6*(1+$C$11),GT$5)))</f>
        <v>27154404.400000002</v>
      </c>
      <c r="GU6" s="21">
        <f>IF(IF(AND(ISNA(GU$5),ISNA(GT$5)),GT6*(1+$C$11),IF(AND(GT$5&gt;0,ISNA(GU$5)),GT6*(1+$C$11),GU$5))&gt;$C$20,$C$20,IF(AND(ISNA(GU$5),ISNA(GT$5)),GT6*(1+$C$11),IF(AND(GT$5&gt;0,ISNA(GU$5)),GT6*(1+$C$11),GU$5)))</f>
        <v>27154404.400000002</v>
      </c>
      <c r="GV6" s="21">
        <f>IF(IF(AND(ISNA(GV$5),ISNA(GU$5)),GU6*(1+$C$11),IF(AND(GU$5&gt;0,ISNA(GV$5)),GU6*(1+$C$11),GV$5))&gt;$C$20,$C$20,IF(AND(ISNA(GV$5),ISNA(GU$5)),GU6*(1+$C$11),IF(AND(GU$5&gt;0,ISNA(GV$5)),GU6*(1+$C$11),GV$5)))</f>
        <v>27154404.400000002</v>
      </c>
      <c r="GW6" s="21">
        <f>IF(IF(AND(ISNA(GW$5),ISNA(GV$5)),GV6*(1+$C$11),IF(AND(GV$5&gt;0,ISNA(GW$5)),GV6*(1+$C$11),GW$5))&gt;$C$20,$C$20,IF(AND(ISNA(GW$5),ISNA(GV$5)),GV6*(1+$C$11),IF(AND(GV$5&gt;0,ISNA(GW$5)),GV6*(1+$C$11),GW$5)))</f>
        <v>27154404.400000002</v>
      </c>
      <c r="GX6" s="21">
        <f>IF(IF(AND(ISNA(GX$5),ISNA(GW$5)),GW6*(1+$C$11),IF(AND(GW$5&gt;0,ISNA(GX$5)),GW6*(1+$C$11),GX$5))&gt;$C$20,$C$20,IF(AND(ISNA(GX$5),ISNA(GW$5)),GW6*(1+$C$11),IF(AND(GW$5&gt;0,ISNA(GX$5)),GW6*(1+$C$11),GX$5)))</f>
        <v>27154404.400000002</v>
      </c>
      <c r="GY6" s="21">
        <f>IF(IF(AND(ISNA(GY$5),ISNA(GX$5)),GX6*(1+$C$11),IF(AND(GX$5&gt;0,ISNA(GY$5)),GX6*(1+$C$11),GY$5))&gt;$C$20,$C$20,IF(AND(ISNA(GY$5),ISNA(GX$5)),GX6*(1+$C$11),IF(AND(GX$5&gt;0,ISNA(GY$5)),GX6*(1+$C$11),GY$5)))</f>
        <v>27154404.400000002</v>
      </c>
      <c r="GZ6" s="21">
        <f>IF(IF(AND(ISNA(GZ$5),ISNA(GY$5)),GY6*(1+$C$11),IF(AND(GY$5&gt;0,ISNA(GZ$5)),GY6*(1+$C$11),GZ$5))&gt;$C$20,$C$20,IF(AND(ISNA(GZ$5),ISNA(GY$5)),GY6*(1+$C$11),IF(AND(GY$5&gt;0,ISNA(GZ$5)),GY6*(1+$C$11),GZ$5)))</f>
        <v>27154404.400000002</v>
      </c>
      <c r="HA6" s="21">
        <f>IF(IF(AND(ISNA(HA$5),ISNA(GZ$5)),GZ6*(1+$C$11),IF(AND(GZ$5&gt;0,ISNA(HA$5)),GZ6*(1+$C$11),HA$5))&gt;$C$20,$C$20,IF(AND(ISNA(HA$5),ISNA(GZ$5)),GZ6*(1+$C$11),IF(AND(GZ$5&gt;0,ISNA(HA$5)),GZ6*(1+$C$11),HA$5)))</f>
        <v>27154404.400000002</v>
      </c>
      <c r="HB6" s="21">
        <f>IF(IF(AND(ISNA(HB$5),ISNA(HA$5)),HA6*(1+$C$11),IF(AND(HA$5&gt;0,ISNA(HB$5)),HA6*(1+$C$11),HB$5))&gt;$C$20,$C$20,IF(AND(ISNA(HB$5),ISNA(HA$5)),HA6*(1+$C$11),IF(AND(HA$5&gt;0,ISNA(HB$5)),HA6*(1+$C$11),HB$5)))</f>
        <v>27154404.400000002</v>
      </c>
      <c r="HC6" s="21">
        <f>IF(IF(AND(ISNA(HC$5),ISNA(HB$5)),HB6*(1+$C$11),IF(AND(HB$5&gt;0,ISNA(HC$5)),HB6*(1+$C$11),HC$5))&gt;$C$20,$C$20,IF(AND(ISNA(HC$5),ISNA(HB$5)),HB6*(1+$C$11),IF(AND(HB$5&gt;0,ISNA(HC$5)),HB6*(1+$C$11),HC$5)))</f>
        <v>27154404.400000002</v>
      </c>
      <c r="HD6" s="21">
        <f>IF(IF(AND(ISNA(HD$5),ISNA(HC$5)),HC6*(1+$C$11),IF(AND(HC$5&gt;0,ISNA(HD$5)),HC6*(1+$C$11),HD$5))&gt;$C$20,$C$20,IF(AND(ISNA(HD$5),ISNA(HC$5)),HC6*(1+$C$11),IF(AND(HC$5&gt;0,ISNA(HD$5)),HC6*(1+$C$11),HD$5)))</f>
        <v>27154404.400000002</v>
      </c>
      <c r="HE6" s="21">
        <f>IF(IF(AND(ISNA(HE$5),ISNA(HD$5)),HD6*(1+$C$11),IF(AND(HD$5&gt;0,ISNA(HE$5)),HD6*(1+$C$11),HE$5))&gt;$C$20,$C$20,IF(AND(ISNA(HE$5),ISNA(HD$5)),HD6*(1+$C$11),IF(AND(HD$5&gt;0,ISNA(HE$5)),HD6*(1+$C$11),HE$5)))</f>
        <v>27154404.400000002</v>
      </c>
      <c r="HF6" s="21">
        <f>IF(IF(AND(ISNA(HF$5),ISNA(HE$5)),HE6*(1+$C$11),IF(AND(HE$5&gt;0,ISNA(HF$5)),HE6*(1+$C$11),HF$5))&gt;$C$20,$C$20,IF(AND(ISNA(HF$5),ISNA(HE$5)),HE6*(1+$C$11),IF(AND(HE$5&gt;0,ISNA(HF$5)),HE6*(1+$C$11),HF$5)))</f>
        <v>27154404.400000002</v>
      </c>
      <c r="HG6" s="21">
        <f>IF(IF(AND(ISNA(HG$5),ISNA(HF$5)),HF6*(1+$C$11),IF(AND(HF$5&gt;0,ISNA(HG$5)),HF6*(1+$C$11),HG$5))&gt;$C$20,$C$20,IF(AND(ISNA(HG$5),ISNA(HF$5)),HF6*(1+$C$11),IF(AND(HF$5&gt;0,ISNA(HG$5)),HF6*(1+$C$11),HG$5)))</f>
        <v>27154404.400000002</v>
      </c>
      <c r="HH6" s="21">
        <f>IF(IF(AND(ISNA(HH$5),ISNA(HG$5)),HG6*(1+$C$11),IF(AND(HG$5&gt;0,ISNA(HH$5)),HG6*(1+$C$11),HH$5))&gt;$C$20,$C$20,IF(AND(ISNA(HH$5),ISNA(HG$5)),HG6*(1+$C$11),IF(AND(HG$5&gt;0,ISNA(HH$5)),HG6*(1+$C$11),HH$5)))</f>
        <v>27154404.400000002</v>
      </c>
      <c r="HI6" s="21">
        <f>IF(IF(AND(ISNA(HI$5),ISNA(HH$5)),HH6*(1+$C$11),IF(AND(HH$5&gt;0,ISNA(HI$5)),HH6*(1+$C$11),HI$5))&gt;$C$20,$C$20,IF(AND(ISNA(HI$5),ISNA(HH$5)),HH6*(1+$C$11),IF(AND(HH$5&gt;0,ISNA(HI$5)),HH6*(1+$C$11),HI$5)))</f>
        <v>27154404.400000002</v>
      </c>
      <c r="HJ6" s="21">
        <f>IF(IF(AND(ISNA(HJ$5),ISNA(HI$5)),HI6*(1+$C$11),IF(AND(HI$5&gt;0,ISNA(HJ$5)),HI6*(1+$C$11),HJ$5))&gt;$C$20,$C$20,IF(AND(ISNA(HJ$5),ISNA(HI$5)),HI6*(1+$C$11),IF(AND(HI$5&gt;0,ISNA(HJ$5)),HI6*(1+$C$11),HJ$5)))</f>
        <v>27154404.400000002</v>
      </c>
      <c r="HK6" s="21">
        <f>IF(IF(AND(ISNA(HK$5),ISNA(HJ$5)),HJ6*(1+$C$11),IF(AND(HJ$5&gt;0,ISNA(HK$5)),HJ6*(1+$C$11),HK$5))&gt;$C$20,$C$20,IF(AND(ISNA(HK$5),ISNA(HJ$5)),HJ6*(1+$C$11),IF(AND(HJ$5&gt;0,ISNA(HK$5)),HJ6*(1+$C$11),HK$5)))</f>
        <v>27154404.400000002</v>
      </c>
      <c r="HL6" s="21">
        <f>IF(IF(AND(ISNA(HL$5),ISNA(HK$5)),HK6*(1+$C$11),IF(AND(HK$5&gt;0,ISNA(HL$5)),HK6*(1+$C$11),HL$5))&gt;$C$20,$C$20,IF(AND(ISNA(HL$5),ISNA(HK$5)),HK6*(1+$C$11),IF(AND(HK$5&gt;0,ISNA(HL$5)),HK6*(1+$C$11),HL$5)))</f>
        <v>27154404.400000002</v>
      </c>
      <c r="HM6" s="21">
        <f>IF(IF(AND(ISNA(HM$5),ISNA(HL$5)),HL6*(1+$C$11),IF(AND(HL$5&gt;0,ISNA(HM$5)),HL6*(1+$C$11),HM$5))&gt;$C$20,$C$20,IF(AND(ISNA(HM$5),ISNA(HL$5)),HL6*(1+$C$11),IF(AND(HL$5&gt;0,ISNA(HM$5)),HL6*(1+$C$11),HM$5)))</f>
        <v>27154404.400000002</v>
      </c>
      <c r="HN6" s="21">
        <f>IF(IF(AND(ISNA(HN$5),ISNA(HM$5)),HM6*(1+$C$11),IF(AND(HM$5&gt;0,ISNA(HN$5)),HM6*(1+$C$11),HN$5))&gt;$C$20,$C$20,IF(AND(ISNA(HN$5),ISNA(HM$5)),HM6*(1+$C$11),IF(AND(HM$5&gt;0,ISNA(HN$5)),HM6*(1+$C$11),HN$5)))</f>
        <v>27154404.400000002</v>
      </c>
      <c r="HO6" s="21">
        <f>IF(IF(AND(ISNA(HO$5),ISNA(HN$5)),HN6*(1+$C$11),IF(AND(HN$5&gt;0,ISNA(HO$5)),HN6*(1+$C$11),HO$5))&gt;$C$20,$C$20,IF(AND(ISNA(HO$5),ISNA(HN$5)),HN6*(1+$C$11),IF(AND(HN$5&gt;0,ISNA(HO$5)),HN6*(1+$C$11),HO$5)))</f>
        <v>27154404.400000002</v>
      </c>
      <c r="HP6" s="21">
        <f>IF(IF(AND(ISNA(HP$5),ISNA(HO$5)),HO6*(1+$C$11),IF(AND(HO$5&gt;0,ISNA(HP$5)),HO6*(1+$C$11),HP$5))&gt;$C$20,$C$20,IF(AND(ISNA(HP$5),ISNA(HO$5)),HO6*(1+$C$11),IF(AND(HO$5&gt;0,ISNA(HP$5)),HO6*(1+$C$11),HP$5)))</f>
        <v>27154404.400000002</v>
      </c>
      <c r="HQ6" s="21">
        <f>IF(IF(AND(ISNA(HQ$5),ISNA(HP$5)),HP6*(1+$C$11),IF(AND(HP$5&gt;0,ISNA(HQ$5)),HP6*(1+$C$11),HQ$5))&gt;$C$20,$C$20,IF(AND(ISNA(HQ$5),ISNA(HP$5)),HP6*(1+$C$11),IF(AND(HP$5&gt;0,ISNA(HQ$5)),HP6*(1+$C$11),HQ$5)))</f>
        <v>27154404.400000002</v>
      </c>
      <c r="HR6" s="21">
        <f>IF(IF(AND(ISNA(HR$5),ISNA(HQ$5)),HQ6*(1+$C$11),IF(AND(HQ$5&gt;0,ISNA(HR$5)),HQ6*(1+$C$11),HR$5))&gt;$C$20,$C$20,IF(AND(ISNA(HR$5),ISNA(HQ$5)),HQ6*(1+$C$11),IF(AND(HQ$5&gt;0,ISNA(HR$5)),HQ6*(1+$C$11),HR$5)))</f>
        <v>27154404.400000002</v>
      </c>
      <c r="HS6" s="21">
        <f>IF(IF(AND(ISNA(HS$5),ISNA(HR$5)),HR6*(1+$C$11),IF(AND(HR$5&gt;0,ISNA(HS$5)),HR6*(1+$C$11),HS$5))&gt;$C$20,$C$20,IF(AND(ISNA(HS$5),ISNA(HR$5)),HR6*(1+$C$11),IF(AND(HR$5&gt;0,ISNA(HS$5)),HR6*(1+$C$11),HS$5)))</f>
        <v>27154404.400000002</v>
      </c>
      <c r="HT6" s="21">
        <f>IF(IF(AND(ISNA(HT$5),ISNA(HS$5)),HS6*(1+$C$11),IF(AND(HS$5&gt;0,ISNA(HT$5)),HS6*(1+$C$11),HT$5))&gt;$C$20,$C$20,IF(AND(ISNA(HT$5),ISNA(HS$5)),HS6*(1+$C$11),IF(AND(HS$5&gt;0,ISNA(HT$5)),HS6*(1+$C$11),HT$5)))</f>
        <v>27154404.400000002</v>
      </c>
      <c r="HU6" s="21">
        <f>IF(IF(AND(ISNA(HU$5),ISNA(HT$5)),HT6*(1+$C$11),IF(AND(HT$5&gt;0,ISNA(HU$5)),HT6*(1+$C$11),HU$5))&gt;$C$20,$C$20,IF(AND(ISNA(HU$5),ISNA(HT$5)),HT6*(1+$C$11),IF(AND(HT$5&gt;0,ISNA(HU$5)),HT6*(1+$C$11),HU$5)))</f>
        <v>27154404.400000002</v>
      </c>
      <c r="HV6" s="21">
        <f>IF(IF(AND(ISNA(HV$5),ISNA(HU$5)),HU6*(1+$C$11),IF(AND(HU$5&gt;0,ISNA(HV$5)),HU6*(1+$C$11),HV$5))&gt;$C$20,$C$20,IF(AND(ISNA(HV$5),ISNA(HU$5)),HU6*(1+$C$11),IF(AND(HU$5&gt;0,ISNA(HV$5)),HU6*(1+$C$11),HV$5)))</f>
        <v>27154404.400000002</v>
      </c>
      <c r="HW6" s="21">
        <f>IF(IF(AND(ISNA(HW$5),ISNA(HV$5)),HV6*(1+$C$11),IF(AND(HV$5&gt;0,ISNA(HW$5)),HV6*(1+$C$11),HW$5))&gt;$C$20,$C$20,IF(AND(ISNA(HW$5),ISNA(HV$5)),HV6*(1+$C$11),IF(AND(HV$5&gt;0,ISNA(HW$5)),HV6*(1+$C$11),HW$5)))</f>
        <v>27154404.400000002</v>
      </c>
      <c r="HX6" s="21">
        <f>IF(IF(AND(ISNA(HX$5),ISNA(HW$5)),HW6*(1+$C$11),IF(AND(HW$5&gt;0,ISNA(HX$5)),HW6*(1+$C$11),HX$5))&gt;$C$20,$C$20,IF(AND(ISNA(HX$5),ISNA(HW$5)),HW6*(1+$C$11),IF(AND(HW$5&gt;0,ISNA(HX$5)),HW6*(1+$C$11),HX$5)))</f>
        <v>27154404.400000002</v>
      </c>
      <c r="HY6" s="21">
        <f>IF(IF(AND(ISNA(HY$5),ISNA(HX$5)),HX6*(1+$C$11),IF(AND(HX$5&gt;0,ISNA(HY$5)),HX6*(1+$C$11),HY$5))&gt;$C$20,$C$20,IF(AND(ISNA(HY$5),ISNA(HX$5)),HX6*(1+$C$11),IF(AND(HX$5&gt;0,ISNA(HY$5)),HX6*(1+$C$11),HY$5)))</f>
        <v>27154404.400000002</v>
      </c>
      <c r="HZ6" s="21">
        <f>IF(IF(AND(ISNA(HZ$5),ISNA(HY$5)),HY6*(1+$C$11),IF(AND(HY$5&gt;0,ISNA(HZ$5)),HY6*(1+$C$11),HZ$5))&gt;$C$20,$C$20,IF(AND(ISNA(HZ$5),ISNA(HY$5)),HY6*(1+$C$11),IF(AND(HY$5&gt;0,ISNA(HZ$5)),HY6*(1+$C$11),HZ$5)))</f>
        <v>27154404.400000002</v>
      </c>
      <c r="IA6" s="21">
        <f>IF(IF(AND(ISNA(IA$5),ISNA(HZ$5)),HZ6*(1+$C$11),IF(AND(HZ$5&gt;0,ISNA(IA$5)),HZ6*(1+$C$11),IA$5))&gt;$C$20,$C$20,IF(AND(ISNA(IA$5),ISNA(HZ$5)),HZ6*(1+$C$11),IF(AND(HZ$5&gt;0,ISNA(IA$5)),HZ6*(1+$C$11),IA$5)))</f>
        <v>27154404.400000002</v>
      </c>
      <c r="IB6" s="21">
        <f>IF(IF(AND(ISNA(IB$5),ISNA(IA$5)),IA6*(1+$C$11),IF(AND(IA$5&gt;0,ISNA(IB$5)),IA6*(1+$C$11),IB$5))&gt;$C$20,$C$20,IF(AND(ISNA(IB$5),ISNA(IA$5)),IA6*(1+$C$11),IF(AND(IA$5&gt;0,ISNA(IB$5)),IA6*(1+$C$11),IB$5)))</f>
        <v>27154404.400000002</v>
      </c>
      <c r="IC6" s="21">
        <f>IF(IF(AND(ISNA(IC$5),ISNA(IB$5)),IB6*(1+$C$11),IF(AND(IB$5&gt;0,ISNA(IC$5)),IB6*(1+$C$11),IC$5))&gt;$C$20,$C$20,IF(AND(ISNA(IC$5),ISNA(IB$5)),IB6*(1+$C$11),IF(AND(IB$5&gt;0,ISNA(IC$5)),IB6*(1+$C$11),IC$5)))</f>
        <v>27154404.400000002</v>
      </c>
      <c r="ID6" s="21">
        <f>IF(IF(AND(ISNA(ID$5),ISNA(IC$5)),IC6*(1+$C$11),IF(AND(IC$5&gt;0,ISNA(ID$5)),IC6*(1+$C$11),ID$5))&gt;$C$20,$C$20,IF(AND(ISNA(ID$5),ISNA(IC$5)),IC6*(1+$C$11),IF(AND(IC$5&gt;0,ISNA(ID$5)),IC6*(1+$C$11),ID$5)))</f>
        <v>27154404.400000002</v>
      </c>
      <c r="IE6" s="21">
        <f>IF(IF(AND(ISNA(IE$5),ISNA(ID$5)),ID6*(1+$C$11),IF(AND(ID$5&gt;0,ISNA(IE$5)),ID6*(1+$C$11),IE$5))&gt;$C$20,$C$20,IF(AND(ISNA(IE$5),ISNA(ID$5)),ID6*(1+$C$11),IF(AND(ID$5&gt;0,ISNA(IE$5)),ID6*(1+$C$11),IE$5)))</f>
        <v>27154404.400000002</v>
      </c>
      <c r="IF6" s="21">
        <f>IF(IF(AND(ISNA(IF$5),ISNA(IE$5)),IE6*(1+$C$11),IF(AND(IE$5&gt;0,ISNA(IF$5)),IE6*(1+$C$11),IF$5))&gt;$C$20,$C$20,IF(AND(ISNA(IF$5),ISNA(IE$5)),IE6*(1+$C$11),IF(AND(IE$5&gt;0,ISNA(IF$5)),IE6*(1+$C$11),IF$5)))</f>
        <v>27154404.400000002</v>
      </c>
      <c r="IG6" s="21">
        <f>IF(IF(AND(ISNA(IG$5),ISNA(IF$5)),IF6*(1+$C$11),IF(AND(IF$5&gt;0,ISNA(IG$5)),IF6*(1+$C$11),IG$5))&gt;$C$20,$C$20,IF(AND(ISNA(IG$5),ISNA(IF$5)),IF6*(1+$C$11),IF(AND(IF$5&gt;0,ISNA(IG$5)),IF6*(1+$C$11),IG$5)))</f>
        <v>27154404.400000002</v>
      </c>
      <c r="IH6" s="21">
        <f>IF(IF(AND(ISNA(IH$5),ISNA(IG$5)),IG6*(1+$C$11),IF(AND(IG$5&gt;0,ISNA(IH$5)),IG6*(1+$C$11),IH$5))&gt;$C$20,$C$20,IF(AND(ISNA(IH$5),ISNA(IG$5)),IG6*(1+$C$11),IF(AND(IG$5&gt;0,ISNA(IH$5)),IG6*(1+$C$11),IH$5)))</f>
        <v>27154404.400000002</v>
      </c>
      <c r="II6" s="21">
        <f>IF(IF(AND(ISNA(II$5),ISNA(IH$5)),IH6*(1+$C$11),IF(AND(IH$5&gt;0,ISNA(II$5)),IH6*(1+$C$11),II$5))&gt;$C$20,$C$20,IF(AND(ISNA(II$5),ISNA(IH$5)),IH6*(1+$C$11),IF(AND(IH$5&gt;0,ISNA(II$5)),IH6*(1+$C$11),II$5)))</f>
        <v>27154404.400000002</v>
      </c>
      <c r="IJ6" s="21">
        <f>IF(IF(AND(ISNA(IJ$5),ISNA(II$5)),II6*(1+$C$11),IF(AND(II$5&gt;0,ISNA(IJ$5)),II6*(1+$C$11),IJ$5))&gt;$C$20,$C$20,IF(AND(ISNA(IJ$5),ISNA(II$5)),II6*(1+$C$11),IF(AND(II$5&gt;0,ISNA(IJ$5)),II6*(1+$C$11),IJ$5)))</f>
        <v>27154404.400000002</v>
      </c>
      <c r="IK6" s="21">
        <f>IF(IF(AND(ISNA(IK$5),ISNA(IJ$5)),IJ6*(1+$C$11),IF(AND(IJ$5&gt;0,ISNA(IK$5)),IJ6*(1+$C$11),IK$5))&gt;$C$20,$C$20,IF(AND(ISNA(IK$5),ISNA(IJ$5)),IJ6*(1+$C$11),IF(AND(IJ$5&gt;0,ISNA(IK$5)),IJ6*(1+$C$11),IK$5)))</f>
        <v>27154404.400000002</v>
      </c>
      <c r="IL6" s="21">
        <f>IF(IF(AND(ISNA(IL$5),ISNA(IK$5)),IK6*(1+$C$11),IF(AND(IK$5&gt;0,ISNA(IL$5)),IK6*(1+$C$11),IL$5))&gt;$C$20,$C$20,IF(AND(ISNA(IL$5),ISNA(IK$5)),IK6*(1+$C$11),IF(AND(IK$5&gt;0,ISNA(IL$5)),IK6*(1+$C$11),IL$5)))</f>
        <v>27154404.400000002</v>
      </c>
      <c r="IM6" s="21">
        <f>IF(IF(AND(ISNA(IM$5),ISNA(IL$5)),IL6*(1+$C$11),IF(AND(IL$5&gt;0,ISNA(IM$5)),IL6*(1+$C$11),IM$5))&gt;$C$20,$C$20,IF(AND(ISNA(IM$5),ISNA(IL$5)),IL6*(1+$C$11),IF(AND(IL$5&gt;0,ISNA(IM$5)),IL6*(1+$C$11),IM$5)))</f>
        <v>27154404.400000002</v>
      </c>
      <c r="IN6" s="21">
        <f>IF(IF(AND(ISNA(IN$5),ISNA(IM$5)),IM6*(1+$C$11),IF(AND(IM$5&gt;0,ISNA(IN$5)),IM6*(1+$C$11),IN$5))&gt;$C$20,$C$20,IF(AND(ISNA(IN$5),ISNA(IM$5)),IM6*(1+$C$11),IF(AND(IM$5&gt;0,ISNA(IN$5)),IM6*(1+$C$11),IN$5)))</f>
        <v>27154404.400000002</v>
      </c>
    </row>
    <row r="7" spans="2:248" x14ac:dyDescent="0.3">
      <c r="B7" s="19" t="s">
        <v>640</v>
      </c>
      <c r="C7" s="21">
        <f>VLOOKUP(B2,'Country Summary'!C:G,5,FALSE)</f>
        <v>65</v>
      </c>
      <c r="F7" s="19" t="s">
        <v>612</v>
      </c>
      <c r="G7" s="21">
        <f t="shared" ref="G7:R7" si="13">G6</f>
        <v>116</v>
      </c>
      <c r="H7" s="21">
        <f t="shared" si="13"/>
        <v>164</v>
      </c>
      <c r="I7" s="21">
        <f t="shared" si="13"/>
        <v>207</v>
      </c>
      <c r="J7" s="21">
        <f t="shared" si="13"/>
        <v>274</v>
      </c>
      <c r="K7" s="21">
        <f t="shared" si="13"/>
        <v>322</v>
      </c>
      <c r="L7" s="21">
        <f t="shared" si="13"/>
        <v>384</v>
      </c>
      <c r="M7" s="21">
        <f t="shared" si="13"/>
        <v>459</v>
      </c>
      <c r="N7" s="21">
        <f t="shared" si="13"/>
        <v>590</v>
      </c>
      <c r="O7" s="21">
        <f t="shared" si="13"/>
        <v>803</v>
      </c>
      <c r="P7" s="21">
        <f t="shared" si="13"/>
        <v>1145</v>
      </c>
      <c r="Q7" s="21">
        <f t="shared" si="13"/>
        <v>1355</v>
      </c>
      <c r="R7" s="21">
        <f t="shared" si="13"/>
        <v>1552</v>
      </c>
      <c r="S7" s="21">
        <f>S6-G6</f>
        <v>1844</v>
      </c>
      <c r="T7" s="21">
        <f t="shared" ref="T7:CE7" si="14">T6-H6</f>
        <v>2462</v>
      </c>
      <c r="U7" s="21">
        <f t="shared" si="14"/>
        <v>3121.2087423831099</v>
      </c>
      <c r="V7" s="21">
        <f t="shared" si="14"/>
        <v>3944.1924725344106</v>
      </c>
      <c r="W7" s="21">
        <f t="shared" si="14"/>
        <v>5024.1633907630048</v>
      </c>
      <c r="X7" s="21">
        <f t="shared" si="14"/>
        <v>6391.7607522261851</v>
      </c>
      <c r="Y7" s="21">
        <f t="shared" si="14"/>
        <v>8128.6413449564152</v>
      </c>
      <c r="Z7" s="21">
        <f t="shared" si="14"/>
        <v>10294.030084057345</v>
      </c>
      <c r="AA7" s="21">
        <f t="shared" si="14"/>
        <v>12991.487463107551</v>
      </c>
      <c r="AB7" s="21">
        <f t="shared" si="14"/>
        <v>16338.219257962206</v>
      </c>
      <c r="AC7" s="21">
        <f t="shared" si="14"/>
        <v>20803.340890841799</v>
      </c>
      <c r="AD7" s="21">
        <f t="shared" si="14"/>
        <v>26531.619143033062</v>
      </c>
      <c r="AE7" s="21">
        <f t="shared" si="14"/>
        <v>33633.353674638347</v>
      </c>
      <c r="AF7" s="21">
        <f t="shared" si="14"/>
        <v>42485.237955318102</v>
      </c>
      <c r="AG7" s="21">
        <f t="shared" si="14"/>
        <v>53846.054982908005</v>
      </c>
      <c r="AH7" s="21">
        <f t="shared" si="14"/>
        <v>68244.825185436421</v>
      </c>
      <c r="AI7" s="21">
        <f t="shared" si="14"/>
        <v>86493.916147972792</v>
      </c>
      <c r="AJ7" s="21">
        <f t="shared" si="14"/>
        <v>109622.92760344048</v>
      </c>
      <c r="AK7" s="21">
        <f t="shared" si="14"/>
        <v>138936.78066085352</v>
      </c>
      <c r="AL7" s="21">
        <f t="shared" si="14"/>
        <v>176089.34045469051</v>
      </c>
      <c r="AM7" s="21">
        <f t="shared" si="14"/>
        <v>223176.72594888677</v>
      </c>
      <c r="AN7" s="21">
        <f t="shared" si="14"/>
        <v>282855.57136310911</v>
      </c>
      <c r="AO7" s="21">
        <f t="shared" si="14"/>
        <v>358492.91144039197</v>
      </c>
      <c r="AP7" s="21">
        <f t="shared" si="14"/>
        <v>454356.14696812129</v>
      </c>
      <c r="AQ7" s="21">
        <f t="shared" si="14"/>
        <v>575853.80826154095</v>
      </c>
      <c r="AR7" s="21">
        <f t="shared" si="14"/>
        <v>729840.700301092</v>
      </c>
      <c r="AS7" s="21">
        <f t="shared" si="14"/>
        <v>925004.6455784865</v>
      </c>
      <c r="AT7" s="21">
        <f t="shared" si="14"/>
        <v>1172356.644386637</v>
      </c>
      <c r="AU7" s="21">
        <f t="shared" si="14"/>
        <v>1485852.1070215276</v>
      </c>
      <c r="AV7" s="21">
        <f t="shared" si="14"/>
        <v>1883178.2073409797</v>
      </c>
      <c r="AW7" s="21">
        <f t="shared" si="14"/>
        <v>2386751.7795649664</v>
      </c>
      <c r="AX7" s="21">
        <f t="shared" si="14"/>
        <v>3024984.0588905429</v>
      </c>
      <c r="AY7" s="21">
        <f t="shared" si="14"/>
        <v>3833883.6216180692</v>
      </c>
      <c r="AZ7" s="21">
        <f t="shared" si="14"/>
        <v>4859087.9614427555</v>
      </c>
      <c r="BA7" s="21">
        <f t="shared" si="14"/>
        <v>6158438.3218896808</v>
      </c>
      <c r="BB7" s="21">
        <f t="shared" si="14"/>
        <v>7805243.0549658816</v>
      </c>
      <c r="BC7" s="21">
        <f t="shared" si="14"/>
        <v>9892413.6222248673</v>
      </c>
      <c r="BD7" s="21">
        <f t="shared" si="14"/>
        <v>12537706.588255357</v>
      </c>
      <c r="BE7" s="21">
        <f t="shared" si="14"/>
        <v>15890367.355851408</v>
      </c>
      <c r="BF7" s="21">
        <f t="shared" si="14"/>
        <v>20139550.47731296</v>
      </c>
      <c r="BG7" s="21">
        <f t="shared" si="14"/>
        <v>25524991.6093903</v>
      </c>
      <c r="BH7" s="21">
        <f t="shared" si="14"/>
        <v>25154827.504303355</v>
      </c>
      <c r="BI7" s="21">
        <f t="shared" si="14"/>
        <v>24620128.198429227</v>
      </c>
      <c r="BJ7" s="21">
        <f t="shared" si="14"/>
        <v>23942446.970570713</v>
      </c>
      <c r="BK7" s="21">
        <f t="shared" si="14"/>
        <v>23083549.564969938</v>
      </c>
      <c r="BL7" s="21">
        <f t="shared" si="14"/>
        <v>21994977.647936177</v>
      </c>
      <c r="BM7" s="21">
        <f t="shared" si="14"/>
        <v>20615314.825779088</v>
      </c>
      <c r="BN7" s="21">
        <f t="shared" si="14"/>
        <v>18866721.578922965</v>
      </c>
      <c r="BO7" s="21">
        <f t="shared" si="14"/>
        <v>16650543.615838956</v>
      </c>
      <c r="BP7" s="21">
        <f t="shared" si="14"/>
        <v>13841745.873488234</v>
      </c>
      <c r="BQ7" s="21">
        <f t="shared" si="14"/>
        <v>10281858.134844817</v>
      </c>
      <c r="BR7" s="21">
        <f t="shared" si="14"/>
        <v>5770034.2606424354</v>
      </c>
      <c r="BS7" s="21">
        <f t="shared" si="14"/>
        <v>51720.604049440473</v>
      </c>
      <c r="BT7" s="21">
        <f t="shared" si="14"/>
        <v>0</v>
      </c>
      <c r="BU7" s="21">
        <f t="shared" si="14"/>
        <v>0</v>
      </c>
      <c r="BV7" s="21">
        <f t="shared" si="14"/>
        <v>0</v>
      </c>
      <c r="BW7" s="21">
        <f t="shared" si="14"/>
        <v>0</v>
      </c>
      <c r="BX7" s="21">
        <f t="shared" si="14"/>
        <v>0</v>
      </c>
      <c r="BY7" s="21">
        <f t="shared" si="14"/>
        <v>0</v>
      </c>
      <c r="BZ7" s="21">
        <f t="shared" si="14"/>
        <v>0</v>
      </c>
      <c r="CA7" s="21">
        <f t="shared" si="14"/>
        <v>0</v>
      </c>
      <c r="CB7" s="21">
        <f t="shared" si="14"/>
        <v>0</v>
      </c>
      <c r="CC7" s="21">
        <f t="shared" si="14"/>
        <v>0</v>
      </c>
      <c r="CD7" s="21">
        <f t="shared" si="14"/>
        <v>0</v>
      </c>
      <c r="CE7" s="21">
        <f t="shared" si="14"/>
        <v>0</v>
      </c>
      <c r="CF7" s="21">
        <f t="shared" ref="CF7:EQ7" si="15">CF6-BT6</f>
        <v>0</v>
      </c>
      <c r="CG7" s="21">
        <f t="shared" si="15"/>
        <v>0</v>
      </c>
      <c r="CH7" s="21">
        <f t="shared" si="15"/>
        <v>0</v>
      </c>
      <c r="CI7" s="21">
        <f t="shared" si="15"/>
        <v>0</v>
      </c>
      <c r="CJ7" s="21">
        <f t="shared" si="15"/>
        <v>0</v>
      </c>
      <c r="CK7" s="21">
        <f t="shared" si="15"/>
        <v>0</v>
      </c>
      <c r="CL7" s="21">
        <f t="shared" si="15"/>
        <v>0</v>
      </c>
      <c r="CM7" s="21">
        <f t="shared" si="15"/>
        <v>0</v>
      </c>
      <c r="CN7" s="21">
        <f t="shared" si="15"/>
        <v>0</v>
      </c>
      <c r="CO7" s="21">
        <f t="shared" si="15"/>
        <v>0</v>
      </c>
      <c r="CP7" s="21">
        <f t="shared" si="15"/>
        <v>0</v>
      </c>
      <c r="CQ7" s="21">
        <f t="shared" si="15"/>
        <v>0</v>
      </c>
      <c r="CR7" s="21">
        <f t="shared" si="15"/>
        <v>0</v>
      </c>
      <c r="CS7" s="21">
        <f t="shared" si="15"/>
        <v>0</v>
      </c>
      <c r="CT7" s="21">
        <f t="shared" si="15"/>
        <v>0</v>
      </c>
      <c r="CU7" s="21">
        <f t="shared" si="15"/>
        <v>0</v>
      </c>
      <c r="CV7" s="21">
        <f t="shared" si="15"/>
        <v>0</v>
      </c>
      <c r="CW7" s="21">
        <f t="shared" si="15"/>
        <v>0</v>
      </c>
      <c r="CX7" s="21">
        <f t="shared" si="15"/>
        <v>0</v>
      </c>
      <c r="CY7" s="21">
        <f t="shared" si="15"/>
        <v>0</v>
      </c>
      <c r="CZ7" s="21">
        <f t="shared" si="15"/>
        <v>0</v>
      </c>
      <c r="DA7" s="21">
        <f t="shared" si="15"/>
        <v>0</v>
      </c>
      <c r="DB7" s="21">
        <f t="shared" si="15"/>
        <v>0</v>
      </c>
      <c r="DC7" s="21">
        <f t="shared" si="15"/>
        <v>0</v>
      </c>
      <c r="DD7" s="21">
        <f t="shared" si="15"/>
        <v>0</v>
      </c>
      <c r="DE7" s="21">
        <f t="shared" si="15"/>
        <v>0</v>
      </c>
      <c r="DF7" s="21">
        <f t="shared" si="15"/>
        <v>0</v>
      </c>
      <c r="DG7" s="21">
        <f t="shared" si="15"/>
        <v>0</v>
      </c>
      <c r="DH7" s="21">
        <f t="shared" si="15"/>
        <v>0</v>
      </c>
      <c r="DI7" s="21">
        <f t="shared" si="15"/>
        <v>0</v>
      </c>
      <c r="DJ7" s="21">
        <f t="shared" si="15"/>
        <v>0</v>
      </c>
      <c r="DK7" s="21">
        <f t="shared" si="15"/>
        <v>0</v>
      </c>
      <c r="DL7" s="21">
        <f t="shared" si="15"/>
        <v>0</v>
      </c>
      <c r="DM7" s="21">
        <f t="shared" si="15"/>
        <v>0</v>
      </c>
      <c r="DN7" s="21">
        <f t="shared" si="15"/>
        <v>0</v>
      </c>
      <c r="DO7" s="21">
        <f t="shared" si="15"/>
        <v>0</v>
      </c>
      <c r="DP7" s="21">
        <f t="shared" si="15"/>
        <v>0</v>
      </c>
      <c r="DQ7" s="21">
        <f t="shared" si="15"/>
        <v>0</v>
      </c>
      <c r="DR7" s="21">
        <f t="shared" si="15"/>
        <v>0</v>
      </c>
      <c r="DS7" s="21">
        <f t="shared" si="15"/>
        <v>0</v>
      </c>
      <c r="DT7" s="21">
        <f t="shared" si="15"/>
        <v>0</v>
      </c>
      <c r="DU7" s="21">
        <f t="shared" si="15"/>
        <v>0</v>
      </c>
      <c r="DV7" s="21">
        <f t="shared" si="15"/>
        <v>0</v>
      </c>
      <c r="DW7" s="21">
        <f t="shared" si="15"/>
        <v>0</v>
      </c>
      <c r="DX7" s="21">
        <f t="shared" si="15"/>
        <v>0</v>
      </c>
      <c r="DY7" s="21">
        <f t="shared" si="15"/>
        <v>0</v>
      </c>
      <c r="DZ7" s="21">
        <f t="shared" si="15"/>
        <v>0</v>
      </c>
      <c r="EA7" s="21">
        <f t="shared" si="15"/>
        <v>0</v>
      </c>
      <c r="EB7" s="21">
        <f t="shared" si="15"/>
        <v>0</v>
      </c>
      <c r="EC7" s="21">
        <f t="shared" si="15"/>
        <v>0</v>
      </c>
      <c r="ED7" s="21">
        <f t="shared" si="15"/>
        <v>0</v>
      </c>
      <c r="EE7" s="21">
        <f t="shared" si="15"/>
        <v>0</v>
      </c>
      <c r="EF7" s="21">
        <f t="shared" si="15"/>
        <v>0</v>
      </c>
      <c r="EG7" s="21">
        <f t="shared" si="15"/>
        <v>0</v>
      </c>
      <c r="EH7" s="21">
        <f t="shared" si="15"/>
        <v>0</v>
      </c>
      <c r="EI7" s="21">
        <f t="shared" si="15"/>
        <v>0</v>
      </c>
      <c r="EJ7" s="21">
        <f t="shared" si="15"/>
        <v>0</v>
      </c>
      <c r="EK7" s="21">
        <f t="shared" si="15"/>
        <v>0</v>
      </c>
      <c r="EL7" s="21">
        <f t="shared" si="15"/>
        <v>0</v>
      </c>
      <c r="EM7" s="21">
        <f t="shared" si="15"/>
        <v>0</v>
      </c>
      <c r="EN7" s="21">
        <f t="shared" si="15"/>
        <v>0</v>
      </c>
      <c r="EO7" s="21">
        <f t="shared" si="15"/>
        <v>0</v>
      </c>
      <c r="EP7" s="21">
        <f t="shared" si="15"/>
        <v>0</v>
      </c>
      <c r="EQ7" s="21">
        <f t="shared" si="15"/>
        <v>0</v>
      </c>
      <c r="ER7" s="21">
        <f t="shared" ref="ER7:HC7" si="16">ER6-EF6</f>
        <v>0</v>
      </c>
      <c r="ES7" s="21">
        <f t="shared" si="16"/>
        <v>0</v>
      </c>
      <c r="ET7" s="21">
        <f t="shared" si="16"/>
        <v>0</v>
      </c>
      <c r="EU7" s="21">
        <f t="shared" si="16"/>
        <v>0</v>
      </c>
      <c r="EV7" s="21">
        <f t="shared" si="16"/>
        <v>0</v>
      </c>
      <c r="EW7" s="21">
        <f t="shared" si="16"/>
        <v>0</v>
      </c>
      <c r="EX7" s="21">
        <f t="shared" si="16"/>
        <v>0</v>
      </c>
      <c r="EY7" s="21">
        <f t="shared" si="16"/>
        <v>0</v>
      </c>
      <c r="EZ7" s="21">
        <f t="shared" si="16"/>
        <v>0</v>
      </c>
      <c r="FA7" s="21">
        <f t="shared" si="16"/>
        <v>0</v>
      </c>
      <c r="FB7" s="21">
        <f t="shared" si="16"/>
        <v>0</v>
      </c>
      <c r="FC7" s="21">
        <f t="shared" si="16"/>
        <v>0</v>
      </c>
      <c r="FD7" s="21">
        <f t="shared" si="16"/>
        <v>0</v>
      </c>
      <c r="FE7" s="21">
        <f t="shared" si="16"/>
        <v>0</v>
      </c>
      <c r="FF7" s="21">
        <f t="shared" si="16"/>
        <v>0</v>
      </c>
      <c r="FG7" s="21">
        <f t="shared" si="16"/>
        <v>0</v>
      </c>
      <c r="FH7" s="21">
        <f t="shared" si="16"/>
        <v>0</v>
      </c>
      <c r="FI7" s="21">
        <f t="shared" si="16"/>
        <v>0</v>
      </c>
      <c r="FJ7" s="21">
        <f t="shared" si="16"/>
        <v>0</v>
      </c>
      <c r="FK7" s="21">
        <f t="shared" si="16"/>
        <v>0</v>
      </c>
      <c r="FL7" s="21">
        <f t="shared" si="16"/>
        <v>0</v>
      </c>
      <c r="FM7" s="21">
        <f t="shared" si="16"/>
        <v>0</v>
      </c>
      <c r="FN7" s="21">
        <f t="shared" si="16"/>
        <v>0</v>
      </c>
      <c r="FO7" s="21">
        <f t="shared" si="16"/>
        <v>0</v>
      </c>
      <c r="FP7" s="21">
        <f t="shared" si="16"/>
        <v>0</v>
      </c>
      <c r="FQ7" s="21">
        <f t="shared" si="16"/>
        <v>0</v>
      </c>
      <c r="FR7" s="21">
        <f t="shared" si="16"/>
        <v>0</v>
      </c>
      <c r="FS7" s="21">
        <f t="shared" si="16"/>
        <v>0</v>
      </c>
      <c r="FT7" s="21">
        <f t="shared" si="16"/>
        <v>0</v>
      </c>
      <c r="FU7" s="21">
        <f t="shared" si="16"/>
        <v>0</v>
      </c>
      <c r="FV7" s="21">
        <f t="shared" si="16"/>
        <v>0</v>
      </c>
      <c r="FW7" s="21">
        <f t="shared" si="16"/>
        <v>0</v>
      </c>
      <c r="FX7" s="21">
        <f t="shared" si="16"/>
        <v>0</v>
      </c>
      <c r="FY7" s="21">
        <f t="shared" si="16"/>
        <v>0</v>
      </c>
      <c r="FZ7" s="21">
        <f t="shared" si="16"/>
        <v>0</v>
      </c>
      <c r="GA7" s="21">
        <f t="shared" si="16"/>
        <v>0</v>
      </c>
      <c r="GB7" s="21">
        <f t="shared" si="16"/>
        <v>0</v>
      </c>
      <c r="GC7" s="21">
        <f t="shared" si="16"/>
        <v>0</v>
      </c>
      <c r="GD7" s="21">
        <f t="shared" si="16"/>
        <v>0</v>
      </c>
      <c r="GE7" s="21">
        <f t="shared" si="16"/>
        <v>0</v>
      </c>
      <c r="GF7" s="21">
        <f t="shared" si="16"/>
        <v>0</v>
      </c>
      <c r="GG7" s="21">
        <f t="shared" si="16"/>
        <v>0</v>
      </c>
      <c r="GH7" s="21">
        <f t="shared" si="16"/>
        <v>0</v>
      </c>
      <c r="GI7" s="21">
        <f t="shared" si="16"/>
        <v>0</v>
      </c>
      <c r="GJ7" s="21">
        <f t="shared" si="16"/>
        <v>0</v>
      </c>
      <c r="GK7" s="21">
        <f t="shared" si="16"/>
        <v>0</v>
      </c>
      <c r="GL7" s="21">
        <f t="shared" si="16"/>
        <v>0</v>
      </c>
      <c r="GM7" s="21">
        <f t="shared" si="16"/>
        <v>0</v>
      </c>
      <c r="GN7" s="21">
        <f t="shared" si="16"/>
        <v>0</v>
      </c>
      <c r="GO7" s="21">
        <f t="shared" si="16"/>
        <v>0</v>
      </c>
      <c r="GP7" s="21">
        <f t="shared" si="16"/>
        <v>0</v>
      </c>
      <c r="GQ7" s="21">
        <f t="shared" si="16"/>
        <v>0</v>
      </c>
      <c r="GR7" s="21">
        <f t="shared" si="16"/>
        <v>0</v>
      </c>
      <c r="GS7" s="21">
        <f t="shared" si="16"/>
        <v>0</v>
      </c>
      <c r="GT7" s="21">
        <f t="shared" si="16"/>
        <v>0</v>
      </c>
      <c r="GU7" s="21">
        <f t="shared" si="16"/>
        <v>0</v>
      </c>
      <c r="GV7" s="21">
        <f t="shared" si="16"/>
        <v>0</v>
      </c>
      <c r="GW7" s="21">
        <f t="shared" si="16"/>
        <v>0</v>
      </c>
      <c r="GX7" s="21">
        <f t="shared" si="16"/>
        <v>0</v>
      </c>
      <c r="GY7" s="21">
        <f t="shared" si="16"/>
        <v>0</v>
      </c>
      <c r="GZ7" s="21">
        <f t="shared" si="16"/>
        <v>0</v>
      </c>
      <c r="HA7" s="21">
        <f t="shared" si="16"/>
        <v>0</v>
      </c>
      <c r="HB7" s="21">
        <f t="shared" si="16"/>
        <v>0</v>
      </c>
      <c r="HC7" s="21">
        <f t="shared" si="16"/>
        <v>0</v>
      </c>
      <c r="HD7" s="21">
        <f t="shared" ref="HD7:IN7" si="17">HD6-GR6</f>
        <v>0</v>
      </c>
      <c r="HE7" s="21">
        <f t="shared" si="17"/>
        <v>0</v>
      </c>
      <c r="HF7" s="21">
        <f t="shared" si="17"/>
        <v>0</v>
      </c>
      <c r="HG7" s="21">
        <f t="shared" si="17"/>
        <v>0</v>
      </c>
      <c r="HH7" s="21">
        <f t="shared" si="17"/>
        <v>0</v>
      </c>
      <c r="HI7" s="21">
        <f t="shared" si="17"/>
        <v>0</v>
      </c>
      <c r="HJ7" s="21">
        <f t="shared" si="17"/>
        <v>0</v>
      </c>
      <c r="HK7" s="21">
        <f t="shared" si="17"/>
        <v>0</v>
      </c>
      <c r="HL7" s="21">
        <f t="shared" si="17"/>
        <v>0</v>
      </c>
      <c r="HM7" s="21">
        <f t="shared" si="17"/>
        <v>0</v>
      </c>
      <c r="HN7" s="21">
        <f t="shared" si="17"/>
        <v>0</v>
      </c>
      <c r="HO7" s="21">
        <f t="shared" si="17"/>
        <v>0</v>
      </c>
      <c r="HP7" s="21">
        <f t="shared" si="17"/>
        <v>0</v>
      </c>
      <c r="HQ7" s="21">
        <f t="shared" si="17"/>
        <v>0</v>
      </c>
      <c r="HR7" s="21">
        <f t="shared" si="17"/>
        <v>0</v>
      </c>
      <c r="HS7" s="21">
        <f t="shared" si="17"/>
        <v>0</v>
      </c>
      <c r="HT7" s="21">
        <f t="shared" si="17"/>
        <v>0</v>
      </c>
      <c r="HU7" s="21">
        <f t="shared" si="17"/>
        <v>0</v>
      </c>
      <c r="HV7" s="21">
        <f t="shared" si="17"/>
        <v>0</v>
      </c>
      <c r="HW7" s="21">
        <f t="shared" si="17"/>
        <v>0</v>
      </c>
      <c r="HX7" s="21">
        <f t="shared" si="17"/>
        <v>0</v>
      </c>
      <c r="HY7" s="21">
        <f t="shared" si="17"/>
        <v>0</v>
      </c>
      <c r="HZ7" s="21">
        <f t="shared" si="17"/>
        <v>0</v>
      </c>
      <c r="IA7" s="21">
        <f t="shared" si="17"/>
        <v>0</v>
      </c>
      <c r="IB7" s="21">
        <f t="shared" si="17"/>
        <v>0</v>
      </c>
      <c r="IC7" s="21">
        <f t="shared" si="17"/>
        <v>0</v>
      </c>
      <c r="ID7" s="21">
        <f t="shared" si="17"/>
        <v>0</v>
      </c>
      <c r="IE7" s="21">
        <f t="shared" si="17"/>
        <v>0</v>
      </c>
      <c r="IF7" s="21">
        <f t="shared" si="17"/>
        <v>0</v>
      </c>
      <c r="IG7" s="21">
        <f t="shared" si="17"/>
        <v>0</v>
      </c>
      <c r="IH7" s="21">
        <f t="shared" si="17"/>
        <v>0</v>
      </c>
      <c r="II7" s="21">
        <f t="shared" si="17"/>
        <v>0</v>
      </c>
      <c r="IJ7" s="21">
        <f t="shared" si="17"/>
        <v>0</v>
      </c>
      <c r="IK7" s="21">
        <f t="shared" si="17"/>
        <v>0</v>
      </c>
      <c r="IL7" s="21">
        <f t="shared" si="17"/>
        <v>0</v>
      </c>
      <c r="IM7" s="21">
        <f t="shared" si="17"/>
        <v>0</v>
      </c>
      <c r="IN7" s="21">
        <f t="shared" si="17"/>
        <v>0</v>
      </c>
    </row>
    <row r="8" spans="2:248" x14ac:dyDescent="0.3">
      <c r="B8" s="19" t="s">
        <v>641</v>
      </c>
      <c r="C8" s="21">
        <f>VLOOKUP(B2,'Country Summary'!C:H,6,FALSE)</f>
        <v>104</v>
      </c>
      <c r="G8" s="21">
        <f>IF(G5="#N/A","#N/A",G7)</f>
        <v>116</v>
      </c>
      <c r="H8" s="21">
        <f t="shared" ref="H8:BS8" si="18">IF(H5="#N/A","#N/A",H7)</f>
        <v>164</v>
      </c>
      <c r="I8" s="21">
        <f t="shared" si="18"/>
        <v>207</v>
      </c>
      <c r="J8" s="21">
        <f t="shared" si="18"/>
        <v>274</v>
      </c>
      <c r="K8" s="21">
        <f t="shared" si="18"/>
        <v>322</v>
      </c>
      <c r="L8" s="21">
        <f t="shared" si="18"/>
        <v>384</v>
      </c>
      <c r="M8" s="21">
        <f t="shared" si="18"/>
        <v>459</v>
      </c>
      <c r="N8" s="21">
        <f t="shared" si="18"/>
        <v>590</v>
      </c>
      <c r="O8" s="21">
        <f t="shared" si="18"/>
        <v>803</v>
      </c>
      <c r="P8" s="21">
        <f t="shared" si="18"/>
        <v>1145</v>
      </c>
      <c r="Q8" s="21">
        <f t="shared" si="18"/>
        <v>1355</v>
      </c>
      <c r="R8" s="21">
        <f t="shared" si="18"/>
        <v>1552</v>
      </c>
      <c r="S8" s="21">
        <f t="shared" si="18"/>
        <v>1844</v>
      </c>
      <c r="T8" s="21">
        <f t="shared" si="18"/>
        <v>2462</v>
      </c>
      <c r="U8" s="21" t="e">
        <f t="shared" si="18"/>
        <v>#N/A</v>
      </c>
      <c r="V8" s="21" t="e">
        <f t="shared" si="18"/>
        <v>#N/A</v>
      </c>
      <c r="W8" s="21" t="e">
        <f t="shared" si="18"/>
        <v>#N/A</v>
      </c>
      <c r="X8" s="21" t="e">
        <f t="shared" si="18"/>
        <v>#N/A</v>
      </c>
      <c r="Y8" s="21" t="e">
        <f t="shared" si="18"/>
        <v>#N/A</v>
      </c>
      <c r="Z8" s="21" t="e">
        <f t="shared" si="18"/>
        <v>#N/A</v>
      </c>
      <c r="AA8" s="21" t="e">
        <f t="shared" si="18"/>
        <v>#N/A</v>
      </c>
      <c r="AB8" s="21" t="e">
        <f t="shared" si="18"/>
        <v>#N/A</v>
      </c>
      <c r="AC8" s="21" t="e">
        <f t="shared" si="18"/>
        <v>#N/A</v>
      </c>
      <c r="AD8" s="21" t="e">
        <f t="shared" si="18"/>
        <v>#N/A</v>
      </c>
      <c r="AE8" s="21" t="e">
        <f t="shared" si="18"/>
        <v>#N/A</v>
      </c>
      <c r="AF8" s="21" t="e">
        <f t="shared" si="18"/>
        <v>#N/A</v>
      </c>
      <c r="AG8" s="21" t="e">
        <f t="shared" si="18"/>
        <v>#N/A</v>
      </c>
      <c r="AH8" s="21" t="e">
        <f t="shared" si="18"/>
        <v>#N/A</v>
      </c>
      <c r="AI8" s="21" t="e">
        <f t="shared" si="18"/>
        <v>#N/A</v>
      </c>
      <c r="AJ8" s="21" t="e">
        <f t="shared" si="18"/>
        <v>#N/A</v>
      </c>
      <c r="AK8" s="21" t="e">
        <f t="shared" si="18"/>
        <v>#N/A</v>
      </c>
      <c r="AL8" s="21" t="e">
        <f t="shared" si="18"/>
        <v>#N/A</v>
      </c>
      <c r="AM8" s="21" t="e">
        <f t="shared" si="18"/>
        <v>#N/A</v>
      </c>
      <c r="AN8" s="21" t="e">
        <f t="shared" si="18"/>
        <v>#N/A</v>
      </c>
      <c r="AO8" s="21" t="e">
        <f t="shared" si="18"/>
        <v>#N/A</v>
      </c>
      <c r="AP8" s="21" t="e">
        <f t="shared" si="18"/>
        <v>#N/A</v>
      </c>
      <c r="AQ8" s="21" t="e">
        <f t="shared" si="18"/>
        <v>#N/A</v>
      </c>
      <c r="AR8" s="21" t="e">
        <f t="shared" si="18"/>
        <v>#N/A</v>
      </c>
      <c r="AS8" s="21" t="e">
        <f t="shared" si="18"/>
        <v>#N/A</v>
      </c>
      <c r="AT8" s="21" t="e">
        <f t="shared" si="18"/>
        <v>#N/A</v>
      </c>
      <c r="AU8" s="21" t="e">
        <f t="shared" si="18"/>
        <v>#N/A</v>
      </c>
      <c r="AV8" s="21" t="e">
        <f t="shared" si="18"/>
        <v>#N/A</v>
      </c>
      <c r="AW8" s="21" t="e">
        <f t="shared" si="18"/>
        <v>#N/A</v>
      </c>
      <c r="AX8" s="21" t="e">
        <f t="shared" si="18"/>
        <v>#N/A</v>
      </c>
      <c r="AY8" s="21" t="e">
        <f t="shared" si="18"/>
        <v>#N/A</v>
      </c>
      <c r="AZ8" s="21" t="e">
        <f t="shared" si="18"/>
        <v>#N/A</v>
      </c>
      <c r="BA8" s="21" t="e">
        <f t="shared" si="18"/>
        <v>#N/A</v>
      </c>
      <c r="BB8" s="21" t="e">
        <f t="shared" si="18"/>
        <v>#N/A</v>
      </c>
      <c r="BC8" s="21" t="e">
        <f t="shared" si="18"/>
        <v>#N/A</v>
      </c>
      <c r="BD8" s="21" t="e">
        <f t="shared" si="18"/>
        <v>#N/A</v>
      </c>
      <c r="BE8" s="21" t="e">
        <f t="shared" si="18"/>
        <v>#N/A</v>
      </c>
      <c r="BF8" s="21" t="e">
        <f t="shared" si="18"/>
        <v>#N/A</v>
      </c>
      <c r="BG8" s="21" t="e">
        <f t="shared" si="18"/>
        <v>#N/A</v>
      </c>
      <c r="BH8" s="21" t="e">
        <f t="shared" si="18"/>
        <v>#N/A</v>
      </c>
      <c r="BI8" s="21" t="e">
        <f t="shared" si="18"/>
        <v>#N/A</v>
      </c>
      <c r="BJ8" s="21" t="e">
        <f t="shared" si="18"/>
        <v>#N/A</v>
      </c>
      <c r="BK8" s="21" t="e">
        <f t="shared" si="18"/>
        <v>#N/A</v>
      </c>
      <c r="BL8" s="21" t="e">
        <f t="shared" si="18"/>
        <v>#N/A</v>
      </c>
      <c r="BM8" s="21" t="e">
        <f t="shared" si="18"/>
        <v>#N/A</v>
      </c>
      <c r="BN8" s="21" t="e">
        <f t="shared" si="18"/>
        <v>#N/A</v>
      </c>
      <c r="BO8" s="21" t="e">
        <f t="shared" si="18"/>
        <v>#N/A</v>
      </c>
      <c r="BP8" s="21" t="e">
        <f t="shared" si="18"/>
        <v>#N/A</v>
      </c>
      <c r="BQ8" s="21" t="e">
        <f t="shared" si="18"/>
        <v>#N/A</v>
      </c>
      <c r="BR8" s="21" t="e">
        <f t="shared" si="18"/>
        <v>#N/A</v>
      </c>
      <c r="BS8" s="21" t="e">
        <f t="shared" si="18"/>
        <v>#N/A</v>
      </c>
      <c r="BT8" s="21" t="e">
        <f t="shared" ref="BT8:DC8" si="19">IF(BT5="#N/A","#N/A",BT7)</f>
        <v>#N/A</v>
      </c>
      <c r="BU8" s="21" t="e">
        <f t="shared" si="19"/>
        <v>#N/A</v>
      </c>
      <c r="BV8" s="21" t="e">
        <f t="shared" si="19"/>
        <v>#N/A</v>
      </c>
      <c r="BW8" s="21" t="e">
        <f t="shared" si="19"/>
        <v>#N/A</v>
      </c>
      <c r="BX8" s="21" t="e">
        <f t="shared" si="19"/>
        <v>#N/A</v>
      </c>
      <c r="BY8" s="21" t="e">
        <f t="shared" si="19"/>
        <v>#N/A</v>
      </c>
      <c r="BZ8" s="21" t="e">
        <f t="shared" si="19"/>
        <v>#N/A</v>
      </c>
      <c r="CA8" s="21" t="e">
        <f t="shared" si="19"/>
        <v>#N/A</v>
      </c>
      <c r="CB8" s="21" t="e">
        <f t="shared" si="19"/>
        <v>#N/A</v>
      </c>
      <c r="CC8" s="21" t="e">
        <f t="shared" si="19"/>
        <v>#N/A</v>
      </c>
      <c r="CD8" s="21" t="e">
        <f t="shared" si="19"/>
        <v>#N/A</v>
      </c>
      <c r="CE8" s="21" t="e">
        <f t="shared" si="19"/>
        <v>#N/A</v>
      </c>
      <c r="CF8" s="21" t="e">
        <f t="shared" si="19"/>
        <v>#N/A</v>
      </c>
      <c r="CG8" s="21" t="e">
        <f t="shared" si="19"/>
        <v>#N/A</v>
      </c>
      <c r="CH8" s="21" t="e">
        <f t="shared" si="19"/>
        <v>#N/A</v>
      </c>
      <c r="CI8" s="21" t="e">
        <f t="shared" si="19"/>
        <v>#N/A</v>
      </c>
      <c r="CJ8" s="21" t="e">
        <f t="shared" si="19"/>
        <v>#N/A</v>
      </c>
      <c r="CK8" s="21" t="e">
        <f t="shared" si="19"/>
        <v>#N/A</v>
      </c>
      <c r="CL8" s="21" t="e">
        <f t="shared" si="19"/>
        <v>#N/A</v>
      </c>
      <c r="CM8" s="21" t="e">
        <f t="shared" si="19"/>
        <v>#N/A</v>
      </c>
      <c r="CN8" s="21" t="e">
        <f t="shared" si="19"/>
        <v>#N/A</v>
      </c>
      <c r="CO8" s="21" t="e">
        <f t="shared" si="19"/>
        <v>#N/A</v>
      </c>
      <c r="CP8" s="21" t="e">
        <f t="shared" si="19"/>
        <v>#N/A</v>
      </c>
      <c r="CQ8" s="21" t="e">
        <f t="shared" si="19"/>
        <v>#N/A</v>
      </c>
      <c r="CR8" s="21" t="e">
        <f t="shared" si="19"/>
        <v>#N/A</v>
      </c>
      <c r="CS8" s="21" t="e">
        <f t="shared" si="19"/>
        <v>#N/A</v>
      </c>
      <c r="CT8" s="21" t="e">
        <f t="shared" si="19"/>
        <v>#N/A</v>
      </c>
      <c r="CU8" s="21" t="e">
        <f t="shared" si="19"/>
        <v>#N/A</v>
      </c>
      <c r="CV8" s="21" t="e">
        <f t="shared" si="19"/>
        <v>#N/A</v>
      </c>
      <c r="CW8" s="21" t="e">
        <f t="shared" si="19"/>
        <v>#N/A</v>
      </c>
      <c r="CX8" s="21" t="e">
        <f t="shared" si="19"/>
        <v>#N/A</v>
      </c>
      <c r="CY8" s="21" t="e">
        <f t="shared" si="19"/>
        <v>#N/A</v>
      </c>
      <c r="CZ8" s="21" t="e">
        <f t="shared" si="19"/>
        <v>#N/A</v>
      </c>
      <c r="DA8" s="21" t="e">
        <f t="shared" si="19"/>
        <v>#N/A</v>
      </c>
      <c r="DB8" s="21" t="e">
        <f t="shared" si="19"/>
        <v>#N/A</v>
      </c>
      <c r="DC8" s="21" t="e">
        <f t="shared" si="19"/>
        <v>#N/A</v>
      </c>
      <c r="DD8" s="21" t="e">
        <f t="shared" ref="DD8:EI8" si="20">IF(DD5="#N/A","#N/A",DD7)</f>
        <v>#N/A</v>
      </c>
      <c r="DE8" s="21" t="e">
        <f t="shared" si="20"/>
        <v>#N/A</v>
      </c>
      <c r="DF8" s="21" t="e">
        <f t="shared" si="20"/>
        <v>#N/A</v>
      </c>
      <c r="DG8" s="21" t="e">
        <f t="shared" si="20"/>
        <v>#N/A</v>
      </c>
      <c r="DH8" s="21" t="e">
        <f t="shared" si="20"/>
        <v>#N/A</v>
      </c>
      <c r="DI8" s="21" t="e">
        <f t="shared" si="20"/>
        <v>#N/A</v>
      </c>
      <c r="DJ8" s="21" t="e">
        <f t="shared" si="20"/>
        <v>#N/A</v>
      </c>
      <c r="DK8" s="21" t="e">
        <f t="shared" si="20"/>
        <v>#N/A</v>
      </c>
      <c r="DL8" s="21" t="e">
        <f t="shared" si="20"/>
        <v>#N/A</v>
      </c>
      <c r="DM8" s="21" t="e">
        <f t="shared" si="20"/>
        <v>#N/A</v>
      </c>
      <c r="DN8" s="21" t="e">
        <f t="shared" si="20"/>
        <v>#N/A</v>
      </c>
      <c r="DO8" s="21" t="e">
        <f t="shared" si="20"/>
        <v>#N/A</v>
      </c>
      <c r="DP8" s="21" t="e">
        <f t="shared" si="20"/>
        <v>#N/A</v>
      </c>
      <c r="DQ8" s="21" t="e">
        <f t="shared" si="20"/>
        <v>#N/A</v>
      </c>
      <c r="DR8" s="21" t="e">
        <f t="shared" si="20"/>
        <v>#N/A</v>
      </c>
      <c r="DS8" s="21" t="e">
        <f t="shared" si="20"/>
        <v>#N/A</v>
      </c>
      <c r="DT8" s="21" t="e">
        <f t="shared" si="20"/>
        <v>#N/A</v>
      </c>
      <c r="DU8" s="21" t="e">
        <f t="shared" si="20"/>
        <v>#N/A</v>
      </c>
      <c r="DV8" s="21" t="e">
        <f t="shared" si="20"/>
        <v>#N/A</v>
      </c>
      <c r="DW8" s="21" t="e">
        <f t="shared" si="20"/>
        <v>#N/A</v>
      </c>
      <c r="DX8" s="21" t="e">
        <f t="shared" si="20"/>
        <v>#N/A</v>
      </c>
      <c r="DY8" s="21" t="e">
        <f t="shared" si="20"/>
        <v>#N/A</v>
      </c>
      <c r="DZ8" s="21" t="e">
        <f t="shared" si="20"/>
        <v>#N/A</v>
      </c>
      <c r="EA8" s="21" t="e">
        <f t="shared" si="20"/>
        <v>#N/A</v>
      </c>
      <c r="EB8" s="21" t="e">
        <f t="shared" si="20"/>
        <v>#N/A</v>
      </c>
      <c r="EC8" s="21" t="e">
        <f t="shared" si="20"/>
        <v>#N/A</v>
      </c>
      <c r="ED8" s="21" t="e">
        <f t="shared" si="20"/>
        <v>#N/A</v>
      </c>
      <c r="EE8" s="21" t="e">
        <f t="shared" si="20"/>
        <v>#N/A</v>
      </c>
      <c r="EF8" s="21" t="e">
        <f t="shared" si="20"/>
        <v>#N/A</v>
      </c>
      <c r="EG8" s="21" t="e">
        <f t="shared" si="20"/>
        <v>#N/A</v>
      </c>
      <c r="EH8" s="21" t="e">
        <f t="shared" si="20"/>
        <v>#N/A</v>
      </c>
      <c r="EI8" s="21" t="e">
        <f t="shared" si="20"/>
        <v>#N/A</v>
      </c>
      <c r="EJ8" s="21" t="e">
        <f t="shared" ref="EJ8:FO8" si="21">IF(EJ5="#N/A","#N/A",EJ7)</f>
        <v>#N/A</v>
      </c>
      <c r="EK8" s="21" t="e">
        <f t="shared" si="21"/>
        <v>#N/A</v>
      </c>
      <c r="EL8" s="21" t="e">
        <f t="shared" si="21"/>
        <v>#N/A</v>
      </c>
      <c r="EM8" s="21" t="e">
        <f t="shared" si="21"/>
        <v>#N/A</v>
      </c>
      <c r="EN8" s="21" t="e">
        <f t="shared" si="21"/>
        <v>#N/A</v>
      </c>
      <c r="EO8" s="21" t="e">
        <f t="shared" si="21"/>
        <v>#N/A</v>
      </c>
      <c r="EP8" s="21" t="e">
        <f t="shared" si="21"/>
        <v>#N/A</v>
      </c>
      <c r="EQ8" s="21" t="e">
        <f t="shared" si="21"/>
        <v>#N/A</v>
      </c>
      <c r="ER8" s="21" t="e">
        <f t="shared" si="21"/>
        <v>#N/A</v>
      </c>
      <c r="ES8" s="21" t="e">
        <f t="shared" si="21"/>
        <v>#N/A</v>
      </c>
      <c r="ET8" s="21" t="e">
        <f t="shared" si="21"/>
        <v>#N/A</v>
      </c>
      <c r="EU8" s="21" t="e">
        <f t="shared" si="21"/>
        <v>#N/A</v>
      </c>
      <c r="EV8" s="21" t="e">
        <f t="shared" si="21"/>
        <v>#N/A</v>
      </c>
      <c r="EW8" s="21" t="e">
        <f t="shared" si="21"/>
        <v>#N/A</v>
      </c>
      <c r="EX8" s="21" t="e">
        <f t="shared" si="21"/>
        <v>#N/A</v>
      </c>
      <c r="EY8" s="21" t="e">
        <f t="shared" si="21"/>
        <v>#N/A</v>
      </c>
      <c r="EZ8" s="21" t="e">
        <f t="shared" si="21"/>
        <v>#N/A</v>
      </c>
      <c r="FA8" s="21" t="e">
        <f t="shared" si="21"/>
        <v>#N/A</v>
      </c>
      <c r="FB8" s="21" t="e">
        <f t="shared" si="21"/>
        <v>#N/A</v>
      </c>
      <c r="FC8" s="21" t="e">
        <f t="shared" si="21"/>
        <v>#N/A</v>
      </c>
      <c r="FD8" s="21" t="e">
        <f t="shared" si="21"/>
        <v>#N/A</v>
      </c>
      <c r="FE8" s="21" t="e">
        <f t="shared" si="21"/>
        <v>#N/A</v>
      </c>
      <c r="FF8" s="21" t="e">
        <f t="shared" si="21"/>
        <v>#N/A</v>
      </c>
      <c r="FG8" s="21" t="e">
        <f t="shared" si="21"/>
        <v>#N/A</v>
      </c>
      <c r="FH8" s="21" t="e">
        <f t="shared" si="21"/>
        <v>#N/A</v>
      </c>
      <c r="FI8" s="21" t="e">
        <f t="shared" si="21"/>
        <v>#N/A</v>
      </c>
      <c r="FJ8" s="21" t="e">
        <f t="shared" si="21"/>
        <v>#N/A</v>
      </c>
      <c r="FK8" s="21" t="e">
        <f t="shared" si="21"/>
        <v>#N/A</v>
      </c>
      <c r="FL8" s="21" t="e">
        <f t="shared" si="21"/>
        <v>#N/A</v>
      </c>
      <c r="FM8" s="21" t="e">
        <f t="shared" si="21"/>
        <v>#N/A</v>
      </c>
      <c r="FN8" s="21" t="e">
        <f t="shared" si="21"/>
        <v>#N/A</v>
      </c>
      <c r="FO8" s="21" t="e">
        <f t="shared" si="21"/>
        <v>#N/A</v>
      </c>
      <c r="FP8" s="21" t="e">
        <f t="shared" ref="FP8:GU8" si="22">IF(FP5="#N/A","#N/A",FP7)</f>
        <v>#N/A</v>
      </c>
      <c r="FQ8" s="21" t="e">
        <f t="shared" si="22"/>
        <v>#N/A</v>
      </c>
      <c r="FR8" s="21" t="e">
        <f t="shared" si="22"/>
        <v>#N/A</v>
      </c>
      <c r="FS8" s="21" t="e">
        <f t="shared" si="22"/>
        <v>#N/A</v>
      </c>
      <c r="FT8" s="21" t="e">
        <f t="shared" si="22"/>
        <v>#N/A</v>
      </c>
      <c r="FU8" s="21" t="e">
        <f t="shared" si="22"/>
        <v>#N/A</v>
      </c>
      <c r="FV8" s="21" t="e">
        <f t="shared" si="22"/>
        <v>#N/A</v>
      </c>
      <c r="FW8" s="21" t="e">
        <f t="shared" si="22"/>
        <v>#N/A</v>
      </c>
      <c r="FX8" s="21" t="e">
        <f t="shared" si="22"/>
        <v>#N/A</v>
      </c>
      <c r="FY8" s="21" t="e">
        <f t="shared" si="22"/>
        <v>#N/A</v>
      </c>
      <c r="FZ8" s="21" t="e">
        <f t="shared" si="22"/>
        <v>#N/A</v>
      </c>
      <c r="GA8" s="21" t="e">
        <f t="shared" si="22"/>
        <v>#N/A</v>
      </c>
      <c r="GB8" s="21" t="e">
        <f t="shared" si="22"/>
        <v>#N/A</v>
      </c>
      <c r="GC8" s="21" t="e">
        <f t="shared" si="22"/>
        <v>#N/A</v>
      </c>
      <c r="GD8" s="21" t="e">
        <f t="shared" si="22"/>
        <v>#N/A</v>
      </c>
      <c r="GE8" s="21" t="e">
        <f t="shared" si="22"/>
        <v>#N/A</v>
      </c>
      <c r="GF8" s="21" t="e">
        <f t="shared" si="22"/>
        <v>#N/A</v>
      </c>
      <c r="GG8" s="21" t="e">
        <f t="shared" si="22"/>
        <v>#N/A</v>
      </c>
      <c r="GH8" s="21" t="e">
        <f t="shared" si="22"/>
        <v>#N/A</v>
      </c>
      <c r="GI8" s="21" t="e">
        <f t="shared" si="22"/>
        <v>#N/A</v>
      </c>
      <c r="GJ8" s="21" t="e">
        <f t="shared" si="22"/>
        <v>#N/A</v>
      </c>
      <c r="GK8" s="21" t="e">
        <f t="shared" si="22"/>
        <v>#N/A</v>
      </c>
      <c r="GL8" s="21" t="e">
        <f t="shared" si="22"/>
        <v>#N/A</v>
      </c>
      <c r="GM8" s="21" t="e">
        <f t="shared" si="22"/>
        <v>#N/A</v>
      </c>
      <c r="GN8" s="21" t="e">
        <f t="shared" si="22"/>
        <v>#N/A</v>
      </c>
      <c r="GO8" s="21" t="e">
        <f t="shared" si="22"/>
        <v>#N/A</v>
      </c>
      <c r="GP8" s="21" t="e">
        <f t="shared" si="22"/>
        <v>#N/A</v>
      </c>
      <c r="GQ8" s="21" t="e">
        <f t="shared" si="22"/>
        <v>#N/A</v>
      </c>
      <c r="GR8" s="21" t="e">
        <f t="shared" si="22"/>
        <v>#N/A</v>
      </c>
      <c r="GS8" s="21" t="e">
        <f t="shared" si="22"/>
        <v>#N/A</v>
      </c>
      <c r="GT8" s="21" t="e">
        <f t="shared" si="22"/>
        <v>#N/A</v>
      </c>
      <c r="GU8" s="21" t="e">
        <f t="shared" si="22"/>
        <v>#N/A</v>
      </c>
      <c r="GV8" s="21" t="e">
        <f t="shared" ref="GV8:IA8" si="23">IF(GV5="#N/A","#N/A",GV7)</f>
        <v>#N/A</v>
      </c>
      <c r="GW8" s="21" t="e">
        <f t="shared" si="23"/>
        <v>#N/A</v>
      </c>
      <c r="GX8" s="21" t="e">
        <f t="shared" si="23"/>
        <v>#N/A</v>
      </c>
      <c r="GY8" s="21" t="e">
        <f t="shared" si="23"/>
        <v>#N/A</v>
      </c>
      <c r="GZ8" s="21" t="e">
        <f t="shared" si="23"/>
        <v>#N/A</v>
      </c>
      <c r="HA8" s="21" t="e">
        <f t="shared" si="23"/>
        <v>#N/A</v>
      </c>
      <c r="HB8" s="21" t="e">
        <f t="shared" si="23"/>
        <v>#N/A</v>
      </c>
      <c r="HC8" s="21" t="e">
        <f t="shared" si="23"/>
        <v>#N/A</v>
      </c>
      <c r="HD8" s="21" t="e">
        <f t="shared" si="23"/>
        <v>#N/A</v>
      </c>
      <c r="HE8" s="21" t="e">
        <f t="shared" si="23"/>
        <v>#N/A</v>
      </c>
      <c r="HF8" s="21" t="e">
        <f t="shared" si="23"/>
        <v>#N/A</v>
      </c>
      <c r="HG8" s="21" t="e">
        <f t="shared" si="23"/>
        <v>#N/A</v>
      </c>
      <c r="HH8" s="21" t="e">
        <f t="shared" si="23"/>
        <v>#N/A</v>
      </c>
      <c r="HI8" s="21" t="e">
        <f t="shared" si="23"/>
        <v>#N/A</v>
      </c>
      <c r="HJ8" s="21" t="e">
        <f t="shared" si="23"/>
        <v>#N/A</v>
      </c>
      <c r="HK8" s="21" t="e">
        <f t="shared" si="23"/>
        <v>#N/A</v>
      </c>
      <c r="HL8" s="21" t="e">
        <f t="shared" si="23"/>
        <v>#N/A</v>
      </c>
      <c r="HM8" s="21" t="e">
        <f t="shared" si="23"/>
        <v>#N/A</v>
      </c>
      <c r="HN8" s="21" t="e">
        <f t="shared" si="23"/>
        <v>#N/A</v>
      </c>
      <c r="HO8" s="21" t="e">
        <f t="shared" si="23"/>
        <v>#N/A</v>
      </c>
      <c r="HP8" s="21" t="e">
        <f t="shared" si="23"/>
        <v>#N/A</v>
      </c>
      <c r="HQ8" s="21" t="e">
        <f t="shared" si="23"/>
        <v>#N/A</v>
      </c>
      <c r="HR8" s="21" t="e">
        <f t="shared" si="23"/>
        <v>#N/A</v>
      </c>
      <c r="HS8" s="21" t="e">
        <f t="shared" si="23"/>
        <v>#N/A</v>
      </c>
      <c r="HT8" s="21" t="e">
        <f t="shared" si="23"/>
        <v>#N/A</v>
      </c>
      <c r="HU8" s="21" t="e">
        <f t="shared" si="23"/>
        <v>#N/A</v>
      </c>
      <c r="HV8" s="21" t="e">
        <f t="shared" si="23"/>
        <v>#N/A</v>
      </c>
      <c r="HW8" s="21" t="e">
        <f t="shared" si="23"/>
        <v>#N/A</v>
      </c>
      <c r="HX8" s="21" t="e">
        <f t="shared" si="23"/>
        <v>#N/A</v>
      </c>
      <c r="HY8" s="21" t="e">
        <f t="shared" si="23"/>
        <v>#N/A</v>
      </c>
      <c r="HZ8" s="21" t="e">
        <f t="shared" si="23"/>
        <v>#N/A</v>
      </c>
      <c r="IA8" s="21" t="e">
        <f t="shared" si="23"/>
        <v>#N/A</v>
      </c>
      <c r="IB8" s="21" t="e">
        <f t="shared" ref="IB8:IN8" si="24">IF(IB5="#N/A","#N/A",IB7)</f>
        <v>#N/A</v>
      </c>
      <c r="IC8" s="21" t="e">
        <f t="shared" si="24"/>
        <v>#N/A</v>
      </c>
      <c r="ID8" s="21" t="e">
        <f t="shared" si="24"/>
        <v>#N/A</v>
      </c>
      <c r="IE8" s="21" t="e">
        <f t="shared" si="24"/>
        <v>#N/A</v>
      </c>
      <c r="IF8" s="21" t="e">
        <f t="shared" si="24"/>
        <v>#N/A</v>
      </c>
      <c r="IG8" s="21" t="e">
        <f t="shared" si="24"/>
        <v>#N/A</v>
      </c>
      <c r="IH8" s="21" t="e">
        <f t="shared" si="24"/>
        <v>#N/A</v>
      </c>
      <c r="II8" s="21" t="e">
        <f t="shared" si="24"/>
        <v>#N/A</v>
      </c>
      <c r="IJ8" s="21" t="e">
        <f t="shared" si="24"/>
        <v>#N/A</v>
      </c>
      <c r="IK8" s="21" t="e">
        <f t="shared" si="24"/>
        <v>#N/A</v>
      </c>
      <c r="IL8" s="21" t="e">
        <f t="shared" si="24"/>
        <v>#N/A</v>
      </c>
      <c r="IM8" s="21" t="e">
        <f t="shared" si="24"/>
        <v>#N/A</v>
      </c>
      <c r="IN8" s="21" t="e">
        <f t="shared" si="24"/>
        <v>#N/A</v>
      </c>
    </row>
    <row r="9" spans="2:248" x14ac:dyDescent="0.3">
      <c r="E9" s="19">
        <v>0.1</v>
      </c>
      <c r="F9" s="22" t="s">
        <v>615</v>
      </c>
      <c r="G9" s="21">
        <f>IF(IF(AND(ISNA(G$5),ISNA(F$5)),F9*(1+$E9),IF(AND(F$5&gt;0,ISNA(G$5)),F9*(1+$E9),G$5))&gt;$C$20,$C$20,IF(AND(ISNA(G$5),ISNA(F$5)),F9*(1+$E9),IF(AND(F$5&gt;0,ISNA(G$5)),F9*(1+$E9),G$5)))</f>
        <v>116</v>
      </c>
      <c r="H9" s="21">
        <f>IF(IF(AND(ISNA(H$5),ISNA(G$5)),G9*(1+$E9),IF(AND(G$5&gt;0,ISNA(H$5)),G9*(1+$E9),H$5))&gt;$C$20,$C$20,IF(AND(ISNA(H$5),ISNA(G$5)),G9*(1+$E9),IF(AND(G$5&gt;0,ISNA(H$5)),G9*(1+$E9),H$5)))</f>
        <v>164</v>
      </c>
      <c r="I9" s="21">
        <f>IF(IF(AND(ISNA(I$5),ISNA(H$5)),H9*(1+$E9),IF(AND(H$5&gt;0,ISNA(I$5)),H9*(1+$E9),I$5))&gt;$C$20,$C$20,IF(AND(ISNA(I$5),ISNA(H$5)),H9*(1+$E9),IF(AND(H$5&gt;0,ISNA(I$5)),H9*(1+$E9),I$5)))</f>
        <v>207</v>
      </c>
      <c r="J9" s="21">
        <f>IF(IF(AND(ISNA(J$5),ISNA(I$5)),I9*(1+$E9),IF(AND(I$5&gt;0,ISNA(J$5)),I9*(1+$E9),J$5))&gt;$C$20,$C$20,IF(AND(ISNA(J$5),ISNA(I$5)),I9*(1+$E9),IF(AND(I$5&gt;0,ISNA(J$5)),I9*(1+$E9),J$5)))</f>
        <v>274</v>
      </c>
      <c r="K9" s="21">
        <f>IF(IF(AND(ISNA(K$5),ISNA(J$5)),J9*(1+$E9),IF(AND(J$5&gt;0,ISNA(K$5)),J9*(1+$E9),K$5))&gt;$C$20,$C$20,IF(AND(ISNA(K$5),ISNA(J$5)),J9*(1+$E9),IF(AND(J$5&gt;0,ISNA(K$5)),J9*(1+$E9),K$5)))</f>
        <v>322</v>
      </c>
      <c r="L9" s="21">
        <f>IF(IF(AND(ISNA(L$5),ISNA(K$5)),K9*(1+$E9),IF(AND(K$5&gt;0,ISNA(L$5)),K9*(1+$E9),L$5))&gt;$C$20,$C$20,IF(AND(ISNA(L$5),ISNA(K$5)),K9*(1+$E9),IF(AND(K$5&gt;0,ISNA(L$5)),K9*(1+$E9),L$5)))</f>
        <v>384</v>
      </c>
      <c r="M9" s="21">
        <f>IF(IF(AND(ISNA(M$5),ISNA(L$5)),L9*(1+$E9),IF(AND(L$5&gt;0,ISNA(M$5)),L9*(1+$E9),M$5))&gt;$C$20,$C$20,IF(AND(ISNA(M$5),ISNA(L$5)),L9*(1+$E9),IF(AND(L$5&gt;0,ISNA(M$5)),L9*(1+$E9),M$5)))</f>
        <v>459</v>
      </c>
      <c r="N9" s="21">
        <f>IF(IF(AND(ISNA(N$5),ISNA(M$5)),M9*(1+$E9),IF(AND(M$5&gt;0,ISNA(N$5)),M9*(1+$E9),N$5))&gt;$C$20,$C$20,IF(AND(ISNA(N$5),ISNA(M$5)),M9*(1+$E9),IF(AND(M$5&gt;0,ISNA(N$5)),M9*(1+$E9),N$5)))</f>
        <v>590</v>
      </c>
      <c r="O9" s="21">
        <f>IF(IF(AND(ISNA(O$5),ISNA(N$5)),N9*(1+$E9),IF(AND(N$5&gt;0,ISNA(O$5)),N9*(1+$E9),O$5))&gt;$C$20,$C$20,IF(AND(ISNA(O$5),ISNA(N$5)),N9*(1+$E9),IF(AND(N$5&gt;0,ISNA(O$5)),N9*(1+$E9),O$5)))</f>
        <v>803</v>
      </c>
      <c r="P9" s="21">
        <f>IF(IF(AND(ISNA(P$5),ISNA(O$5)),O9*(1+$E9),IF(AND(O$5&gt;0,ISNA(P$5)),O9*(1+$E9),P$5))&gt;$C$20,$C$20,IF(AND(ISNA(P$5),ISNA(O$5)),O9*(1+$E9),IF(AND(O$5&gt;0,ISNA(P$5)),O9*(1+$E9),P$5)))</f>
        <v>1145</v>
      </c>
      <c r="Q9" s="21">
        <f>IF(IF(AND(ISNA(Q$5),ISNA(P$5)),P9*(1+$E9),IF(AND(P$5&gt;0,ISNA(Q$5)),P9*(1+$E9),Q$5))&gt;$C$20,$C$20,IF(AND(ISNA(Q$5),ISNA(P$5)),P9*(1+$E9),IF(AND(P$5&gt;0,ISNA(Q$5)),P9*(1+$E9),Q$5)))</f>
        <v>1355</v>
      </c>
      <c r="R9" s="21">
        <f>IF(IF(AND(ISNA(R$5),ISNA(Q$5)),Q9*(1+$E9),IF(AND(Q$5&gt;0,ISNA(R$5)),Q9*(1+$E9),R$5))&gt;$C$20,$C$20,IF(AND(ISNA(R$5),ISNA(Q$5)),Q9*(1+$E9),IF(AND(Q$5&gt;0,ISNA(R$5)),Q9*(1+$E9),R$5)))</f>
        <v>1552</v>
      </c>
      <c r="S9" s="21">
        <f>IF(IF(AND(ISNA(S$5),ISNA(R$5)),R9*(1+$E9),IF(AND(R$5&gt;0,ISNA(S$5)),R9*(1+$E9),S$5))&gt;$C$20,$C$20,IF(AND(ISNA(S$5),ISNA(R$5)),R9*(1+$E9),IF(AND(R$5&gt;0,ISNA(S$5)),R9*(1+$E9),S$5)))</f>
        <v>1960</v>
      </c>
      <c r="T9" s="21">
        <f>IF(IF(AND(ISNA(T$5),ISNA(S$5)),S9*(1+$E9),IF(AND(S$5&gt;0,ISNA(T$5)),S9*(1+$E9),T$5))&gt;$C$20,$C$20,IF(AND(ISNA(T$5),ISNA(S$5)),S9*(1+$E9),IF(AND(S$5&gt;0,ISNA(T$5)),S9*(1+$E9),T$5)))</f>
        <v>2626</v>
      </c>
      <c r="U9" s="21">
        <f>IF(IF(AND(ISNA(U$5),ISNA(T$5)),T9*(1+$E9),IF(AND(T$5&gt;0,ISNA(U$5)),T9*(1+$E9),U$5))&gt;$C$20,$C$20,IF(AND(ISNA(U$5),ISNA(T$5)),T9*(1+$E9),IF(AND(T$5&gt;0,ISNA(U$5)),T9*(1+$E9),U$5)))</f>
        <v>2888.6000000000004</v>
      </c>
      <c r="V9" s="21">
        <f>IF(IF(AND(ISNA(V$5),ISNA(U$5)),U9*(1+$E9),IF(AND(U$5&gt;0,ISNA(V$5)),U9*(1+$E9),V$5))&gt;$C$20,$C$20,IF(AND(ISNA(V$5),ISNA(U$5)),U9*(1+$E9),IF(AND(U$5&gt;0,ISNA(V$5)),U9*(1+$E9),V$5)))</f>
        <v>3177.4600000000005</v>
      </c>
      <c r="W9" s="21">
        <f>IF(IF(AND(ISNA(W$5),ISNA(V$5)),V9*(1+$E9),IF(AND(V$5&gt;0,ISNA(W$5)),V9*(1+$E9),W$5))&gt;$C$20,$C$20,IF(AND(ISNA(W$5),ISNA(V$5)),V9*(1+$E9),IF(AND(V$5&gt;0,ISNA(W$5)),V9*(1+$E9),W$5)))</f>
        <v>3495.206000000001</v>
      </c>
      <c r="X9" s="21">
        <f>IF(IF(AND(ISNA(X$5),ISNA(W$5)),W9*(1+$E9),IF(AND(W$5&gt;0,ISNA(X$5)),W9*(1+$E9),X$5))&gt;$C$20,$C$20,IF(AND(ISNA(X$5),ISNA(W$5)),W9*(1+$E9),IF(AND(W$5&gt;0,ISNA(X$5)),W9*(1+$E9),X$5)))</f>
        <v>3844.7266000000013</v>
      </c>
      <c r="Y9" s="21">
        <f>IF(IF(AND(ISNA(Y$5),ISNA(X$5)),X9*(1+$E9),IF(AND(X$5&gt;0,ISNA(Y$5)),X9*(1+$E9),Y$5))&gt;$C$20,$C$20,IF(AND(ISNA(Y$5),ISNA(X$5)),X9*(1+$E9),IF(AND(X$5&gt;0,ISNA(Y$5)),X9*(1+$E9),Y$5)))</f>
        <v>4229.1992600000021</v>
      </c>
      <c r="Z9" s="21">
        <f>IF(IF(AND(ISNA(Z$5),ISNA(Y$5)),Y9*(1+$E9),IF(AND(Y$5&gt;0,ISNA(Z$5)),Y9*(1+$E9),Z$5))&gt;$C$20,$C$20,IF(AND(ISNA(Z$5),ISNA(Y$5)),Y9*(1+$E9),IF(AND(Y$5&gt;0,ISNA(Z$5)),Y9*(1+$E9),Z$5)))</f>
        <v>4652.1191860000026</v>
      </c>
      <c r="AA9" s="21">
        <f>IF(IF(AND(ISNA(AA$5),ISNA(Z$5)),Z9*(1+$E9),IF(AND(Z$5&gt;0,ISNA(AA$5)),Z9*(1+$E9),AA$5))&gt;$C$20,$C$20,IF(AND(ISNA(AA$5),ISNA(Z$5)),Z9*(1+$E9),IF(AND(Z$5&gt;0,ISNA(AA$5)),Z9*(1+$E9),AA$5)))</f>
        <v>5117.3311046000035</v>
      </c>
      <c r="AB9" s="21">
        <f>IF(IF(AND(ISNA(AB$5),ISNA(AA$5)),AA9*(1+$E9),IF(AND(AA$5&gt;0,ISNA(AB$5)),AA9*(1+$E9),AB$5))&gt;$C$20,$C$20,IF(AND(ISNA(AB$5),ISNA(AA$5)),AA9*(1+$E9),IF(AND(AA$5&gt;0,ISNA(AB$5)),AA9*(1+$E9),AB$5)))</f>
        <v>5629.0642150600042</v>
      </c>
      <c r="AC9" s="21">
        <f>IF(IF(AND(ISNA(AC$5),ISNA(AB$5)),AB9*(1+$E9),IF(AND(AB$5&gt;0,ISNA(AC$5)),AB9*(1+$E9),AC$5))&gt;$C$20,$C$20,IF(AND(ISNA(AC$5),ISNA(AB$5)),AB9*(1+$E9),IF(AND(AB$5&gt;0,ISNA(AC$5)),AB9*(1+$E9),AC$5)))</f>
        <v>6191.9706365660049</v>
      </c>
      <c r="AD9" s="21">
        <f>IF(IF(AND(ISNA(AD$5),ISNA(AC$5)),AC9*(1+$E9),IF(AND(AC$5&gt;0,ISNA(AD$5)),AC9*(1+$E9),AD$5))&gt;$C$20,$C$20,IF(AND(ISNA(AD$5),ISNA(AC$5)),AC9*(1+$E9),IF(AND(AC$5&gt;0,ISNA(AD$5)),AC9*(1+$E9),AD$5)))</f>
        <v>6811.1677002226061</v>
      </c>
      <c r="AE9" s="21">
        <f>IF(IF(AND(ISNA(AE$5),ISNA(AD$5)),AD9*(1+$E9),IF(AND(AD$5&gt;0,ISNA(AE$5)),AD9*(1+$E9),AE$5))&gt;$C$20,$C$20,IF(AND(ISNA(AE$5),ISNA(AD$5)),AD9*(1+$E9),IF(AND(AD$5&gt;0,ISNA(AE$5)),AD9*(1+$E9),AE$5)))</f>
        <v>7492.2844702448674</v>
      </c>
      <c r="AF9" s="21">
        <f>IF(IF(AND(ISNA(AF$5),ISNA(AE$5)),AE9*(1+$E9),IF(AND(AE$5&gt;0,ISNA(AF$5)),AE9*(1+$E9),AF$5))&gt;$C$20,$C$20,IF(AND(ISNA(AF$5),ISNA(AE$5)),AE9*(1+$E9),IF(AND(AE$5&gt;0,ISNA(AF$5)),AE9*(1+$E9),AF$5)))</f>
        <v>8241.5129172693541</v>
      </c>
      <c r="AG9" s="21">
        <f>IF(IF(AND(ISNA(AG$5),ISNA(AF$5)),AF9*(1+$E9),IF(AND(AF$5&gt;0,ISNA(AG$5)),AF9*(1+$E9),AG$5))&gt;$C$20,$C$20,IF(AND(ISNA(AG$5),ISNA(AF$5)),AF9*(1+$E9),IF(AND(AF$5&gt;0,ISNA(AG$5)),AF9*(1+$E9),AG$5)))</f>
        <v>9065.6642089962897</v>
      </c>
      <c r="AH9" s="21">
        <f>IF(IF(AND(ISNA(AH$5),ISNA(AG$5)),AG9*(1+$E9),IF(AND(AG$5&gt;0,ISNA(AH$5)),AG9*(1+$E9),AH$5))&gt;$C$20,$C$20,IF(AND(ISNA(AH$5),ISNA(AG$5)),AG9*(1+$E9),IF(AND(AG$5&gt;0,ISNA(AH$5)),AG9*(1+$E9),AH$5)))</f>
        <v>9972.2306298959193</v>
      </c>
      <c r="AI9" s="21">
        <f>IF(IF(AND(ISNA(AI$5),ISNA(AH$5)),AH9*(1+$E9),IF(AND(AH$5&gt;0,ISNA(AI$5)),AH9*(1+$E9),AI$5))&gt;$C$20,$C$20,IF(AND(ISNA(AI$5),ISNA(AH$5)),AH9*(1+$E9),IF(AND(AH$5&gt;0,ISNA(AI$5)),AH9*(1+$E9),AI$5)))</f>
        <v>10969.453692885512</v>
      </c>
      <c r="AJ9" s="21">
        <f>IF(IF(AND(ISNA(AJ$5),ISNA(AI$5)),AI9*(1+$E9),IF(AND(AI$5&gt;0,ISNA(AJ$5)),AI9*(1+$E9),AJ$5))&gt;$C$20,$C$20,IF(AND(ISNA(AJ$5),ISNA(AI$5)),AI9*(1+$E9),IF(AND(AI$5&gt;0,ISNA(AJ$5)),AI9*(1+$E9),AJ$5)))</f>
        <v>12066.399062174065</v>
      </c>
      <c r="AK9" s="21">
        <f>IF(IF(AND(ISNA(AK$5),ISNA(AJ$5)),AJ9*(1+$E9),IF(AND(AJ$5&gt;0,ISNA(AK$5)),AJ9*(1+$E9),AK$5))&gt;$C$20,$C$20,IF(AND(ISNA(AK$5),ISNA(AJ$5)),AJ9*(1+$E9),IF(AND(AJ$5&gt;0,ISNA(AK$5)),AJ9*(1+$E9),AK$5)))</f>
        <v>13273.038968391473</v>
      </c>
      <c r="AL9" s="21">
        <f>IF(IF(AND(ISNA(AL$5),ISNA(AK$5)),AK9*(1+$E9),IF(AND(AK$5&gt;0,ISNA(AL$5)),AK9*(1+$E9),AL$5))&gt;$C$20,$C$20,IF(AND(ISNA(AL$5),ISNA(AK$5)),AK9*(1+$E9),IF(AND(AK$5&gt;0,ISNA(AL$5)),AK9*(1+$E9),AL$5)))</f>
        <v>14600.342865230621</v>
      </c>
      <c r="AM9" s="21">
        <f>IF(IF(AND(ISNA(AM$5),ISNA(AL$5)),AL9*(1+$E9),IF(AND(AL$5&gt;0,ISNA(AM$5)),AL9*(1+$E9),AM$5))&gt;$C$20,$C$20,IF(AND(ISNA(AM$5),ISNA(AL$5)),AL9*(1+$E9),IF(AND(AL$5&gt;0,ISNA(AM$5)),AL9*(1+$E9),AM$5)))</f>
        <v>16060.377151753684</v>
      </c>
      <c r="AN9" s="21">
        <f>IF(IF(AND(ISNA(AN$5),ISNA(AM$5)),AM9*(1+$E9),IF(AND(AM$5&gt;0,ISNA(AN$5)),AM9*(1+$E9),AN$5))&gt;$C$20,$C$20,IF(AND(ISNA(AN$5),ISNA(AM$5)),AM9*(1+$E9),IF(AND(AM$5&gt;0,ISNA(AN$5)),AM9*(1+$E9),AN$5)))</f>
        <v>17666.414866929055</v>
      </c>
      <c r="AO9" s="21">
        <f>IF(IF(AND(ISNA(AO$5),ISNA(AN$5)),AN9*(1+$E9),IF(AND(AN$5&gt;0,ISNA(AO$5)),AN9*(1+$E9),AO$5))&gt;$C$20,$C$20,IF(AND(ISNA(AO$5),ISNA(AN$5)),AN9*(1+$E9),IF(AND(AN$5&gt;0,ISNA(AO$5)),AN9*(1+$E9),AO$5)))</f>
        <v>19433.056353621963</v>
      </c>
      <c r="AP9" s="21">
        <f>IF(IF(AND(ISNA(AP$5),ISNA(AO$5)),AO9*(1+$E9),IF(AND(AO$5&gt;0,ISNA(AP$5)),AO9*(1+$E9),AP$5))&gt;$C$20,$C$20,IF(AND(ISNA(AP$5),ISNA(AO$5)),AO9*(1+$E9),IF(AND(AO$5&gt;0,ISNA(AP$5)),AO9*(1+$E9),AP$5)))</f>
        <v>21376.361988984161</v>
      </c>
      <c r="AQ9" s="21">
        <f>IF(IF(AND(ISNA(AQ$5),ISNA(AP$5)),AP9*(1+$E9),IF(AND(AP$5&gt;0,ISNA(AQ$5)),AP9*(1+$E9),AQ$5))&gt;$C$20,$C$20,IF(AND(ISNA(AQ$5),ISNA(AP$5)),AP9*(1+$E9),IF(AND(AP$5&gt;0,ISNA(AQ$5)),AP9*(1+$E9),AQ$5)))</f>
        <v>23513.998187882578</v>
      </c>
      <c r="AR9" s="21">
        <f>IF(IF(AND(ISNA(AR$5),ISNA(AQ$5)),AQ9*(1+$E9),IF(AND(AQ$5&gt;0,ISNA(AR$5)),AQ9*(1+$E9),AR$5))&gt;$C$20,$C$20,IF(AND(ISNA(AR$5),ISNA(AQ$5)),AQ9*(1+$E9),IF(AND(AQ$5&gt;0,ISNA(AR$5)),AQ9*(1+$E9),AR$5)))</f>
        <v>25865.398006670839</v>
      </c>
      <c r="AS9" s="21">
        <f>IF(IF(AND(ISNA(AS$5),ISNA(AR$5)),AR9*(1+$E9),IF(AND(AR$5&gt;0,ISNA(AS$5)),AR9*(1+$E9),AS$5))&gt;$C$20,$C$20,IF(AND(ISNA(AS$5),ISNA(AR$5)),AR9*(1+$E9),IF(AND(AR$5&gt;0,ISNA(AS$5)),AR9*(1+$E9),AS$5)))</f>
        <v>28451.937807337927</v>
      </c>
      <c r="AT9" s="21">
        <f>IF(IF(AND(ISNA(AT$5),ISNA(AS$5)),AS9*(1+$E9),IF(AND(AS$5&gt;0,ISNA(AT$5)),AS9*(1+$E9),AT$5))&gt;$C$20,$C$20,IF(AND(ISNA(AT$5),ISNA(AS$5)),AS9*(1+$E9),IF(AND(AS$5&gt;0,ISNA(AT$5)),AS9*(1+$E9),AT$5)))</f>
        <v>31297.131588071723</v>
      </c>
      <c r="AU9" s="21">
        <f>IF(IF(AND(ISNA(AU$5),ISNA(AT$5)),AT9*(1+$E9),IF(AND(AT$5&gt;0,ISNA(AU$5)),AT9*(1+$E9),AU$5))&gt;$C$20,$C$20,IF(AND(ISNA(AU$5),ISNA(AT$5)),AT9*(1+$E9),IF(AND(AT$5&gt;0,ISNA(AU$5)),AT9*(1+$E9),AU$5)))</f>
        <v>34426.844746878895</v>
      </c>
      <c r="AV9" s="21">
        <f>IF(IF(AND(ISNA(AV$5),ISNA(AU$5)),AU9*(1+$E9),IF(AND(AU$5&gt;0,ISNA(AV$5)),AU9*(1+$E9),AV$5))&gt;$C$20,$C$20,IF(AND(ISNA(AV$5),ISNA(AU$5)),AU9*(1+$E9),IF(AND(AU$5&gt;0,ISNA(AV$5)),AU9*(1+$E9),AV$5)))</f>
        <v>37869.529221566787</v>
      </c>
      <c r="AW9" s="21">
        <f>IF(IF(AND(ISNA(AW$5),ISNA(AV$5)),AV9*(1+$E9),IF(AND(AV$5&gt;0,ISNA(AW$5)),AV9*(1+$E9),AW$5))&gt;$C$20,$C$20,IF(AND(ISNA(AW$5),ISNA(AV$5)),AV9*(1+$E9),IF(AND(AV$5&gt;0,ISNA(AW$5)),AV9*(1+$E9),AW$5)))</f>
        <v>41656.482143723471</v>
      </c>
      <c r="AX9" s="21">
        <f>IF(IF(AND(ISNA(AX$5),ISNA(AW$5)),AW9*(1+$E9),IF(AND(AW$5&gt;0,ISNA(AX$5)),AW9*(1+$E9),AX$5))&gt;$C$20,$C$20,IF(AND(ISNA(AX$5),ISNA(AW$5)),AW9*(1+$E9),IF(AND(AW$5&gt;0,ISNA(AX$5)),AW9*(1+$E9),AX$5)))</f>
        <v>45822.130358095819</v>
      </c>
      <c r="AY9" s="21">
        <f>IF(IF(AND(ISNA(AY$5),ISNA(AX$5)),AX9*(1+$E9),IF(AND(AX$5&gt;0,ISNA(AY$5)),AX9*(1+$E9),AY$5))&gt;$C$20,$C$20,IF(AND(ISNA(AY$5),ISNA(AX$5)),AX9*(1+$E9),IF(AND(AX$5&gt;0,ISNA(AY$5)),AX9*(1+$E9),AY$5)))</f>
        <v>50404.343393905408</v>
      </c>
      <c r="AZ9" s="21">
        <f>IF(IF(AND(ISNA(AZ$5),ISNA(AY$5)),AY9*(1+$E9),IF(AND(AY$5&gt;0,ISNA(AZ$5)),AY9*(1+$E9),AZ$5))&gt;$C$20,$C$20,IF(AND(ISNA(AZ$5),ISNA(AY$5)),AY9*(1+$E9),IF(AND(AY$5&gt;0,ISNA(AZ$5)),AY9*(1+$E9),AZ$5)))</f>
        <v>55444.777733295952</v>
      </c>
      <c r="BA9" s="21">
        <f>IF(IF(AND(ISNA(BA$5),ISNA(AZ$5)),AZ9*(1+$E9),IF(AND(AZ$5&gt;0,ISNA(BA$5)),AZ9*(1+$E9),BA$5))&gt;$C$20,$C$20,IF(AND(ISNA(BA$5),ISNA(AZ$5)),AZ9*(1+$E9),IF(AND(AZ$5&gt;0,ISNA(BA$5)),AZ9*(1+$E9),BA$5)))</f>
        <v>60989.255506625552</v>
      </c>
      <c r="BB9" s="21">
        <f>IF(IF(AND(ISNA(BB$5),ISNA(BA$5)),BA9*(1+$E9),IF(AND(BA$5&gt;0,ISNA(BB$5)),BA9*(1+$E9),BB$5))&gt;$C$20,$C$20,IF(AND(ISNA(BB$5),ISNA(BA$5)),BA9*(1+$E9),IF(AND(BA$5&gt;0,ISNA(BB$5)),BA9*(1+$E9),BB$5)))</f>
        <v>67088.181057288108</v>
      </c>
      <c r="BC9" s="21">
        <f>IF(IF(AND(ISNA(BC$5),ISNA(BB$5)),BB9*(1+$E9),IF(AND(BB$5&gt;0,ISNA(BC$5)),BB9*(1+$E9),BC$5))&gt;$C$20,$C$20,IF(AND(ISNA(BC$5),ISNA(BB$5)),BB9*(1+$E9),IF(AND(BB$5&gt;0,ISNA(BC$5)),BB9*(1+$E9),BC$5)))</f>
        <v>73796.999163016924</v>
      </c>
      <c r="BD9" s="21">
        <f>IF(IF(AND(ISNA(BD$5),ISNA(BC$5)),BC9*(1+$E9),IF(AND(BC$5&gt;0,ISNA(BD$5)),BC9*(1+$E9),BD$5))&gt;$C$20,$C$20,IF(AND(ISNA(BD$5),ISNA(BC$5)),BC9*(1+$E9),IF(AND(BC$5&gt;0,ISNA(BD$5)),BC9*(1+$E9),BD$5)))</f>
        <v>81176.699079318627</v>
      </c>
      <c r="BE9" s="21">
        <f>IF(IF(AND(ISNA(BE$5),ISNA(BD$5)),BD9*(1+$E9),IF(AND(BD$5&gt;0,ISNA(BE$5)),BD9*(1+$E9),BE$5))&gt;$C$20,$C$20,IF(AND(ISNA(BE$5),ISNA(BD$5)),BD9*(1+$E9),IF(AND(BD$5&gt;0,ISNA(BE$5)),BD9*(1+$E9),BE$5)))</f>
        <v>89294.368987250491</v>
      </c>
      <c r="BF9" s="21">
        <f>IF(IF(AND(ISNA(BF$5),ISNA(BE$5)),BE9*(1+$E9),IF(AND(BE$5&gt;0,ISNA(BF$5)),BE9*(1+$E9),BF$5))&gt;$C$20,$C$20,IF(AND(ISNA(BF$5),ISNA(BE$5)),BE9*(1+$E9),IF(AND(BE$5&gt;0,ISNA(BF$5)),BE9*(1+$E9),BF$5)))</f>
        <v>98223.805885975555</v>
      </c>
      <c r="BG9" s="21">
        <f>IF(IF(AND(ISNA(BG$5),ISNA(BF$5)),BF9*(1+$E9),IF(AND(BF$5&gt;0,ISNA(BG$5)),BF9*(1+$E9),BG$5))&gt;$C$20,$C$20,IF(AND(ISNA(BG$5),ISNA(BF$5)),BF9*(1+$E9),IF(AND(BF$5&gt;0,ISNA(BG$5)),BF9*(1+$E9),BG$5)))</f>
        <v>108046.18647457311</v>
      </c>
      <c r="BH9" s="21">
        <f>IF(IF(AND(ISNA(BH$5),ISNA(BG$5)),BG9*(1+$E9),IF(AND(BG$5&gt;0,ISNA(BH$5)),BG9*(1+$E9),BH$5))&gt;$C$20,$C$20,IF(AND(ISNA(BH$5),ISNA(BG$5)),BG9*(1+$E9),IF(AND(BG$5&gt;0,ISNA(BH$5)),BG9*(1+$E9),BH$5)))</f>
        <v>118850.80512203043</v>
      </c>
      <c r="BI9" s="21">
        <f>IF(IF(AND(ISNA(BI$5),ISNA(BH$5)),BH9*(1+$E9),IF(AND(BH$5&gt;0,ISNA(BI$5)),BH9*(1+$E9),BI$5))&gt;$C$20,$C$20,IF(AND(ISNA(BI$5),ISNA(BH$5)),BH9*(1+$E9),IF(AND(BH$5&gt;0,ISNA(BI$5)),BH9*(1+$E9),BI$5)))</f>
        <v>130735.88563423349</v>
      </c>
      <c r="BJ9" s="21">
        <f>IF(IF(AND(ISNA(BJ$5),ISNA(BI$5)),BI9*(1+$E9),IF(AND(BI$5&gt;0,ISNA(BJ$5)),BI9*(1+$E9),BJ$5))&gt;$C$20,$C$20,IF(AND(ISNA(BJ$5),ISNA(BI$5)),BI9*(1+$E9),IF(AND(BI$5&gt;0,ISNA(BJ$5)),BI9*(1+$E9),BJ$5)))</f>
        <v>143809.47419765685</v>
      </c>
      <c r="BK9" s="21">
        <f>IF(IF(AND(ISNA(BK$5),ISNA(BJ$5)),BJ9*(1+$E9),IF(AND(BJ$5&gt;0,ISNA(BK$5)),BJ9*(1+$E9),BK$5))&gt;$C$20,$C$20,IF(AND(ISNA(BK$5),ISNA(BJ$5)),BJ9*(1+$E9),IF(AND(BJ$5&gt;0,ISNA(BK$5)),BJ9*(1+$E9),BK$5)))</f>
        <v>158190.42161742254</v>
      </c>
      <c r="BL9" s="21">
        <f>IF(IF(AND(ISNA(BL$5),ISNA(BK$5)),BK9*(1+$E9),IF(AND(BK$5&gt;0,ISNA(BL$5)),BK9*(1+$E9),BL$5))&gt;$C$20,$C$20,IF(AND(ISNA(BL$5),ISNA(BK$5)),BK9*(1+$E9),IF(AND(BK$5&gt;0,ISNA(BL$5)),BK9*(1+$E9),BL$5)))</f>
        <v>174009.4637791648</v>
      </c>
      <c r="BM9" s="21">
        <f>IF(IF(AND(ISNA(BM$5),ISNA(BL$5)),BL9*(1+$E9),IF(AND(BL$5&gt;0,ISNA(BM$5)),BL9*(1+$E9),BM$5))&gt;$C$20,$C$20,IF(AND(ISNA(BM$5),ISNA(BL$5)),BL9*(1+$E9),IF(AND(BL$5&gt;0,ISNA(BM$5)),BL9*(1+$E9),BM$5)))</f>
        <v>191410.41015708129</v>
      </c>
      <c r="BN9" s="21">
        <f>IF(IF(AND(ISNA(BN$5),ISNA(BM$5)),BM9*(1+$E9),IF(AND(BM$5&gt;0,ISNA(BN$5)),BM9*(1+$E9),BN$5))&gt;$C$20,$C$20,IF(AND(ISNA(BN$5),ISNA(BM$5)),BM9*(1+$E9),IF(AND(BM$5&gt;0,ISNA(BN$5)),BM9*(1+$E9),BN$5)))</f>
        <v>210551.45117278944</v>
      </c>
      <c r="BO9" s="21">
        <f>IF(IF(AND(ISNA(BO$5),ISNA(BN$5)),BN9*(1+$E9),IF(AND(BN$5&gt;0,ISNA(BO$5)),BN9*(1+$E9),BO$5))&gt;$C$20,$C$20,IF(AND(ISNA(BO$5),ISNA(BN$5)),BN9*(1+$E9),IF(AND(BN$5&gt;0,ISNA(BO$5)),BN9*(1+$E9),BO$5)))</f>
        <v>231606.59629006841</v>
      </c>
      <c r="BP9" s="21">
        <f>IF(IF(AND(ISNA(BP$5),ISNA(BO$5)),BO9*(1+$E9),IF(AND(BO$5&gt;0,ISNA(BP$5)),BO9*(1+$E9),BP$5))&gt;$C$20,$C$20,IF(AND(ISNA(BP$5),ISNA(BO$5)),BO9*(1+$E9),IF(AND(BO$5&gt;0,ISNA(BP$5)),BO9*(1+$E9),BP$5)))</f>
        <v>254767.25591907528</v>
      </c>
      <c r="BQ9" s="21">
        <f>IF(IF(AND(ISNA(BQ$5),ISNA(BP$5)),BP9*(1+$E9),IF(AND(BP$5&gt;0,ISNA(BQ$5)),BP9*(1+$E9),BQ$5))&gt;$C$20,$C$20,IF(AND(ISNA(BQ$5),ISNA(BP$5)),BP9*(1+$E9),IF(AND(BP$5&gt;0,ISNA(BQ$5)),BP9*(1+$E9),BQ$5)))</f>
        <v>280243.98151098285</v>
      </c>
      <c r="BR9" s="21">
        <f>IF(IF(AND(ISNA(BR$5),ISNA(BQ$5)),BQ9*(1+$E9),IF(AND(BQ$5&gt;0,ISNA(BR$5)),BQ9*(1+$E9),BR$5))&gt;$C$20,$C$20,IF(AND(ISNA(BR$5),ISNA(BQ$5)),BQ9*(1+$E9),IF(AND(BQ$5&gt;0,ISNA(BR$5)),BQ9*(1+$E9),BR$5)))</f>
        <v>308268.37966208113</v>
      </c>
      <c r="BS9" s="21">
        <f>IF(IF(AND(ISNA(BS$5),ISNA(BR$5)),BR9*(1+$E9),IF(AND(BR$5&gt;0,ISNA(BS$5)),BR9*(1+$E9),BS$5))&gt;$C$20,$C$20,IF(AND(ISNA(BS$5),ISNA(BR$5)),BR9*(1+$E9),IF(AND(BR$5&gt;0,ISNA(BS$5)),BR9*(1+$E9),BS$5)))</f>
        <v>339095.21762828925</v>
      </c>
      <c r="BT9" s="21">
        <f>IF(IF(AND(ISNA(BT$5),ISNA(BS$5)),BS9*(1+$E9),IF(AND(BS$5&gt;0,ISNA(BT$5)),BS9*(1+$E9),BT$5))&gt;$C$20,$C$20,IF(AND(ISNA(BT$5),ISNA(BS$5)),BS9*(1+$E9),IF(AND(BS$5&gt;0,ISNA(BT$5)),BS9*(1+$E9),BT$5)))</f>
        <v>373004.73939111823</v>
      </c>
      <c r="BU9" s="21">
        <f>IF(IF(AND(ISNA(BU$5),ISNA(BT$5)),BT9*(1+$E9),IF(AND(BT$5&gt;0,ISNA(BU$5)),BT9*(1+$E9),BU$5))&gt;$C$20,$C$20,IF(AND(ISNA(BU$5),ISNA(BT$5)),BT9*(1+$E9),IF(AND(BT$5&gt;0,ISNA(BU$5)),BT9*(1+$E9),BU$5)))</f>
        <v>410305.21333023009</v>
      </c>
      <c r="BV9" s="21">
        <f>IF(IF(AND(ISNA(BV$5),ISNA(BU$5)),BU9*(1+$E9),IF(AND(BU$5&gt;0,ISNA(BV$5)),BU9*(1+$E9),BV$5))&gt;$C$20,$C$20,IF(AND(ISNA(BV$5),ISNA(BU$5)),BU9*(1+$E9),IF(AND(BU$5&gt;0,ISNA(BV$5)),BU9*(1+$E9),BV$5)))</f>
        <v>451335.73466325313</v>
      </c>
      <c r="BW9" s="21">
        <f>IF(IF(AND(ISNA(BW$5),ISNA(BV$5)),BV9*(1+$E9),IF(AND(BV$5&gt;0,ISNA(BW$5)),BV9*(1+$E9),BW$5))&gt;$C$20,$C$20,IF(AND(ISNA(BW$5),ISNA(BV$5)),BV9*(1+$E9),IF(AND(BV$5&gt;0,ISNA(BW$5)),BV9*(1+$E9),BW$5)))</f>
        <v>496469.30812957848</v>
      </c>
      <c r="BX9" s="21">
        <f>IF(IF(AND(ISNA(BX$5),ISNA(BW$5)),BW9*(1+$E9),IF(AND(BW$5&gt;0,ISNA(BX$5)),BW9*(1+$E9),BX$5))&gt;$C$20,$C$20,IF(AND(ISNA(BX$5),ISNA(BW$5)),BW9*(1+$E9),IF(AND(BW$5&gt;0,ISNA(BX$5)),BW9*(1+$E9),BX$5)))</f>
        <v>546116.23894253641</v>
      </c>
      <c r="BY9" s="21">
        <f>IF(IF(AND(ISNA(BY$5),ISNA(BX$5)),BX9*(1+$E9),IF(AND(BX$5&gt;0,ISNA(BY$5)),BX9*(1+$E9),BY$5))&gt;$C$20,$C$20,IF(AND(ISNA(BY$5),ISNA(BX$5)),BX9*(1+$E9),IF(AND(BX$5&gt;0,ISNA(BY$5)),BX9*(1+$E9),BY$5)))</f>
        <v>600727.86283679015</v>
      </c>
      <c r="BZ9" s="21">
        <f>IF(IF(AND(ISNA(BZ$5),ISNA(BY$5)),BY9*(1+$E9),IF(AND(BY$5&gt;0,ISNA(BZ$5)),BY9*(1+$E9),BZ$5))&gt;$C$20,$C$20,IF(AND(ISNA(BZ$5),ISNA(BY$5)),BY9*(1+$E9),IF(AND(BY$5&gt;0,ISNA(BZ$5)),BY9*(1+$E9),BZ$5)))</f>
        <v>660800.64912046923</v>
      </c>
      <c r="CA9" s="21">
        <f>IF(IF(AND(ISNA(CA$5),ISNA(BZ$5)),BZ9*(1+$E9),IF(AND(BZ$5&gt;0,ISNA(CA$5)),BZ9*(1+$E9),CA$5))&gt;$C$20,$C$20,IF(AND(ISNA(CA$5),ISNA(BZ$5)),BZ9*(1+$E9),IF(AND(BZ$5&gt;0,ISNA(CA$5)),BZ9*(1+$E9),CA$5)))</f>
        <v>726880.71403251623</v>
      </c>
      <c r="CB9" s="21">
        <f>IF(IF(AND(ISNA(CB$5),ISNA(CA$5)),CA9*(1+$E9),IF(AND(CA$5&gt;0,ISNA(CB$5)),CA9*(1+$E9),CB$5))&gt;$C$20,$C$20,IF(AND(ISNA(CB$5),ISNA(CA$5)),CA9*(1+$E9),IF(AND(CA$5&gt;0,ISNA(CB$5)),CA9*(1+$E9),CB$5)))</f>
        <v>799568.78543576796</v>
      </c>
      <c r="CC9" s="21">
        <f>IF(IF(AND(ISNA(CC$5),ISNA(CB$5)),CB9*(1+$E9),IF(AND(CB$5&gt;0,ISNA(CC$5)),CB9*(1+$E9),CC$5))&gt;$C$20,$C$20,IF(AND(ISNA(CC$5),ISNA(CB$5)),CB9*(1+$E9),IF(AND(CB$5&gt;0,ISNA(CC$5)),CB9*(1+$E9),CC$5)))</f>
        <v>879525.66397934488</v>
      </c>
      <c r="CD9" s="21">
        <f>IF(IF(AND(ISNA(CD$5),ISNA(CC$5)),CC9*(1+$E9),IF(AND(CC$5&gt;0,ISNA(CD$5)),CC9*(1+$E9),CD$5))&gt;$C$20,$C$20,IF(AND(ISNA(CD$5),ISNA(CC$5)),CC9*(1+$E9),IF(AND(CC$5&gt;0,ISNA(CD$5)),CC9*(1+$E9),CD$5)))</f>
        <v>967478.23037727945</v>
      </c>
      <c r="CE9" s="21">
        <f>IF(IF(AND(ISNA(CE$5),ISNA(CD$5)),CD9*(1+$E9),IF(AND(CD$5&gt;0,ISNA(CE$5)),CD9*(1+$E9),CE$5))&gt;$C$20,$C$20,IF(AND(ISNA(CE$5),ISNA(CD$5)),CD9*(1+$E9),IF(AND(CD$5&gt;0,ISNA(CE$5)),CD9*(1+$E9),CE$5)))</f>
        <v>1064226.0534150074</v>
      </c>
      <c r="CF9" s="21">
        <f>IF(IF(AND(ISNA(CF$5),ISNA(CE$5)),CE9*(1+$E9),IF(AND(CE$5&gt;0,ISNA(CF$5)),CE9*(1+$E9),CF$5))&gt;$C$20,$C$20,IF(AND(ISNA(CF$5),ISNA(CE$5)),CE9*(1+$E9),IF(AND(CE$5&gt;0,ISNA(CF$5)),CE9*(1+$E9),CF$5)))</f>
        <v>1170648.6587565083</v>
      </c>
      <c r="CG9" s="21">
        <f>IF(IF(AND(ISNA(CG$5),ISNA(CF$5)),CF9*(1+$E9),IF(AND(CF$5&gt;0,ISNA(CG$5)),CF9*(1+$E9),CG$5))&gt;$C$20,$C$20,IF(AND(ISNA(CG$5),ISNA(CF$5)),CF9*(1+$E9),IF(AND(CF$5&gt;0,ISNA(CG$5)),CF9*(1+$E9),CG$5)))</f>
        <v>1287713.5246321592</v>
      </c>
      <c r="CH9" s="21">
        <f>IF(IF(AND(ISNA(CH$5),ISNA(CG$5)),CG9*(1+$E9),IF(AND(CG$5&gt;0,ISNA(CH$5)),CG9*(1+$E9),CH$5))&gt;$C$20,$C$20,IF(AND(ISNA(CH$5),ISNA(CG$5)),CG9*(1+$E9),IF(AND(CG$5&gt;0,ISNA(CH$5)),CG9*(1+$E9),CH$5)))</f>
        <v>1416484.8770953752</v>
      </c>
      <c r="CI9" s="21">
        <f>IF(IF(AND(ISNA(CI$5),ISNA(CH$5)),CH9*(1+$E9),IF(AND(CH$5&gt;0,ISNA(CI$5)),CH9*(1+$E9),CI$5))&gt;$C$20,$C$20,IF(AND(ISNA(CI$5),ISNA(CH$5)),CH9*(1+$E9),IF(AND(CH$5&gt;0,ISNA(CI$5)),CH9*(1+$E9),CI$5)))</f>
        <v>1558133.3648049128</v>
      </c>
      <c r="CJ9" s="21">
        <f>IF(IF(AND(ISNA(CJ$5),ISNA(CI$5)),CI9*(1+$E9),IF(AND(CI$5&gt;0,ISNA(CJ$5)),CI9*(1+$E9),CJ$5))&gt;$C$20,$C$20,IF(AND(ISNA(CJ$5),ISNA(CI$5)),CI9*(1+$E9),IF(AND(CI$5&gt;0,ISNA(CJ$5)),CI9*(1+$E9),CJ$5)))</f>
        <v>1713946.7012854042</v>
      </c>
      <c r="CK9" s="21">
        <f>IF(IF(AND(ISNA(CK$5),ISNA(CJ$5)),CJ9*(1+$E9),IF(AND(CJ$5&gt;0,ISNA(CK$5)),CJ9*(1+$E9),CK$5))&gt;$C$20,$C$20,IF(AND(ISNA(CK$5),ISNA(CJ$5)),CJ9*(1+$E9),IF(AND(CJ$5&gt;0,ISNA(CK$5)),CJ9*(1+$E9),CK$5)))</f>
        <v>1885341.3714139448</v>
      </c>
      <c r="CL9" s="21">
        <f>IF(IF(AND(ISNA(CL$5),ISNA(CK$5)),CK9*(1+$E9),IF(AND(CK$5&gt;0,ISNA(CL$5)),CK9*(1+$E9),CL$5))&gt;$C$20,$C$20,IF(AND(ISNA(CL$5),ISNA(CK$5)),CK9*(1+$E9),IF(AND(CK$5&gt;0,ISNA(CL$5)),CK9*(1+$E9),CL$5)))</f>
        <v>2073875.5085553394</v>
      </c>
      <c r="CM9" s="21">
        <f>IF(IF(AND(ISNA(CM$5),ISNA(CL$5)),CL9*(1+$E9),IF(AND(CL$5&gt;0,ISNA(CM$5)),CL9*(1+$E9),CM$5))&gt;$C$20,$C$20,IF(AND(ISNA(CM$5),ISNA(CL$5)),CL9*(1+$E9),IF(AND(CL$5&gt;0,ISNA(CM$5)),CL9*(1+$E9),CM$5)))</f>
        <v>2281263.0594108733</v>
      </c>
      <c r="CN9" s="21">
        <f>IF(IF(AND(ISNA(CN$5),ISNA(CM$5)),CM9*(1+$E9),IF(AND(CM$5&gt;0,ISNA(CN$5)),CM9*(1+$E9),CN$5))&gt;$C$20,$C$20,IF(AND(ISNA(CN$5),ISNA(CM$5)),CM9*(1+$E9),IF(AND(CM$5&gt;0,ISNA(CN$5)),CM9*(1+$E9),CN$5)))</f>
        <v>2509389.365351961</v>
      </c>
      <c r="CO9" s="21">
        <f>IF(IF(AND(ISNA(CO$5),ISNA(CN$5)),CN9*(1+$E9),IF(AND(CN$5&gt;0,ISNA(CO$5)),CN9*(1+$E9),CO$5))&gt;$C$20,$C$20,IF(AND(ISNA(CO$5),ISNA(CN$5)),CN9*(1+$E9),IF(AND(CN$5&gt;0,ISNA(CO$5)),CN9*(1+$E9),CO$5)))</f>
        <v>2760328.3018871574</v>
      </c>
      <c r="CP9" s="21">
        <f>IF(IF(AND(ISNA(CP$5),ISNA(CO$5)),CO9*(1+$E9),IF(AND(CO$5&gt;0,ISNA(CP$5)),CO9*(1+$E9),CP$5))&gt;$C$20,$C$20,IF(AND(ISNA(CP$5),ISNA(CO$5)),CO9*(1+$E9),IF(AND(CO$5&gt;0,ISNA(CP$5)),CO9*(1+$E9),CP$5)))</f>
        <v>3036361.1320758732</v>
      </c>
      <c r="CQ9" s="21">
        <f>IF(IF(AND(ISNA(CQ$5),ISNA(CP$5)),CP9*(1+$E9),IF(AND(CP$5&gt;0,ISNA(CQ$5)),CP9*(1+$E9),CQ$5))&gt;$C$20,$C$20,IF(AND(ISNA(CQ$5),ISNA(CP$5)),CP9*(1+$E9),IF(AND(CP$5&gt;0,ISNA(CQ$5)),CP9*(1+$E9),CQ$5)))</f>
        <v>3339997.2452834607</v>
      </c>
      <c r="CR9" s="21">
        <f>IF(IF(AND(ISNA(CR$5),ISNA(CQ$5)),CQ9*(1+$E9),IF(AND(CQ$5&gt;0,ISNA(CR$5)),CQ9*(1+$E9),CR$5))&gt;$C$20,$C$20,IF(AND(ISNA(CR$5),ISNA(CQ$5)),CQ9*(1+$E9),IF(AND(CQ$5&gt;0,ISNA(CR$5)),CQ9*(1+$E9),CR$5)))</f>
        <v>3673996.9698118069</v>
      </c>
      <c r="CS9" s="21">
        <f>IF(IF(AND(ISNA(CS$5),ISNA(CR$5)),CR9*(1+$E9),IF(AND(CR$5&gt;0,ISNA(CS$5)),CR9*(1+$E9),CS$5))&gt;$C$20,$C$20,IF(AND(ISNA(CS$5),ISNA(CR$5)),CR9*(1+$E9),IF(AND(CR$5&gt;0,ISNA(CS$5)),CR9*(1+$E9),CS$5)))</f>
        <v>4041396.6667929878</v>
      </c>
      <c r="CT9" s="21">
        <f>IF(IF(AND(ISNA(CT$5),ISNA(CS$5)),CS9*(1+$E9),IF(AND(CS$5&gt;0,ISNA(CT$5)),CS9*(1+$E9),CT$5))&gt;$C$20,$C$20,IF(AND(ISNA(CT$5),ISNA(CS$5)),CS9*(1+$E9),IF(AND(CS$5&gt;0,ISNA(CT$5)),CS9*(1+$E9),CT$5)))</f>
        <v>4445536.3334722873</v>
      </c>
      <c r="CU9" s="21">
        <f>IF(IF(AND(ISNA(CU$5),ISNA(CT$5)),CT9*(1+$E9),IF(AND(CT$5&gt;0,ISNA(CU$5)),CT9*(1+$E9),CU$5))&gt;$C$20,$C$20,IF(AND(ISNA(CU$5),ISNA(CT$5)),CT9*(1+$E9),IF(AND(CT$5&gt;0,ISNA(CU$5)),CT9*(1+$E9),CU$5)))</f>
        <v>4890089.9668195164</v>
      </c>
      <c r="CV9" s="21">
        <f>IF(IF(AND(ISNA(CV$5),ISNA(CU$5)),CU9*(1+$E9),IF(AND(CU$5&gt;0,ISNA(CV$5)),CU9*(1+$E9),CV$5))&gt;$C$20,$C$20,IF(AND(ISNA(CV$5),ISNA(CU$5)),CU9*(1+$E9),IF(AND(CU$5&gt;0,ISNA(CV$5)),CU9*(1+$E9),CV$5)))</f>
        <v>5379098.9635014683</v>
      </c>
      <c r="CW9" s="21">
        <f>IF(IF(AND(ISNA(CW$5),ISNA(CV$5)),CV9*(1+$E9),IF(AND(CV$5&gt;0,ISNA(CW$5)),CV9*(1+$E9),CW$5))&gt;$C$20,$C$20,IF(AND(ISNA(CW$5),ISNA(CV$5)),CV9*(1+$E9),IF(AND(CV$5&gt;0,ISNA(CW$5)),CV9*(1+$E9),CW$5)))</f>
        <v>5917008.8598516155</v>
      </c>
      <c r="CX9" s="21">
        <f>IF(IF(AND(ISNA(CX$5),ISNA(CW$5)),CW9*(1+$E9),IF(AND(CW$5&gt;0,ISNA(CX$5)),CW9*(1+$E9),CX$5))&gt;$C$20,$C$20,IF(AND(ISNA(CX$5),ISNA(CW$5)),CW9*(1+$E9),IF(AND(CW$5&gt;0,ISNA(CX$5)),CW9*(1+$E9),CX$5)))</f>
        <v>6508709.7458367776</v>
      </c>
      <c r="CY9" s="21">
        <f>IF(IF(AND(ISNA(CY$5),ISNA(CX$5)),CX9*(1+$E9),IF(AND(CX$5&gt;0,ISNA(CY$5)),CX9*(1+$E9),CY$5))&gt;$C$20,$C$20,IF(AND(ISNA(CY$5),ISNA(CX$5)),CX9*(1+$E9),IF(AND(CX$5&gt;0,ISNA(CY$5)),CX9*(1+$E9),CY$5)))</f>
        <v>7159580.7204204556</v>
      </c>
      <c r="CZ9" s="21">
        <f>IF(IF(AND(ISNA(CZ$5),ISNA(CY$5)),CY9*(1+$E9),IF(AND(CY$5&gt;0,ISNA(CZ$5)),CY9*(1+$E9),CZ$5))&gt;$C$20,$C$20,IF(AND(ISNA(CZ$5),ISNA(CY$5)),CY9*(1+$E9),IF(AND(CY$5&gt;0,ISNA(CZ$5)),CY9*(1+$E9),CZ$5)))</f>
        <v>7875538.7924625017</v>
      </c>
      <c r="DA9" s="21">
        <f>IF(IF(AND(ISNA(DA$5),ISNA(CZ$5)),CZ9*(1+$E9),IF(AND(CZ$5&gt;0,ISNA(DA$5)),CZ9*(1+$E9),DA$5))&gt;$C$20,$C$20,IF(AND(ISNA(DA$5),ISNA(CZ$5)),CZ9*(1+$E9),IF(AND(CZ$5&gt;0,ISNA(DA$5)),CZ9*(1+$E9),DA$5)))</f>
        <v>8663092.6717087533</v>
      </c>
      <c r="DB9" s="21">
        <f>IF(IF(AND(ISNA(DB$5),ISNA(DA$5)),DA9*(1+$E9),IF(AND(DA$5&gt;0,ISNA(DB$5)),DA9*(1+$E9),DB$5))&gt;$C$20,$C$20,IF(AND(ISNA(DB$5),ISNA(DA$5)),DA9*(1+$E9),IF(AND(DA$5&gt;0,ISNA(DB$5)),DA9*(1+$E9),DB$5)))</f>
        <v>9529401.9388796296</v>
      </c>
      <c r="DC9" s="21">
        <f>IF(IF(AND(ISNA(DC$5),ISNA(DB$5)),DB9*(1+$E9),IF(AND(DB$5&gt;0,ISNA(DC$5)),DB9*(1+$E9),DC$5))&gt;$C$20,$C$20,IF(AND(ISNA(DC$5),ISNA(DB$5)),DB9*(1+$E9),IF(AND(DB$5&gt;0,ISNA(DC$5)),DB9*(1+$E9),DC$5)))</f>
        <v>10482342.132767593</v>
      </c>
      <c r="DD9" s="21">
        <f>IF(IF(AND(ISNA(DD$5),ISNA(DC$5)),DC9*(1+$E9),IF(AND(DC$5&gt;0,ISNA(DD$5)),DC9*(1+$E9),DD$5))&gt;$C$20,$C$20,IF(AND(ISNA(DD$5),ISNA(DC$5)),DC9*(1+$E9),IF(AND(DC$5&gt;0,ISNA(DD$5)),DC9*(1+$E9),DD$5)))</f>
        <v>11530576.346044354</v>
      </c>
      <c r="DE9" s="21">
        <f>IF(IF(AND(ISNA(DE$5),ISNA(DD$5)),DD9*(1+$E9),IF(AND(DD$5&gt;0,ISNA(DE$5)),DD9*(1+$E9),DE$5))&gt;$C$20,$C$20,IF(AND(ISNA(DE$5),ISNA(DD$5)),DD9*(1+$E9),IF(AND(DD$5&gt;0,ISNA(DE$5)),DD9*(1+$E9),DE$5)))</f>
        <v>12683633.980648791</v>
      </c>
      <c r="DF9" s="21">
        <f>IF(IF(AND(ISNA(DF$5),ISNA(DE$5)),DE9*(1+$E9),IF(AND(DE$5&gt;0,ISNA(DF$5)),DE9*(1+$E9),DF$5))&gt;$C$20,$C$20,IF(AND(ISNA(DF$5),ISNA(DE$5)),DE9*(1+$E9),IF(AND(DE$5&gt;0,ISNA(DF$5)),DE9*(1+$E9),DF$5)))</f>
        <v>13951997.378713671</v>
      </c>
      <c r="DG9" s="21">
        <f>IF(IF(AND(ISNA(DG$5),ISNA(DF$5)),DF9*(1+$E9),IF(AND(DF$5&gt;0,ISNA(DG$5)),DF9*(1+$E9),DG$5))&gt;$C$20,$C$20,IF(AND(ISNA(DG$5),ISNA(DF$5)),DF9*(1+$E9),IF(AND(DF$5&gt;0,ISNA(DG$5)),DF9*(1+$E9),DG$5)))</f>
        <v>15347197.116585039</v>
      </c>
      <c r="DH9" s="21">
        <f>IF(IF(AND(ISNA(DH$5),ISNA(DG$5)),DG9*(1+$E9),IF(AND(DG$5&gt;0,ISNA(DH$5)),DG9*(1+$E9),DH$5))&gt;$C$20,$C$20,IF(AND(ISNA(DH$5),ISNA(DG$5)),DG9*(1+$E9),IF(AND(DG$5&gt;0,ISNA(DH$5)),DG9*(1+$E9),DH$5)))</f>
        <v>16881916.828243542</v>
      </c>
      <c r="DI9" s="21">
        <f>IF(IF(AND(ISNA(DI$5),ISNA(DH$5)),DH9*(1+$E9),IF(AND(DH$5&gt;0,ISNA(DI$5)),DH9*(1+$E9),DI$5))&gt;$C$20,$C$20,IF(AND(ISNA(DI$5),ISNA(DH$5)),DH9*(1+$E9),IF(AND(DH$5&gt;0,ISNA(DI$5)),DH9*(1+$E9),DI$5)))</f>
        <v>18570108.511067897</v>
      </c>
      <c r="DJ9" s="21">
        <f>IF(IF(AND(ISNA(DJ$5),ISNA(DI$5)),DI9*(1+$E9),IF(AND(DI$5&gt;0,ISNA(DJ$5)),DI9*(1+$E9),DJ$5))&gt;$C$20,$C$20,IF(AND(ISNA(DJ$5),ISNA(DI$5)),DI9*(1+$E9),IF(AND(DI$5&gt;0,ISNA(DJ$5)),DI9*(1+$E9),DJ$5)))</f>
        <v>20427119.36217469</v>
      </c>
      <c r="DK9" s="21">
        <f>IF(IF(AND(ISNA(DK$5),ISNA(DJ$5)),DJ9*(1+$E9),IF(AND(DJ$5&gt;0,ISNA(DK$5)),DJ9*(1+$E9),DK$5))&gt;$C$20,$C$20,IF(AND(ISNA(DK$5),ISNA(DJ$5)),DJ9*(1+$E9),IF(AND(DJ$5&gt;0,ISNA(DK$5)),DJ9*(1+$E9),DK$5)))</f>
        <v>22469831.298392162</v>
      </c>
      <c r="DL9" s="21">
        <f>IF(IF(AND(ISNA(DL$5),ISNA(DK$5)),DK9*(1+$E9),IF(AND(DK$5&gt;0,ISNA(DL$5)),DK9*(1+$E9),DL$5))&gt;$C$20,$C$20,IF(AND(ISNA(DL$5),ISNA(DK$5)),DK9*(1+$E9),IF(AND(DK$5&gt;0,ISNA(DL$5)),DK9*(1+$E9),DL$5)))</f>
        <v>24716814.428231381</v>
      </c>
      <c r="DM9" s="21">
        <f>IF(IF(AND(ISNA(DM$5),ISNA(DL$5)),DL9*(1+$E9),IF(AND(DL$5&gt;0,ISNA(DM$5)),DL9*(1+$E9),DM$5))&gt;$C$20,$C$20,IF(AND(ISNA(DM$5),ISNA(DL$5)),DL9*(1+$E9),IF(AND(DL$5&gt;0,ISNA(DM$5)),DL9*(1+$E9),DM$5)))</f>
        <v>27154404.400000002</v>
      </c>
      <c r="DN9" s="21">
        <f>IF(IF(AND(ISNA(DN$5),ISNA(DM$5)),DM9*(1+$E9),IF(AND(DM$5&gt;0,ISNA(DN$5)),DM9*(1+$E9),DN$5))&gt;$C$20,$C$20,IF(AND(ISNA(DN$5),ISNA(DM$5)),DM9*(1+$E9),IF(AND(DM$5&gt;0,ISNA(DN$5)),DM9*(1+$E9),DN$5)))</f>
        <v>27154404.400000002</v>
      </c>
      <c r="DO9" s="21">
        <f>IF(IF(AND(ISNA(DO$5),ISNA(DN$5)),DN9*(1+$E9),IF(AND(DN$5&gt;0,ISNA(DO$5)),DN9*(1+$E9),DO$5))&gt;$C$20,$C$20,IF(AND(ISNA(DO$5),ISNA(DN$5)),DN9*(1+$E9),IF(AND(DN$5&gt;0,ISNA(DO$5)),DN9*(1+$E9),DO$5)))</f>
        <v>27154404.400000002</v>
      </c>
      <c r="DP9" s="21">
        <f>IF(IF(AND(ISNA(DP$5),ISNA(DO$5)),DO9*(1+$E9),IF(AND(DO$5&gt;0,ISNA(DP$5)),DO9*(1+$E9),DP$5))&gt;$C$20,$C$20,IF(AND(ISNA(DP$5),ISNA(DO$5)),DO9*(1+$E9),IF(AND(DO$5&gt;0,ISNA(DP$5)),DO9*(1+$E9),DP$5)))</f>
        <v>27154404.400000002</v>
      </c>
      <c r="DQ9" s="21">
        <f>IF(IF(AND(ISNA(DQ$5),ISNA(DP$5)),DP9*(1+$E9),IF(AND(DP$5&gt;0,ISNA(DQ$5)),DP9*(1+$E9),DQ$5))&gt;$C$20,$C$20,IF(AND(ISNA(DQ$5),ISNA(DP$5)),DP9*(1+$E9),IF(AND(DP$5&gt;0,ISNA(DQ$5)),DP9*(1+$E9),DQ$5)))</f>
        <v>27154404.400000002</v>
      </c>
      <c r="DR9" s="21">
        <f>IF(IF(AND(ISNA(DR$5),ISNA(DQ$5)),DQ9*(1+$E9),IF(AND(DQ$5&gt;0,ISNA(DR$5)),DQ9*(1+$E9),DR$5))&gt;$C$20,$C$20,IF(AND(ISNA(DR$5),ISNA(DQ$5)),DQ9*(1+$E9),IF(AND(DQ$5&gt;0,ISNA(DR$5)),DQ9*(1+$E9),DR$5)))</f>
        <v>27154404.400000002</v>
      </c>
      <c r="DS9" s="21">
        <f>IF(IF(AND(ISNA(DS$5),ISNA(DR$5)),DR9*(1+$E9),IF(AND(DR$5&gt;0,ISNA(DS$5)),DR9*(1+$E9),DS$5))&gt;$C$20,$C$20,IF(AND(ISNA(DS$5),ISNA(DR$5)),DR9*(1+$E9),IF(AND(DR$5&gt;0,ISNA(DS$5)),DR9*(1+$E9),DS$5)))</f>
        <v>27154404.400000002</v>
      </c>
      <c r="DT9" s="21">
        <f>IF(IF(AND(ISNA(DT$5),ISNA(DS$5)),DS9*(1+$E9),IF(AND(DS$5&gt;0,ISNA(DT$5)),DS9*(1+$E9),DT$5))&gt;$C$20,$C$20,IF(AND(ISNA(DT$5),ISNA(DS$5)),DS9*(1+$E9),IF(AND(DS$5&gt;0,ISNA(DT$5)),DS9*(1+$E9),DT$5)))</f>
        <v>27154404.400000002</v>
      </c>
      <c r="DU9" s="21">
        <f>IF(IF(AND(ISNA(DU$5),ISNA(DT$5)),DT9*(1+$E9),IF(AND(DT$5&gt;0,ISNA(DU$5)),DT9*(1+$E9),DU$5))&gt;$C$20,$C$20,IF(AND(ISNA(DU$5),ISNA(DT$5)),DT9*(1+$E9),IF(AND(DT$5&gt;0,ISNA(DU$5)),DT9*(1+$E9),DU$5)))</f>
        <v>27154404.400000002</v>
      </c>
      <c r="DV9" s="21">
        <f>IF(IF(AND(ISNA(DV$5),ISNA(DU$5)),DU9*(1+$E9),IF(AND(DU$5&gt;0,ISNA(DV$5)),DU9*(1+$E9),DV$5))&gt;$C$20,$C$20,IF(AND(ISNA(DV$5),ISNA(DU$5)),DU9*(1+$E9),IF(AND(DU$5&gt;0,ISNA(DV$5)),DU9*(1+$E9),DV$5)))</f>
        <v>27154404.400000002</v>
      </c>
      <c r="DW9" s="21">
        <f>IF(IF(AND(ISNA(DW$5),ISNA(DV$5)),DV9*(1+$E9),IF(AND(DV$5&gt;0,ISNA(DW$5)),DV9*(1+$E9),DW$5))&gt;$C$20,$C$20,IF(AND(ISNA(DW$5),ISNA(DV$5)),DV9*(1+$E9),IF(AND(DV$5&gt;0,ISNA(DW$5)),DV9*(1+$E9),DW$5)))</f>
        <v>27154404.400000002</v>
      </c>
      <c r="DX9" s="21">
        <f>IF(IF(AND(ISNA(DX$5),ISNA(DW$5)),DW9*(1+$E9),IF(AND(DW$5&gt;0,ISNA(DX$5)),DW9*(1+$E9),DX$5))&gt;$C$20,$C$20,IF(AND(ISNA(DX$5),ISNA(DW$5)),DW9*(1+$E9),IF(AND(DW$5&gt;0,ISNA(DX$5)),DW9*(1+$E9),DX$5)))</f>
        <v>27154404.400000002</v>
      </c>
      <c r="DY9" s="21">
        <f>IF(IF(AND(ISNA(DY$5),ISNA(DX$5)),DX9*(1+$E9),IF(AND(DX$5&gt;0,ISNA(DY$5)),DX9*(1+$E9),DY$5))&gt;$C$20,$C$20,IF(AND(ISNA(DY$5),ISNA(DX$5)),DX9*(1+$E9),IF(AND(DX$5&gt;0,ISNA(DY$5)),DX9*(1+$E9),DY$5)))</f>
        <v>27154404.400000002</v>
      </c>
      <c r="DZ9" s="21">
        <f>IF(IF(AND(ISNA(DZ$5),ISNA(DY$5)),DY9*(1+$E9),IF(AND(DY$5&gt;0,ISNA(DZ$5)),DY9*(1+$E9),DZ$5))&gt;$C$20,$C$20,IF(AND(ISNA(DZ$5),ISNA(DY$5)),DY9*(1+$E9),IF(AND(DY$5&gt;0,ISNA(DZ$5)),DY9*(1+$E9),DZ$5)))</f>
        <v>27154404.400000002</v>
      </c>
      <c r="EA9" s="21">
        <f>IF(IF(AND(ISNA(EA$5),ISNA(DZ$5)),DZ9*(1+$E9),IF(AND(DZ$5&gt;0,ISNA(EA$5)),DZ9*(1+$E9),EA$5))&gt;$C$20,$C$20,IF(AND(ISNA(EA$5),ISNA(DZ$5)),DZ9*(1+$E9),IF(AND(DZ$5&gt;0,ISNA(EA$5)),DZ9*(1+$E9),EA$5)))</f>
        <v>27154404.400000002</v>
      </c>
      <c r="EB9" s="21">
        <f>IF(IF(AND(ISNA(EB$5),ISNA(EA$5)),EA9*(1+$E9),IF(AND(EA$5&gt;0,ISNA(EB$5)),EA9*(1+$E9),EB$5))&gt;$C$20,$C$20,IF(AND(ISNA(EB$5),ISNA(EA$5)),EA9*(1+$E9),IF(AND(EA$5&gt;0,ISNA(EB$5)),EA9*(1+$E9),EB$5)))</f>
        <v>27154404.400000002</v>
      </c>
      <c r="EC9" s="21">
        <f>IF(IF(AND(ISNA(EC$5),ISNA(EB$5)),EB9*(1+$E9),IF(AND(EB$5&gt;0,ISNA(EC$5)),EB9*(1+$E9),EC$5))&gt;$C$20,$C$20,IF(AND(ISNA(EC$5),ISNA(EB$5)),EB9*(1+$E9),IF(AND(EB$5&gt;0,ISNA(EC$5)),EB9*(1+$E9),EC$5)))</f>
        <v>27154404.400000002</v>
      </c>
      <c r="ED9" s="21">
        <f>IF(IF(AND(ISNA(ED$5),ISNA(EC$5)),EC9*(1+$E9),IF(AND(EC$5&gt;0,ISNA(ED$5)),EC9*(1+$E9),ED$5))&gt;$C$20,$C$20,IF(AND(ISNA(ED$5),ISNA(EC$5)),EC9*(1+$E9),IF(AND(EC$5&gt;0,ISNA(ED$5)),EC9*(1+$E9),ED$5)))</f>
        <v>27154404.400000002</v>
      </c>
      <c r="EE9" s="21">
        <f>IF(IF(AND(ISNA(EE$5),ISNA(ED$5)),ED9*(1+$E9),IF(AND(ED$5&gt;0,ISNA(EE$5)),ED9*(1+$E9),EE$5))&gt;$C$20,$C$20,IF(AND(ISNA(EE$5),ISNA(ED$5)),ED9*(1+$E9),IF(AND(ED$5&gt;0,ISNA(EE$5)),ED9*(1+$E9),EE$5)))</f>
        <v>27154404.400000002</v>
      </c>
      <c r="EF9" s="21">
        <f>IF(IF(AND(ISNA(EF$5),ISNA(EE$5)),EE9*(1+$E9),IF(AND(EE$5&gt;0,ISNA(EF$5)),EE9*(1+$E9),EF$5))&gt;$C$20,$C$20,IF(AND(ISNA(EF$5),ISNA(EE$5)),EE9*(1+$E9),IF(AND(EE$5&gt;0,ISNA(EF$5)),EE9*(1+$E9),EF$5)))</f>
        <v>27154404.400000002</v>
      </c>
      <c r="EG9" s="21">
        <f>IF(IF(AND(ISNA(EG$5),ISNA(EF$5)),EF9*(1+$E9),IF(AND(EF$5&gt;0,ISNA(EG$5)),EF9*(1+$E9),EG$5))&gt;$C$20,$C$20,IF(AND(ISNA(EG$5),ISNA(EF$5)),EF9*(1+$E9),IF(AND(EF$5&gt;0,ISNA(EG$5)),EF9*(1+$E9),EG$5)))</f>
        <v>27154404.400000002</v>
      </c>
      <c r="EH9" s="21">
        <f>IF(IF(AND(ISNA(EH$5),ISNA(EG$5)),EG9*(1+$E9),IF(AND(EG$5&gt;0,ISNA(EH$5)),EG9*(1+$E9),EH$5))&gt;$C$20,$C$20,IF(AND(ISNA(EH$5),ISNA(EG$5)),EG9*(1+$E9),IF(AND(EG$5&gt;0,ISNA(EH$5)),EG9*(1+$E9),EH$5)))</f>
        <v>27154404.400000002</v>
      </c>
      <c r="EI9" s="21">
        <f>IF(IF(AND(ISNA(EI$5),ISNA(EH$5)),EH9*(1+$E9),IF(AND(EH$5&gt;0,ISNA(EI$5)),EH9*(1+$E9),EI$5))&gt;$C$20,$C$20,IF(AND(ISNA(EI$5),ISNA(EH$5)),EH9*(1+$E9),IF(AND(EH$5&gt;0,ISNA(EI$5)),EH9*(1+$E9),EI$5)))</f>
        <v>27154404.400000002</v>
      </c>
      <c r="EJ9" s="21">
        <f>IF(IF(AND(ISNA(EJ$5),ISNA(EI$5)),EI9*(1+$E9),IF(AND(EI$5&gt;0,ISNA(EJ$5)),EI9*(1+$E9),EJ$5))&gt;$C$20,$C$20,IF(AND(ISNA(EJ$5),ISNA(EI$5)),EI9*(1+$E9),IF(AND(EI$5&gt;0,ISNA(EJ$5)),EI9*(1+$E9),EJ$5)))</f>
        <v>27154404.400000002</v>
      </c>
      <c r="EK9" s="21">
        <f>IF(IF(AND(ISNA(EK$5),ISNA(EJ$5)),EJ9*(1+$E9),IF(AND(EJ$5&gt;0,ISNA(EK$5)),EJ9*(1+$E9),EK$5))&gt;$C$20,$C$20,IF(AND(ISNA(EK$5),ISNA(EJ$5)),EJ9*(1+$E9),IF(AND(EJ$5&gt;0,ISNA(EK$5)),EJ9*(1+$E9),EK$5)))</f>
        <v>27154404.400000002</v>
      </c>
      <c r="EL9" s="21">
        <f>IF(IF(AND(ISNA(EL$5),ISNA(EK$5)),EK9*(1+$E9),IF(AND(EK$5&gt;0,ISNA(EL$5)),EK9*(1+$E9),EL$5))&gt;$C$20,$C$20,IF(AND(ISNA(EL$5),ISNA(EK$5)),EK9*(1+$E9),IF(AND(EK$5&gt;0,ISNA(EL$5)),EK9*(1+$E9),EL$5)))</f>
        <v>27154404.400000002</v>
      </c>
      <c r="EM9" s="21">
        <f>IF(IF(AND(ISNA(EM$5),ISNA(EL$5)),EL9*(1+$E9),IF(AND(EL$5&gt;0,ISNA(EM$5)),EL9*(1+$E9),EM$5))&gt;$C$20,$C$20,IF(AND(ISNA(EM$5),ISNA(EL$5)),EL9*(1+$E9),IF(AND(EL$5&gt;0,ISNA(EM$5)),EL9*(1+$E9),EM$5)))</f>
        <v>27154404.400000002</v>
      </c>
      <c r="EN9" s="21">
        <f>IF(IF(AND(ISNA(EN$5),ISNA(EM$5)),EM9*(1+$E9),IF(AND(EM$5&gt;0,ISNA(EN$5)),EM9*(1+$E9),EN$5))&gt;$C$20,$C$20,IF(AND(ISNA(EN$5),ISNA(EM$5)),EM9*(1+$E9),IF(AND(EM$5&gt;0,ISNA(EN$5)),EM9*(1+$E9),EN$5)))</f>
        <v>27154404.400000002</v>
      </c>
      <c r="EO9" s="21">
        <f>IF(IF(AND(ISNA(EO$5),ISNA(EN$5)),EN9*(1+$E9),IF(AND(EN$5&gt;0,ISNA(EO$5)),EN9*(1+$E9),EO$5))&gt;$C$20,$C$20,IF(AND(ISNA(EO$5),ISNA(EN$5)),EN9*(1+$E9),IF(AND(EN$5&gt;0,ISNA(EO$5)),EN9*(1+$E9),EO$5)))</f>
        <v>27154404.400000002</v>
      </c>
      <c r="EP9" s="21">
        <f>IF(IF(AND(ISNA(EP$5),ISNA(EO$5)),EO9*(1+$E9),IF(AND(EO$5&gt;0,ISNA(EP$5)),EO9*(1+$E9),EP$5))&gt;$C$20,$C$20,IF(AND(ISNA(EP$5),ISNA(EO$5)),EO9*(1+$E9),IF(AND(EO$5&gt;0,ISNA(EP$5)),EO9*(1+$E9),EP$5)))</f>
        <v>27154404.400000002</v>
      </c>
      <c r="EQ9" s="21">
        <f>IF(IF(AND(ISNA(EQ$5),ISNA(EP$5)),EP9*(1+$E9),IF(AND(EP$5&gt;0,ISNA(EQ$5)),EP9*(1+$E9),EQ$5))&gt;$C$20,$C$20,IF(AND(ISNA(EQ$5),ISNA(EP$5)),EP9*(1+$E9),IF(AND(EP$5&gt;0,ISNA(EQ$5)),EP9*(1+$E9),EQ$5)))</f>
        <v>27154404.400000002</v>
      </c>
      <c r="ER9" s="21">
        <f>IF(IF(AND(ISNA(ER$5),ISNA(EQ$5)),EQ9*(1+$E9),IF(AND(EQ$5&gt;0,ISNA(ER$5)),EQ9*(1+$E9),ER$5))&gt;$C$20,$C$20,IF(AND(ISNA(ER$5),ISNA(EQ$5)),EQ9*(1+$E9),IF(AND(EQ$5&gt;0,ISNA(ER$5)),EQ9*(1+$E9),ER$5)))</f>
        <v>27154404.400000002</v>
      </c>
      <c r="ES9" s="21">
        <f>IF(IF(AND(ISNA(ES$5),ISNA(ER$5)),ER9*(1+$E9),IF(AND(ER$5&gt;0,ISNA(ES$5)),ER9*(1+$E9),ES$5))&gt;$C$20,$C$20,IF(AND(ISNA(ES$5),ISNA(ER$5)),ER9*(1+$E9),IF(AND(ER$5&gt;0,ISNA(ES$5)),ER9*(1+$E9),ES$5)))</f>
        <v>27154404.400000002</v>
      </c>
      <c r="ET9" s="21">
        <f>IF(IF(AND(ISNA(ET$5),ISNA(ES$5)),ES9*(1+$E9),IF(AND(ES$5&gt;0,ISNA(ET$5)),ES9*(1+$E9),ET$5))&gt;$C$20,$C$20,IF(AND(ISNA(ET$5),ISNA(ES$5)),ES9*(1+$E9),IF(AND(ES$5&gt;0,ISNA(ET$5)),ES9*(1+$E9),ET$5)))</f>
        <v>27154404.400000002</v>
      </c>
      <c r="EU9" s="21">
        <f>IF(IF(AND(ISNA(EU$5),ISNA(ET$5)),ET9*(1+$E9),IF(AND(ET$5&gt;0,ISNA(EU$5)),ET9*(1+$E9),EU$5))&gt;$C$20,$C$20,IF(AND(ISNA(EU$5),ISNA(ET$5)),ET9*(1+$E9),IF(AND(ET$5&gt;0,ISNA(EU$5)),ET9*(1+$E9),EU$5)))</f>
        <v>27154404.400000002</v>
      </c>
      <c r="EV9" s="21">
        <f>IF(IF(AND(ISNA(EV$5),ISNA(EU$5)),EU9*(1+$E9),IF(AND(EU$5&gt;0,ISNA(EV$5)),EU9*(1+$E9),EV$5))&gt;$C$20,$C$20,IF(AND(ISNA(EV$5),ISNA(EU$5)),EU9*(1+$E9),IF(AND(EU$5&gt;0,ISNA(EV$5)),EU9*(1+$E9),EV$5)))</f>
        <v>27154404.400000002</v>
      </c>
      <c r="EW9" s="21">
        <f>IF(IF(AND(ISNA(EW$5),ISNA(EV$5)),EV9*(1+$E9),IF(AND(EV$5&gt;0,ISNA(EW$5)),EV9*(1+$E9),EW$5))&gt;$C$20,$C$20,IF(AND(ISNA(EW$5),ISNA(EV$5)),EV9*(1+$E9),IF(AND(EV$5&gt;0,ISNA(EW$5)),EV9*(1+$E9),EW$5)))</f>
        <v>27154404.400000002</v>
      </c>
      <c r="EX9" s="21">
        <f>IF(IF(AND(ISNA(EX$5),ISNA(EW$5)),EW9*(1+$E9),IF(AND(EW$5&gt;0,ISNA(EX$5)),EW9*(1+$E9),EX$5))&gt;$C$20,$C$20,IF(AND(ISNA(EX$5),ISNA(EW$5)),EW9*(1+$E9),IF(AND(EW$5&gt;0,ISNA(EX$5)),EW9*(1+$E9),EX$5)))</f>
        <v>27154404.400000002</v>
      </c>
      <c r="EY9" s="21">
        <f>IF(IF(AND(ISNA(EY$5),ISNA(EX$5)),EX9*(1+$E9),IF(AND(EX$5&gt;0,ISNA(EY$5)),EX9*(1+$E9),EY$5))&gt;$C$20,$C$20,IF(AND(ISNA(EY$5),ISNA(EX$5)),EX9*(1+$E9),IF(AND(EX$5&gt;0,ISNA(EY$5)),EX9*(1+$E9),EY$5)))</f>
        <v>27154404.400000002</v>
      </c>
      <c r="EZ9" s="21">
        <f>IF(IF(AND(ISNA(EZ$5),ISNA(EY$5)),EY9*(1+$E9),IF(AND(EY$5&gt;0,ISNA(EZ$5)),EY9*(1+$E9),EZ$5))&gt;$C$20,$C$20,IF(AND(ISNA(EZ$5),ISNA(EY$5)),EY9*(1+$E9),IF(AND(EY$5&gt;0,ISNA(EZ$5)),EY9*(1+$E9),EZ$5)))</f>
        <v>27154404.400000002</v>
      </c>
      <c r="FA9" s="21">
        <f>IF(IF(AND(ISNA(FA$5),ISNA(EZ$5)),EZ9*(1+$E9),IF(AND(EZ$5&gt;0,ISNA(FA$5)),EZ9*(1+$E9),FA$5))&gt;$C$20,$C$20,IF(AND(ISNA(FA$5),ISNA(EZ$5)),EZ9*(1+$E9),IF(AND(EZ$5&gt;0,ISNA(FA$5)),EZ9*(1+$E9),FA$5)))</f>
        <v>27154404.400000002</v>
      </c>
      <c r="FB9" s="21">
        <f>IF(IF(AND(ISNA(FB$5),ISNA(FA$5)),FA9*(1+$E9),IF(AND(FA$5&gt;0,ISNA(FB$5)),FA9*(1+$E9),FB$5))&gt;$C$20,$C$20,IF(AND(ISNA(FB$5),ISNA(FA$5)),FA9*(1+$E9),IF(AND(FA$5&gt;0,ISNA(FB$5)),FA9*(1+$E9),FB$5)))</f>
        <v>27154404.400000002</v>
      </c>
      <c r="FC9" s="21">
        <f>IF(IF(AND(ISNA(FC$5),ISNA(FB$5)),FB9*(1+$E9),IF(AND(FB$5&gt;0,ISNA(FC$5)),FB9*(1+$E9),FC$5))&gt;$C$20,$C$20,IF(AND(ISNA(FC$5),ISNA(FB$5)),FB9*(1+$E9),IF(AND(FB$5&gt;0,ISNA(FC$5)),FB9*(1+$E9),FC$5)))</f>
        <v>27154404.400000002</v>
      </c>
      <c r="FD9" s="21">
        <f>IF(IF(AND(ISNA(FD$5),ISNA(FC$5)),FC9*(1+$E9),IF(AND(FC$5&gt;0,ISNA(FD$5)),FC9*(1+$E9),FD$5))&gt;$C$20,$C$20,IF(AND(ISNA(FD$5),ISNA(FC$5)),FC9*(1+$E9),IF(AND(FC$5&gt;0,ISNA(FD$5)),FC9*(1+$E9),FD$5)))</f>
        <v>27154404.400000002</v>
      </c>
      <c r="FE9" s="21">
        <f>IF(IF(AND(ISNA(FE$5),ISNA(FD$5)),FD9*(1+$E9),IF(AND(FD$5&gt;0,ISNA(FE$5)),FD9*(1+$E9),FE$5))&gt;$C$20,$C$20,IF(AND(ISNA(FE$5),ISNA(FD$5)),FD9*(1+$E9),IF(AND(FD$5&gt;0,ISNA(FE$5)),FD9*(1+$E9),FE$5)))</f>
        <v>27154404.400000002</v>
      </c>
      <c r="FF9" s="21">
        <f>IF(IF(AND(ISNA(FF$5),ISNA(FE$5)),FE9*(1+$E9),IF(AND(FE$5&gt;0,ISNA(FF$5)),FE9*(1+$E9),FF$5))&gt;$C$20,$C$20,IF(AND(ISNA(FF$5),ISNA(FE$5)),FE9*(1+$E9),IF(AND(FE$5&gt;0,ISNA(FF$5)),FE9*(1+$E9),FF$5)))</f>
        <v>27154404.400000002</v>
      </c>
      <c r="FG9" s="21">
        <f>IF(IF(AND(ISNA(FG$5),ISNA(FF$5)),FF9*(1+$E9),IF(AND(FF$5&gt;0,ISNA(FG$5)),FF9*(1+$E9),FG$5))&gt;$C$20,$C$20,IF(AND(ISNA(FG$5),ISNA(FF$5)),FF9*(1+$E9),IF(AND(FF$5&gt;0,ISNA(FG$5)),FF9*(1+$E9),FG$5)))</f>
        <v>27154404.400000002</v>
      </c>
      <c r="FH9" s="21">
        <f>IF(IF(AND(ISNA(FH$5),ISNA(FG$5)),FG9*(1+$E9),IF(AND(FG$5&gt;0,ISNA(FH$5)),FG9*(1+$E9),FH$5))&gt;$C$20,$C$20,IF(AND(ISNA(FH$5),ISNA(FG$5)),FG9*(1+$E9),IF(AND(FG$5&gt;0,ISNA(FH$5)),FG9*(1+$E9),FH$5)))</f>
        <v>27154404.400000002</v>
      </c>
      <c r="FI9" s="21">
        <f>IF(IF(AND(ISNA(FI$5),ISNA(FH$5)),FH9*(1+$E9),IF(AND(FH$5&gt;0,ISNA(FI$5)),FH9*(1+$E9),FI$5))&gt;$C$20,$C$20,IF(AND(ISNA(FI$5),ISNA(FH$5)),FH9*(1+$E9),IF(AND(FH$5&gt;0,ISNA(FI$5)),FH9*(1+$E9),FI$5)))</f>
        <v>27154404.400000002</v>
      </c>
      <c r="FJ9" s="21">
        <f>IF(IF(AND(ISNA(FJ$5),ISNA(FI$5)),FI9*(1+$E9),IF(AND(FI$5&gt;0,ISNA(FJ$5)),FI9*(1+$E9),FJ$5))&gt;$C$20,$C$20,IF(AND(ISNA(FJ$5),ISNA(FI$5)),FI9*(1+$E9),IF(AND(FI$5&gt;0,ISNA(FJ$5)),FI9*(1+$E9),FJ$5)))</f>
        <v>27154404.400000002</v>
      </c>
      <c r="FK9" s="21">
        <f>IF(IF(AND(ISNA(FK$5),ISNA(FJ$5)),FJ9*(1+$E9),IF(AND(FJ$5&gt;0,ISNA(FK$5)),FJ9*(1+$E9),FK$5))&gt;$C$20,$C$20,IF(AND(ISNA(FK$5),ISNA(FJ$5)),FJ9*(1+$E9),IF(AND(FJ$5&gt;0,ISNA(FK$5)),FJ9*(1+$E9),FK$5)))</f>
        <v>27154404.400000002</v>
      </c>
      <c r="FL9" s="21">
        <f>IF(IF(AND(ISNA(FL$5),ISNA(FK$5)),FK9*(1+$E9),IF(AND(FK$5&gt;0,ISNA(FL$5)),FK9*(1+$E9),FL$5))&gt;$C$20,$C$20,IF(AND(ISNA(FL$5),ISNA(FK$5)),FK9*(1+$E9),IF(AND(FK$5&gt;0,ISNA(FL$5)),FK9*(1+$E9),FL$5)))</f>
        <v>27154404.400000002</v>
      </c>
      <c r="FM9" s="21">
        <f>IF(IF(AND(ISNA(FM$5),ISNA(FL$5)),FL9*(1+$E9),IF(AND(FL$5&gt;0,ISNA(FM$5)),FL9*(1+$E9),FM$5))&gt;$C$20,$C$20,IF(AND(ISNA(FM$5),ISNA(FL$5)),FL9*(1+$E9),IF(AND(FL$5&gt;0,ISNA(FM$5)),FL9*(1+$E9),FM$5)))</f>
        <v>27154404.400000002</v>
      </c>
      <c r="FN9" s="21">
        <f>IF(IF(AND(ISNA(FN$5),ISNA(FM$5)),FM9*(1+$E9),IF(AND(FM$5&gt;0,ISNA(FN$5)),FM9*(1+$E9),FN$5))&gt;$C$20,$C$20,IF(AND(ISNA(FN$5),ISNA(FM$5)),FM9*(1+$E9),IF(AND(FM$5&gt;0,ISNA(FN$5)),FM9*(1+$E9),FN$5)))</f>
        <v>27154404.400000002</v>
      </c>
      <c r="FO9" s="21">
        <f>IF(IF(AND(ISNA(FO$5),ISNA(FN$5)),FN9*(1+$E9),IF(AND(FN$5&gt;0,ISNA(FO$5)),FN9*(1+$E9),FO$5))&gt;$C$20,$C$20,IF(AND(ISNA(FO$5),ISNA(FN$5)),FN9*(1+$E9),IF(AND(FN$5&gt;0,ISNA(FO$5)),FN9*(1+$E9),FO$5)))</f>
        <v>27154404.400000002</v>
      </c>
      <c r="FP9" s="21">
        <f>IF(IF(AND(ISNA(FP$5),ISNA(FO$5)),FO9*(1+$E9),IF(AND(FO$5&gt;0,ISNA(FP$5)),FO9*(1+$E9),FP$5))&gt;$C$20,$C$20,IF(AND(ISNA(FP$5),ISNA(FO$5)),FO9*(1+$E9),IF(AND(FO$5&gt;0,ISNA(FP$5)),FO9*(1+$E9),FP$5)))</f>
        <v>27154404.400000002</v>
      </c>
      <c r="FQ9" s="21">
        <f>IF(IF(AND(ISNA(FQ$5),ISNA(FP$5)),FP9*(1+$E9),IF(AND(FP$5&gt;0,ISNA(FQ$5)),FP9*(1+$E9),FQ$5))&gt;$C$20,$C$20,IF(AND(ISNA(FQ$5),ISNA(FP$5)),FP9*(1+$E9),IF(AND(FP$5&gt;0,ISNA(FQ$5)),FP9*(1+$E9),FQ$5)))</f>
        <v>27154404.400000002</v>
      </c>
      <c r="FR9" s="21">
        <f>IF(IF(AND(ISNA(FR$5),ISNA(FQ$5)),FQ9*(1+$E9),IF(AND(FQ$5&gt;0,ISNA(FR$5)),FQ9*(1+$E9),FR$5))&gt;$C$20,$C$20,IF(AND(ISNA(FR$5),ISNA(FQ$5)),FQ9*(1+$E9),IF(AND(FQ$5&gt;0,ISNA(FR$5)),FQ9*(1+$E9),FR$5)))</f>
        <v>27154404.400000002</v>
      </c>
      <c r="FS9" s="21">
        <f>IF(IF(AND(ISNA(FS$5),ISNA(FR$5)),FR9*(1+$E9),IF(AND(FR$5&gt;0,ISNA(FS$5)),FR9*(1+$E9),FS$5))&gt;$C$20,$C$20,IF(AND(ISNA(FS$5),ISNA(FR$5)),FR9*(1+$E9),IF(AND(FR$5&gt;0,ISNA(FS$5)),FR9*(1+$E9),FS$5)))</f>
        <v>27154404.400000002</v>
      </c>
      <c r="FT9" s="21">
        <f>IF(IF(AND(ISNA(FT$5),ISNA(FS$5)),FS9*(1+$E9),IF(AND(FS$5&gt;0,ISNA(FT$5)),FS9*(1+$E9),FT$5))&gt;$C$20,$C$20,IF(AND(ISNA(FT$5),ISNA(FS$5)),FS9*(1+$E9),IF(AND(FS$5&gt;0,ISNA(FT$5)),FS9*(1+$E9),FT$5)))</f>
        <v>27154404.400000002</v>
      </c>
      <c r="FU9" s="21">
        <f>IF(IF(AND(ISNA(FU$5),ISNA(FT$5)),FT9*(1+$E9),IF(AND(FT$5&gt;0,ISNA(FU$5)),FT9*(1+$E9),FU$5))&gt;$C$20,$C$20,IF(AND(ISNA(FU$5),ISNA(FT$5)),FT9*(1+$E9),IF(AND(FT$5&gt;0,ISNA(FU$5)),FT9*(1+$E9),FU$5)))</f>
        <v>27154404.400000002</v>
      </c>
      <c r="FV9" s="21">
        <f>IF(IF(AND(ISNA(FV$5),ISNA(FU$5)),FU9*(1+$E9),IF(AND(FU$5&gt;0,ISNA(FV$5)),FU9*(1+$E9),FV$5))&gt;$C$20,$C$20,IF(AND(ISNA(FV$5),ISNA(FU$5)),FU9*(1+$E9),IF(AND(FU$5&gt;0,ISNA(FV$5)),FU9*(1+$E9),FV$5)))</f>
        <v>27154404.400000002</v>
      </c>
      <c r="FW9" s="21">
        <f>IF(IF(AND(ISNA(FW$5),ISNA(FV$5)),FV9*(1+$E9),IF(AND(FV$5&gt;0,ISNA(FW$5)),FV9*(1+$E9),FW$5))&gt;$C$20,$C$20,IF(AND(ISNA(FW$5),ISNA(FV$5)),FV9*(1+$E9),IF(AND(FV$5&gt;0,ISNA(FW$5)),FV9*(1+$E9),FW$5)))</f>
        <v>27154404.400000002</v>
      </c>
      <c r="FX9" s="21">
        <f>IF(IF(AND(ISNA(FX$5),ISNA(FW$5)),FW9*(1+$E9),IF(AND(FW$5&gt;0,ISNA(FX$5)),FW9*(1+$E9),FX$5))&gt;$C$20,$C$20,IF(AND(ISNA(FX$5),ISNA(FW$5)),FW9*(1+$E9),IF(AND(FW$5&gt;0,ISNA(FX$5)),FW9*(1+$E9),FX$5)))</f>
        <v>27154404.400000002</v>
      </c>
      <c r="FY9" s="21">
        <f>IF(IF(AND(ISNA(FY$5),ISNA(FX$5)),FX9*(1+$E9),IF(AND(FX$5&gt;0,ISNA(FY$5)),FX9*(1+$E9),FY$5))&gt;$C$20,$C$20,IF(AND(ISNA(FY$5),ISNA(FX$5)),FX9*(1+$E9),IF(AND(FX$5&gt;0,ISNA(FY$5)),FX9*(1+$E9),FY$5)))</f>
        <v>27154404.400000002</v>
      </c>
      <c r="FZ9" s="21">
        <f>IF(IF(AND(ISNA(FZ$5),ISNA(FY$5)),FY9*(1+$E9),IF(AND(FY$5&gt;0,ISNA(FZ$5)),FY9*(1+$E9),FZ$5))&gt;$C$20,$C$20,IF(AND(ISNA(FZ$5),ISNA(FY$5)),FY9*(1+$E9),IF(AND(FY$5&gt;0,ISNA(FZ$5)),FY9*(1+$E9),FZ$5)))</f>
        <v>27154404.400000002</v>
      </c>
      <c r="GA9" s="21">
        <f>IF(IF(AND(ISNA(GA$5),ISNA(FZ$5)),FZ9*(1+$E9),IF(AND(FZ$5&gt;0,ISNA(GA$5)),FZ9*(1+$E9),GA$5))&gt;$C$20,$C$20,IF(AND(ISNA(GA$5),ISNA(FZ$5)),FZ9*(1+$E9),IF(AND(FZ$5&gt;0,ISNA(GA$5)),FZ9*(1+$E9),GA$5)))</f>
        <v>27154404.400000002</v>
      </c>
      <c r="GB9" s="21">
        <f>IF(IF(AND(ISNA(GB$5),ISNA(GA$5)),GA9*(1+$E9),IF(AND(GA$5&gt;0,ISNA(GB$5)),GA9*(1+$E9),GB$5))&gt;$C$20,$C$20,IF(AND(ISNA(GB$5),ISNA(GA$5)),GA9*(1+$E9),IF(AND(GA$5&gt;0,ISNA(GB$5)),GA9*(1+$E9),GB$5)))</f>
        <v>27154404.400000002</v>
      </c>
      <c r="GC9" s="21">
        <f>IF(IF(AND(ISNA(GC$5),ISNA(GB$5)),GB9*(1+$E9),IF(AND(GB$5&gt;0,ISNA(GC$5)),GB9*(1+$E9),GC$5))&gt;$C$20,$C$20,IF(AND(ISNA(GC$5),ISNA(GB$5)),GB9*(1+$E9),IF(AND(GB$5&gt;0,ISNA(GC$5)),GB9*(1+$E9),GC$5)))</f>
        <v>27154404.400000002</v>
      </c>
      <c r="GD9" s="21">
        <f>IF(IF(AND(ISNA(GD$5),ISNA(GC$5)),GC9*(1+$E9),IF(AND(GC$5&gt;0,ISNA(GD$5)),GC9*(1+$E9),GD$5))&gt;$C$20,$C$20,IF(AND(ISNA(GD$5),ISNA(GC$5)),GC9*(1+$E9),IF(AND(GC$5&gt;0,ISNA(GD$5)),GC9*(1+$E9),GD$5)))</f>
        <v>27154404.400000002</v>
      </c>
      <c r="GE9" s="21">
        <f>IF(IF(AND(ISNA(GE$5),ISNA(GD$5)),GD9*(1+$E9),IF(AND(GD$5&gt;0,ISNA(GE$5)),GD9*(1+$E9),GE$5))&gt;$C$20,$C$20,IF(AND(ISNA(GE$5),ISNA(GD$5)),GD9*(1+$E9),IF(AND(GD$5&gt;0,ISNA(GE$5)),GD9*(1+$E9),GE$5)))</f>
        <v>27154404.400000002</v>
      </c>
      <c r="GF9" s="21">
        <f>IF(IF(AND(ISNA(GF$5),ISNA(GE$5)),GE9*(1+$E9),IF(AND(GE$5&gt;0,ISNA(GF$5)),GE9*(1+$E9),GF$5))&gt;$C$20,$C$20,IF(AND(ISNA(GF$5),ISNA(GE$5)),GE9*(1+$E9),IF(AND(GE$5&gt;0,ISNA(GF$5)),GE9*(1+$E9),GF$5)))</f>
        <v>27154404.400000002</v>
      </c>
      <c r="GG9" s="21">
        <f>IF(IF(AND(ISNA(GG$5),ISNA(GF$5)),GF9*(1+$E9),IF(AND(GF$5&gt;0,ISNA(GG$5)),GF9*(1+$E9),GG$5))&gt;$C$20,$C$20,IF(AND(ISNA(GG$5),ISNA(GF$5)),GF9*(1+$E9),IF(AND(GF$5&gt;0,ISNA(GG$5)),GF9*(1+$E9),GG$5)))</f>
        <v>27154404.400000002</v>
      </c>
      <c r="GH9" s="21">
        <f>IF(IF(AND(ISNA(GH$5),ISNA(GG$5)),GG9*(1+$E9),IF(AND(GG$5&gt;0,ISNA(GH$5)),GG9*(1+$E9),GH$5))&gt;$C$20,$C$20,IF(AND(ISNA(GH$5),ISNA(GG$5)),GG9*(1+$E9),IF(AND(GG$5&gt;0,ISNA(GH$5)),GG9*(1+$E9),GH$5)))</f>
        <v>27154404.400000002</v>
      </c>
      <c r="GI9" s="21">
        <f>IF(IF(AND(ISNA(GI$5),ISNA(GH$5)),GH9*(1+$E9),IF(AND(GH$5&gt;0,ISNA(GI$5)),GH9*(1+$E9),GI$5))&gt;$C$20,$C$20,IF(AND(ISNA(GI$5),ISNA(GH$5)),GH9*(1+$E9),IF(AND(GH$5&gt;0,ISNA(GI$5)),GH9*(1+$E9),GI$5)))</f>
        <v>27154404.400000002</v>
      </c>
      <c r="GJ9" s="21">
        <f>IF(IF(AND(ISNA(GJ$5),ISNA(GI$5)),GI9*(1+$E9),IF(AND(GI$5&gt;0,ISNA(GJ$5)),GI9*(1+$E9),GJ$5))&gt;$C$20,$C$20,IF(AND(ISNA(GJ$5),ISNA(GI$5)),GI9*(1+$E9),IF(AND(GI$5&gt;0,ISNA(GJ$5)),GI9*(1+$E9),GJ$5)))</f>
        <v>27154404.400000002</v>
      </c>
      <c r="GK9" s="21">
        <f>IF(IF(AND(ISNA(GK$5),ISNA(GJ$5)),GJ9*(1+$E9),IF(AND(GJ$5&gt;0,ISNA(GK$5)),GJ9*(1+$E9),GK$5))&gt;$C$20,$C$20,IF(AND(ISNA(GK$5),ISNA(GJ$5)),GJ9*(1+$E9),IF(AND(GJ$5&gt;0,ISNA(GK$5)),GJ9*(1+$E9),GK$5)))</f>
        <v>27154404.400000002</v>
      </c>
      <c r="GL9" s="21">
        <f>IF(IF(AND(ISNA(GL$5),ISNA(GK$5)),GK9*(1+$E9),IF(AND(GK$5&gt;0,ISNA(GL$5)),GK9*(1+$E9),GL$5))&gt;$C$20,$C$20,IF(AND(ISNA(GL$5),ISNA(GK$5)),GK9*(1+$E9),IF(AND(GK$5&gt;0,ISNA(GL$5)),GK9*(1+$E9),GL$5)))</f>
        <v>27154404.400000002</v>
      </c>
      <c r="GM9" s="21">
        <f>IF(IF(AND(ISNA(GM$5),ISNA(GL$5)),GL9*(1+$E9),IF(AND(GL$5&gt;0,ISNA(GM$5)),GL9*(1+$E9),GM$5))&gt;$C$20,$C$20,IF(AND(ISNA(GM$5),ISNA(GL$5)),GL9*(1+$E9),IF(AND(GL$5&gt;0,ISNA(GM$5)),GL9*(1+$E9),GM$5)))</f>
        <v>27154404.400000002</v>
      </c>
      <c r="GN9" s="21">
        <f>IF(IF(AND(ISNA(GN$5),ISNA(GM$5)),GM9*(1+$E9),IF(AND(GM$5&gt;0,ISNA(GN$5)),GM9*(1+$E9),GN$5))&gt;$C$20,$C$20,IF(AND(ISNA(GN$5),ISNA(GM$5)),GM9*(1+$E9),IF(AND(GM$5&gt;0,ISNA(GN$5)),GM9*(1+$E9),GN$5)))</f>
        <v>27154404.400000002</v>
      </c>
      <c r="GO9" s="21">
        <f>IF(IF(AND(ISNA(GO$5),ISNA(GN$5)),GN9*(1+$E9),IF(AND(GN$5&gt;0,ISNA(GO$5)),GN9*(1+$E9),GO$5))&gt;$C$20,$C$20,IF(AND(ISNA(GO$5),ISNA(GN$5)),GN9*(1+$E9),IF(AND(GN$5&gt;0,ISNA(GO$5)),GN9*(1+$E9),GO$5)))</f>
        <v>27154404.400000002</v>
      </c>
      <c r="GP9" s="21">
        <f>IF(IF(AND(ISNA(GP$5),ISNA(GO$5)),GO9*(1+$E9),IF(AND(GO$5&gt;0,ISNA(GP$5)),GO9*(1+$E9),GP$5))&gt;$C$20,$C$20,IF(AND(ISNA(GP$5),ISNA(GO$5)),GO9*(1+$E9),IF(AND(GO$5&gt;0,ISNA(GP$5)),GO9*(1+$E9),GP$5)))</f>
        <v>27154404.400000002</v>
      </c>
      <c r="GQ9" s="21">
        <f>IF(IF(AND(ISNA(GQ$5),ISNA(GP$5)),GP9*(1+$E9),IF(AND(GP$5&gt;0,ISNA(GQ$5)),GP9*(1+$E9),GQ$5))&gt;$C$20,$C$20,IF(AND(ISNA(GQ$5),ISNA(GP$5)),GP9*(1+$E9),IF(AND(GP$5&gt;0,ISNA(GQ$5)),GP9*(1+$E9),GQ$5)))</f>
        <v>27154404.400000002</v>
      </c>
      <c r="GR9" s="21">
        <f>IF(IF(AND(ISNA(GR$5),ISNA(GQ$5)),GQ9*(1+$E9),IF(AND(GQ$5&gt;0,ISNA(GR$5)),GQ9*(1+$E9),GR$5))&gt;$C$20,$C$20,IF(AND(ISNA(GR$5),ISNA(GQ$5)),GQ9*(1+$E9),IF(AND(GQ$5&gt;0,ISNA(GR$5)),GQ9*(1+$E9),GR$5)))</f>
        <v>27154404.400000002</v>
      </c>
      <c r="GS9" s="21">
        <f>IF(IF(AND(ISNA(GS$5),ISNA(GR$5)),GR9*(1+$E9),IF(AND(GR$5&gt;0,ISNA(GS$5)),GR9*(1+$E9),GS$5))&gt;$C$20,$C$20,IF(AND(ISNA(GS$5),ISNA(GR$5)),GR9*(1+$E9),IF(AND(GR$5&gt;0,ISNA(GS$5)),GR9*(1+$E9),GS$5)))</f>
        <v>27154404.400000002</v>
      </c>
      <c r="GT9" s="21">
        <f>IF(IF(AND(ISNA(GT$5),ISNA(GS$5)),GS9*(1+$E9),IF(AND(GS$5&gt;0,ISNA(GT$5)),GS9*(1+$E9),GT$5))&gt;$C$20,$C$20,IF(AND(ISNA(GT$5),ISNA(GS$5)),GS9*(1+$E9),IF(AND(GS$5&gt;0,ISNA(GT$5)),GS9*(1+$E9),GT$5)))</f>
        <v>27154404.400000002</v>
      </c>
      <c r="GU9" s="21">
        <f>IF(IF(AND(ISNA(GU$5),ISNA(GT$5)),GT9*(1+$E9),IF(AND(GT$5&gt;0,ISNA(GU$5)),GT9*(1+$E9),GU$5))&gt;$C$20,$C$20,IF(AND(ISNA(GU$5),ISNA(GT$5)),GT9*(1+$E9),IF(AND(GT$5&gt;0,ISNA(GU$5)),GT9*(1+$E9),GU$5)))</f>
        <v>27154404.400000002</v>
      </c>
      <c r="GV9" s="21">
        <f>IF(IF(AND(ISNA(GV$5),ISNA(GU$5)),GU9*(1+$E9),IF(AND(GU$5&gt;0,ISNA(GV$5)),GU9*(1+$E9),GV$5))&gt;$C$20,$C$20,IF(AND(ISNA(GV$5),ISNA(GU$5)),GU9*(1+$E9),IF(AND(GU$5&gt;0,ISNA(GV$5)),GU9*(1+$E9),GV$5)))</f>
        <v>27154404.400000002</v>
      </c>
      <c r="GW9" s="21">
        <f>IF(IF(AND(ISNA(GW$5),ISNA(GV$5)),GV9*(1+$E9),IF(AND(GV$5&gt;0,ISNA(GW$5)),GV9*(1+$E9),GW$5))&gt;$C$20,$C$20,IF(AND(ISNA(GW$5),ISNA(GV$5)),GV9*(1+$E9),IF(AND(GV$5&gt;0,ISNA(GW$5)),GV9*(1+$E9),GW$5)))</f>
        <v>27154404.400000002</v>
      </c>
      <c r="GX9" s="21">
        <f>IF(IF(AND(ISNA(GX$5),ISNA(GW$5)),GW9*(1+$E9),IF(AND(GW$5&gt;0,ISNA(GX$5)),GW9*(1+$E9),GX$5))&gt;$C$20,$C$20,IF(AND(ISNA(GX$5),ISNA(GW$5)),GW9*(1+$E9),IF(AND(GW$5&gt;0,ISNA(GX$5)),GW9*(1+$E9),GX$5)))</f>
        <v>27154404.400000002</v>
      </c>
      <c r="GY9" s="21">
        <f>IF(IF(AND(ISNA(GY$5),ISNA(GX$5)),GX9*(1+$E9),IF(AND(GX$5&gt;0,ISNA(GY$5)),GX9*(1+$E9),GY$5))&gt;$C$20,$C$20,IF(AND(ISNA(GY$5),ISNA(GX$5)),GX9*(1+$E9),IF(AND(GX$5&gt;0,ISNA(GY$5)),GX9*(1+$E9),GY$5)))</f>
        <v>27154404.400000002</v>
      </c>
      <c r="GZ9" s="21">
        <f>IF(IF(AND(ISNA(GZ$5),ISNA(GY$5)),GY9*(1+$E9),IF(AND(GY$5&gt;0,ISNA(GZ$5)),GY9*(1+$E9),GZ$5))&gt;$C$20,$C$20,IF(AND(ISNA(GZ$5),ISNA(GY$5)),GY9*(1+$E9),IF(AND(GY$5&gt;0,ISNA(GZ$5)),GY9*(1+$E9),GZ$5)))</f>
        <v>27154404.400000002</v>
      </c>
      <c r="HA9" s="21">
        <f>IF(IF(AND(ISNA(HA$5),ISNA(GZ$5)),GZ9*(1+$E9),IF(AND(GZ$5&gt;0,ISNA(HA$5)),GZ9*(1+$E9),HA$5))&gt;$C$20,$C$20,IF(AND(ISNA(HA$5),ISNA(GZ$5)),GZ9*(1+$E9),IF(AND(GZ$5&gt;0,ISNA(HA$5)),GZ9*(1+$E9),HA$5)))</f>
        <v>27154404.400000002</v>
      </c>
      <c r="HB9" s="21">
        <f>IF(IF(AND(ISNA(HB$5),ISNA(HA$5)),HA9*(1+$E9),IF(AND(HA$5&gt;0,ISNA(HB$5)),HA9*(1+$E9),HB$5))&gt;$C$20,$C$20,IF(AND(ISNA(HB$5),ISNA(HA$5)),HA9*(1+$E9),IF(AND(HA$5&gt;0,ISNA(HB$5)),HA9*(1+$E9),HB$5)))</f>
        <v>27154404.400000002</v>
      </c>
      <c r="HC9" s="21">
        <f>IF(IF(AND(ISNA(HC$5),ISNA(HB$5)),HB9*(1+$E9),IF(AND(HB$5&gt;0,ISNA(HC$5)),HB9*(1+$E9),HC$5))&gt;$C$20,$C$20,IF(AND(ISNA(HC$5),ISNA(HB$5)),HB9*(1+$E9),IF(AND(HB$5&gt;0,ISNA(HC$5)),HB9*(1+$E9),HC$5)))</f>
        <v>27154404.400000002</v>
      </c>
      <c r="HD9" s="21">
        <f>IF(IF(AND(ISNA(HD$5),ISNA(HC$5)),HC9*(1+$E9),IF(AND(HC$5&gt;0,ISNA(HD$5)),HC9*(1+$E9),HD$5))&gt;$C$20,$C$20,IF(AND(ISNA(HD$5),ISNA(HC$5)),HC9*(1+$E9),IF(AND(HC$5&gt;0,ISNA(HD$5)),HC9*(1+$E9),HD$5)))</f>
        <v>27154404.400000002</v>
      </c>
      <c r="HE9" s="21">
        <f>IF(IF(AND(ISNA(HE$5),ISNA(HD$5)),HD9*(1+$E9),IF(AND(HD$5&gt;0,ISNA(HE$5)),HD9*(1+$E9),HE$5))&gt;$C$20,$C$20,IF(AND(ISNA(HE$5),ISNA(HD$5)),HD9*(1+$E9),IF(AND(HD$5&gt;0,ISNA(HE$5)),HD9*(1+$E9),HE$5)))</f>
        <v>27154404.400000002</v>
      </c>
      <c r="HF9" s="21">
        <f>IF(IF(AND(ISNA(HF$5),ISNA(HE$5)),HE9*(1+$E9),IF(AND(HE$5&gt;0,ISNA(HF$5)),HE9*(1+$E9),HF$5))&gt;$C$20,$C$20,IF(AND(ISNA(HF$5),ISNA(HE$5)),HE9*(1+$E9),IF(AND(HE$5&gt;0,ISNA(HF$5)),HE9*(1+$E9),HF$5)))</f>
        <v>27154404.400000002</v>
      </c>
      <c r="HG9" s="21">
        <f>IF(IF(AND(ISNA(HG$5),ISNA(HF$5)),HF9*(1+$E9),IF(AND(HF$5&gt;0,ISNA(HG$5)),HF9*(1+$E9),HG$5))&gt;$C$20,$C$20,IF(AND(ISNA(HG$5),ISNA(HF$5)),HF9*(1+$E9),IF(AND(HF$5&gt;0,ISNA(HG$5)),HF9*(1+$E9),HG$5)))</f>
        <v>27154404.400000002</v>
      </c>
      <c r="HH9" s="21">
        <f>IF(IF(AND(ISNA(HH$5),ISNA(HG$5)),HG9*(1+$E9),IF(AND(HG$5&gt;0,ISNA(HH$5)),HG9*(1+$E9),HH$5))&gt;$C$20,$C$20,IF(AND(ISNA(HH$5),ISNA(HG$5)),HG9*(1+$E9),IF(AND(HG$5&gt;0,ISNA(HH$5)),HG9*(1+$E9),HH$5)))</f>
        <v>27154404.400000002</v>
      </c>
      <c r="HI9" s="21">
        <f>IF(IF(AND(ISNA(HI$5),ISNA(HH$5)),HH9*(1+$E9),IF(AND(HH$5&gt;0,ISNA(HI$5)),HH9*(1+$E9),HI$5))&gt;$C$20,$C$20,IF(AND(ISNA(HI$5),ISNA(HH$5)),HH9*(1+$E9),IF(AND(HH$5&gt;0,ISNA(HI$5)),HH9*(1+$E9),HI$5)))</f>
        <v>27154404.400000002</v>
      </c>
      <c r="HJ9" s="21">
        <f>IF(IF(AND(ISNA(HJ$5),ISNA(HI$5)),HI9*(1+$E9),IF(AND(HI$5&gt;0,ISNA(HJ$5)),HI9*(1+$E9),HJ$5))&gt;$C$20,$C$20,IF(AND(ISNA(HJ$5),ISNA(HI$5)),HI9*(1+$E9),IF(AND(HI$5&gt;0,ISNA(HJ$5)),HI9*(1+$E9),HJ$5)))</f>
        <v>27154404.400000002</v>
      </c>
      <c r="HK9" s="21">
        <f>IF(IF(AND(ISNA(HK$5),ISNA(HJ$5)),HJ9*(1+$E9),IF(AND(HJ$5&gt;0,ISNA(HK$5)),HJ9*(1+$E9),HK$5))&gt;$C$20,$C$20,IF(AND(ISNA(HK$5),ISNA(HJ$5)),HJ9*(1+$E9),IF(AND(HJ$5&gt;0,ISNA(HK$5)),HJ9*(1+$E9),HK$5)))</f>
        <v>27154404.400000002</v>
      </c>
      <c r="HL9" s="21">
        <f>IF(IF(AND(ISNA(HL$5),ISNA(HK$5)),HK9*(1+$E9),IF(AND(HK$5&gt;0,ISNA(HL$5)),HK9*(1+$E9),HL$5))&gt;$C$20,$C$20,IF(AND(ISNA(HL$5),ISNA(HK$5)),HK9*(1+$E9),IF(AND(HK$5&gt;0,ISNA(HL$5)),HK9*(1+$E9),HL$5)))</f>
        <v>27154404.400000002</v>
      </c>
      <c r="HM9" s="21">
        <f>IF(IF(AND(ISNA(HM$5),ISNA(HL$5)),HL9*(1+$E9),IF(AND(HL$5&gt;0,ISNA(HM$5)),HL9*(1+$E9),HM$5))&gt;$C$20,$C$20,IF(AND(ISNA(HM$5),ISNA(HL$5)),HL9*(1+$E9),IF(AND(HL$5&gt;0,ISNA(HM$5)),HL9*(1+$E9),HM$5)))</f>
        <v>27154404.400000002</v>
      </c>
      <c r="HN9" s="21">
        <f>IF(IF(AND(ISNA(HN$5),ISNA(HM$5)),HM9*(1+$E9),IF(AND(HM$5&gt;0,ISNA(HN$5)),HM9*(1+$E9),HN$5))&gt;$C$20,$C$20,IF(AND(ISNA(HN$5),ISNA(HM$5)),HM9*(1+$E9),IF(AND(HM$5&gt;0,ISNA(HN$5)),HM9*(1+$E9),HN$5)))</f>
        <v>27154404.400000002</v>
      </c>
      <c r="HO9" s="21">
        <f>IF(IF(AND(ISNA(HO$5),ISNA(HN$5)),HN9*(1+$E9),IF(AND(HN$5&gt;0,ISNA(HO$5)),HN9*(1+$E9),HO$5))&gt;$C$20,$C$20,IF(AND(ISNA(HO$5),ISNA(HN$5)),HN9*(1+$E9),IF(AND(HN$5&gt;0,ISNA(HO$5)),HN9*(1+$E9),HO$5)))</f>
        <v>27154404.400000002</v>
      </c>
      <c r="HP9" s="21">
        <f>IF(IF(AND(ISNA(HP$5),ISNA(HO$5)),HO9*(1+$E9),IF(AND(HO$5&gt;0,ISNA(HP$5)),HO9*(1+$E9),HP$5))&gt;$C$20,$C$20,IF(AND(ISNA(HP$5),ISNA(HO$5)),HO9*(1+$E9),IF(AND(HO$5&gt;0,ISNA(HP$5)),HO9*(1+$E9),HP$5)))</f>
        <v>27154404.400000002</v>
      </c>
      <c r="HQ9" s="21">
        <f>IF(IF(AND(ISNA(HQ$5),ISNA(HP$5)),HP9*(1+$E9),IF(AND(HP$5&gt;0,ISNA(HQ$5)),HP9*(1+$E9),HQ$5))&gt;$C$20,$C$20,IF(AND(ISNA(HQ$5),ISNA(HP$5)),HP9*(1+$E9),IF(AND(HP$5&gt;0,ISNA(HQ$5)),HP9*(1+$E9),HQ$5)))</f>
        <v>27154404.400000002</v>
      </c>
      <c r="HR9" s="21">
        <f>IF(IF(AND(ISNA(HR$5),ISNA(HQ$5)),HQ9*(1+$E9),IF(AND(HQ$5&gt;0,ISNA(HR$5)),HQ9*(1+$E9),HR$5))&gt;$C$20,$C$20,IF(AND(ISNA(HR$5),ISNA(HQ$5)),HQ9*(1+$E9),IF(AND(HQ$5&gt;0,ISNA(HR$5)),HQ9*(1+$E9),HR$5)))</f>
        <v>27154404.400000002</v>
      </c>
      <c r="HS9" s="21">
        <f>IF(IF(AND(ISNA(HS$5),ISNA(HR$5)),HR9*(1+$E9),IF(AND(HR$5&gt;0,ISNA(HS$5)),HR9*(1+$E9),HS$5))&gt;$C$20,$C$20,IF(AND(ISNA(HS$5),ISNA(HR$5)),HR9*(1+$E9),IF(AND(HR$5&gt;0,ISNA(HS$5)),HR9*(1+$E9),HS$5)))</f>
        <v>27154404.400000002</v>
      </c>
      <c r="HT9" s="21">
        <f>IF(IF(AND(ISNA(HT$5),ISNA(HS$5)),HS9*(1+$E9),IF(AND(HS$5&gt;0,ISNA(HT$5)),HS9*(1+$E9),HT$5))&gt;$C$20,$C$20,IF(AND(ISNA(HT$5),ISNA(HS$5)),HS9*(1+$E9),IF(AND(HS$5&gt;0,ISNA(HT$5)),HS9*(1+$E9),HT$5)))</f>
        <v>27154404.400000002</v>
      </c>
      <c r="HU9" s="21">
        <f>IF(IF(AND(ISNA(HU$5),ISNA(HT$5)),HT9*(1+$E9),IF(AND(HT$5&gt;0,ISNA(HU$5)),HT9*(1+$E9),HU$5))&gt;$C$20,$C$20,IF(AND(ISNA(HU$5),ISNA(HT$5)),HT9*(1+$E9),IF(AND(HT$5&gt;0,ISNA(HU$5)),HT9*(1+$E9),HU$5)))</f>
        <v>27154404.400000002</v>
      </c>
      <c r="HV9" s="21">
        <f>IF(IF(AND(ISNA(HV$5),ISNA(HU$5)),HU9*(1+$E9),IF(AND(HU$5&gt;0,ISNA(HV$5)),HU9*(1+$E9),HV$5))&gt;$C$20,$C$20,IF(AND(ISNA(HV$5),ISNA(HU$5)),HU9*(1+$E9),IF(AND(HU$5&gt;0,ISNA(HV$5)),HU9*(1+$E9),HV$5)))</f>
        <v>27154404.400000002</v>
      </c>
      <c r="HW9" s="21">
        <f>IF(IF(AND(ISNA(HW$5),ISNA(HV$5)),HV9*(1+$E9),IF(AND(HV$5&gt;0,ISNA(HW$5)),HV9*(1+$E9),HW$5))&gt;$C$20,$C$20,IF(AND(ISNA(HW$5),ISNA(HV$5)),HV9*(1+$E9),IF(AND(HV$5&gt;0,ISNA(HW$5)),HV9*(1+$E9),HW$5)))</f>
        <v>27154404.400000002</v>
      </c>
      <c r="HX9" s="21">
        <f>IF(IF(AND(ISNA(HX$5),ISNA(HW$5)),HW9*(1+$E9),IF(AND(HW$5&gt;0,ISNA(HX$5)),HW9*(1+$E9),HX$5))&gt;$C$20,$C$20,IF(AND(ISNA(HX$5),ISNA(HW$5)),HW9*(1+$E9),IF(AND(HW$5&gt;0,ISNA(HX$5)),HW9*(1+$E9),HX$5)))</f>
        <v>27154404.400000002</v>
      </c>
      <c r="HY9" s="21">
        <f>IF(IF(AND(ISNA(HY$5),ISNA(HX$5)),HX9*(1+$E9),IF(AND(HX$5&gt;0,ISNA(HY$5)),HX9*(1+$E9),HY$5))&gt;$C$20,$C$20,IF(AND(ISNA(HY$5),ISNA(HX$5)),HX9*(1+$E9),IF(AND(HX$5&gt;0,ISNA(HY$5)),HX9*(1+$E9),HY$5)))</f>
        <v>27154404.400000002</v>
      </c>
      <c r="HZ9" s="21">
        <f>IF(IF(AND(ISNA(HZ$5),ISNA(HY$5)),HY9*(1+$E9),IF(AND(HY$5&gt;0,ISNA(HZ$5)),HY9*(1+$E9),HZ$5))&gt;$C$20,$C$20,IF(AND(ISNA(HZ$5),ISNA(HY$5)),HY9*(1+$E9),IF(AND(HY$5&gt;0,ISNA(HZ$5)),HY9*(1+$E9),HZ$5)))</f>
        <v>27154404.400000002</v>
      </c>
      <c r="IA9" s="21">
        <f>IF(IF(AND(ISNA(IA$5),ISNA(HZ$5)),HZ9*(1+$E9),IF(AND(HZ$5&gt;0,ISNA(IA$5)),HZ9*(1+$E9),IA$5))&gt;$C$20,$C$20,IF(AND(ISNA(IA$5),ISNA(HZ$5)),HZ9*(1+$E9),IF(AND(HZ$5&gt;0,ISNA(IA$5)),HZ9*(1+$E9),IA$5)))</f>
        <v>27154404.400000002</v>
      </c>
      <c r="IB9" s="21">
        <f>IF(IF(AND(ISNA(IB$5),ISNA(IA$5)),IA9*(1+$E9),IF(AND(IA$5&gt;0,ISNA(IB$5)),IA9*(1+$E9),IB$5))&gt;$C$20,$C$20,IF(AND(ISNA(IB$5),ISNA(IA$5)),IA9*(1+$E9),IF(AND(IA$5&gt;0,ISNA(IB$5)),IA9*(1+$E9),IB$5)))</f>
        <v>27154404.400000002</v>
      </c>
      <c r="IC9" s="21">
        <f>IF(IF(AND(ISNA(IC$5),ISNA(IB$5)),IB9*(1+$E9),IF(AND(IB$5&gt;0,ISNA(IC$5)),IB9*(1+$E9),IC$5))&gt;$C$20,$C$20,IF(AND(ISNA(IC$5),ISNA(IB$5)),IB9*(1+$E9),IF(AND(IB$5&gt;0,ISNA(IC$5)),IB9*(1+$E9),IC$5)))</f>
        <v>27154404.400000002</v>
      </c>
      <c r="ID9" s="21">
        <f>IF(IF(AND(ISNA(ID$5),ISNA(IC$5)),IC9*(1+$E9),IF(AND(IC$5&gt;0,ISNA(ID$5)),IC9*(1+$E9),ID$5))&gt;$C$20,$C$20,IF(AND(ISNA(ID$5),ISNA(IC$5)),IC9*(1+$E9),IF(AND(IC$5&gt;0,ISNA(ID$5)),IC9*(1+$E9),ID$5)))</f>
        <v>27154404.400000002</v>
      </c>
      <c r="IE9" s="21">
        <f>IF(IF(AND(ISNA(IE$5),ISNA(ID$5)),ID9*(1+$E9),IF(AND(ID$5&gt;0,ISNA(IE$5)),ID9*(1+$E9),IE$5))&gt;$C$20,$C$20,IF(AND(ISNA(IE$5),ISNA(ID$5)),ID9*(1+$E9),IF(AND(ID$5&gt;0,ISNA(IE$5)),ID9*(1+$E9),IE$5)))</f>
        <v>27154404.400000002</v>
      </c>
      <c r="IF9" s="21">
        <f>IF(IF(AND(ISNA(IF$5),ISNA(IE$5)),IE9*(1+$E9),IF(AND(IE$5&gt;0,ISNA(IF$5)),IE9*(1+$E9),IF$5))&gt;$C$20,$C$20,IF(AND(ISNA(IF$5),ISNA(IE$5)),IE9*(1+$E9),IF(AND(IE$5&gt;0,ISNA(IF$5)),IE9*(1+$E9),IF$5)))</f>
        <v>27154404.400000002</v>
      </c>
      <c r="IG9" s="21">
        <f>IF(IF(AND(ISNA(IG$5),ISNA(IF$5)),IF9*(1+$E9),IF(AND(IF$5&gt;0,ISNA(IG$5)),IF9*(1+$E9),IG$5))&gt;$C$20,$C$20,IF(AND(ISNA(IG$5),ISNA(IF$5)),IF9*(1+$E9),IF(AND(IF$5&gt;0,ISNA(IG$5)),IF9*(1+$E9),IG$5)))</f>
        <v>27154404.400000002</v>
      </c>
      <c r="IH9" s="21">
        <f>IF(IF(AND(ISNA(IH$5),ISNA(IG$5)),IG9*(1+$E9),IF(AND(IG$5&gt;0,ISNA(IH$5)),IG9*(1+$E9),IH$5))&gt;$C$20,$C$20,IF(AND(ISNA(IH$5),ISNA(IG$5)),IG9*(1+$E9),IF(AND(IG$5&gt;0,ISNA(IH$5)),IG9*(1+$E9),IH$5)))</f>
        <v>27154404.400000002</v>
      </c>
      <c r="II9" s="21">
        <f>IF(IF(AND(ISNA(II$5),ISNA(IH$5)),IH9*(1+$E9),IF(AND(IH$5&gt;0,ISNA(II$5)),IH9*(1+$E9),II$5))&gt;$C$20,$C$20,IF(AND(ISNA(II$5),ISNA(IH$5)),IH9*(1+$E9),IF(AND(IH$5&gt;0,ISNA(II$5)),IH9*(1+$E9),II$5)))</f>
        <v>27154404.400000002</v>
      </c>
      <c r="IJ9" s="21">
        <f>IF(IF(AND(ISNA(IJ$5),ISNA(II$5)),II9*(1+$E9),IF(AND(II$5&gt;0,ISNA(IJ$5)),II9*(1+$E9),IJ$5))&gt;$C$20,$C$20,IF(AND(ISNA(IJ$5),ISNA(II$5)),II9*(1+$E9),IF(AND(II$5&gt;0,ISNA(IJ$5)),II9*(1+$E9),IJ$5)))</f>
        <v>27154404.400000002</v>
      </c>
      <c r="IK9" s="21">
        <f>IF(IF(AND(ISNA(IK$5),ISNA(IJ$5)),IJ9*(1+$E9),IF(AND(IJ$5&gt;0,ISNA(IK$5)),IJ9*(1+$E9),IK$5))&gt;$C$20,$C$20,IF(AND(ISNA(IK$5),ISNA(IJ$5)),IJ9*(1+$E9),IF(AND(IJ$5&gt;0,ISNA(IK$5)),IJ9*(1+$E9),IK$5)))</f>
        <v>27154404.400000002</v>
      </c>
      <c r="IL9" s="21">
        <f>IF(IF(AND(ISNA(IL$5),ISNA(IK$5)),IK9*(1+$E9),IF(AND(IK$5&gt;0,ISNA(IL$5)),IK9*(1+$E9),IL$5))&gt;$C$20,$C$20,IF(AND(ISNA(IL$5),ISNA(IK$5)),IK9*(1+$E9),IF(AND(IK$5&gt;0,ISNA(IL$5)),IK9*(1+$E9),IL$5)))</f>
        <v>27154404.400000002</v>
      </c>
      <c r="IM9" s="21">
        <f>IF(IF(AND(ISNA(IM$5),ISNA(IL$5)),IL9*(1+$E9),IF(AND(IL$5&gt;0,ISNA(IM$5)),IL9*(1+$E9),IM$5))&gt;$C$20,$C$20,IF(AND(ISNA(IM$5),ISNA(IL$5)),IL9*(1+$E9),IF(AND(IL$5&gt;0,ISNA(IM$5)),IL9*(1+$E9),IM$5)))</f>
        <v>27154404.400000002</v>
      </c>
      <c r="IN9" s="21">
        <f>IF(IF(AND(ISNA(IN$5),ISNA(IM$5)),IM9*(1+$E9),IF(AND(IM$5&gt;0,ISNA(IN$5)),IM9*(1+$E9),IN$5))&gt;$C$20,$C$20,IF(AND(ISNA(IN$5),ISNA(IM$5)),IM9*(1+$E9),IF(AND(IM$5&gt;0,ISNA(IN$5)),IM9*(1+$E9),IN$5)))</f>
        <v>27154404.400000002</v>
      </c>
    </row>
    <row r="10" spans="2:248" x14ac:dyDescent="0.3">
      <c r="B10" s="19" t="s">
        <v>483</v>
      </c>
      <c r="C10" s="19">
        <v>5</v>
      </c>
      <c r="F10" s="19" t="s">
        <v>612</v>
      </c>
      <c r="G10" s="21">
        <f t="shared" ref="G10:R10" si="25">G9</f>
        <v>116</v>
      </c>
      <c r="H10" s="21">
        <f t="shared" si="25"/>
        <v>164</v>
      </c>
      <c r="I10" s="21">
        <f t="shared" si="25"/>
        <v>207</v>
      </c>
      <c r="J10" s="21">
        <f t="shared" si="25"/>
        <v>274</v>
      </c>
      <c r="K10" s="21">
        <f t="shared" si="25"/>
        <v>322</v>
      </c>
      <c r="L10" s="21">
        <f t="shared" si="25"/>
        <v>384</v>
      </c>
      <c r="M10" s="21">
        <f t="shared" si="25"/>
        <v>459</v>
      </c>
      <c r="N10" s="21">
        <f t="shared" si="25"/>
        <v>590</v>
      </c>
      <c r="O10" s="21">
        <f t="shared" si="25"/>
        <v>803</v>
      </c>
      <c r="P10" s="21">
        <f t="shared" si="25"/>
        <v>1145</v>
      </c>
      <c r="Q10" s="21">
        <f t="shared" si="25"/>
        <v>1355</v>
      </c>
      <c r="R10" s="21">
        <f t="shared" si="25"/>
        <v>1552</v>
      </c>
      <c r="S10" s="21">
        <f>S9-G9</f>
        <v>1844</v>
      </c>
      <c r="T10" s="21">
        <f t="shared" ref="T10" si="26">T9-H9</f>
        <v>2462</v>
      </c>
      <c r="U10" s="21">
        <f t="shared" ref="U10" si="27">U9-I9</f>
        <v>2681.6000000000004</v>
      </c>
      <c r="V10" s="21">
        <f t="shared" ref="V10" si="28">V9-J9</f>
        <v>2903.4600000000005</v>
      </c>
      <c r="W10" s="21">
        <f t="shared" ref="W10" si="29">W9-K9</f>
        <v>3173.206000000001</v>
      </c>
      <c r="X10" s="21">
        <f t="shared" ref="X10" si="30">X9-L9</f>
        <v>3460.7266000000013</v>
      </c>
      <c r="Y10" s="21">
        <f t="shared" ref="Y10" si="31">Y9-M9</f>
        <v>3770.1992600000021</v>
      </c>
      <c r="Z10" s="21">
        <f t="shared" ref="Z10" si="32">Z9-N9</f>
        <v>4062.1191860000026</v>
      </c>
      <c r="AA10" s="21">
        <f t="shared" ref="AA10" si="33">AA9-O9</f>
        <v>4314.3311046000035</v>
      </c>
      <c r="AB10" s="21">
        <f t="shared" ref="AB10" si="34">AB9-P9</f>
        <v>4484.0642150600042</v>
      </c>
      <c r="AC10" s="21">
        <f t="shared" ref="AC10" si="35">AC9-Q9</f>
        <v>4836.9706365660049</v>
      </c>
      <c r="AD10" s="21">
        <f t="shared" ref="AD10" si="36">AD9-R9</f>
        <v>5259.1677002226061</v>
      </c>
      <c r="AE10" s="21">
        <f t="shared" ref="AE10" si="37">AE9-S9</f>
        <v>5532.2844702448674</v>
      </c>
      <c r="AF10" s="21">
        <f t="shared" ref="AF10" si="38">AF9-T9</f>
        <v>5615.5129172693541</v>
      </c>
      <c r="AG10" s="21">
        <f t="shared" ref="AG10" si="39">AG9-U9</f>
        <v>6177.0642089962894</v>
      </c>
      <c r="AH10" s="21">
        <f t="shared" ref="AH10" si="40">AH9-V9</f>
        <v>6794.7706298959183</v>
      </c>
      <c r="AI10" s="21">
        <f t="shared" ref="AI10" si="41">AI9-W9</f>
        <v>7474.2476928855112</v>
      </c>
      <c r="AJ10" s="21">
        <f t="shared" ref="AJ10" si="42">AJ9-X9</f>
        <v>8221.6724621740632</v>
      </c>
      <c r="AK10" s="21">
        <f t="shared" ref="AK10" si="43">AK9-Y9</f>
        <v>9043.8397083914715</v>
      </c>
      <c r="AL10" s="21">
        <f t="shared" ref="AL10" si="44">AL9-Z9</f>
        <v>9948.2236792306176</v>
      </c>
      <c r="AM10" s="21">
        <f t="shared" ref="AM10" si="45">AM9-AA9</f>
        <v>10943.046047153681</v>
      </c>
      <c r="AN10" s="21">
        <f t="shared" ref="AN10" si="46">AN9-AB9</f>
        <v>12037.350651869052</v>
      </c>
      <c r="AO10" s="21">
        <f t="shared" ref="AO10" si="47">AO9-AC9</f>
        <v>13241.085717055958</v>
      </c>
      <c r="AP10" s="21">
        <f t="shared" ref="AP10" si="48">AP9-AD9</f>
        <v>14565.194288761555</v>
      </c>
      <c r="AQ10" s="21">
        <f t="shared" ref="AQ10" si="49">AQ9-AE9</f>
        <v>16021.713717637711</v>
      </c>
      <c r="AR10" s="21">
        <f t="shared" ref="AR10" si="50">AR9-AF9</f>
        <v>17623.885089401483</v>
      </c>
      <c r="AS10" s="21">
        <f t="shared" ref="AS10" si="51">AS9-AG9</f>
        <v>19386.273598341635</v>
      </c>
      <c r="AT10" s="21">
        <f t="shared" ref="AT10" si="52">AT9-AH9</f>
        <v>21324.900958175804</v>
      </c>
      <c r="AU10" s="21">
        <f t="shared" ref="AU10" si="53">AU9-AI9</f>
        <v>23457.391053993382</v>
      </c>
      <c r="AV10" s="21">
        <f t="shared" ref="AV10" si="54">AV9-AJ9</f>
        <v>25803.13015939272</v>
      </c>
      <c r="AW10" s="21">
        <f t="shared" ref="AW10" si="55">AW9-AK9</f>
        <v>28383.443175331999</v>
      </c>
      <c r="AX10" s="21">
        <f t="shared" ref="AX10" si="56">AX9-AL9</f>
        <v>31221.787492865198</v>
      </c>
      <c r="AY10" s="21">
        <f t="shared" ref="AY10" si="57">AY9-AM9</f>
        <v>34343.966242151728</v>
      </c>
      <c r="AZ10" s="21">
        <f t="shared" ref="AZ10" si="58">AZ9-AN9</f>
        <v>37778.362866366893</v>
      </c>
      <c r="BA10" s="21">
        <f t="shared" ref="BA10" si="59">BA9-AO9</f>
        <v>41556.199153003588</v>
      </c>
      <c r="BB10" s="21">
        <f t="shared" ref="BB10" si="60">BB9-AP9</f>
        <v>45711.819068303943</v>
      </c>
      <c r="BC10" s="21">
        <f t="shared" ref="BC10" si="61">BC9-AQ9</f>
        <v>50283.000975134346</v>
      </c>
      <c r="BD10" s="21">
        <f t="shared" ref="BD10" si="62">BD9-AR9</f>
        <v>55311.301072647788</v>
      </c>
      <c r="BE10" s="21">
        <f t="shared" ref="BE10" si="63">BE9-AS9</f>
        <v>60842.431179912564</v>
      </c>
      <c r="BF10" s="21">
        <f t="shared" ref="BF10" si="64">BF9-AT9</f>
        <v>66926.674297903839</v>
      </c>
      <c r="BG10" s="21">
        <f t="shared" ref="BG10" si="65">BG9-AU9</f>
        <v>73619.34172769422</v>
      </c>
      <c r="BH10" s="21">
        <f t="shared" ref="BH10" si="66">BH9-AV9</f>
        <v>80981.275900463646</v>
      </c>
      <c r="BI10" s="21">
        <f t="shared" ref="BI10" si="67">BI9-AW9</f>
        <v>89079.403490510012</v>
      </c>
      <c r="BJ10" s="21">
        <f t="shared" ref="BJ10" si="68">BJ9-AX9</f>
        <v>97987.343839561028</v>
      </c>
      <c r="BK10" s="21">
        <f t="shared" ref="BK10" si="69">BK9-AY9</f>
        <v>107786.07822351714</v>
      </c>
      <c r="BL10" s="21">
        <f t="shared" ref="BL10" si="70">BL9-AZ9</f>
        <v>118564.68604586885</v>
      </c>
      <c r="BM10" s="21">
        <f t="shared" ref="BM10" si="71">BM9-BA9</f>
        <v>130421.15465045575</v>
      </c>
      <c r="BN10" s="21">
        <f t="shared" ref="BN10" si="72">BN9-BB9</f>
        <v>143463.27011550133</v>
      </c>
      <c r="BO10" s="21">
        <f t="shared" ref="BO10" si="73">BO9-BC9</f>
        <v>157809.5971270515</v>
      </c>
      <c r="BP10" s="21">
        <f t="shared" ref="BP10" si="74">BP9-BD9</f>
        <v>173590.55683975667</v>
      </c>
      <c r="BQ10" s="21">
        <f t="shared" ref="BQ10" si="75">BQ9-BE9</f>
        <v>190949.61252373236</v>
      </c>
      <c r="BR10" s="21">
        <f t="shared" ref="BR10" si="76">BR9-BF9</f>
        <v>210044.57377610559</v>
      </c>
      <c r="BS10" s="21">
        <f t="shared" ref="BS10" si="77">BS9-BG9</f>
        <v>231049.03115371615</v>
      </c>
      <c r="BT10" s="21">
        <f t="shared" ref="BT10" si="78">BT9-BH9</f>
        <v>254153.9342690878</v>
      </c>
      <c r="BU10" s="21">
        <f t="shared" ref="BU10" si="79">BU9-BI9</f>
        <v>279569.32769599662</v>
      </c>
      <c r="BV10" s="21">
        <f t="shared" ref="BV10" si="80">BV9-BJ9</f>
        <v>307526.26046559628</v>
      </c>
      <c r="BW10" s="21">
        <f t="shared" ref="BW10" si="81">BW9-BK9</f>
        <v>338278.88651215594</v>
      </c>
      <c r="BX10" s="21">
        <f t="shared" ref="BX10" si="82">BX9-BL9</f>
        <v>372106.77516337158</v>
      </c>
      <c r="BY10" s="21">
        <f t="shared" ref="BY10" si="83">BY9-BM9</f>
        <v>409317.45267970883</v>
      </c>
      <c r="BZ10" s="21">
        <f t="shared" ref="BZ10" si="84">BZ9-BN9</f>
        <v>450249.19794767979</v>
      </c>
      <c r="CA10" s="21">
        <f t="shared" ref="CA10" si="85">CA9-BO9</f>
        <v>495274.11774244782</v>
      </c>
      <c r="CB10" s="21">
        <f t="shared" ref="CB10" si="86">CB9-BP9</f>
        <v>544801.52951669274</v>
      </c>
      <c r="CC10" s="21">
        <f t="shared" ref="CC10" si="87">CC9-BQ9</f>
        <v>599281.68246836204</v>
      </c>
      <c r="CD10" s="21">
        <f t="shared" ref="CD10" si="88">CD9-BR9</f>
        <v>659209.85071519832</v>
      </c>
      <c r="CE10" s="21">
        <f t="shared" ref="CE10" si="89">CE9-BS9</f>
        <v>725130.83578671818</v>
      </c>
      <c r="CF10" s="21">
        <f t="shared" ref="CF10" si="90">CF9-BT9</f>
        <v>797643.91936538997</v>
      </c>
      <c r="CG10" s="21">
        <f t="shared" ref="CG10" si="91">CG9-BU9</f>
        <v>877408.31130192906</v>
      </c>
      <c r="CH10" s="21">
        <f t="shared" ref="CH10" si="92">CH9-BV9</f>
        <v>965149.14243212203</v>
      </c>
      <c r="CI10" s="21">
        <f t="shared" ref="CI10" si="93">CI9-BW9</f>
        <v>1061664.0566753345</v>
      </c>
      <c r="CJ10" s="21">
        <f t="shared" ref="CJ10" si="94">CJ9-BX9</f>
        <v>1167830.4623428676</v>
      </c>
      <c r="CK10" s="21">
        <f t="shared" ref="CK10" si="95">CK9-BY9</f>
        <v>1284613.5085771545</v>
      </c>
      <c r="CL10" s="21">
        <f t="shared" ref="CL10" si="96">CL9-BZ9</f>
        <v>1413074.8594348701</v>
      </c>
      <c r="CM10" s="21">
        <f t="shared" ref="CM10" si="97">CM9-CA9</f>
        <v>1554382.345378357</v>
      </c>
      <c r="CN10" s="21">
        <f t="shared" ref="CN10" si="98">CN9-CB9</f>
        <v>1709820.5799161931</v>
      </c>
      <c r="CO10" s="21">
        <f t="shared" ref="CO10" si="99">CO9-CC9</f>
        <v>1880802.6379078124</v>
      </c>
      <c r="CP10" s="21">
        <f t="shared" ref="CP10" si="100">CP9-CD9</f>
        <v>2068882.9016985937</v>
      </c>
      <c r="CQ10" s="21">
        <f t="shared" ref="CQ10" si="101">CQ9-CE9</f>
        <v>2275771.1918684533</v>
      </c>
      <c r="CR10" s="21">
        <f t="shared" ref="CR10" si="102">CR9-CF9</f>
        <v>2503348.3110552989</v>
      </c>
      <c r="CS10" s="21">
        <f t="shared" ref="CS10" si="103">CS9-CG9</f>
        <v>2753683.1421608287</v>
      </c>
      <c r="CT10" s="21">
        <f t="shared" ref="CT10" si="104">CT9-CH9</f>
        <v>3029051.4563769121</v>
      </c>
      <c r="CU10" s="21">
        <f t="shared" ref="CU10" si="105">CU9-CI9</f>
        <v>3331956.6020146036</v>
      </c>
      <c r="CV10" s="21">
        <f t="shared" ref="CV10" si="106">CV9-CJ9</f>
        <v>3665152.2622160641</v>
      </c>
      <c r="CW10" s="21">
        <f t="shared" ref="CW10" si="107">CW9-CK9</f>
        <v>4031667.4884376707</v>
      </c>
      <c r="CX10" s="21">
        <f t="shared" ref="CX10" si="108">CX9-CL9</f>
        <v>4434834.237281438</v>
      </c>
      <c r="CY10" s="21">
        <f t="shared" ref="CY10" si="109">CY9-CM9</f>
        <v>4878317.6610095818</v>
      </c>
      <c r="CZ10" s="21">
        <f t="shared" ref="CZ10" si="110">CZ9-CN9</f>
        <v>5366149.4271105407</v>
      </c>
      <c r="DA10" s="21">
        <f t="shared" ref="DA10" si="111">DA9-CO9</f>
        <v>5902764.369821596</v>
      </c>
      <c r="DB10" s="21">
        <f t="shared" ref="DB10" si="112">DB9-CP9</f>
        <v>6493040.8068037564</v>
      </c>
      <c r="DC10" s="21">
        <f t="shared" ref="DC10" si="113">DC9-CQ9</f>
        <v>7142344.8874841332</v>
      </c>
      <c r="DD10" s="21">
        <f t="shared" ref="DD10" si="114">DD9-CR9</f>
        <v>7856579.3762325477</v>
      </c>
      <c r="DE10" s="21">
        <f t="shared" ref="DE10" si="115">DE9-CS9</f>
        <v>8642237.3138558045</v>
      </c>
      <c r="DF10" s="21">
        <f t="shared" ref="DF10" si="116">DF9-CT9</f>
        <v>9506461.0452413838</v>
      </c>
      <c r="DG10" s="21">
        <f t="shared" ref="DG10" si="117">DG9-CU9</f>
        <v>10457107.149765521</v>
      </c>
      <c r="DH10" s="21">
        <f t="shared" ref="DH10" si="118">DH9-CV9</f>
        <v>11502817.864742074</v>
      </c>
      <c r="DI10" s="21">
        <f t="shared" ref="DI10" si="119">DI9-CW9</f>
        <v>12653099.651216282</v>
      </c>
      <c r="DJ10" s="21">
        <f t="shared" ref="DJ10" si="120">DJ9-CX9</f>
        <v>13918409.616337912</v>
      </c>
      <c r="DK10" s="21">
        <f t="shared" ref="DK10" si="121">DK9-CY9</f>
        <v>15310250.577971706</v>
      </c>
      <c r="DL10" s="21">
        <f t="shared" ref="DL10" si="122">DL9-CZ9</f>
        <v>16841275.635768879</v>
      </c>
      <c r="DM10" s="21">
        <f t="shared" ref="DM10" si="123">DM9-DA9</f>
        <v>18491311.728291251</v>
      </c>
      <c r="DN10" s="21">
        <f t="shared" ref="DN10" si="124">DN9-DB9</f>
        <v>17625002.461120375</v>
      </c>
      <c r="DO10" s="21">
        <f t="shared" ref="DO10" si="125">DO9-DC9</f>
        <v>16672062.267232409</v>
      </c>
      <c r="DP10" s="21">
        <f t="shared" ref="DP10" si="126">DP9-DD9</f>
        <v>15623828.053955648</v>
      </c>
      <c r="DQ10" s="21">
        <f t="shared" ref="DQ10" si="127">DQ9-DE9</f>
        <v>14470770.419351211</v>
      </c>
      <c r="DR10" s="21">
        <f t="shared" ref="DR10" si="128">DR9-DF9</f>
        <v>13202407.021286331</v>
      </c>
      <c r="DS10" s="21">
        <f t="shared" ref="DS10" si="129">DS9-DG9</f>
        <v>11807207.283414964</v>
      </c>
      <c r="DT10" s="21">
        <f t="shared" ref="DT10" si="130">DT9-DH9</f>
        <v>10272487.57175646</v>
      </c>
      <c r="DU10" s="21">
        <f t="shared" ref="DU10" si="131">DU9-DI9</f>
        <v>8584295.8889321052</v>
      </c>
      <c r="DV10" s="21">
        <f t="shared" ref="DV10" si="132">DV9-DJ9</f>
        <v>6727285.0378253125</v>
      </c>
      <c r="DW10" s="21">
        <f t="shared" ref="DW10" si="133">DW9-DK9</f>
        <v>4684573.1016078405</v>
      </c>
      <c r="DX10" s="21">
        <f t="shared" ref="DX10" si="134">DX9-DL9</f>
        <v>2437589.9717686214</v>
      </c>
      <c r="DY10" s="21">
        <f t="shared" ref="DY10" si="135">DY9-DM9</f>
        <v>0</v>
      </c>
      <c r="DZ10" s="21">
        <f t="shared" ref="DZ10" si="136">DZ9-DN9</f>
        <v>0</v>
      </c>
      <c r="EA10" s="21">
        <f t="shared" ref="EA10" si="137">EA9-DO9</f>
        <v>0</v>
      </c>
      <c r="EB10" s="21">
        <f t="shared" ref="EB10" si="138">EB9-DP9</f>
        <v>0</v>
      </c>
      <c r="EC10" s="21">
        <f t="shared" ref="EC10" si="139">EC9-DQ9</f>
        <v>0</v>
      </c>
      <c r="ED10" s="21">
        <f t="shared" ref="ED10" si="140">ED9-DR9</f>
        <v>0</v>
      </c>
      <c r="EE10" s="21">
        <f t="shared" ref="EE10" si="141">EE9-DS9</f>
        <v>0</v>
      </c>
      <c r="EF10" s="21">
        <f t="shared" ref="EF10" si="142">EF9-DT9</f>
        <v>0</v>
      </c>
      <c r="EG10" s="21">
        <f t="shared" ref="EG10" si="143">EG9-DU9</f>
        <v>0</v>
      </c>
      <c r="EH10" s="21">
        <f t="shared" ref="EH10" si="144">EH9-DV9</f>
        <v>0</v>
      </c>
      <c r="EI10" s="21">
        <f t="shared" ref="EI10" si="145">EI9-DW9</f>
        <v>0</v>
      </c>
      <c r="EJ10" s="21">
        <f t="shared" ref="EJ10" si="146">EJ9-DX9</f>
        <v>0</v>
      </c>
      <c r="EK10" s="21">
        <f t="shared" ref="EK10" si="147">EK9-DY9</f>
        <v>0</v>
      </c>
      <c r="EL10" s="21">
        <f t="shared" ref="EL10" si="148">EL9-DZ9</f>
        <v>0</v>
      </c>
      <c r="EM10" s="21">
        <f t="shared" ref="EM10" si="149">EM9-EA9</f>
        <v>0</v>
      </c>
      <c r="EN10" s="21">
        <f t="shared" ref="EN10" si="150">EN9-EB9</f>
        <v>0</v>
      </c>
      <c r="EO10" s="21">
        <f t="shared" ref="EO10" si="151">EO9-EC9</f>
        <v>0</v>
      </c>
      <c r="EP10" s="21">
        <f t="shared" ref="EP10" si="152">EP9-ED9</f>
        <v>0</v>
      </c>
      <c r="EQ10" s="21">
        <f t="shared" ref="EQ10" si="153">EQ9-EE9</f>
        <v>0</v>
      </c>
      <c r="ER10" s="21">
        <f t="shared" ref="ER10" si="154">ER9-EF9</f>
        <v>0</v>
      </c>
      <c r="ES10" s="21">
        <f t="shared" ref="ES10" si="155">ES9-EG9</f>
        <v>0</v>
      </c>
      <c r="ET10" s="21">
        <f t="shared" ref="ET10" si="156">ET9-EH9</f>
        <v>0</v>
      </c>
      <c r="EU10" s="21">
        <f t="shared" ref="EU10" si="157">EU9-EI9</f>
        <v>0</v>
      </c>
      <c r="EV10" s="21">
        <f t="shared" ref="EV10" si="158">EV9-EJ9</f>
        <v>0</v>
      </c>
      <c r="EW10" s="21">
        <f t="shared" ref="EW10" si="159">EW9-EK9</f>
        <v>0</v>
      </c>
      <c r="EX10" s="21">
        <f t="shared" ref="EX10" si="160">EX9-EL9</f>
        <v>0</v>
      </c>
      <c r="EY10" s="21">
        <f t="shared" ref="EY10" si="161">EY9-EM9</f>
        <v>0</v>
      </c>
      <c r="EZ10" s="21">
        <f t="shared" ref="EZ10" si="162">EZ9-EN9</f>
        <v>0</v>
      </c>
      <c r="FA10" s="21">
        <f t="shared" ref="FA10" si="163">FA9-EO9</f>
        <v>0</v>
      </c>
      <c r="FB10" s="21">
        <f t="shared" ref="FB10" si="164">FB9-EP9</f>
        <v>0</v>
      </c>
      <c r="FC10" s="21">
        <f t="shared" ref="FC10" si="165">FC9-EQ9</f>
        <v>0</v>
      </c>
      <c r="FD10" s="21">
        <f t="shared" ref="FD10" si="166">FD9-ER9</f>
        <v>0</v>
      </c>
      <c r="FE10" s="21">
        <f t="shared" ref="FE10" si="167">FE9-ES9</f>
        <v>0</v>
      </c>
      <c r="FF10" s="21">
        <f t="shared" ref="FF10" si="168">FF9-ET9</f>
        <v>0</v>
      </c>
      <c r="FG10" s="21">
        <f t="shared" ref="FG10" si="169">FG9-EU9</f>
        <v>0</v>
      </c>
      <c r="FH10" s="21">
        <f t="shared" ref="FH10" si="170">FH9-EV9</f>
        <v>0</v>
      </c>
      <c r="FI10" s="21">
        <f t="shared" ref="FI10" si="171">FI9-EW9</f>
        <v>0</v>
      </c>
      <c r="FJ10" s="21">
        <f t="shared" ref="FJ10" si="172">FJ9-EX9</f>
        <v>0</v>
      </c>
      <c r="FK10" s="21">
        <f t="shared" ref="FK10" si="173">FK9-EY9</f>
        <v>0</v>
      </c>
      <c r="FL10" s="21">
        <f t="shared" ref="FL10" si="174">FL9-EZ9</f>
        <v>0</v>
      </c>
      <c r="FM10" s="21">
        <f t="shared" ref="FM10" si="175">FM9-FA9</f>
        <v>0</v>
      </c>
      <c r="FN10" s="21">
        <f t="shared" ref="FN10" si="176">FN9-FB9</f>
        <v>0</v>
      </c>
      <c r="FO10" s="21">
        <f t="shared" ref="FO10" si="177">FO9-FC9</f>
        <v>0</v>
      </c>
      <c r="FP10" s="21">
        <f t="shared" ref="FP10" si="178">FP9-FD9</f>
        <v>0</v>
      </c>
      <c r="FQ10" s="21">
        <f t="shared" ref="FQ10" si="179">FQ9-FE9</f>
        <v>0</v>
      </c>
      <c r="FR10" s="21">
        <f t="shared" ref="FR10" si="180">FR9-FF9</f>
        <v>0</v>
      </c>
      <c r="FS10" s="21">
        <f t="shared" ref="FS10" si="181">FS9-FG9</f>
        <v>0</v>
      </c>
      <c r="FT10" s="21">
        <f t="shared" ref="FT10" si="182">FT9-FH9</f>
        <v>0</v>
      </c>
      <c r="FU10" s="21">
        <f t="shared" ref="FU10" si="183">FU9-FI9</f>
        <v>0</v>
      </c>
      <c r="FV10" s="21">
        <f t="shared" ref="FV10" si="184">FV9-FJ9</f>
        <v>0</v>
      </c>
      <c r="FW10" s="21">
        <f t="shared" ref="FW10" si="185">FW9-FK9</f>
        <v>0</v>
      </c>
      <c r="FX10" s="21">
        <f t="shared" ref="FX10" si="186">FX9-FL9</f>
        <v>0</v>
      </c>
      <c r="FY10" s="21">
        <f t="shared" ref="FY10" si="187">FY9-FM9</f>
        <v>0</v>
      </c>
      <c r="FZ10" s="21">
        <f t="shared" ref="FZ10" si="188">FZ9-FN9</f>
        <v>0</v>
      </c>
      <c r="GA10" s="21">
        <f t="shared" ref="GA10" si="189">GA9-FO9</f>
        <v>0</v>
      </c>
      <c r="GB10" s="21">
        <f t="shared" ref="GB10" si="190">GB9-FP9</f>
        <v>0</v>
      </c>
      <c r="GC10" s="21">
        <f t="shared" ref="GC10" si="191">GC9-FQ9</f>
        <v>0</v>
      </c>
      <c r="GD10" s="21">
        <f t="shared" ref="GD10" si="192">GD9-FR9</f>
        <v>0</v>
      </c>
      <c r="GE10" s="21">
        <f t="shared" ref="GE10" si="193">GE9-FS9</f>
        <v>0</v>
      </c>
      <c r="GF10" s="21">
        <f t="shared" ref="GF10" si="194">GF9-FT9</f>
        <v>0</v>
      </c>
      <c r="GG10" s="21">
        <f t="shared" ref="GG10" si="195">GG9-FU9</f>
        <v>0</v>
      </c>
      <c r="GH10" s="21">
        <f t="shared" ref="GH10" si="196">GH9-FV9</f>
        <v>0</v>
      </c>
      <c r="GI10" s="21">
        <f t="shared" ref="GI10" si="197">GI9-FW9</f>
        <v>0</v>
      </c>
      <c r="GJ10" s="21">
        <f t="shared" ref="GJ10" si="198">GJ9-FX9</f>
        <v>0</v>
      </c>
      <c r="GK10" s="21">
        <f t="shared" ref="GK10" si="199">GK9-FY9</f>
        <v>0</v>
      </c>
      <c r="GL10" s="21">
        <f t="shared" ref="GL10" si="200">GL9-FZ9</f>
        <v>0</v>
      </c>
      <c r="GM10" s="21">
        <f t="shared" ref="GM10" si="201">GM9-GA9</f>
        <v>0</v>
      </c>
      <c r="GN10" s="21">
        <f t="shared" ref="GN10" si="202">GN9-GB9</f>
        <v>0</v>
      </c>
      <c r="GO10" s="21">
        <f t="shared" ref="GO10" si="203">GO9-GC9</f>
        <v>0</v>
      </c>
      <c r="GP10" s="21">
        <f t="shared" ref="GP10" si="204">GP9-GD9</f>
        <v>0</v>
      </c>
      <c r="GQ10" s="21">
        <f t="shared" ref="GQ10" si="205">GQ9-GE9</f>
        <v>0</v>
      </c>
      <c r="GR10" s="21">
        <f t="shared" ref="GR10" si="206">GR9-GF9</f>
        <v>0</v>
      </c>
      <c r="GS10" s="21">
        <f t="shared" ref="GS10" si="207">GS9-GG9</f>
        <v>0</v>
      </c>
      <c r="GT10" s="21">
        <f t="shared" ref="GT10" si="208">GT9-GH9</f>
        <v>0</v>
      </c>
      <c r="GU10" s="21">
        <f t="shared" ref="GU10" si="209">GU9-GI9</f>
        <v>0</v>
      </c>
      <c r="GV10" s="21">
        <f t="shared" ref="GV10" si="210">GV9-GJ9</f>
        <v>0</v>
      </c>
      <c r="GW10" s="21">
        <f t="shared" ref="GW10" si="211">GW9-GK9</f>
        <v>0</v>
      </c>
      <c r="GX10" s="21">
        <f t="shared" ref="GX10" si="212">GX9-GL9</f>
        <v>0</v>
      </c>
      <c r="GY10" s="21">
        <f t="shared" ref="GY10" si="213">GY9-GM9</f>
        <v>0</v>
      </c>
      <c r="GZ10" s="21">
        <f t="shared" ref="GZ10" si="214">GZ9-GN9</f>
        <v>0</v>
      </c>
      <c r="HA10" s="21">
        <f t="shared" ref="HA10" si="215">HA9-GO9</f>
        <v>0</v>
      </c>
      <c r="HB10" s="21">
        <f t="shared" ref="HB10" si="216">HB9-GP9</f>
        <v>0</v>
      </c>
      <c r="HC10" s="21">
        <f t="shared" ref="HC10" si="217">HC9-GQ9</f>
        <v>0</v>
      </c>
      <c r="HD10" s="21">
        <f t="shared" ref="HD10" si="218">HD9-GR9</f>
        <v>0</v>
      </c>
      <c r="HE10" s="21">
        <f t="shared" ref="HE10" si="219">HE9-GS9</f>
        <v>0</v>
      </c>
      <c r="HF10" s="21">
        <f t="shared" ref="HF10" si="220">HF9-GT9</f>
        <v>0</v>
      </c>
      <c r="HG10" s="21">
        <f t="shared" ref="HG10" si="221">HG9-GU9</f>
        <v>0</v>
      </c>
      <c r="HH10" s="21">
        <f t="shared" ref="HH10" si="222">HH9-GV9</f>
        <v>0</v>
      </c>
      <c r="HI10" s="21">
        <f t="shared" ref="HI10" si="223">HI9-GW9</f>
        <v>0</v>
      </c>
      <c r="HJ10" s="21">
        <f t="shared" ref="HJ10" si="224">HJ9-GX9</f>
        <v>0</v>
      </c>
      <c r="HK10" s="21">
        <f t="shared" ref="HK10" si="225">HK9-GY9</f>
        <v>0</v>
      </c>
      <c r="HL10" s="21">
        <f t="shared" ref="HL10" si="226">HL9-GZ9</f>
        <v>0</v>
      </c>
      <c r="HM10" s="21">
        <f t="shared" ref="HM10" si="227">HM9-HA9</f>
        <v>0</v>
      </c>
      <c r="HN10" s="21">
        <f t="shared" ref="HN10" si="228">HN9-HB9</f>
        <v>0</v>
      </c>
      <c r="HO10" s="21">
        <f t="shared" ref="HO10" si="229">HO9-HC9</f>
        <v>0</v>
      </c>
      <c r="HP10" s="21">
        <f t="shared" ref="HP10" si="230">HP9-HD9</f>
        <v>0</v>
      </c>
      <c r="HQ10" s="21">
        <f t="shared" ref="HQ10" si="231">HQ9-HE9</f>
        <v>0</v>
      </c>
      <c r="HR10" s="21">
        <f t="shared" ref="HR10" si="232">HR9-HF9</f>
        <v>0</v>
      </c>
      <c r="HS10" s="21">
        <f t="shared" ref="HS10" si="233">HS9-HG9</f>
        <v>0</v>
      </c>
      <c r="HT10" s="21">
        <f t="shared" ref="HT10" si="234">HT9-HH9</f>
        <v>0</v>
      </c>
      <c r="HU10" s="21">
        <f t="shared" ref="HU10" si="235">HU9-HI9</f>
        <v>0</v>
      </c>
      <c r="HV10" s="21">
        <f t="shared" ref="HV10" si="236">HV9-HJ9</f>
        <v>0</v>
      </c>
      <c r="HW10" s="21">
        <f t="shared" ref="HW10" si="237">HW9-HK9</f>
        <v>0</v>
      </c>
      <c r="HX10" s="21">
        <f t="shared" ref="HX10" si="238">HX9-HL9</f>
        <v>0</v>
      </c>
      <c r="HY10" s="21">
        <f t="shared" ref="HY10" si="239">HY9-HM9</f>
        <v>0</v>
      </c>
      <c r="HZ10" s="21">
        <f t="shared" ref="HZ10" si="240">HZ9-HN9</f>
        <v>0</v>
      </c>
      <c r="IA10" s="21">
        <f t="shared" ref="IA10" si="241">IA9-HO9</f>
        <v>0</v>
      </c>
      <c r="IB10" s="21">
        <f t="shared" ref="IB10" si="242">IB9-HP9</f>
        <v>0</v>
      </c>
      <c r="IC10" s="21">
        <f t="shared" ref="IC10" si="243">IC9-HQ9</f>
        <v>0</v>
      </c>
      <c r="ID10" s="21">
        <f t="shared" ref="ID10" si="244">ID9-HR9</f>
        <v>0</v>
      </c>
      <c r="IE10" s="21">
        <f t="shared" ref="IE10" si="245">IE9-HS9</f>
        <v>0</v>
      </c>
      <c r="IF10" s="21">
        <f t="shared" ref="IF10" si="246">IF9-HT9</f>
        <v>0</v>
      </c>
      <c r="IG10" s="21">
        <f t="shared" ref="IG10" si="247">IG9-HU9</f>
        <v>0</v>
      </c>
      <c r="IH10" s="21">
        <f t="shared" ref="IH10" si="248">IH9-HV9</f>
        <v>0</v>
      </c>
      <c r="II10" s="21">
        <f t="shared" ref="II10" si="249">II9-HW9</f>
        <v>0</v>
      </c>
      <c r="IJ10" s="21">
        <f t="shared" ref="IJ10" si="250">IJ9-HX9</f>
        <v>0</v>
      </c>
      <c r="IK10" s="21">
        <f t="shared" ref="IK10" si="251">IK9-HY9</f>
        <v>0</v>
      </c>
      <c r="IL10" s="21">
        <f t="shared" ref="IL10" si="252">IL9-HZ9</f>
        <v>0</v>
      </c>
      <c r="IM10" s="21">
        <f t="shared" ref="IM10" si="253">IM9-IA9</f>
        <v>0</v>
      </c>
      <c r="IN10" s="21">
        <f t="shared" ref="IN10" si="254">IN9-IB9</f>
        <v>0</v>
      </c>
    </row>
    <row r="11" spans="2:248" x14ac:dyDescent="0.3">
      <c r="B11" s="19" t="s">
        <v>482</v>
      </c>
      <c r="C11" s="23">
        <f>VLOOKUP(B2,DaysSince100!C:G,5,FALSE)-1</f>
        <v>0.26740622329897556</v>
      </c>
      <c r="E11" s="19">
        <v>0.25</v>
      </c>
      <c r="F11" s="22" t="s">
        <v>619</v>
      </c>
      <c r="G11" s="21">
        <f>IF(IF(AND(ISNA(G$5),ISNA(F$5)),F11*(1+$E11),IF(AND(F$5&gt;0,ISNA(G$5)),F11*(1+$E11),G$5))&gt;$C$20,$C$20,IF(AND(ISNA(G$5),ISNA(F$5)),F11*(1+$E11),IF(AND(F$5&gt;0,ISNA(G$5)),F11*(1+$E11),G$5)))</f>
        <v>116</v>
      </c>
      <c r="H11" s="21">
        <f>IF(IF(AND(ISNA(H$5),ISNA(G$5)),G11*(1+$E11),IF(AND(G$5&gt;0,ISNA(H$5)),G11*(1+$E11),H$5))&gt;$C$20,$C$20,IF(AND(ISNA(H$5),ISNA(G$5)),G11*(1+$E11),IF(AND(G$5&gt;0,ISNA(H$5)),G11*(1+$E11),H$5)))</f>
        <v>164</v>
      </c>
      <c r="I11" s="21">
        <f>IF(IF(AND(ISNA(I$5),ISNA(H$5)),H11*(1+$E11),IF(AND(H$5&gt;0,ISNA(I$5)),H11*(1+$E11),I$5))&gt;$C$20,$C$20,IF(AND(ISNA(I$5),ISNA(H$5)),H11*(1+$E11),IF(AND(H$5&gt;0,ISNA(I$5)),H11*(1+$E11),I$5)))</f>
        <v>207</v>
      </c>
      <c r="J11" s="21">
        <f>IF(IF(AND(ISNA(J$5),ISNA(I$5)),I11*(1+$E11),IF(AND(I$5&gt;0,ISNA(J$5)),I11*(1+$E11),J$5))&gt;$C$20,$C$20,IF(AND(ISNA(J$5),ISNA(I$5)),I11*(1+$E11),IF(AND(I$5&gt;0,ISNA(J$5)),I11*(1+$E11),J$5)))</f>
        <v>274</v>
      </c>
      <c r="K11" s="21">
        <f>IF(IF(AND(ISNA(K$5),ISNA(J$5)),J11*(1+$E11),IF(AND(J$5&gt;0,ISNA(K$5)),J11*(1+$E11),K$5))&gt;$C$20,$C$20,IF(AND(ISNA(K$5),ISNA(J$5)),J11*(1+$E11),IF(AND(J$5&gt;0,ISNA(K$5)),J11*(1+$E11),K$5)))</f>
        <v>322</v>
      </c>
      <c r="L11" s="21">
        <f>IF(IF(AND(ISNA(L$5),ISNA(K$5)),K11*(1+$E11),IF(AND(K$5&gt;0,ISNA(L$5)),K11*(1+$E11),L$5))&gt;$C$20,$C$20,IF(AND(ISNA(L$5),ISNA(K$5)),K11*(1+$E11),IF(AND(K$5&gt;0,ISNA(L$5)),K11*(1+$E11),L$5)))</f>
        <v>384</v>
      </c>
      <c r="M11" s="21">
        <f>IF(IF(AND(ISNA(M$5),ISNA(L$5)),L11*(1+$E11),IF(AND(L$5&gt;0,ISNA(M$5)),L11*(1+$E11),M$5))&gt;$C$20,$C$20,IF(AND(ISNA(M$5),ISNA(L$5)),L11*(1+$E11),IF(AND(L$5&gt;0,ISNA(M$5)),L11*(1+$E11),M$5)))</f>
        <v>459</v>
      </c>
      <c r="N11" s="21">
        <f>IF(IF(AND(ISNA(N$5),ISNA(M$5)),M11*(1+$E11),IF(AND(M$5&gt;0,ISNA(N$5)),M11*(1+$E11),N$5))&gt;$C$20,$C$20,IF(AND(ISNA(N$5),ISNA(M$5)),M11*(1+$E11),IF(AND(M$5&gt;0,ISNA(N$5)),M11*(1+$E11),N$5)))</f>
        <v>590</v>
      </c>
      <c r="O11" s="21">
        <f>IF(IF(AND(ISNA(O$5),ISNA(N$5)),N11*(1+$E11),IF(AND(N$5&gt;0,ISNA(O$5)),N11*(1+$E11),O$5))&gt;$C$20,$C$20,IF(AND(ISNA(O$5),ISNA(N$5)),N11*(1+$E11),IF(AND(N$5&gt;0,ISNA(O$5)),N11*(1+$E11),O$5)))</f>
        <v>803</v>
      </c>
      <c r="P11" s="21">
        <f>IF(IF(AND(ISNA(P$5),ISNA(O$5)),O11*(1+$E11),IF(AND(O$5&gt;0,ISNA(P$5)),O11*(1+$E11),P$5))&gt;$C$20,$C$20,IF(AND(ISNA(P$5),ISNA(O$5)),O11*(1+$E11),IF(AND(O$5&gt;0,ISNA(P$5)),O11*(1+$E11),P$5)))</f>
        <v>1145</v>
      </c>
      <c r="Q11" s="21">
        <f>IF(IF(AND(ISNA(Q$5),ISNA(P$5)),P11*(1+$E11),IF(AND(P$5&gt;0,ISNA(Q$5)),P11*(1+$E11),Q$5))&gt;$C$20,$C$20,IF(AND(ISNA(Q$5),ISNA(P$5)),P11*(1+$E11),IF(AND(P$5&gt;0,ISNA(Q$5)),P11*(1+$E11),Q$5)))</f>
        <v>1355</v>
      </c>
      <c r="R11" s="21">
        <f>IF(IF(AND(ISNA(R$5),ISNA(Q$5)),Q11*(1+$E11),IF(AND(Q$5&gt;0,ISNA(R$5)),Q11*(1+$E11),R$5))&gt;$C$20,$C$20,IF(AND(ISNA(R$5),ISNA(Q$5)),Q11*(1+$E11),IF(AND(Q$5&gt;0,ISNA(R$5)),Q11*(1+$E11),R$5)))</f>
        <v>1552</v>
      </c>
      <c r="S11" s="21">
        <f>IF(IF(AND(ISNA(S$5),ISNA(R$5)),R11*(1+$E11),IF(AND(R$5&gt;0,ISNA(S$5)),R11*(1+$E11),S$5))&gt;$C$20,$C$20,IF(AND(ISNA(S$5),ISNA(R$5)),R11*(1+$E11),IF(AND(R$5&gt;0,ISNA(S$5)),R11*(1+$E11),S$5)))</f>
        <v>1960</v>
      </c>
      <c r="T11" s="21">
        <f>IF(IF(AND(ISNA(T$5),ISNA(S$5)),S11*(1+$E11),IF(AND(S$5&gt;0,ISNA(T$5)),S11*(1+$E11),T$5))&gt;$C$20,$C$20,IF(AND(ISNA(T$5),ISNA(S$5)),S11*(1+$E11),IF(AND(S$5&gt;0,ISNA(T$5)),S11*(1+$E11),T$5)))</f>
        <v>2626</v>
      </c>
      <c r="U11" s="21">
        <f>IF(IF(AND(ISNA(U$5),ISNA(T$5)),T11*(1+$E11),IF(AND(T$5&gt;0,ISNA(U$5)),T11*(1+$E11),U$5))&gt;$C$20,$C$20,IF(AND(ISNA(U$5),ISNA(T$5)),T11*(1+$E11),IF(AND(T$5&gt;0,ISNA(U$5)),T11*(1+$E11),U$5)))</f>
        <v>3282.5</v>
      </c>
      <c r="V11" s="21">
        <f>IF(IF(AND(ISNA(V$5),ISNA(U$5)),U11*(1+$E11),IF(AND(U$5&gt;0,ISNA(V$5)),U11*(1+$E11),V$5))&gt;$C$20,$C$20,IF(AND(ISNA(V$5),ISNA(U$5)),U11*(1+$E11),IF(AND(U$5&gt;0,ISNA(V$5)),U11*(1+$E11),V$5)))</f>
        <v>4103.125</v>
      </c>
      <c r="W11" s="21">
        <f>IF(IF(AND(ISNA(W$5),ISNA(V$5)),V11*(1+$E11),IF(AND(V$5&gt;0,ISNA(W$5)),V11*(1+$E11),W$5))&gt;$C$20,$C$20,IF(AND(ISNA(W$5),ISNA(V$5)),V11*(1+$E11),IF(AND(V$5&gt;0,ISNA(W$5)),V11*(1+$E11),W$5)))</f>
        <v>5128.90625</v>
      </c>
      <c r="X11" s="21">
        <f>IF(IF(AND(ISNA(X$5),ISNA(W$5)),W11*(1+$E11),IF(AND(W$5&gt;0,ISNA(X$5)),W11*(1+$E11),X$5))&gt;$C$20,$C$20,IF(AND(ISNA(X$5),ISNA(W$5)),W11*(1+$E11),IF(AND(W$5&gt;0,ISNA(X$5)),W11*(1+$E11),X$5)))</f>
        <v>6411.1328125</v>
      </c>
      <c r="Y11" s="21">
        <f>IF(IF(AND(ISNA(Y$5),ISNA(X$5)),X11*(1+$E11),IF(AND(X$5&gt;0,ISNA(Y$5)),X11*(1+$E11),Y$5))&gt;$C$20,$C$20,IF(AND(ISNA(Y$5),ISNA(X$5)),X11*(1+$E11),IF(AND(X$5&gt;0,ISNA(Y$5)),X11*(1+$E11),Y$5)))</f>
        <v>8013.916015625</v>
      </c>
      <c r="Z11" s="21">
        <f>IF(IF(AND(ISNA(Z$5),ISNA(Y$5)),Y11*(1+$E11),IF(AND(Y$5&gt;0,ISNA(Z$5)),Y11*(1+$E11),Z$5))&gt;$C$20,$C$20,IF(AND(ISNA(Z$5),ISNA(Y$5)),Y11*(1+$E11),IF(AND(Y$5&gt;0,ISNA(Z$5)),Y11*(1+$E11),Z$5)))</f>
        <v>10017.39501953125</v>
      </c>
      <c r="AA11" s="21">
        <f>IF(IF(AND(ISNA(AA$5),ISNA(Z$5)),Z11*(1+$E11),IF(AND(Z$5&gt;0,ISNA(AA$5)),Z11*(1+$E11),AA$5))&gt;$C$20,$C$20,IF(AND(ISNA(AA$5),ISNA(Z$5)),Z11*(1+$E11),IF(AND(Z$5&gt;0,ISNA(AA$5)),Z11*(1+$E11),AA$5)))</f>
        <v>12521.743774414063</v>
      </c>
      <c r="AB11" s="21">
        <f>IF(IF(AND(ISNA(AB$5),ISNA(AA$5)),AA11*(1+$E11),IF(AND(AA$5&gt;0,ISNA(AB$5)),AA11*(1+$E11),AB$5))&gt;$C$20,$C$20,IF(AND(ISNA(AB$5),ISNA(AA$5)),AA11*(1+$E11),IF(AND(AA$5&gt;0,ISNA(AB$5)),AA11*(1+$E11),AB$5)))</f>
        <v>15652.179718017578</v>
      </c>
      <c r="AC11" s="21">
        <f>IF(IF(AND(ISNA(AC$5),ISNA(AB$5)),AB11*(1+$E11),IF(AND(AB$5&gt;0,ISNA(AC$5)),AB11*(1+$E11),AC$5))&gt;$C$20,$C$20,IF(AND(ISNA(AC$5),ISNA(AB$5)),AB11*(1+$E11),IF(AND(AB$5&gt;0,ISNA(AC$5)),AB11*(1+$E11),AC$5)))</f>
        <v>19565.224647521973</v>
      </c>
      <c r="AD11" s="21">
        <f>IF(IF(AND(ISNA(AD$5),ISNA(AC$5)),AC11*(1+$E11),IF(AND(AC$5&gt;0,ISNA(AD$5)),AC11*(1+$E11),AD$5))&gt;$C$20,$C$20,IF(AND(ISNA(AD$5),ISNA(AC$5)),AC11*(1+$E11),IF(AND(AC$5&gt;0,ISNA(AD$5)),AC11*(1+$E11),AD$5)))</f>
        <v>24456.530809402466</v>
      </c>
      <c r="AE11" s="21">
        <f>IF(IF(AND(ISNA(AE$5),ISNA(AD$5)),AD11*(1+$E11),IF(AND(AD$5&gt;0,ISNA(AE$5)),AD11*(1+$E11),AE$5))&gt;$C$20,$C$20,IF(AND(ISNA(AE$5),ISNA(AD$5)),AD11*(1+$E11),IF(AND(AD$5&gt;0,ISNA(AE$5)),AD11*(1+$E11),AE$5)))</f>
        <v>30570.663511753082</v>
      </c>
      <c r="AF11" s="21">
        <f>IF(IF(AND(ISNA(AF$5),ISNA(AE$5)),AE11*(1+$E11),IF(AND(AE$5&gt;0,ISNA(AF$5)),AE11*(1+$E11),AF$5))&gt;$C$20,$C$20,IF(AND(ISNA(AF$5),ISNA(AE$5)),AE11*(1+$E11),IF(AND(AE$5&gt;0,ISNA(AF$5)),AE11*(1+$E11),AF$5)))</f>
        <v>38213.329389691353</v>
      </c>
      <c r="AG11" s="21">
        <f>IF(IF(AND(ISNA(AG$5),ISNA(AF$5)),AF11*(1+$E11),IF(AND(AF$5&gt;0,ISNA(AG$5)),AF11*(1+$E11),AG$5))&gt;$C$20,$C$20,IF(AND(ISNA(AG$5),ISNA(AF$5)),AF11*(1+$E11),IF(AND(AF$5&gt;0,ISNA(AG$5)),AF11*(1+$E11),AG$5)))</f>
        <v>47766.661737114191</v>
      </c>
      <c r="AH11" s="21">
        <f>IF(IF(AND(ISNA(AH$5),ISNA(AG$5)),AG11*(1+$E11),IF(AND(AG$5&gt;0,ISNA(AH$5)),AG11*(1+$E11),AH$5))&gt;$C$20,$C$20,IF(AND(ISNA(AH$5),ISNA(AG$5)),AG11*(1+$E11),IF(AND(AG$5&gt;0,ISNA(AH$5)),AG11*(1+$E11),AH$5)))</f>
        <v>59708.327171392739</v>
      </c>
      <c r="AI11" s="21">
        <f>IF(IF(AND(ISNA(AI$5),ISNA(AH$5)),AH11*(1+$E11),IF(AND(AH$5&gt;0,ISNA(AI$5)),AH11*(1+$E11),AI$5))&gt;$C$20,$C$20,IF(AND(ISNA(AI$5),ISNA(AH$5)),AH11*(1+$E11),IF(AND(AH$5&gt;0,ISNA(AI$5)),AH11*(1+$E11),AI$5)))</f>
        <v>74635.408964240924</v>
      </c>
      <c r="AJ11" s="21">
        <f>IF(IF(AND(ISNA(AJ$5),ISNA(AI$5)),AI11*(1+$E11),IF(AND(AI$5&gt;0,ISNA(AJ$5)),AI11*(1+$E11),AJ$5))&gt;$C$20,$C$20,IF(AND(ISNA(AJ$5),ISNA(AI$5)),AI11*(1+$E11),IF(AND(AI$5&gt;0,ISNA(AJ$5)),AI11*(1+$E11),AJ$5)))</f>
        <v>93294.261205301154</v>
      </c>
      <c r="AK11" s="21">
        <f>IF(IF(AND(ISNA(AK$5),ISNA(AJ$5)),AJ11*(1+$E11),IF(AND(AJ$5&gt;0,ISNA(AK$5)),AJ11*(1+$E11),AK$5))&gt;$C$20,$C$20,IF(AND(ISNA(AK$5),ISNA(AJ$5)),AJ11*(1+$E11),IF(AND(AJ$5&gt;0,ISNA(AK$5)),AJ11*(1+$E11),AK$5)))</f>
        <v>116617.82650662644</v>
      </c>
      <c r="AL11" s="21">
        <f>IF(IF(AND(ISNA(AL$5),ISNA(AK$5)),AK11*(1+$E11),IF(AND(AK$5&gt;0,ISNA(AL$5)),AK11*(1+$E11),AL$5))&gt;$C$20,$C$20,IF(AND(ISNA(AL$5),ISNA(AK$5)),AK11*(1+$E11),IF(AND(AK$5&gt;0,ISNA(AL$5)),AK11*(1+$E11),AL$5)))</f>
        <v>145772.28313328305</v>
      </c>
      <c r="AM11" s="21">
        <f>IF(IF(AND(ISNA(AM$5),ISNA(AL$5)),AL11*(1+$E11),IF(AND(AL$5&gt;0,ISNA(AM$5)),AL11*(1+$E11),AM$5))&gt;$C$20,$C$20,IF(AND(ISNA(AM$5),ISNA(AL$5)),AL11*(1+$E11),IF(AND(AL$5&gt;0,ISNA(AM$5)),AL11*(1+$E11),AM$5)))</f>
        <v>182215.35391660381</v>
      </c>
      <c r="AN11" s="21">
        <f>IF(IF(AND(ISNA(AN$5),ISNA(AM$5)),AM11*(1+$E11),IF(AND(AM$5&gt;0,ISNA(AN$5)),AM11*(1+$E11),AN$5))&gt;$C$20,$C$20,IF(AND(ISNA(AN$5),ISNA(AM$5)),AM11*(1+$E11),IF(AND(AM$5&gt;0,ISNA(AN$5)),AM11*(1+$E11),AN$5)))</f>
        <v>227769.19239575477</v>
      </c>
      <c r="AO11" s="21">
        <f>IF(IF(AND(ISNA(AO$5),ISNA(AN$5)),AN11*(1+$E11),IF(AND(AN$5&gt;0,ISNA(AO$5)),AN11*(1+$E11),AO$5))&gt;$C$20,$C$20,IF(AND(ISNA(AO$5),ISNA(AN$5)),AN11*(1+$E11),IF(AND(AN$5&gt;0,ISNA(AO$5)),AN11*(1+$E11),AO$5)))</f>
        <v>284711.49049469345</v>
      </c>
      <c r="AP11" s="21">
        <f>IF(IF(AND(ISNA(AP$5),ISNA(AO$5)),AO11*(1+$E11),IF(AND(AO$5&gt;0,ISNA(AP$5)),AO11*(1+$E11),AP$5))&gt;$C$20,$C$20,IF(AND(ISNA(AP$5),ISNA(AO$5)),AO11*(1+$E11),IF(AND(AO$5&gt;0,ISNA(AP$5)),AO11*(1+$E11),AP$5)))</f>
        <v>355889.3631183668</v>
      </c>
      <c r="AQ11" s="21">
        <f>IF(IF(AND(ISNA(AQ$5),ISNA(AP$5)),AP11*(1+$E11),IF(AND(AP$5&gt;0,ISNA(AQ$5)),AP11*(1+$E11),AQ$5))&gt;$C$20,$C$20,IF(AND(ISNA(AQ$5),ISNA(AP$5)),AP11*(1+$E11),IF(AND(AP$5&gt;0,ISNA(AQ$5)),AP11*(1+$E11),AQ$5)))</f>
        <v>444861.7038979585</v>
      </c>
      <c r="AR11" s="21">
        <f>IF(IF(AND(ISNA(AR$5),ISNA(AQ$5)),AQ11*(1+$E11),IF(AND(AQ$5&gt;0,ISNA(AR$5)),AQ11*(1+$E11),AR$5))&gt;$C$20,$C$20,IF(AND(ISNA(AR$5),ISNA(AQ$5)),AQ11*(1+$E11),IF(AND(AQ$5&gt;0,ISNA(AR$5)),AQ11*(1+$E11),AR$5)))</f>
        <v>556077.12987244816</v>
      </c>
      <c r="AS11" s="21">
        <f>IF(IF(AND(ISNA(AS$5),ISNA(AR$5)),AR11*(1+$E11),IF(AND(AR$5&gt;0,ISNA(AS$5)),AR11*(1+$E11),AS$5))&gt;$C$20,$C$20,IF(AND(ISNA(AS$5),ISNA(AR$5)),AR11*(1+$E11),IF(AND(AR$5&gt;0,ISNA(AS$5)),AR11*(1+$E11),AS$5)))</f>
        <v>695096.41234056023</v>
      </c>
      <c r="AT11" s="21">
        <f>IF(IF(AND(ISNA(AT$5),ISNA(AS$5)),AS11*(1+$E11),IF(AND(AS$5&gt;0,ISNA(AT$5)),AS11*(1+$E11),AT$5))&gt;$C$20,$C$20,IF(AND(ISNA(AT$5),ISNA(AS$5)),AS11*(1+$E11),IF(AND(AS$5&gt;0,ISNA(AT$5)),AS11*(1+$E11),AT$5)))</f>
        <v>868870.51542570023</v>
      </c>
      <c r="AU11" s="21">
        <f>IF(IF(AND(ISNA(AU$5),ISNA(AT$5)),AT11*(1+$E11),IF(AND(AT$5&gt;0,ISNA(AU$5)),AT11*(1+$E11),AU$5))&gt;$C$20,$C$20,IF(AND(ISNA(AU$5),ISNA(AT$5)),AT11*(1+$E11),IF(AND(AT$5&gt;0,ISNA(AU$5)),AT11*(1+$E11),AU$5)))</f>
        <v>1086088.1442821254</v>
      </c>
      <c r="AV11" s="21">
        <f>IF(IF(AND(ISNA(AV$5),ISNA(AU$5)),AU11*(1+$E11),IF(AND(AU$5&gt;0,ISNA(AV$5)),AU11*(1+$E11),AV$5))&gt;$C$20,$C$20,IF(AND(ISNA(AV$5),ISNA(AU$5)),AU11*(1+$E11),IF(AND(AU$5&gt;0,ISNA(AV$5)),AU11*(1+$E11),AV$5)))</f>
        <v>1357610.1803526566</v>
      </c>
      <c r="AW11" s="21">
        <f>IF(IF(AND(ISNA(AW$5),ISNA(AV$5)),AV11*(1+$E11),IF(AND(AV$5&gt;0,ISNA(AW$5)),AV11*(1+$E11),AW$5))&gt;$C$20,$C$20,IF(AND(ISNA(AW$5),ISNA(AV$5)),AV11*(1+$E11),IF(AND(AV$5&gt;0,ISNA(AW$5)),AV11*(1+$E11),AW$5)))</f>
        <v>1697012.7254408207</v>
      </c>
      <c r="AX11" s="21">
        <f>IF(IF(AND(ISNA(AX$5),ISNA(AW$5)),AW11*(1+$E11),IF(AND(AW$5&gt;0,ISNA(AX$5)),AW11*(1+$E11),AX$5))&gt;$C$20,$C$20,IF(AND(ISNA(AX$5),ISNA(AW$5)),AW11*(1+$E11),IF(AND(AW$5&gt;0,ISNA(AX$5)),AW11*(1+$E11),AX$5)))</f>
        <v>2121265.9068010258</v>
      </c>
      <c r="AY11" s="21">
        <f>IF(IF(AND(ISNA(AY$5),ISNA(AX$5)),AX11*(1+$E11),IF(AND(AX$5&gt;0,ISNA(AY$5)),AX11*(1+$E11),AY$5))&gt;$C$20,$C$20,IF(AND(ISNA(AY$5),ISNA(AX$5)),AX11*(1+$E11),IF(AND(AX$5&gt;0,ISNA(AY$5)),AX11*(1+$E11),AY$5)))</f>
        <v>2651582.3835012824</v>
      </c>
      <c r="AZ11" s="21">
        <f>IF(IF(AND(ISNA(AZ$5),ISNA(AY$5)),AY11*(1+$E11),IF(AND(AY$5&gt;0,ISNA(AZ$5)),AY11*(1+$E11),AZ$5))&gt;$C$20,$C$20,IF(AND(ISNA(AZ$5),ISNA(AY$5)),AY11*(1+$E11),IF(AND(AY$5&gt;0,ISNA(AZ$5)),AY11*(1+$E11),AZ$5)))</f>
        <v>3314477.9793766029</v>
      </c>
      <c r="BA11" s="21">
        <f>IF(IF(AND(ISNA(BA$5),ISNA(AZ$5)),AZ11*(1+$E11),IF(AND(AZ$5&gt;0,ISNA(BA$5)),AZ11*(1+$E11),BA$5))&gt;$C$20,$C$20,IF(AND(ISNA(BA$5),ISNA(AZ$5)),AZ11*(1+$E11),IF(AND(AZ$5&gt;0,ISNA(BA$5)),AZ11*(1+$E11),BA$5)))</f>
        <v>4143097.4742207536</v>
      </c>
      <c r="BB11" s="21">
        <f>IF(IF(AND(ISNA(BB$5),ISNA(BA$5)),BA11*(1+$E11),IF(AND(BA$5&gt;0,ISNA(BB$5)),BA11*(1+$E11),BB$5))&gt;$C$20,$C$20,IF(AND(ISNA(BB$5),ISNA(BA$5)),BA11*(1+$E11),IF(AND(BA$5&gt;0,ISNA(BB$5)),BA11*(1+$E11),BB$5)))</f>
        <v>5178871.8427759418</v>
      </c>
      <c r="BC11" s="21">
        <f>IF(IF(AND(ISNA(BC$5),ISNA(BB$5)),BB11*(1+$E11),IF(AND(BB$5&gt;0,ISNA(BC$5)),BB11*(1+$E11),BC$5))&gt;$C$20,$C$20,IF(AND(ISNA(BC$5),ISNA(BB$5)),BB11*(1+$E11),IF(AND(BB$5&gt;0,ISNA(BC$5)),BB11*(1+$E11),BC$5)))</f>
        <v>6473589.8034699271</v>
      </c>
      <c r="BD11" s="21">
        <f>IF(IF(AND(ISNA(BD$5),ISNA(BC$5)),BC11*(1+$E11),IF(AND(BC$5&gt;0,ISNA(BD$5)),BC11*(1+$E11),BD$5))&gt;$C$20,$C$20,IF(AND(ISNA(BD$5),ISNA(BC$5)),BC11*(1+$E11),IF(AND(BC$5&gt;0,ISNA(BD$5)),BC11*(1+$E11),BD$5)))</f>
        <v>8091987.2543374086</v>
      </c>
      <c r="BE11" s="21">
        <f>IF(IF(AND(ISNA(BE$5),ISNA(BD$5)),BD11*(1+$E11),IF(AND(BD$5&gt;0,ISNA(BE$5)),BD11*(1+$E11),BE$5))&gt;$C$20,$C$20,IF(AND(ISNA(BE$5),ISNA(BD$5)),BD11*(1+$E11),IF(AND(BD$5&gt;0,ISNA(BE$5)),BD11*(1+$E11),BE$5)))</f>
        <v>10114984.067921761</v>
      </c>
      <c r="BF11" s="21">
        <f>IF(IF(AND(ISNA(BF$5),ISNA(BE$5)),BE11*(1+$E11),IF(AND(BE$5&gt;0,ISNA(BF$5)),BE11*(1+$E11),BF$5))&gt;$C$20,$C$20,IF(AND(ISNA(BF$5),ISNA(BE$5)),BE11*(1+$E11),IF(AND(BE$5&gt;0,ISNA(BF$5)),BE11*(1+$E11),BF$5)))</f>
        <v>12643730.084902201</v>
      </c>
      <c r="BG11" s="21">
        <f>IF(IF(AND(ISNA(BG$5),ISNA(BF$5)),BF11*(1+$E11),IF(AND(BF$5&gt;0,ISNA(BG$5)),BF11*(1+$E11),BG$5))&gt;$C$20,$C$20,IF(AND(ISNA(BG$5),ISNA(BF$5)),BF11*(1+$E11),IF(AND(BF$5&gt;0,ISNA(BG$5)),BF11*(1+$E11),BG$5)))</f>
        <v>15804662.60612775</v>
      </c>
      <c r="BH11" s="21">
        <f>IF(IF(AND(ISNA(BH$5),ISNA(BG$5)),BG11*(1+$E11),IF(AND(BG$5&gt;0,ISNA(BH$5)),BG11*(1+$E11),BH$5))&gt;$C$20,$C$20,IF(AND(ISNA(BH$5),ISNA(BG$5)),BG11*(1+$E11),IF(AND(BG$5&gt;0,ISNA(BH$5)),BG11*(1+$E11),BH$5)))</f>
        <v>19755828.257659689</v>
      </c>
      <c r="BI11" s="21">
        <f>IF(IF(AND(ISNA(BI$5),ISNA(BH$5)),BH11*(1+$E11),IF(AND(BH$5&gt;0,ISNA(BI$5)),BH11*(1+$E11),BI$5))&gt;$C$20,$C$20,IF(AND(ISNA(BI$5),ISNA(BH$5)),BH11*(1+$E11),IF(AND(BH$5&gt;0,ISNA(BI$5)),BH11*(1+$E11),BI$5)))</f>
        <v>24694785.322074611</v>
      </c>
      <c r="BJ11" s="21">
        <f>IF(IF(AND(ISNA(BJ$5),ISNA(BI$5)),BI11*(1+$E11),IF(AND(BI$5&gt;0,ISNA(BJ$5)),BI11*(1+$E11),BJ$5))&gt;$C$20,$C$20,IF(AND(ISNA(BJ$5),ISNA(BI$5)),BI11*(1+$E11),IF(AND(BI$5&gt;0,ISNA(BJ$5)),BI11*(1+$E11),BJ$5)))</f>
        <v>27154404.400000002</v>
      </c>
      <c r="BK11" s="21">
        <f>IF(IF(AND(ISNA(BK$5),ISNA(BJ$5)),BJ11*(1+$E11),IF(AND(BJ$5&gt;0,ISNA(BK$5)),BJ11*(1+$E11),BK$5))&gt;$C$20,$C$20,IF(AND(ISNA(BK$5),ISNA(BJ$5)),BJ11*(1+$E11),IF(AND(BJ$5&gt;0,ISNA(BK$5)),BJ11*(1+$E11),BK$5)))</f>
        <v>27154404.400000002</v>
      </c>
      <c r="BL11" s="21">
        <f>IF(IF(AND(ISNA(BL$5),ISNA(BK$5)),BK11*(1+$E11),IF(AND(BK$5&gt;0,ISNA(BL$5)),BK11*(1+$E11),BL$5))&gt;$C$20,$C$20,IF(AND(ISNA(BL$5),ISNA(BK$5)),BK11*(1+$E11),IF(AND(BK$5&gt;0,ISNA(BL$5)),BK11*(1+$E11),BL$5)))</f>
        <v>27154404.400000002</v>
      </c>
      <c r="BM11" s="21">
        <f>IF(IF(AND(ISNA(BM$5),ISNA(BL$5)),BL11*(1+$E11),IF(AND(BL$5&gt;0,ISNA(BM$5)),BL11*(1+$E11),BM$5))&gt;$C$20,$C$20,IF(AND(ISNA(BM$5),ISNA(BL$5)),BL11*(1+$E11),IF(AND(BL$5&gt;0,ISNA(BM$5)),BL11*(1+$E11),BM$5)))</f>
        <v>27154404.400000002</v>
      </c>
      <c r="BN11" s="21">
        <f>IF(IF(AND(ISNA(BN$5),ISNA(BM$5)),BM11*(1+$E11),IF(AND(BM$5&gt;0,ISNA(BN$5)),BM11*(1+$E11),BN$5))&gt;$C$20,$C$20,IF(AND(ISNA(BN$5),ISNA(BM$5)),BM11*(1+$E11),IF(AND(BM$5&gt;0,ISNA(BN$5)),BM11*(1+$E11),BN$5)))</f>
        <v>27154404.400000002</v>
      </c>
      <c r="BO11" s="21">
        <f>IF(IF(AND(ISNA(BO$5),ISNA(BN$5)),BN11*(1+$E11),IF(AND(BN$5&gt;0,ISNA(BO$5)),BN11*(1+$E11),BO$5))&gt;$C$20,$C$20,IF(AND(ISNA(BO$5),ISNA(BN$5)),BN11*(1+$E11),IF(AND(BN$5&gt;0,ISNA(BO$5)),BN11*(1+$E11),BO$5)))</f>
        <v>27154404.400000002</v>
      </c>
      <c r="BP11" s="21">
        <f>IF(IF(AND(ISNA(BP$5),ISNA(BO$5)),BO11*(1+$E11),IF(AND(BO$5&gt;0,ISNA(BP$5)),BO11*(1+$E11),BP$5))&gt;$C$20,$C$20,IF(AND(ISNA(BP$5),ISNA(BO$5)),BO11*(1+$E11),IF(AND(BO$5&gt;0,ISNA(BP$5)),BO11*(1+$E11),BP$5)))</f>
        <v>27154404.400000002</v>
      </c>
      <c r="BQ11" s="21">
        <f>IF(IF(AND(ISNA(BQ$5),ISNA(BP$5)),BP11*(1+$E11),IF(AND(BP$5&gt;0,ISNA(BQ$5)),BP11*(1+$E11),BQ$5))&gt;$C$20,$C$20,IF(AND(ISNA(BQ$5),ISNA(BP$5)),BP11*(1+$E11),IF(AND(BP$5&gt;0,ISNA(BQ$5)),BP11*(1+$E11),BQ$5)))</f>
        <v>27154404.400000002</v>
      </c>
      <c r="BR11" s="21">
        <f>IF(IF(AND(ISNA(BR$5),ISNA(BQ$5)),BQ11*(1+$E11),IF(AND(BQ$5&gt;0,ISNA(BR$5)),BQ11*(1+$E11),BR$5))&gt;$C$20,$C$20,IF(AND(ISNA(BR$5),ISNA(BQ$5)),BQ11*(1+$E11),IF(AND(BQ$5&gt;0,ISNA(BR$5)),BQ11*(1+$E11),BR$5)))</f>
        <v>27154404.400000002</v>
      </c>
      <c r="BS11" s="21">
        <f>IF(IF(AND(ISNA(BS$5),ISNA(BR$5)),BR11*(1+$E11),IF(AND(BR$5&gt;0,ISNA(BS$5)),BR11*(1+$E11),BS$5))&gt;$C$20,$C$20,IF(AND(ISNA(BS$5),ISNA(BR$5)),BR11*(1+$E11),IF(AND(BR$5&gt;0,ISNA(BS$5)),BR11*(1+$E11),BS$5)))</f>
        <v>27154404.400000002</v>
      </c>
      <c r="BT11" s="21">
        <f>IF(IF(AND(ISNA(BT$5),ISNA(BS$5)),BS11*(1+$E11),IF(AND(BS$5&gt;0,ISNA(BT$5)),BS11*(1+$E11),BT$5))&gt;$C$20,$C$20,IF(AND(ISNA(BT$5),ISNA(BS$5)),BS11*(1+$E11),IF(AND(BS$5&gt;0,ISNA(BT$5)),BS11*(1+$E11),BT$5)))</f>
        <v>27154404.400000002</v>
      </c>
      <c r="BU11" s="21">
        <f>IF(IF(AND(ISNA(BU$5),ISNA(BT$5)),BT11*(1+$E11),IF(AND(BT$5&gt;0,ISNA(BU$5)),BT11*(1+$E11),BU$5))&gt;$C$20,$C$20,IF(AND(ISNA(BU$5),ISNA(BT$5)),BT11*(1+$E11),IF(AND(BT$5&gt;0,ISNA(BU$5)),BT11*(1+$E11),BU$5)))</f>
        <v>27154404.400000002</v>
      </c>
      <c r="BV11" s="21">
        <f>IF(IF(AND(ISNA(BV$5),ISNA(BU$5)),BU11*(1+$E11),IF(AND(BU$5&gt;0,ISNA(BV$5)),BU11*(1+$E11),BV$5))&gt;$C$20,$C$20,IF(AND(ISNA(BV$5),ISNA(BU$5)),BU11*(1+$E11),IF(AND(BU$5&gt;0,ISNA(BV$5)),BU11*(1+$E11),BV$5)))</f>
        <v>27154404.400000002</v>
      </c>
      <c r="BW11" s="21">
        <f>IF(IF(AND(ISNA(BW$5),ISNA(BV$5)),BV11*(1+$E11),IF(AND(BV$5&gt;0,ISNA(BW$5)),BV11*(1+$E11),BW$5))&gt;$C$20,$C$20,IF(AND(ISNA(BW$5),ISNA(BV$5)),BV11*(1+$E11),IF(AND(BV$5&gt;0,ISNA(BW$5)),BV11*(1+$E11),BW$5)))</f>
        <v>27154404.400000002</v>
      </c>
      <c r="BX11" s="21">
        <f>IF(IF(AND(ISNA(BX$5),ISNA(BW$5)),BW11*(1+$E11),IF(AND(BW$5&gt;0,ISNA(BX$5)),BW11*(1+$E11),BX$5))&gt;$C$20,$C$20,IF(AND(ISNA(BX$5),ISNA(BW$5)),BW11*(1+$E11),IF(AND(BW$5&gt;0,ISNA(BX$5)),BW11*(1+$E11),BX$5)))</f>
        <v>27154404.400000002</v>
      </c>
      <c r="BY11" s="21">
        <f>IF(IF(AND(ISNA(BY$5),ISNA(BX$5)),BX11*(1+$E11),IF(AND(BX$5&gt;0,ISNA(BY$5)),BX11*(1+$E11),BY$5))&gt;$C$20,$C$20,IF(AND(ISNA(BY$5),ISNA(BX$5)),BX11*(1+$E11),IF(AND(BX$5&gt;0,ISNA(BY$5)),BX11*(1+$E11),BY$5)))</f>
        <v>27154404.400000002</v>
      </c>
      <c r="BZ11" s="21">
        <f>IF(IF(AND(ISNA(BZ$5),ISNA(BY$5)),BY11*(1+$E11),IF(AND(BY$5&gt;0,ISNA(BZ$5)),BY11*(1+$E11),BZ$5))&gt;$C$20,$C$20,IF(AND(ISNA(BZ$5),ISNA(BY$5)),BY11*(1+$E11),IF(AND(BY$5&gt;0,ISNA(BZ$5)),BY11*(1+$E11),BZ$5)))</f>
        <v>27154404.400000002</v>
      </c>
      <c r="CA11" s="21">
        <f>IF(IF(AND(ISNA(CA$5),ISNA(BZ$5)),BZ11*(1+$E11),IF(AND(BZ$5&gt;0,ISNA(CA$5)),BZ11*(1+$E11),CA$5))&gt;$C$20,$C$20,IF(AND(ISNA(CA$5),ISNA(BZ$5)),BZ11*(1+$E11),IF(AND(BZ$5&gt;0,ISNA(CA$5)),BZ11*(1+$E11),CA$5)))</f>
        <v>27154404.400000002</v>
      </c>
      <c r="CB11" s="21">
        <f>IF(IF(AND(ISNA(CB$5),ISNA(CA$5)),CA11*(1+$E11),IF(AND(CA$5&gt;0,ISNA(CB$5)),CA11*(1+$E11),CB$5))&gt;$C$20,$C$20,IF(AND(ISNA(CB$5),ISNA(CA$5)),CA11*(1+$E11),IF(AND(CA$5&gt;0,ISNA(CB$5)),CA11*(1+$E11),CB$5)))</f>
        <v>27154404.400000002</v>
      </c>
      <c r="CC11" s="21">
        <f>IF(IF(AND(ISNA(CC$5),ISNA(CB$5)),CB11*(1+$E11),IF(AND(CB$5&gt;0,ISNA(CC$5)),CB11*(1+$E11),CC$5))&gt;$C$20,$C$20,IF(AND(ISNA(CC$5),ISNA(CB$5)),CB11*(1+$E11),IF(AND(CB$5&gt;0,ISNA(CC$5)),CB11*(1+$E11),CC$5)))</f>
        <v>27154404.400000002</v>
      </c>
      <c r="CD11" s="21">
        <f>IF(IF(AND(ISNA(CD$5),ISNA(CC$5)),CC11*(1+$E11),IF(AND(CC$5&gt;0,ISNA(CD$5)),CC11*(1+$E11),CD$5))&gt;$C$20,$C$20,IF(AND(ISNA(CD$5),ISNA(CC$5)),CC11*(1+$E11),IF(AND(CC$5&gt;0,ISNA(CD$5)),CC11*(1+$E11),CD$5)))</f>
        <v>27154404.400000002</v>
      </c>
      <c r="CE11" s="21">
        <f>IF(IF(AND(ISNA(CE$5),ISNA(CD$5)),CD11*(1+$E11),IF(AND(CD$5&gt;0,ISNA(CE$5)),CD11*(1+$E11),CE$5))&gt;$C$20,$C$20,IF(AND(ISNA(CE$5),ISNA(CD$5)),CD11*(1+$E11),IF(AND(CD$5&gt;0,ISNA(CE$5)),CD11*(1+$E11),CE$5)))</f>
        <v>27154404.400000002</v>
      </c>
      <c r="CF11" s="21">
        <f>IF(IF(AND(ISNA(CF$5),ISNA(CE$5)),CE11*(1+$E11),IF(AND(CE$5&gt;0,ISNA(CF$5)),CE11*(1+$E11),CF$5))&gt;$C$20,$C$20,IF(AND(ISNA(CF$5),ISNA(CE$5)),CE11*(1+$E11),IF(AND(CE$5&gt;0,ISNA(CF$5)),CE11*(1+$E11),CF$5)))</f>
        <v>27154404.400000002</v>
      </c>
      <c r="CG11" s="21">
        <f>IF(IF(AND(ISNA(CG$5),ISNA(CF$5)),CF11*(1+$E11),IF(AND(CF$5&gt;0,ISNA(CG$5)),CF11*(1+$E11),CG$5))&gt;$C$20,$C$20,IF(AND(ISNA(CG$5),ISNA(CF$5)),CF11*(1+$E11),IF(AND(CF$5&gt;0,ISNA(CG$5)),CF11*(1+$E11),CG$5)))</f>
        <v>27154404.400000002</v>
      </c>
      <c r="CH11" s="21">
        <f>IF(IF(AND(ISNA(CH$5),ISNA(CG$5)),CG11*(1+$E11),IF(AND(CG$5&gt;0,ISNA(CH$5)),CG11*(1+$E11),CH$5))&gt;$C$20,$C$20,IF(AND(ISNA(CH$5),ISNA(CG$5)),CG11*(1+$E11),IF(AND(CG$5&gt;0,ISNA(CH$5)),CG11*(1+$E11),CH$5)))</f>
        <v>27154404.400000002</v>
      </c>
      <c r="CI11" s="21">
        <f>IF(IF(AND(ISNA(CI$5),ISNA(CH$5)),CH11*(1+$E11),IF(AND(CH$5&gt;0,ISNA(CI$5)),CH11*(1+$E11),CI$5))&gt;$C$20,$C$20,IF(AND(ISNA(CI$5),ISNA(CH$5)),CH11*(1+$E11),IF(AND(CH$5&gt;0,ISNA(CI$5)),CH11*(1+$E11),CI$5)))</f>
        <v>27154404.400000002</v>
      </c>
      <c r="CJ11" s="21">
        <f>IF(IF(AND(ISNA(CJ$5),ISNA(CI$5)),CI11*(1+$E11),IF(AND(CI$5&gt;0,ISNA(CJ$5)),CI11*(1+$E11),CJ$5))&gt;$C$20,$C$20,IF(AND(ISNA(CJ$5),ISNA(CI$5)),CI11*(1+$E11),IF(AND(CI$5&gt;0,ISNA(CJ$5)),CI11*(1+$E11),CJ$5)))</f>
        <v>27154404.400000002</v>
      </c>
      <c r="CK11" s="21">
        <f>IF(IF(AND(ISNA(CK$5),ISNA(CJ$5)),CJ11*(1+$E11),IF(AND(CJ$5&gt;0,ISNA(CK$5)),CJ11*(1+$E11),CK$5))&gt;$C$20,$C$20,IF(AND(ISNA(CK$5),ISNA(CJ$5)),CJ11*(1+$E11),IF(AND(CJ$5&gt;0,ISNA(CK$5)),CJ11*(1+$E11),CK$5)))</f>
        <v>27154404.400000002</v>
      </c>
      <c r="CL11" s="21">
        <f>IF(IF(AND(ISNA(CL$5),ISNA(CK$5)),CK11*(1+$E11),IF(AND(CK$5&gt;0,ISNA(CL$5)),CK11*(1+$E11),CL$5))&gt;$C$20,$C$20,IF(AND(ISNA(CL$5),ISNA(CK$5)),CK11*(1+$E11),IF(AND(CK$5&gt;0,ISNA(CL$5)),CK11*(1+$E11),CL$5)))</f>
        <v>27154404.400000002</v>
      </c>
      <c r="CM11" s="21">
        <f>IF(IF(AND(ISNA(CM$5),ISNA(CL$5)),CL11*(1+$E11),IF(AND(CL$5&gt;0,ISNA(CM$5)),CL11*(1+$E11),CM$5))&gt;$C$20,$C$20,IF(AND(ISNA(CM$5),ISNA(CL$5)),CL11*(1+$E11),IF(AND(CL$5&gt;0,ISNA(CM$5)),CL11*(1+$E11),CM$5)))</f>
        <v>27154404.400000002</v>
      </c>
      <c r="CN11" s="21">
        <f>IF(IF(AND(ISNA(CN$5),ISNA(CM$5)),CM11*(1+$E11),IF(AND(CM$5&gt;0,ISNA(CN$5)),CM11*(1+$E11),CN$5))&gt;$C$20,$C$20,IF(AND(ISNA(CN$5),ISNA(CM$5)),CM11*(1+$E11),IF(AND(CM$5&gt;0,ISNA(CN$5)),CM11*(1+$E11),CN$5)))</f>
        <v>27154404.400000002</v>
      </c>
      <c r="CO11" s="21">
        <f>IF(IF(AND(ISNA(CO$5),ISNA(CN$5)),CN11*(1+$E11),IF(AND(CN$5&gt;0,ISNA(CO$5)),CN11*(1+$E11),CO$5))&gt;$C$20,$C$20,IF(AND(ISNA(CO$5),ISNA(CN$5)),CN11*(1+$E11),IF(AND(CN$5&gt;0,ISNA(CO$5)),CN11*(1+$E11),CO$5)))</f>
        <v>27154404.400000002</v>
      </c>
      <c r="CP11" s="21">
        <f>IF(IF(AND(ISNA(CP$5),ISNA(CO$5)),CO11*(1+$E11),IF(AND(CO$5&gt;0,ISNA(CP$5)),CO11*(1+$E11),CP$5))&gt;$C$20,$C$20,IF(AND(ISNA(CP$5),ISNA(CO$5)),CO11*(1+$E11),IF(AND(CO$5&gt;0,ISNA(CP$5)),CO11*(1+$E11),CP$5)))</f>
        <v>27154404.400000002</v>
      </c>
      <c r="CQ11" s="21">
        <f>IF(IF(AND(ISNA(CQ$5),ISNA(CP$5)),CP11*(1+$E11),IF(AND(CP$5&gt;0,ISNA(CQ$5)),CP11*(1+$E11),CQ$5))&gt;$C$20,$C$20,IF(AND(ISNA(CQ$5),ISNA(CP$5)),CP11*(1+$E11),IF(AND(CP$5&gt;0,ISNA(CQ$5)),CP11*(1+$E11),CQ$5)))</f>
        <v>27154404.400000002</v>
      </c>
      <c r="CR11" s="21">
        <f>IF(IF(AND(ISNA(CR$5),ISNA(CQ$5)),CQ11*(1+$E11),IF(AND(CQ$5&gt;0,ISNA(CR$5)),CQ11*(1+$E11),CR$5))&gt;$C$20,$C$20,IF(AND(ISNA(CR$5),ISNA(CQ$5)),CQ11*(1+$E11),IF(AND(CQ$5&gt;0,ISNA(CR$5)),CQ11*(1+$E11),CR$5)))</f>
        <v>27154404.400000002</v>
      </c>
      <c r="CS11" s="21">
        <f>IF(IF(AND(ISNA(CS$5),ISNA(CR$5)),CR11*(1+$E11),IF(AND(CR$5&gt;0,ISNA(CS$5)),CR11*(1+$E11),CS$5))&gt;$C$20,$C$20,IF(AND(ISNA(CS$5),ISNA(CR$5)),CR11*(1+$E11),IF(AND(CR$5&gt;0,ISNA(CS$5)),CR11*(1+$E11),CS$5)))</f>
        <v>27154404.400000002</v>
      </c>
      <c r="CT11" s="21">
        <f>IF(IF(AND(ISNA(CT$5),ISNA(CS$5)),CS11*(1+$E11),IF(AND(CS$5&gt;0,ISNA(CT$5)),CS11*(1+$E11),CT$5))&gt;$C$20,$C$20,IF(AND(ISNA(CT$5),ISNA(CS$5)),CS11*(1+$E11),IF(AND(CS$5&gt;0,ISNA(CT$5)),CS11*(1+$E11),CT$5)))</f>
        <v>27154404.400000002</v>
      </c>
      <c r="CU11" s="21">
        <f>IF(IF(AND(ISNA(CU$5),ISNA(CT$5)),CT11*(1+$E11),IF(AND(CT$5&gt;0,ISNA(CU$5)),CT11*(1+$E11),CU$5))&gt;$C$20,$C$20,IF(AND(ISNA(CU$5),ISNA(CT$5)),CT11*(1+$E11),IF(AND(CT$5&gt;0,ISNA(CU$5)),CT11*(1+$E11),CU$5)))</f>
        <v>27154404.400000002</v>
      </c>
      <c r="CV11" s="21">
        <f>IF(IF(AND(ISNA(CV$5),ISNA(CU$5)),CU11*(1+$E11),IF(AND(CU$5&gt;0,ISNA(CV$5)),CU11*(1+$E11),CV$5))&gt;$C$20,$C$20,IF(AND(ISNA(CV$5),ISNA(CU$5)),CU11*(1+$E11),IF(AND(CU$5&gt;0,ISNA(CV$5)),CU11*(1+$E11),CV$5)))</f>
        <v>27154404.400000002</v>
      </c>
      <c r="CW11" s="21">
        <f>IF(IF(AND(ISNA(CW$5),ISNA(CV$5)),CV11*(1+$E11),IF(AND(CV$5&gt;0,ISNA(CW$5)),CV11*(1+$E11),CW$5))&gt;$C$20,$C$20,IF(AND(ISNA(CW$5),ISNA(CV$5)),CV11*(1+$E11),IF(AND(CV$5&gt;0,ISNA(CW$5)),CV11*(1+$E11),CW$5)))</f>
        <v>27154404.400000002</v>
      </c>
      <c r="CX11" s="21">
        <f>IF(IF(AND(ISNA(CX$5),ISNA(CW$5)),CW11*(1+$E11),IF(AND(CW$5&gt;0,ISNA(CX$5)),CW11*(1+$E11),CX$5))&gt;$C$20,$C$20,IF(AND(ISNA(CX$5),ISNA(CW$5)),CW11*(1+$E11),IF(AND(CW$5&gt;0,ISNA(CX$5)),CW11*(1+$E11),CX$5)))</f>
        <v>27154404.400000002</v>
      </c>
      <c r="CY11" s="21">
        <f>IF(IF(AND(ISNA(CY$5),ISNA(CX$5)),CX11*(1+$E11),IF(AND(CX$5&gt;0,ISNA(CY$5)),CX11*(1+$E11),CY$5))&gt;$C$20,$C$20,IF(AND(ISNA(CY$5),ISNA(CX$5)),CX11*(1+$E11),IF(AND(CX$5&gt;0,ISNA(CY$5)),CX11*(1+$E11),CY$5)))</f>
        <v>27154404.400000002</v>
      </c>
      <c r="CZ11" s="21">
        <f>IF(IF(AND(ISNA(CZ$5),ISNA(CY$5)),CY11*(1+$E11),IF(AND(CY$5&gt;0,ISNA(CZ$5)),CY11*(1+$E11),CZ$5))&gt;$C$20,$C$20,IF(AND(ISNA(CZ$5),ISNA(CY$5)),CY11*(1+$E11),IF(AND(CY$5&gt;0,ISNA(CZ$5)),CY11*(1+$E11),CZ$5)))</f>
        <v>27154404.400000002</v>
      </c>
      <c r="DA11" s="21">
        <f>IF(IF(AND(ISNA(DA$5),ISNA(CZ$5)),CZ11*(1+$E11),IF(AND(CZ$5&gt;0,ISNA(DA$5)),CZ11*(1+$E11),DA$5))&gt;$C$20,$C$20,IF(AND(ISNA(DA$5),ISNA(CZ$5)),CZ11*(1+$E11),IF(AND(CZ$5&gt;0,ISNA(DA$5)),CZ11*(1+$E11),DA$5)))</f>
        <v>27154404.400000002</v>
      </c>
      <c r="DB11" s="21">
        <f>IF(IF(AND(ISNA(DB$5),ISNA(DA$5)),DA11*(1+$E11),IF(AND(DA$5&gt;0,ISNA(DB$5)),DA11*(1+$E11),DB$5))&gt;$C$20,$C$20,IF(AND(ISNA(DB$5),ISNA(DA$5)),DA11*(1+$E11),IF(AND(DA$5&gt;0,ISNA(DB$5)),DA11*(1+$E11),DB$5)))</f>
        <v>27154404.400000002</v>
      </c>
      <c r="DC11" s="21">
        <f>IF(IF(AND(ISNA(DC$5),ISNA(DB$5)),DB11*(1+$E11),IF(AND(DB$5&gt;0,ISNA(DC$5)),DB11*(1+$E11),DC$5))&gt;$C$20,$C$20,IF(AND(ISNA(DC$5),ISNA(DB$5)),DB11*(1+$E11),IF(AND(DB$5&gt;0,ISNA(DC$5)),DB11*(1+$E11),DC$5)))</f>
        <v>27154404.400000002</v>
      </c>
      <c r="DD11" s="21">
        <f>IF(IF(AND(ISNA(DD$5),ISNA(DC$5)),DC11*(1+$E11),IF(AND(DC$5&gt;0,ISNA(DD$5)),DC11*(1+$E11),DD$5))&gt;$C$20,$C$20,IF(AND(ISNA(DD$5),ISNA(DC$5)),DC11*(1+$E11),IF(AND(DC$5&gt;0,ISNA(DD$5)),DC11*(1+$E11),DD$5)))</f>
        <v>27154404.400000002</v>
      </c>
      <c r="DE11" s="21">
        <f>IF(IF(AND(ISNA(DE$5),ISNA(DD$5)),DD11*(1+$E11),IF(AND(DD$5&gt;0,ISNA(DE$5)),DD11*(1+$E11),DE$5))&gt;$C$20,$C$20,IF(AND(ISNA(DE$5),ISNA(DD$5)),DD11*(1+$E11),IF(AND(DD$5&gt;0,ISNA(DE$5)),DD11*(1+$E11),DE$5)))</f>
        <v>27154404.400000002</v>
      </c>
      <c r="DF11" s="21">
        <f>IF(IF(AND(ISNA(DF$5),ISNA(DE$5)),DE11*(1+$E11),IF(AND(DE$5&gt;0,ISNA(DF$5)),DE11*(1+$E11),DF$5))&gt;$C$20,$C$20,IF(AND(ISNA(DF$5),ISNA(DE$5)),DE11*(1+$E11),IF(AND(DE$5&gt;0,ISNA(DF$5)),DE11*(1+$E11),DF$5)))</f>
        <v>27154404.400000002</v>
      </c>
      <c r="DG11" s="21">
        <f>IF(IF(AND(ISNA(DG$5),ISNA(DF$5)),DF11*(1+$E11),IF(AND(DF$5&gt;0,ISNA(DG$5)),DF11*(1+$E11),DG$5))&gt;$C$20,$C$20,IF(AND(ISNA(DG$5),ISNA(DF$5)),DF11*(1+$E11),IF(AND(DF$5&gt;0,ISNA(DG$5)),DF11*(1+$E11),DG$5)))</f>
        <v>27154404.400000002</v>
      </c>
      <c r="DH11" s="21">
        <f>IF(IF(AND(ISNA(DH$5),ISNA(DG$5)),DG11*(1+$E11),IF(AND(DG$5&gt;0,ISNA(DH$5)),DG11*(1+$E11),DH$5))&gt;$C$20,$C$20,IF(AND(ISNA(DH$5),ISNA(DG$5)),DG11*(1+$E11),IF(AND(DG$5&gt;0,ISNA(DH$5)),DG11*(1+$E11),DH$5)))</f>
        <v>27154404.400000002</v>
      </c>
      <c r="DI11" s="21">
        <f>IF(IF(AND(ISNA(DI$5),ISNA(DH$5)),DH11*(1+$E11),IF(AND(DH$5&gt;0,ISNA(DI$5)),DH11*(1+$E11),DI$5))&gt;$C$20,$C$20,IF(AND(ISNA(DI$5),ISNA(DH$5)),DH11*(1+$E11),IF(AND(DH$5&gt;0,ISNA(DI$5)),DH11*(1+$E11),DI$5)))</f>
        <v>27154404.400000002</v>
      </c>
      <c r="DJ11" s="21">
        <f>IF(IF(AND(ISNA(DJ$5),ISNA(DI$5)),DI11*(1+$E11),IF(AND(DI$5&gt;0,ISNA(DJ$5)),DI11*(1+$E11),DJ$5))&gt;$C$20,$C$20,IF(AND(ISNA(DJ$5),ISNA(DI$5)),DI11*(1+$E11),IF(AND(DI$5&gt;0,ISNA(DJ$5)),DI11*(1+$E11),DJ$5)))</f>
        <v>27154404.400000002</v>
      </c>
      <c r="DK11" s="21">
        <f>IF(IF(AND(ISNA(DK$5),ISNA(DJ$5)),DJ11*(1+$E11),IF(AND(DJ$5&gt;0,ISNA(DK$5)),DJ11*(1+$E11),DK$5))&gt;$C$20,$C$20,IF(AND(ISNA(DK$5),ISNA(DJ$5)),DJ11*(1+$E11),IF(AND(DJ$5&gt;0,ISNA(DK$5)),DJ11*(1+$E11),DK$5)))</f>
        <v>27154404.400000002</v>
      </c>
      <c r="DL11" s="21">
        <f>IF(IF(AND(ISNA(DL$5),ISNA(DK$5)),DK11*(1+$E11),IF(AND(DK$5&gt;0,ISNA(DL$5)),DK11*(1+$E11),DL$5))&gt;$C$20,$C$20,IF(AND(ISNA(DL$5),ISNA(DK$5)),DK11*(1+$E11),IF(AND(DK$5&gt;0,ISNA(DL$5)),DK11*(1+$E11),DL$5)))</f>
        <v>27154404.400000002</v>
      </c>
      <c r="DM11" s="21">
        <f>IF(IF(AND(ISNA(DM$5),ISNA(DL$5)),DL11*(1+$E11),IF(AND(DL$5&gt;0,ISNA(DM$5)),DL11*(1+$E11),DM$5))&gt;$C$20,$C$20,IF(AND(ISNA(DM$5),ISNA(DL$5)),DL11*(1+$E11),IF(AND(DL$5&gt;0,ISNA(DM$5)),DL11*(1+$E11),DM$5)))</f>
        <v>27154404.400000002</v>
      </c>
      <c r="DN11" s="21">
        <f>IF(IF(AND(ISNA(DN$5),ISNA(DM$5)),DM11*(1+$E11),IF(AND(DM$5&gt;0,ISNA(DN$5)),DM11*(1+$E11),DN$5))&gt;$C$20,$C$20,IF(AND(ISNA(DN$5),ISNA(DM$5)),DM11*(1+$E11),IF(AND(DM$5&gt;0,ISNA(DN$5)),DM11*(1+$E11),DN$5)))</f>
        <v>27154404.400000002</v>
      </c>
      <c r="DO11" s="21">
        <f>IF(IF(AND(ISNA(DO$5),ISNA(DN$5)),DN11*(1+$E11),IF(AND(DN$5&gt;0,ISNA(DO$5)),DN11*(1+$E11),DO$5))&gt;$C$20,$C$20,IF(AND(ISNA(DO$5),ISNA(DN$5)),DN11*(1+$E11),IF(AND(DN$5&gt;0,ISNA(DO$5)),DN11*(1+$E11),DO$5)))</f>
        <v>27154404.400000002</v>
      </c>
      <c r="DP11" s="21">
        <f>IF(IF(AND(ISNA(DP$5),ISNA(DO$5)),DO11*(1+$E11),IF(AND(DO$5&gt;0,ISNA(DP$5)),DO11*(1+$E11),DP$5))&gt;$C$20,$C$20,IF(AND(ISNA(DP$5),ISNA(DO$5)),DO11*(1+$E11),IF(AND(DO$5&gt;0,ISNA(DP$5)),DO11*(1+$E11),DP$5)))</f>
        <v>27154404.400000002</v>
      </c>
      <c r="DQ11" s="21">
        <f>IF(IF(AND(ISNA(DQ$5),ISNA(DP$5)),DP11*(1+$E11),IF(AND(DP$5&gt;0,ISNA(DQ$5)),DP11*(1+$E11),DQ$5))&gt;$C$20,$C$20,IF(AND(ISNA(DQ$5),ISNA(DP$5)),DP11*(1+$E11),IF(AND(DP$5&gt;0,ISNA(DQ$5)),DP11*(1+$E11),DQ$5)))</f>
        <v>27154404.400000002</v>
      </c>
      <c r="DR11" s="21">
        <f>IF(IF(AND(ISNA(DR$5),ISNA(DQ$5)),DQ11*(1+$E11),IF(AND(DQ$5&gt;0,ISNA(DR$5)),DQ11*(1+$E11),DR$5))&gt;$C$20,$C$20,IF(AND(ISNA(DR$5),ISNA(DQ$5)),DQ11*(1+$E11),IF(AND(DQ$5&gt;0,ISNA(DR$5)),DQ11*(1+$E11),DR$5)))</f>
        <v>27154404.400000002</v>
      </c>
      <c r="DS11" s="21">
        <f>IF(IF(AND(ISNA(DS$5),ISNA(DR$5)),DR11*(1+$E11),IF(AND(DR$5&gt;0,ISNA(DS$5)),DR11*(1+$E11),DS$5))&gt;$C$20,$C$20,IF(AND(ISNA(DS$5),ISNA(DR$5)),DR11*(1+$E11),IF(AND(DR$5&gt;0,ISNA(DS$5)),DR11*(1+$E11),DS$5)))</f>
        <v>27154404.400000002</v>
      </c>
      <c r="DT11" s="21">
        <f>IF(IF(AND(ISNA(DT$5),ISNA(DS$5)),DS11*(1+$E11),IF(AND(DS$5&gt;0,ISNA(DT$5)),DS11*(1+$E11),DT$5))&gt;$C$20,$C$20,IF(AND(ISNA(DT$5),ISNA(DS$5)),DS11*(1+$E11),IF(AND(DS$5&gt;0,ISNA(DT$5)),DS11*(1+$E11),DT$5)))</f>
        <v>27154404.400000002</v>
      </c>
      <c r="DU11" s="21">
        <f>IF(IF(AND(ISNA(DU$5),ISNA(DT$5)),DT11*(1+$E11),IF(AND(DT$5&gt;0,ISNA(DU$5)),DT11*(1+$E11),DU$5))&gt;$C$20,$C$20,IF(AND(ISNA(DU$5),ISNA(DT$5)),DT11*(1+$E11),IF(AND(DT$5&gt;0,ISNA(DU$5)),DT11*(1+$E11),DU$5)))</f>
        <v>27154404.400000002</v>
      </c>
      <c r="DV11" s="21">
        <f>IF(IF(AND(ISNA(DV$5),ISNA(DU$5)),DU11*(1+$E11),IF(AND(DU$5&gt;0,ISNA(DV$5)),DU11*(1+$E11),DV$5))&gt;$C$20,$C$20,IF(AND(ISNA(DV$5),ISNA(DU$5)),DU11*(1+$E11),IF(AND(DU$5&gt;0,ISNA(DV$5)),DU11*(1+$E11),DV$5)))</f>
        <v>27154404.400000002</v>
      </c>
      <c r="DW11" s="21">
        <f>IF(IF(AND(ISNA(DW$5),ISNA(DV$5)),DV11*(1+$E11),IF(AND(DV$5&gt;0,ISNA(DW$5)),DV11*(1+$E11),DW$5))&gt;$C$20,$C$20,IF(AND(ISNA(DW$5),ISNA(DV$5)),DV11*(1+$E11),IF(AND(DV$5&gt;0,ISNA(DW$5)),DV11*(1+$E11),DW$5)))</f>
        <v>27154404.400000002</v>
      </c>
      <c r="DX11" s="21">
        <f>IF(IF(AND(ISNA(DX$5),ISNA(DW$5)),DW11*(1+$E11),IF(AND(DW$5&gt;0,ISNA(DX$5)),DW11*(1+$E11),DX$5))&gt;$C$20,$C$20,IF(AND(ISNA(DX$5),ISNA(DW$5)),DW11*(1+$E11),IF(AND(DW$5&gt;0,ISNA(DX$5)),DW11*(1+$E11),DX$5)))</f>
        <v>27154404.400000002</v>
      </c>
      <c r="DY11" s="21">
        <f>IF(IF(AND(ISNA(DY$5),ISNA(DX$5)),DX11*(1+$E11),IF(AND(DX$5&gt;0,ISNA(DY$5)),DX11*(1+$E11),DY$5))&gt;$C$20,$C$20,IF(AND(ISNA(DY$5),ISNA(DX$5)),DX11*(1+$E11),IF(AND(DX$5&gt;0,ISNA(DY$5)),DX11*(1+$E11),DY$5)))</f>
        <v>27154404.400000002</v>
      </c>
      <c r="DZ11" s="21">
        <f>IF(IF(AND(ISNA(DZ$5),ISNA(DY$5)),DY11*(1+$E11),IF(AND(DY$5&gt;0,ISNA(DZ$5)),DY11*(1+$E11),DZ$5))&gt;$C$20,$C$20,IF(AND(ISNA(DZ$5),ISNA(DY$5)),DY11*(1+$E11),IF(AND(DY$5&gt;0,ISNA(DZ$5)),DY11*(1+$E11),DZ$5)))</f>
        <v>27154404.400000002</v>
      </c>
      <c r="EA11" s="21">
        <f>IF(IF(AND(ISNA(EA$5),ISNA(DZ$5)),DZ11*(1+$E11),IF(AND(DZ$5&gt;0,ISNA(EA$5)),DZ11*(1+$E11),EA$5))&gt;$C$20,$C$20,IF(AND(ISNA(EA$5),ISNA(DZ$5)),DZ11*(1+$E11),IF(AND(DZ$5&gt;0,ISNA(EA$5)),DZ11*(1+$E11),EA$5)))</f>
        <v>27154404.400000002</v>
      </c>
      <c r="EB11" s="21">
        <f>IF(IF(AND(ISNA(EB$5),ISNA(EA$5)),EA11*(1+$E11),IF(AND(EA$5&gt;0,ISNA(EB$5)),EA11*(1+$E11),EB$5))&gt;$C$20,$C$20,IF(AND(ISNA(EB$5),ISNA(EA$5)),EA11*(1+$E11),IF(AND(EA$5&gt;0,ISNA(EB$5)),EA11*(1+$E11),EB$5)))</f>
        <v>27154404.400000002</v>
      </c>
      <c r="EC11" s="21">
        <f>IF(IF(AND(ISNA(EC$5),ISNA(EB$5)),EB11*(1+$E11),IF(AND(EB$5&gt;0,ISNA(EC$5)),EB11*(1+$E11),EC$5))&gt;$C$20,$C$20,IF(AND(ISNA(EC$5),ISNA(EB$5)),EB11*(1+$E11),IF(AND(EB$5&gt;0,ISNA(EC$5)),EB11*(1+$E11),EC$5)))</f>
        <v>27154404.400000002</v>
      </c>
      <c r="ED11" s="21">
        <f>IF(IF(AND(ISNA(ED$5),ISNA(EC$5)),EC11*(1+$E11),IF(AND(EC$5&gt;0,ISNA(ED$5)),EC11*(1+$E11),ED$5))&gt;$C$20,$C$20,IF(AND(ISNA(ED$5),ISNA(EC$5)),EC11*(1+$E11),IF(AND(EC$5&gt;0,ISNA(ED$5)),EC11*(1+$E11),ED$5)))</f>
        <v>27154404.400000002</v>
      </c>
      <c r="EE11" s="21">
        <f>IF(IF(AND(ISNA(EE$5),ISNA(ED$5)),ED11*(1+$E11),IF(AND(ED$5&gt;0,ISNA(EE$5)),ED11*(1+$E11),EE$5))&gt;$C$20,$C$20,IF(AND(ISNA(EE$5),ISNA(ED$5)),ED11*(1+$E11),IF(AND(ED$5&gt;0,ISNA(EE$5)),ED11*(1+$E11),EE$5)))</f>
        <v>27154404.400000002</v>
      </c>
      <c r="EF11" s="21">
        <f>IF(IF(AND(ISNA(EF$5),ISNA(EE$5)),EE11*(1+$E11),IF(AND(EE$5&gt;0,ISNA(EF$5)),EE11*(1+$E11),EF$5))&gt;$C$20,$C$20,IF(AND(ISNA(EF$5),ISNA(EE$5)),EE11*(1+$E11),IF(AND(EE$5&gt;0,ISNA(EF$5)),EE11*(1+$E11),EF$5)))</f>
        <v>27154404.400000002</v>
      </c>
      <c r="EG11" s="21">
        <f>IF(IF(AND(ISNA(EG$5),ISNA(EF$5)),EF11*(1+$E11),IF(AND(EF$5&gt;0,ISNA(EG$5)),EF11*(1+$E11),EG$5))&gt;$C$20,$C$20,IF(AND(ISNA(EG$5),ISNA(EF$5)),EF11*(1+$E11),IF(AND(EF$5&gt;0,ISNA(EG$5)),EF11*(1+$E11),EG$5)))</f>
        <v>27154404.400000002</v>
      </c>
      <c r="EH11" s="21">
        <f>IF(IF(AND(ISNA(EH$5),ISNA(EG$5)),EG11*(1+$E11),IF(AND(EG$5&gt;0,ISNA(EH$5)),EG11*(1+$E11),EH$5))&gt;$C$20,$C$20,IF(AND(ISNA(EH$5),ISNA(EG$5)),EG11*(1+$E11),IF(AND(EG$5&gt;0,ISNA(EH$5)),EG11*(1+$E11),EH$5)))</f>
        <v>27154404.400000002</v>
      </c>
      <c r="EI11" s="21">
        <f>IF(IF(AND(ISNA(EI$5),ISNA(EH$5)),EH11*(1+$E11),IF(AND(EH$5&gt;0,ISNA(EI$5)),EH11*(1+$E11),EI$5))&gt;$C$20,$C$20,IF(AND(ISNA(EI$5),ISNA(EH$5)),EH11*(1+$E11),IF(AND(EH$5&gt;0,ISNA(EI$5)),EH11*(1+$E11),EI$5)))</f>
        <v>27154404.400000002</v>
      </c>
      <c r="EJ11" s="21">
        <f>IF(IF(AND(ISNA(EJ$5),ISNA(EI$5)),EI11*(1+$E11),IF(AND(EI$5&gt;0,ISNA(EJ$5)),EI11*(1+$E11),EJ$5))&gt;$C$20,$C$20,IF(AND(ISNA(EJ$5),ISNA(EI$5)),EI11*(1+$E11),IF(AND(EI$5&gt;0,ISNA(EJ$5)),EI11*(1+$E11),EJ$5)))</f>
        <v>27154404.400000002</v>
      </c>
      <c r="EK11" s="21">
        <f>IF(IF(AND(ISNA(EK$5),ISNA(EJ$5)),EJ11*(1+$E11),IF(AND(EJ$5&gt;0,ISNA(EK$5)),EJ11*(1+$E11),EK$5))&gt;$C$20,$C$20,IF(AND(ISNA(EK$5),ISNA(EJ$5)),EJ11*(1+$E11),IF(AND(EJ$5&gt;0,ISNA(EK$5)),EJ11*(1+$E11),EK$5)))</f>
        <v>27154404.400000002</v>
      </c>
      <c r="EL11" s="21">
        <f>IF(IF(AND(ISNA(EL$5),ISNA(EK$5)),EK11*(1+$E11),IF(AND(EK$5&gt;0,ISNA(EL$5)),EK11*(1+$E11),EL$5))&gt;$C$20,$C$20,IF(AND(ISNA(EL$5),ISNA(EK$5)),EK11*(1+$E11),IF(AND(EK$5&gt;0,ISNA(EL$5)),EK11*(1+$E11),EL$5)))</f>
        <v>27154404.400000002</v>
      </c>
      <c r="EM11" s="21">
        <f>IF(IF(AND(ISNA(EM$5),ISNA(EL$5)),EL11*(1+$E11),IF(AND(EL$5&gt;0,ISNA(EM$5)),EL11*(1+$E11),EM$5))&gt;$C$20,$C$20,IF(AND(ISNA(EM$5),ISNA(EL$5)),EL11*(1+$E11),IF(AND(EL$5&gt;0,ISNA(EM$5)),EL11*(1+$E11),EM$5)))</f>
        <v>27154404.400000002</v>
      </c>
      <c r="EN11" s="21">
        <f>IF(IF(AND(ISNA(EN$5),ISNA(EM$5)),EM11*(1+$E11),IF(AND(EM$5&gt;0,ISNA(EN$5)),EM11*(1+$E11),EN$5))&gt;$C$20,$C$20,IF(AND(ISNA(EN$5),ISNA(EM$5)),EM11*(1+$E11),IF(AND(EM$5&gt;0,ISNA(EN$5)),EM11*(1+$E11),EN$5)))</f>
        <v>27154404.400000002</v>
      </c>
      <c r="EO11" s="21">
        <f>IF(IF(AND(ISNA(EO$5),ISNA(EN$5)),EN11*(1+$E11),IF(AND(EN$5&gt;0,ISNA(EO$5)),EN11*(1+$E11),EO$5))&gt;$C$20,$C$20,IF(AND(ISNA(EO$5),ISNA(EN$5)),EN11*(1+$E11),IF(AND(EN$5&gt;0,ISNA(EO$5)),EN11*(1+$E11),EO$5)))</f>
        <v>27154404.400000002</v>
      </c>
      <c r="EP11" s="21">
        <f>IF(IF(AND(ISNA(EP$5),ISNA(EO$5)),EO11*(1+$E11),IF(AND(EO$5&gt;0,ISNA(EP$5)),EO11*(1+$E11),EP$5))&gt;$C$20,$C$20,IF(AND(ISNA(EP$5),ISNA(EO$5)),EO11*(1+$E11),IF(AND(EO$5&gt;0,ISNA(EP$5)),EO11*(1+$E11),EP$5)))</f>
        <v>27154404.400000002</v>
      </c>
      <c r="EQ11" s="21">
        <f>IF(IF(AND(ISNA(EQ$5),ISNA(EP$5)),EP11*(1+$E11),IF(AND(EP$5&gt;0,ISNA(EQ$5)),EP11*(1+$E11),EQ$5))&gt;$C$20,$C$20,IF(AND(ISNA(EQ$5),ISNA(EP$5)),EP11*(1+$E11),IF(AND(EP$5&gt;0,ISNA(EQ$5)),EP11*(1+$E11),EQ$5)))</f>
        <v>27154404.400000002</v>
      </c>
      <c r="ER11" s="21">
        <f>IF(IF(AND(ISNA(ER$5),ISNA(EQ$5)),EQ11*(1+$E11),IF(AND(EQ$5&gt;0,ISNA(ER$5)),EQ11*(1+$E11),ER$5))&gt;$C$20,$C$20,IF(AND(ISNA(ER$5),ISNA(EQ$5)),EQ11*(1+$E11),IF(AND(EQ$5&gt;0,ISNA(ER$5)),EQ11*(1+$E11),ER$5)))</f>
        <v>27154404.400000002</v>
      </c>
      <c r="ES11" s="21">
        <f>IF(IF(AND(ISNA(ES$5),ISNA(ER$5)),ER11*(1+$E11),IF(AND(ER$5&gt;0,ISNA(ES$5)),ER11*(1+$E11),ES$5))&gt;$C$20,$C$20,IF(AND(ISNA(ES$5),ISNA(ER$5)),ER11*(1+$E11),IF(AND(ER$5&gt;0,ISNA(ES$5)),ER11*(1+$E11),ES$5)))</f>
        <v>27154404.400000002</v>
      </c>
      <c r="ET11" s="21">
        <f>IF(IF(AND(ISNA(ET$5),ISNA(ES$5)),ES11*(1+$E11),IF(AND(ES$5&gt;0,ISNA(ET$5)),ES11*(1+$E11),ET$5))&gt;$C$20,$C$20,IF(AND(ISNA(ET$5),ISNA(ES$5)),ES11*(1+$E11),IF(AND(ES$5&gt;0,ISNA(ET$5)),ES11*(1+$E11),ET$5)))</f>
        <v>27154404.400000002</v>
      </c>
      <c r="EU11" s="21">
        <f>IF(IF(AND(ISNA(EU$5),ISNA(ET$5)),ET11*(1+$E11),IF(AND(ET$5&gt;0,ISNA(EU$5)),ET11*(1+$E11),EU$5))&gt;$C$20,$C$20,IF(AND(ISNA(EU$5),ISNA(ET$5)),ET11*(1+$E11),IF(AND(ET$5&gt;0,ISNA(EU$5)),ET11*(1+$E11),EU$5)))</f>
        <v>27154404.400000002</v>
      </c>
      <c r="EV11" s="21">
        <f>IF(IF(AND(ISNA(EV$5),ISNA(EU$5)),EU11*(1+$E11),IF(AND(EU$5&gt;0,ISNA(EV$5)),EU11*(1+$E11),EV$5))&gt;$C$20,$C$20,IF(AND(ISNA(EV$5),ISNA(EU$5)),EU11*(1+$E11),IF(AND(EU$5&gt;0,ISNA(EV$5)),EU11*(1+$E11),EV$5)))</f>
        <v>27154404.400000002</v>
      </c>
      <c r="EW11" s="21">
        <f>IF(IF(AND(ISNA(EW$5),ISNA(EV$5)),EV11*(1+$E11),IF(AND(EV$5&gt;0,ISNA(EW$5)),EV11*(1+$E11),EW$5))&gt;$C$20,$C$20,IF(AND(ISNA(EW$5),ISNA(EV$5)),EV11*(1+$E11),IF(AND(EV$5&gt;0,ISNA(EW$5)),EV11*(1+$E11),EW$5)))</f>
        <v>27154404.400000002</v>
      </c>
      <c r="EX11" s="21">
        <f>IF(IF(AND(ISNA(EX$5),ISNA(EW$5)),EW11*(1+$E11),IF(AND(EW$5&gt;0,ISNA(EX$5)),EW11*(1+$E11),EX$5))&gt;$C$20,$C$20,IF(AND(ISNA(EX$5),ISNA(EW$5)),EW11*(1+$E11),IF(AND(EW$5&gt;0,ISNA(EX$5)),EW11*(1+$E11),EX$5)))</f>
        <v>27154404.400000002</v>
      </c>
      <c r="EY11" s="21">
        <f>IF(IF(AND(ISNA(EY$5),ISNA(EX$5)),EX11*(1+$E11),IF(AND(EX$5&gt;0,ISNA(EY$5)),EX11*(1+$E11),EY$5))&gt;$C$20,$C$20,IF(AND(ISNA(EY$5),ISNA(EX$5)),EX11*(1+$E11),IF(AND(EX$5&gt;0,ISNA(EY$5)),EX11*(1+$E11),EY$5)))</f>
        <v>27154404.400000002</v>
      </c>
      <c r="EZ11" s="21">
        <f>IF(IF(AND(ISNA(EZ$5),ISNA(EY$5)),EY11*(1+$E11),IF(AND(EY$5&gt;0,ISNA(EZ$5)),EY11*(1+$E11),EZ$5))&gt;$C$20,$C$20,IF(AND(ISNA(EZ$5),ISNA(EY$5)),EY11*(1+$E11),IF(AND(EY$5&gt;0,ISNA(EZ$5)),EY11*(1+$E11),EZ$5)))</f>
        <v>27154404.400000002</v>
      </c>
      <c r="FA11" s="21">
        <f>IF(IF(AND(ISNA(FA$5),ISNA(EZ$5)),EZ11*(1+$E11),IF(AND(EZ$5&gt;0,ISNA(FA$5)),EZ11*(1+$E11),FA$5))&gt;$C$20,$C$20,IF(AND(ISNA(FA$5),ISNA(EZ$5)),EZ11*(1+$E11),IF(AND(EZ$5&gt;0,ISNA(FA$5)),EZ11*(1+$E11),FA$5)))</f>
        <v>27154404.400000002</v>
      </c>
      <c r="FB11" s="21">
        <f>IF(IF(AND(ISNA(FB$5),ISNA(FA$5)),FA11*(1+$E11),IF(AND(FA$5&gt;0,ISNA(FB$5)),FA11*(1+$E11),FB$5))&gt;$C$20,$C$20,IF(AND(ISNA(FB$5),ISNA(FA$5)),FA11*(1+$E11),IF(AND(FA$5&gt;0,ISNA(FB$5)),FA11*(1+$E11),FB$5)))</f>
        <v>27154404.400000002</v>
      </c>
      <c r="FC11" s="21">
        <f>IF(IF(AND(ISNA(FC$5),ISNA(FB$5)),FB11*(1+$E11),IF(AND(FB$5&gt;0,ISNA(FC$5)),FB11*(1+$E11),FC$5))&gt;$C$20,$C$20,IF(AND(ISNA(FC$5),ISNA(FB$5)),FB11*(1+$E11),IF(AND(FB$5&gt;0,ISNA(FC$5)),FB11*(1+$E11),FC$5)))</f>
        <v>27154404.400000002</v>
      </c>
      <c r="FD11" s="21">
        <f>IF(IF(AND(ISNA(FD$5),ISNA(FC$5)),FC11*(1+$E11),IF(AND(FC$5&gt;0,ISNA(FD$5)),FC11*(1+$E11),FD$5))&gt;$C$20,$C$20,IF(AND(ISNA(FD$5),ISNA(FC$5)),FC11*(1+$E11),IF(AND(FC$5&gt;0,ISNA(FD$5)),FC11*(1+$E11),FD$5)))</f>
        <v>27154404.400000002</v>
      </c>
      <c r="FE11" s="21">
        <f>IF(IF(AND(ISNA(FE$5),ISNA(FD$5)),FD11*(1+$E11),IF(AND(FD$5&gt;0,ISNA(FE$5)),FD11*(1+$E11),FE$5))&gt;$C$20,$C$20,IF(AND(ISNA(FE$5),ISNA(FD$5)),FD11*(1+$E11),IF(AND(FD$5&gt;0,ISNA(FE$5)),FD11*(1+$E11),FE$5)))</f>
        <v>27154404.400000002</v>
      </c>
      <c r="FF11" s="21">
        <f>IF(IF(AND(ISNA(FF$5),ISNA(FE$5)),FE11*(1+$E11),IF(AND(FE$5&gt;0,ISNA(FF$5)),FE11*(1+$E11),FF$5))&gt;$C$20,$C$20,IF(AND(ISNA(FF$5),ISNA(FE$5)),FE11*(1+$E11),IF(AND(FE$5&gt;0,ISNA(FF$5)),FE11*(1+$E11),FF$5)))</f>
        <v>27154404.400000002</v>
      </c>
      <c r="FG11" s="21">
        <f>IF(IF(AND(ISNA(FG$5),ISNA(FF$5)),FF11*(1+$E11),IF(AND(FF$5&gt;0,ISNA(FG$5)),FF11*(1+$E11),FG$5))&gt;$C$20,$C$20,IF(AND(ISNA(FG$5),ISNA(FF$5)),FF11*(1+$E11),IF(AND(FF$5&gt;0,ISNA(FG$5)),FF11*(1+$E11),FG$5)))</f>
        <v>27154404.400000002</v>
      </c>
      <c r="FH11" s="21">
        <f>IF(IF(AND(ISNA(FH$5),ISNA(FG$5)),FG11*(1+$E11),IF(AND(FG$5&gt;0,ISNA(FH$5)),FG11*(1+$E11),FH$5))&gt;$C$20,$C$20,IF(AND(ISNA(FH$5),ISNA(FG$5)),FG11*(1+$E11),IF(AND(FG$5&gt;0,ISNA(FH$5)),FG11*(1+$E11),FH$5)))</f>
        <v>27154404.400000002</v>
      </c>
      <c r="FI11" s="21">
        <f>IF(IF(AND(ISNA(FI$5),ISNA(FH$5)),FH11*(1+$E11),IF(AND(FH$5&gt;0,ISNA(FI$5)),FH11*(1+$E11),FI$5))&gt;$C$20,$C$20,IF(AND(ISNA(FI$5),ISNA(FH$5)),FH11*(1+$E11),IF(AND(FH$5&gt;0,ISNA(FI$5)),FH11*(1+$E11),FI$5)))</f>
        <v>27154404.400000002</v>
      </c>
      <c r="FJ11" s="21">
        <f>IF(IF(AND(ISNA(FJ$5),ISNA(FI$5)),FI11*(1+$E11),IF(AND(FI$5&gt;0,ISNA(FJ$5)),FI11*(1+$E11),FJ$5))&gt;$C$20,$C$20,IF(AND(ISNA(FJ$5),ISNA(FI$5)),FI11*(1+$E11),IF(AND(FI$5&gt;0,ISNA(FJ$5)),FI11*(1+$E11),FJ$5)))</f>
        <v>27154404.400000002</v>
      </c>
      <c r="FK11" s="21">
        <f>IF(IF(AND(ISNA(FK$5),ISNA(FJ$5)),FJ11*(1+$E11),IF(AND(FJ$5&gt;0,ISNA(FK$5)),FJ11*(1+$E11),FK$5))&gt;$C$20,$C$20,IF(AND(ISNA(FK$5),ISNA(FJ$5)),FJ11*(1+$E11),IF(AND(FJ$5&gt;0,ISNA(FK$5)),FJ11*(1+$E11),FK$5)))</f>
        <v>27154404.400000002</v>
      </c>
      <c r="FL11" s="21">
        <f>IF(IF(AND(ISNA(FL$5),ISNA(FK$5)),FK11*(1+$E11),IF(AND(FK$5&gt;0,ISNA(FL$5)),FK11*(1+$E11),FL$5))&gt;$C$20,$C$20,IF(AND(ISNA(FL$5),ISNA(FK$5)),FK11*(1+$E11),IF(AND(FK$5&gt;0,ISNA(FL$5)),FK11*(1+$E11),FL$5)))</f>
        <v>27154404.400000002</v>
      </c>
      <c r="FM11" s="21">
        <f>IF(IF(AND(ISNA(FM$5),ISNA(FL$5)),FL11*(1+$E11),IF(AND(FL$5&gt;0,ISNA(FM$5)),FL11*(1+$E11),FM$5))&gt;$C$20,$C$20,IF(AND(ISNA(FM$5),ISNA(FL$5)),FL11*(1+$E11),IF(AND(FL$5&gt;0,ISNA(FM$5)),FL11*(1+$E11),FM$5)))</f>
        <v>27154404.400000002</v>
      </c>
      <c r="FN11" s="21">
        <f>IF(IF(AND(ISNA(FN$5),ISNA(FM$5)),FM11*(1+$E11),IF(AND(FM$5&gt;0,ISNA(FN$5)),FM11*(1+$E11),FN$5))&gt;$C$20,$C$20,IF(AND(ISNA(FN$5),ISNA(FM$5)),FM11*(1+$E11),IF(AND(FM$5&gt;0,ISNA(FN$5)),FM11*(1+$E11),FN$5)))</f>
        <v>27154404.400000002</v>
      </c>
      <c r="FO11" s="21">
        <f>IF(IF(AND(ISNA(FO$5),ISNA(FN$5)),FN11*(1+$E11),IF(AND(FN$5&gt;0,ISNA(FO$5)),FN11*(1+$E11),FO$5))&gt;$C$20,$C$20,IF(AND(ISNA(FO$5),ISNA(FN$5)),FN11*(1+$E11),IF(AND(FN$5&gt;0,ISNA(FO$5)),FN11*(1+$E11),FO$5)))</f>
        <v>27154404.400000002</v>
      </c>
      <c r="FP11" s="21">
        <f>IF(IF(AND(ISNA(FP$5),ISNA(FO$5)),FO11*(1+$E11),IF(AND(FO$5&gt;0,ISNA(FP$5)),FO11*(1+$E11),FP$5))&gt;$C$20,$C$20,IF(AND(ISNA(FP$5),ISNA(FO$5)),FO11*(1+$E11),IF(AND(FO$5&gt;0,ISNA(FP$5)),FO11*(1+$E11),FP$5)))</f>
        <v>27154404.400000002</v>
      </c>
      <c r="FQ11" s="21">
        <f>IF(IF(AND(ISNA(FQ$5),ISNA(FP$5)),FP11*(1+$E11),IF(AND(FP$5&gt;0,ISNA(FQ$5)),FP11*(1+$E11),FQ$5))&gt;$C$20,$C$20,IF(AND(ISNA(FQ$5),ISNA(FP$5)),FP11*(1+$E11),IF(AND(FP$5&gt;0,ISNA(FQ$5)),FP11*(1+$E11),FQ$5)))</f>
        <v>27154404.400000002</v>
      </c>
      <c r="FR11" s="21">
        <f>IF(IF(AND(ISNA(FR$5),ISNA(FQ$5)),FQ11*(1+$E11),IF(AND(FQ$5&gt;0,ISNA(FR$5)),FQ11*(1+$E11),FR$5))&gt;$C$20,$C$20,IF(AND(ISNA(FR$5),ISNA(FQ$5)),FQ11*(1+$E11),IF(AND(FQ$5&gt;0,ISNA(FR$5)),FQ11*(1+$E11),FR$5)))</f>
        <v>27154404.400000002</v>
      </c>
      <c r="FS11" s="21">
        <f>IF(IF(AND(ISNA(FS$5),ISNA(FR$5)),FR11*(1+$E11),IF(AND(FR$5&gt;0,ISNA(FS$5)),FR11*(1+$E11),FS$5))&gt;$C$20,$C$20,IF(AND(ISNA(FS$5),ISNA(FR$5)),FR11*(1+$E11),IF(AND(FR$5&gt;0,ISNA(FS$5)),FR11*(1+$E11),FS$5)))</f>
        <v>27154404.400000002</v>
      </c>
      <c r="FT11" s="21">
        <f>IF(IF(AND(ISNA(FT$5),ISNA(FS$5)),FS11*(1+$E11),IF(AND(FS$5&gt;0,ISNA(FT$5)),FS11*(1+$E11),FT$5))&gt;$C$20,$C$20,IF(AND(ISNA(FT$5),ISNA(FS$5)),FS11*(1+$E11),IF(AND(FS$5&gt;0,ISNA(FT$5)),FS11*(1+$E11),FT$5)))</f>
        <v>27154404.400000002</v>
      </c>
      <c r="FU11" s="21">
        <f>IF(IF(AND(ISNA(FU$5),ISNA(FT$5)),FT11*(1+$E11),IF(AND(FT$5&gt;0,ISNA(FU$5)),FT11*(1+$E11),FU$5))&gt;$C$20,$C$20,IF(AND(ISNA(FU$5),ISNA(FT$5)),FT11*(1+$E11),IF(AND(FT$5&gt;0,ISNA(FU$5)),FT11*(1+$E11),FU$5)))</f>
        <v>27154404.400000002</v>
      </c>
      <c r="FV11" s="21">
        <f>IF(IF(AND(ISNA(FV$5),ISNA(FU$5)),FU11*(1+$E11),IF(AND(FU$5&gt;0,ISNA(FV$5)),FU11*(1+$E11),FV$5))&gt;$C$20,$C$20,IF(AND(ISNA(FV$5),ISNA(FU$5)),FU11*(1+$E11),IF(AND(FU$5&gt;0,ISNA(FV$5)),FU11*(1+$E11),FV$5)))</f>
        <v>27154404.400000002</v>
      </c>
      <c r="FW11" s="21">
        <f>IF(IF(AND(ISNA(FW$5),ISNA(FV$5)),FV11*(1+$E11),IF(AND(FV$5&gt;0,ISNA(FW$5)),FV11*(1+$E11),FW$5))&gt;$C$20,$C$20,IF(AND(ISNA(FW$5),ISNA(FV$5)),FV11*(1+$E11),IF(AND(FV$5&gt;0,ISNA(FW$5)),FV11*(1+$E11),FW$5)))</f>
        <v>27154404.400000002</v>
      </c>
      <c r="FX11" s="21">
        <f>IF(IF(AND(ISNA(FX$5),ISNA(FW$5)),FW11*(1+$E11),IF(AND(FW$5&gt;0,ISNA(FX$5)),FW11*(1+$E11),FX$5))&gt;$C$20,$C$20,IF(AND(ISNA(FX$5),ISNA(FW$5)),FW11*(1+$E11),IF(AND(FW$5&gt;0,ISNA(FX$5)),FW11*(1+$E11),FX$5)))</f>
        <v>27154404.400000002</v>
      </c>
      <c r="FY11" s="21">
        <f>IF(IF(AND(ISNA(FY$5),ISNA(FX$5)),FX11*(1+$E11),IF(AND(FX$5&gt;0,ISNA(FY$5)),FX11*(1+$E11),FY$5))&gt;$C$20,$C$20,IF(AND(ISNA(FY$5),ISNA(FX$5)),FX11*(1+$E11),IF(AND(FX$5&gt;0,ISNA(FY$5)),FX11*(1+$E11),FY$5)))</f>
        <v>27154404.400000002</v>
      </c>
      <c r="FZ11" s="21">
        <f>IF(IF(AND(ISNA(FZ$5),ISNA(FY$5)),FY11*(1+$E11),IF(AND(FY$5&gt;0,ISNA(FZ$5)),FY11*(1+$E11),FZ$5))&gt;$C$20,$C$20,IF(AND(ISNA(FZ$5),ISNA(FY$5)),FY11*(1+$E11),IF(AND(FY$5&gt;0,ISNA(FZ$5)),FY11*(1+$E11),FZ$5)))</f>
        <v>27154404.400000002</v>
      </c>
      <c r="GA11" s="21">
        <f>IF(IF(AND(ISNA(GA$5),ISNA(FZ$5)),FZ11*(1+$E11),IF(AND(FZ$5&gt;0,ISNA(GA$5)),FZ11*(1+$E11),GA$5))&gt;$C$20,$C$20,IF(AND(ISNA(GA$5),ISNA(FZ$5)),FZ11*(1+$E11),IF(AND(FZ$5&gt;0,ISNA(GA$5)),FZ11*(1+$E11),GA$5)))</f>
        <v>27154404.400000002</v>
      </c>
      <c r="GB11" s="21">
        <f>IF(IF(AND(ISNA(GB$5),ISNA(GA$5)),GA11*(1+$E11),IF(AND(GA$5&gt;0,ISNA(GB$5)),GA11*(1+$E11),GB$5))&gt;$C$20,$C$20,IF(AND(ISNA(GB$5),ISNA(GA$5)),GA11*(1+$E11),IF(AND(GA$5&gt;0,ISNA(GB$5)),GA11*(1+$E11),GB$5)))</f>
        <v>27154404.400000002</v>
      </c>
      <c r="GC11" s="21">
        <f>IF(IF(AND(ISNA(GC$5),ISNA(GB$5)),GB11*(1+$E11),IF(AND(GB$5&gt;0,ISNA(GC$5)),GB11*(1+$E11),GC$5))&gt;$C$20,$C$20,IF(AND(ISNA(GC$5),ISNA(GB$5)),GB11*(1+$E11),IF(AND(GB$5&gt;0,ISNA(GC$5)),GB11*(1+$E11),GC$5)))</f>
        <v>27154404.400000002</v>
      </c>
      <c r="GD11" s="21">
        <f>IF(IF(AND(ISNA(GD$5),ISNA(GC$5)),GC11*(1+$E11),IF(AND(GC$5&gt;0,ISNA(GD$5)),GC11*(1+$E11),GD$5))&gt;$C$20,$C$20,IF(AND(ISNA(GD$5),ISNA(GC$5)),GC11*(1+$E11),IF(AND(GC$5&gt;0,ISNA(GD$5)),GC11*(1+$E11),GD$5)))</f>
        <v>27154404.400000002</v>
      </c>
      <c r="GE11" s="21">
        <f>IF(IF(AND(ISNA(GE$5),ISNA(GD$5)),GD11*(1+$E11),IF(AND(GD$5&gt;0,ISNA(GE$5)),GD11*(1+$E11),GE$5))&gt;$C$20,$C$20,IF(AND(ISNA(GE$5),ISNA(GD$5)),GD11*(1+$E11),IF(AND(GD$5&gt;0,ISNA(GE$5)),GD11*(1+$E11),GE$5)))</f>
        <v>27154404.400000002</v>
      </c>
      <c r="GF11" s="21">
        <f>IF(IF(AND(ISNA(GF$5),ISNA(GE$5)),GE11*(1+$E11),IF(AND(GE$5&gt;0,ISNA(GF$5)),GE11*(1+$E11),GF$5))&gt;$C$20,$C$20,IF(AND(ISNA(GF$5),ISNA(GE$5)),GE11*(1+$E11),IF(AND(GE$5&gt;0,ISNA(GF$5)),GE11*(1+$E11),GF$5)))</f>
        <v>27154404.400000002</v>
      </c>
      <c r="GG11" s="21">
        <f>IF(IF(AND(ISNA(GG$5),ISNA(GF$5)),GF11*(1+$E11),IF(AND(GF$5&gt;0,ISNA(GG$5)),GF11*(1+$E11),GG$5))&gt;$C$20,$C$20,IF(AND(ISNA(GG$5),ISNA(GF$5)),GF11*(1+$E11),IF(AND(GF$5&gt;0,ISNA(GG$5)),GF11*(1+$E11),GG$5)))</f>
        <v>27154404.400000002</v>
      </c>
      <c r="GH11" s="21">
        <f>IF(IF(AND(ISNA(GH$5),ISNA(GG$5)),GG11*(1+$E11),IF(AND(GG$5&gt;0,ISNA(GH$5)),GG11*(1+$E11),GH$5))&gt;$C$20,$C$20,IF(AND(ISNA(GH$5),ISNA(GG$5)),GG11*(1+$E11),IF(AND(GG$5&gt;0,ISNA(GH$5)),GG11*(1+$E11),GH$5)))</f>
        <v>27154404.400000002</v>
      </c>
      <c r="GI11" s="21">
        <f>IF(IF(AND(ISNA(GI$5),ISNA(GH$5)),GH11*(1+$E11),IF(AND(GH$5&gt;0,ISNA(GI$5)),GH11*(1+$E11),GI$5))&gt;$C$20,$C$20,IF(AND(ISNA(GI$5),ISNA(GH$5)),GH11*(1+$E11),IF(AND(GH$5&gt;0,ISNA(GI$5)),GH11*(1+$E11),GI$5)))</f>
        <v>27154404.400000002</v>
      </c>
      <c r="GJ11" s="21">
        <f>IF(IF(AND(ISNA(GJ$5),ISNA(GI$5)),GI11*(1+$E11),IF(AND(GI$5&gt;0,ISNA(GJ$5)),GI11*(1+$E11),GJ$5))&gt;$C$20,$C$20,IF(AND(ISNA(GJ$5),ISNA(GI$5)),GI11*(1+$E11),IF(AND(GI$5&gt;0,ISNA(GJ$5)),GI11*(1+$E11),GJ$5)))</f>
        <v>27154404.400000002</v>
      </c>
      <c r="GK11" s="21">
        <f>IF(IF(AND(ISNA(GK$5),ISNA(GJ$5)),GJ11*(1+$E11),IF(AND(GJ$5&gt;0,ISNA(GK$5)),GJ11*(1+$E11),GK$5))&gt;$C$20,$C$20,IF(AND(ISNA(GK$5),ISNA(GJ$5)),GJ11*(1+$E11),IF(AND(GJ$5&gt;0,ISNA(GK$5)),GJ11*(1+$E11),GK$5)))</f>
        <v>27154404.400000002</v>
      </c>
      <c r="GL11" s="21">
        <f>IF(IF(AND(ISNA(GL$5),ISNA(GK$5)),GK11*(1+$E11),IF(AND(GK$5&gt;0,ISNA(GL$5)),GK11*(1+$E11),GL$5))&gt;$C$20,$C$20,IF(AND(ISNA(GL$5),ISNA(GK$5)),GK11*(1+$E11),IF(AND(GK$5&gt;0,ISNA(GL$5)),GK11*(1+$E11),GL$5)))</f>
        <v>27154404.400000002</v>
      </c>
      <c r="GM11" s="21">
        <f>IF(IF(AND(ISNA(GM$5),ISNA(GL$5)),GL11*(1+$E11),IF(AND(GL$5&gt;0,ISNA(GM$5)),GL11*(1+$E11),GM$5))&gt;$C$20,$C$20,IF(AND(ISNA(GM$5),ISNA(GL$5)),GL11*(1+$E11),IF(AND(GL$5&gt;0,ISNA(GM$5)),GL11*(1+$E11),GM$5)))</f>
        <v>27154404.400000002</v>
      </c>
      <c r="GN11" s="21">
        <f>IF(IF(AND(ISNA(GN$5),ISNA(GM$5)),GM11*(1+$E11),IF(AND(GM$5&gt;0,ISNA(GN$5)),GM11*(1+$E11),GN$5))&gt;$C$20,$C$20,IF(AND(ISNA(GN$5),ISNA(GM$5)),GM11*(1+$E11),IF(AND(GM$5&gt;0,ISNA(GN$5)),GM11*(1+$E11),GN$5)))</f>
        <v>27154404.400000002</v>
      </c>
      <c r="GO11" s="21">
        <f>IF(IF(AND(ISNA(GO$5),ISNA(GN$5)),GN11*(1+$E11),IF(AND(GN$5&gt;0,ISNA(GO$5)),GN11*(1+$E11),GO$5))&gt;$C$20,$C$20,IF(AND(ISNA(GO$5),ISNA(GN$5)),GN11*(1+$E11),IF(AND(GN$5&gt;0,ISNA(GO$5)),GN11*(1+$E11),GO$5)))</f>
        <v>27154404.400000002</v>
      </c>
      <c r="GP11" s="21">
        <f>IF(IF(AND(ISNA(GP$5),ISNA(GO$5)),GO11*(1+$E11),IF(AND(GO$5&gt;0,ISNA(GP$5)),GO11*(1+$E11),GP$5))&gt;$C$20,$C$20,IF(AND(ISNA(GP$5),ISNA(GO$5)),GO11*(1+$E11),IF(AND(GO$5&gt;0,ISNA(GP$5)),GO11*(1+$E11),GP$5)))</f>
        <v>27154404.400000002</v>
      </c>
      <c r="GQ11" s="21">
        <f>IF(IF(AND(ISNA(GQ$5),ISNA(GP$5)),GP11*(1+$E11),IF(AND(GP$5&gt;0,ISNA(GQ$5)),GP11*(1+$E11),GQ$5))&gt;$C$20,$C$20,IF(AND(ISNA(GQ$5),ISNA(GP$5)),GP11*(1+$E11),IF(AND(GP$5&gt;0,ISNA(GQ$5)),GP11*(1+$E11),GQ$5)))</f>
        <v>27154404.400000002</v>
      </c>
      <c r="GR11" s="21">
        <f>IF(IF(AND(ISNA(GR$5),ISNA(GQ$5)),GQ11*(1+$E11),IF(AND(GQ$5&gt;0,ISNA(GR$5)),GQ11*(1+$E11),GR$5))&gt;$C$20,$C$20,IF(AND(ISNA(GR$5),ISNA(GQ$5)),GQ11*(1+$E11),IF(AND(GQ$5&gt;0,ISNA(GR$5)),GQ11*(1+$E11),GR$5)))</f>
        <v>27154404.400000002</v>
      </c>
      <c r="GS11" s="21">
        <f>IF(IF(AND(ISNA(GS$5),ISNA(GR$5)),GR11*(1+$E11),IF(AND(GR$5&gt;0,ISNA(GS$5)),GR11*(1+$E11),GS$5))&gt;$C$20,$C$20,IF(AND(ISNA(GS$5),ISNA(GR$5)),GR11*(1+$E11),IF(AND(GR$5&gt;0,ISNA(GS$5)),GR11*(1+$E11),GS$5)))</f>
        <v>27154404.400000002</v>
      </c>
      <c r="GT11" s="21">
        <f>IF(IF(AND(ISNA(GT$5),ISNA(GS$5)),GS11*(1+$E11),IF(AND(GS$5&gt;0,ISNA(GT$5)),GS11*(1+$E11),GT$5))&gt;$C$20,$C$20,IF(AND(ISNA(GT$5),ISNA(GS$5)),GS11*(1+$E11),IF(AND(GS$5&gt;0,ISNA(GT$5)),GS11*(1+$E11),GT$5)))</f>
        <v>27154404.400000002</v>
      </c>
      <c r="GU11" s="21">
        <f>IF(IF(AND(ISNA(GU$5),ISNA(GT$5)),GT11*(1+$E11),IF(AND(GT$5&gt;0,ISNA(GU$5)),GT11*(1+$E11),GU$5))&gt;$C$20,$C$20,IF(AND(ISNA(GU$5),ISNA(GT$5)),GT11*(1+$E11),IF(AND(GT$5&gt;0,ISNA(GU$5)),GT11*(1+$E11),GU$5)))</f>
        <v>27154404.400000002</v>
      </c>
      <c r="GV11" s="21">
        <f>IF(IF(AND(ISNA(GV$5),ISNA(GU$5)),GU11*(1+$E11),IF(AND(GU$5&gt;0,ISNA(GV$5)),GU11*(1+$E11),GV$5))&gt;$C$20,$C$20,IF(AND(ISNA(GV$5),ISNA(GU$5)),GU11*(1+$E11),IF(AND(GU$5&gt;0,ISNA(GV$5)),GU11*(1+$E11),GV$5)))</f>
        <v>27154404.400000002</v>
      </c>
      <c r="GW11" s="21">
        <f>IF(IF(AND(ISNA(GW$5),ISNA(GV$5)),GV11*(1+$E11),IF(AND(GV$5&gt;0,ISNA(GW$5)),GV11*(1+$E11),GW$5))&gt;$C$20,$C$20,IF(AND(ISNA(GW$5),ISNA(GV$5)),GV11*(1+$E11),IF(AND(GV$5&gt;0,ISNA(GW$5)),GV11*(1+$E11),GW$5)))</f>
        <v>27154404.400000002</v>
      </c>
      <c r="GX11" s="21">
        <f>IF(IF(AND(ISNA(GX$5),ISNA(GW$5)),GW11*(1+$E11),IF(AND(GW$5&gt;0,ISNA(GX$5)),GW11*(1+$E11),GX$5))&gt;$C$20,$C$20,IF(AND(ISNA(GX$5),ISNA(GW$5)),GW11*(1+$E11),IF(AND(GW$5&gt;0,ISNA(GX$5)),GW11*(1+$E11),GX$5)))</f>
        <v>27154404.400000002</v>
      </c>
      <c r="GY11" s="21">
        <f>IF(IF(AND(ISNA(GY$5),ISNA(GX$5)),GX11*(1+$E11),IF(AND(GX$5&gt;0,ISNA(GY$5)),GX11*(1+$E11),GY$5))&gt;$C$20,$C$20,IF(AND(ISNA(GY$5),ISNA(GX$5)),GX11*(1+$E11),IF(AND(GX$5&gt;0,ISNA(GY$5)),GX11*(1+$E11),GY$5)))</f>
        <v>27154404.400000002</v>
      </c>
      <c r="GZ11" s="21">
        <f>IF(IF(AND(ISNA(GZ$5),ISNA(GY$5)),GY11*(1+$E11),IF(AND(GY$5&gt;0,ISNA(GZ$5)),GY11*(1+$E11),GZ$5))&gt;$C$20,$C$20,IF(AND(ISNA(GZ$5),ISNA(GY$5)),GY11*(1+$E11),IF(AND(GY$5&gt;0,ISNA(GZ$5)),GY11*(1+$E11),GZ$5)))</f>
        <v>27154404.400000002</v>
      </c>
      <c r="HA11" s="21">
        <f>IF(IF(AND(ISNA(HA$5),ISNA(GZ$5)),GZ11*(1+$E11),IF(AND(GZ$5&gt;0,ISNA(HA$5)),GZ11*(1+$E11),HA$5))&gt;$C$20,$C$20,IF(AND(ISNA(HA$5),ISNA(GZ$5)),GZ11*(1+$E11),IF(AND(GZ$5&gt;0,ISNA(HA$5)),GZ11*(1+$E11),HA$5)))</f>
        <v>27154404.400000002</v>
      </c>
      <c r="HB11" s="21">
        <f>IF(IF(AND(ISNA(HB$5),ISNA(HA$5)),HA11*(1+$E11),IF(AND(HA$5&gt;0,ISNA(HB$5)),HA11*(1+$E11),HB$5))&gt;$C$20,$C$20,IF(AND(ISNA(HB$5),ISNA(HA$5)),HA11*(1+$E11),IF(AND(HA$5&gt;0,ISNA(HB$5)),HA11*(1+$E11),HB$5)))</f>
        <v>27154404.400000002</v>
      </c>
      <c r="HC11" s="21">
        <f>IF(IF(AND(ISNA(HC$5),ISNA(HB$5)),HB11*(1+$E11),IF(AND(HB$5&gt;0,ISNA(HC$5)),HB11*(1+$E11),HC$5))&gt;$C$20,$C$20,IF(AND(ISNA(HC$5),ISNA(HB$5)),HB11*(1+$E11),IF(AND(HB$5&gt;0,ISNA(HC$5)),HB11*(1+$E11),HC$5)))</f>
        <v>27154404.400000002</v>
      </c>
      <c r="HD11" s="21">
        <f>IF(IF(AND(ISNA(HD$5),ISNA(HC$5)),HC11*(1+$E11),IF(AND(HC$5&gt;0,ISNA(HD$5)),HC11*(1+$E11),HD$5))&gt;$C$20,$C$20,IF(AND(ISNA(HD$5),ISNA(HC$5)),HC11*(1+$E11),IF(AND(HC$5&gt;0,ISNA(HD$5)),HC11*(1+$E11),HD$5)))</f>
        <v>27154404.400000002</v>
      </c>
      <c r="HE11" s="21">
        <f>IF(IF(AND(ISNA(HE$5),ISNA(HD$5)),HD11*(1+$E11),IF(AND(HD$5&gt;0,ISNA(HE$5)),HD11*(1+$E11),HE$5))&gt;$C$20,$C$20,IF(AND(ISNA(HE$5),ISNA(HD$5)),HD11*(1+$E11),IF(AND(HD$5&gt;0,ISNA(HE$5)),HD11*(1+$E11),HE$5)))</f>
        <v>27154404.400000002</v>
      </c>
      <c r="HF11" s="21">
        <f>IF(IF(AND(ISNA(HF$5),ISNA(HE$5)),HE11*(1+$E11),IF(AND(HE$5&gt;0,ISNA(HF$5)),HE11*(1+$E11),HF$5))&gt;$C$20,$C$20,IF(AND(ISNA(HF$5),ISNA(HE$5)),HE11*(1+$E11),IF(AND(HE$5&gt;0,ISNA(HF$5)),HE11*(1+$E11),HF$5)))</f>
        <v>27154404.400000002</v>
      </c>
      <c r="HG11" s="21">
        <f>IF(IF(AND(ISNA(HG$5),ISNA(HF$5)),HF11*(1+$E11),IF(AND(HF$5&gt;0,ISNA(HG$5)),HF11*(1+$E11),HG$5))&gt;$C$20,$C$20,IF(AND(ISNA(HG$5),ISNA(HF$5)),HF11*(1+$E11),IF(AND(HF$5&gt;0,ISNA(HG$5)),HF11*(1+$E11),HG$5)))</f>
        <v>27154404.400000002</v>
      </c>
      <c r="HH11" s="21">
        <f>IF(IF(AND(ISNA(HH$5),ISNA(HG$5)),HG11*(1+$E11),IF(AND(HG$5&gt;0,ISNA(HH$5)),HG11*(1+$E11),HH$5))&gt;$C$20,$C$20,IF(AND(ISNA(HH$5),ISNA(HG$5)),HG11*(1+$E11),IF(AND(HG$5&gt;0,ISNA(HH$5)),HG11*(1+$E11),HH$5)))</f>
        <v>27154404.400000002</v>
      </c>
      <c r="HI11" s="21">
        <f>IF(IF(AND(ISNA(HI$5),ISNA(HH$5)),HH11*(1+$E11),IF(AND(HH$5&gt;0,ISNA(HI$5)),HH11*(1+$E11),HI$5))&gt;$C$20,$C$20,IF(AND(ISNA(HI$5),ISNA(HH$5)),HH11*(1+$E11),IF(AND(HH$5&gt;0,ISNA(HI$5)),HH11*(1+$E11),HI$5)))</f>
        <v>27154404.400000002</v>
      </c>
      <c r="HJ11" s="21">
        <f>IF(IF(AND(ISNA(HJ$5),ISNA(HI$5)),HI11*(1+$E11),IF(AND(HI$5&gt;0,ISNA(HJ$5)),HI11*(1+$E11),HJ$5))&gt;$C$20,$C$20,IF(AND(ISNA(HJ$5),ISNA(HI$5)),HI11*(1+$E11),IF(AND(HI$5&gt;0,ISNA(HJ$5)),HI11*(1+$E11),HJ$5)))</f>
        <v>27154404.400000002</v>
      </c>
      <c r="HK11" s="21">
        <f>IF(IF(AND(ISNA(HK$5),ISNA(HJ$5)),HJ11*(1+$E11),IF(AND(HJ$5&gt;0,ISNA(HK$5)),HJ11*(1+$E11),HK$5))&gt;$C$20,$C$20,IF(AND(ISNA(HK$5),ISNA(HJ$5)),HJ11*(1+$E11),IF(AND(HJ$5&gt;0,ISNA(HK$5)),HJ11*(1+$E11),HK$5)))</f>
        <v>27154404.400000002</v>
      </c>
      <c r="HL11" s="21">
        <f>IF(IF(AND(ISNA(HL$5),ISNA(HK$5)),HK11*(1+$E11),IF(AND(HK$5&gt;0,ISNA(HL$5)),HK11*(1+$E11),HL$5))&gt;$C$20,$C$20,IF(AND(ISNA(HL$5),ISNA(HK$5)),HK11*(1+$E11),IF(AND(HK$5&gt;0,ISNA(HL$5)),HK11*(1+$E11),HL$5)))</f>
        <v>27154404.400000002</v>
      </c>
      <c r="HM11" s="21">
        <f>IF(IF(AND(ISNA(HM$5),ISNA(HL$5)),HL11*(1+$E11),IF(AND(HL$5&gt;0,ISNA(HM$5)),HL11*(1+$E11),HM$5))&gt;$C$20,$C$20,IF(AND(ISNA(HM$5),ISNA(HL$5)),HL11*(1+$E11),IF(AND(HL$5&gt;0,ISNA(HM$5)),HL11*(1+$E11),HM$5)))</f>
        <v>27154404.400000002</v>
      </c>
      <c r="HN11" s="21">
        <f>IF(IF(AND(ISNA(HN$5),ISNA(HM$5)),HM11*(1+$E11),IF(AND(HM$5&gt;0,ISNA(HN$5)),HM11*(1+$E11),HN$5))&gt;$C$20,$C$20,IF(AND(ISNA(HN$5),ISNA(HM$5)),HM11*(1+$E11),IF(AND(HM$5&gt;0,ISNA(HN$5)),HM11*(1+$E11),HN$5)))</f>
        <v>27154404.400000002</v>
      </c>
      <c r="HO11" s="21">
        <f>IF(IF(AND(ISNA(HO$5),ISNA(HN$5)),HN11*(1+$E11),IF(AND(HN$5&gt;0,ISNA(HO$5)),HN11*(1+$E11),HO$5))&gt;$C$20,$C$20,IF(AND(ISNA(HO$5),ISNA(HN$5)),HN11*(1+$E11),IF(AND(HN$5&gt;0,ISNA(HO$5)),HN11*(1+$E11),HO$5)))</f>
        <v>27154404.400000002</v>
      </c>
      <c r="HP11" s="21">
        <f>IF(IF(AND(ISNA(HP$5),ISNA(HO$5)),HO11*(1+$E11),IF(AND(HO$5&gt;0,ISNA(HP$5)),HO11*(1+$E11),HP$5))&gt;$C$20,$C$20,IF(AND(ISNA(HP$5),ISNA(HO$5)),HO11*(1+$E11),IF(AND(HO$5&gt;0,ISNA(HP$5)),HO11*(1+$E11),HP$5)))</f>
        <v>27154404.400000002</v>
      </c>
      <c r="HQ11" s="21">
        <f>IF(IF(AND(ISNA(HQ$5),ISNA(HP$5)),HP11*(1+$E11),IF(AND(HP$5&gt;0,ISNA(HQ$5)),HP11*(1+$E11),HQ$5))&gt;$C$20,$C$20,IF(AND(ISNA(HQ$5),ISNA(HP$5)),HP11*(1+$E11),IF(AND(HP$5&gt;0,ISNA(HQ$5)),HP11*(1+$E11),HQ$5)))</f>
        <v>27154404.400000002</v>
      </c>
      <c r="HR11" s="21">
        <f>IF(IF(AND(ISNA(HR$5),ISNA(HQ$5)),HQ11*(1+$E11),IF(AND(HQ$5&gt;0,ISNA(HR$5)),HQ11*(1+$E11),HR$5))&gt;$C$20,$C$20,IF(AND(ISNA(HR$5),ISNA(HQ$5)),HQ11*(1+$E11),IF(AND(HQ$5&gt;0,ISNA(HR$5)),HQ11*(1+$E11),HR$5)))</f>
        <v>27154404.400000002</v>
      </c>
      <c r="HS11" s="21">
        <f>IF(IF(AND(ISNA(HS$5),ISNA(HR$5)),HR11*(1+$E11),IF(AND(HR$5&gt;0,ISNA(HS$5)),HR11*(1+$E11),HS$5))&gt;$C$20,$C$20,IF(AND(ISNA(HS$5),ISNA(HR$5)),HR11*(1+$E11),IF(AND(HR$5&gt;0,ISNA(HS$5)),HR11*(1+$E11),HS$5)))</f>
        <v>27154404.400000002</v>
      </c>
      <c r="HT11" s="21">
        <f>IF(IF(AND(ISNA(HT$5),ISNA(HS$5)),HS11*(1+$E11),IF(AND(HS$5&gt;0,ISNA(HT$5)),HS11*(1+$E11),HT$5))&gt;$C$20,$C$20,IF(AND(ISNA(HT$5),ISNA(HS$5)),HS11*(1+$E11),IF(AND(HS$5&gt;0,ISNA(HT$5)),HS11*(1+$E11),HT$5)))</f>
        <v>27154404.400000002</v>
      </c>
      <c r="HU11" s="21">
        <f>IF(IF(AND(ISNA(HU$5),ISNA(HT$5)),HT11*(1+$E11),IF(AND(HT$5&gt;0,ISNA(HU$5)),HT11*(1+$E11),HU$5))&gt;$C$20,$C$20,IF(AND(ISNA(HU$5),ISNA(HT$5)),HT11*(1+$E11),IF(AND(HT$5&gt;0,ISNA(HU$5)),HT11*(1+$E11),HU$5)))</f>
        <v>27154404.400000002</v>
      </c>
      <c r="HV11" s="21">
        <f>IF(IF(AND(ISNA(HV$5),ISNA(HU$5)),HU11*(1+$E11),IF(AND(HU$5&gt;0,ISNA(HV$5)),HU11*(1+$E11),HV$5))&gt;$C$20,$C$20,IF(AND(ISNA(HV$5),ISNA(HU$5)),HU11*(1+$E11),IF(AND(HU$5&gt;0,ISNA(HV$5)),HU11*(1+$E11),HV$5)))</f>
        <v>27154404.400000002</v>
      </c>
      <c r="HW11" s="21">
        <f>IF(IF(AND(ISNA(HW$5),ISNA(HV$5)),HV11*(1+$E11),IF(AND(HV$5&gt;0,ISNA(HW$5)),HV11*(1+$E11),HW$5))&gt;$C$20,$C$20,IF(AND(ISNA(HW$5),ISNA(HV$5)),HV11*(1+$E11),IF(AND(HV$5&gt;0,ISNA(HW$5)),HV11*(1+$E11),HW$5)))</f>
        <v>27154404.400000002</v>
      </c>
      <c r="HX11" s="21">
        <f>IF(IF(AND(ISNA(HX$5),ISNA(HW$5)),HW11*(1+$E11),IF(AND(HW$5&gt;0,ISNA(HX$5)),HW11*(1+$E11),HX$5))&gt;$C$20,$C$20,IF(AND(ISNA(HX$5),ISNA(HW$5)),HW11*(1+$E11),IF(AND(HW$5&gt;0,ISNA(HX$5)),HW11*(1+$E11),HX$5)))</f>
        <v>27154404.400000002</v>
      </c>
      <c r="HY11" s="21">
        <f>IF(IF(AND(ISNA(HY$5),ISNA(HX$5)),HX11*(1+$E11),IF(AND(HX$5&gt;0,ISNA(HY$5)),HX11*(1+$E11),HY$5))&gt;$C$20,$C$20,IF(AND(ISNA(HY$5),ISNA(HX$5)),HX11*(1+$E11),IF(AND(HX$5&gt;0,ISNA(HY$5)),HX11*(1+$E11),HY$5)))</f>
        <v>27154404.400000002</v>
      </c>
      <c r="HZ11" s="21">
        <f>IF(IF(AND(ISNA(HZ$5),ISNA(HY$5)),HY11*(1+$E11),IF(AND(HY$5&gt;0,ISNA(HZ$5)),HY11*(1+$E11),HZ$5))&gt;$C$20,$C$20,IF(AND(ISNA(HZ$5),ISNA(HY$5)),HY11*(1+$E11),IF(AND(HY$5&gt;0,ISNA(HZ$5)),HY11*(1+$E11),HZ$5)))</f>
        <v>27154404.400000002</v>
      </c>
      <c r="IA11" s="21">
        <f>IF(IF(AND(ISNA(IA$5),ISNA(HZ$5)),HZ11*(1+$E11),IF(AND(HZ$5&gt;0,ISNA(IA$5)),HZ11*(1+$E11),IA$5))&gt;$C$20,$C$20,IF(AND(ISNA(IA$5),ISNA(HZ$5)),HZ11*(1+$E11),IF(AND(HZ$5&gt;0,ISNA(IA$5)),HZ11*(1+$E11),IA$5)))</f>
        <v>27154404.400000002</v>
      </c>
      <c r="IB11" s="21">
        <f>IF(IF(AND(ISNA(IB$5),ISNA(IA$5)),IA11*(1+$E11),IF(AND(IA$5&gt;0,ISNA(IB$5)),IA11*(1+$E11),IB$5))&gt;$C$20,$C$20,IF(AND(ISNA(IB$5),ISNA(IA$5)),IA11*(1+$E11),IF(AND(IA$5&gt;0,ISNA(IB$5)),IA11*(1+$E11),IB$5)))</f>
        <v>27154404.400000002</v>
      </c>
      <c r="IC11" s="21">
        <f>IF(IF(AND(ISNA(IC$5),ISNA(IB$5)),IB11*(1+$E11),IF(AND(IB$5&gt;0,ISNA(IC$5)),IB11*(1+$E11),IC$5))&gt;$C$20,$C$20,IF(AND(ISNA(IC$5),ISNA(IB$5)),IB11*(1+$E11),IF(AND(IB$5&gt;0,ISNA(IC$5)),IB11*(1+$E11),IC$5)))</f>
        <v>27154404.400000002</v>
      </c>
      <c r="ID11" s="21">
        <f>IF(IF(AND(ISNA(ID$5),ISNA(IC$5)),IC11*(1+$E11),IF(AND(IC$5&gt;0,ISNA(ID$5)),IC11*(1+$E11),ID$5))&gt;$C$20,$C$20,IF(AND(ISNA(ID$5),ISNA(IC$5)),IC11*(1+$E11),IF(AND(IC$5&gt;0,ISNA(ID$5)),IC11*(1+$E11),ID$5)))</f>
        <v>27154404.400000002</v>
      </c>
      <c r="IE11" s="21">
        <f>IF(IF(AND(ISNA(IE$5),ISNA(ID$5)),ID11*(1+$E11),IF(AND(ID$5&gt;0,ISNA(IE$5)),ID11*(1+$E11),IE$5))&gt;$C$20,$C$20,IF(AND(ISNA(IE$5),ISNA(ID$5)),ID11*(1+$E11),IF(AND(ID$5&gt;0,ISNA(IE$5)),ID11*(1+$E11),IE$5)))</f>
        <v>27154404.400000002</v>
      </c>
      <c r="IF11" s="21">
        <f>IF(IF(AND(ISNA(IF$5),ISNA(IE$5)),IE11*(1+$E11),IF(AND(IE$5&gt;0,ISNA(IF$5)),IE11*(1+$E11),IF$5))&gt;$C$20,$C$20,IF(AND(ISNA(IF$5),ISNA(IE$5)),IE11*(1+$E11),IF(AND(IE$5&gt;0,ISNA(IF$5)),IE11*(1+$E11),IF$5)))</f>
        <v>27154404.400000002</v>
      </c>
      <c r="IG11" s="21">
        <f>IF(IF(AND(ISNA(IG$5),ISNA(IF$5)),IF11*(1+$E11),IF(AND(IF$5&gt;0,ISNA(IG$5)),IF11*(1+$E11),IG$5))&gt;$C$20,$C$20,IF(AND(ISNA(IG$5),ISNA(IF$5)),IF11*(1+$E11),IF(AND(IF$5&gt;0,ISNA(IG$5)),IF11*(1+$E11),IG$5)))</f>
        <v>27154404.400000002</v>
      </c>
      <c r="IH11" s="21">
        <f>IF(IF(AND(ISNA(IH$5),ISNA(IG$5)),IG11*(1+$E11),IF(AND(IG$5&gt;0,ISNA(IH$5)),IG11*(1+$E11),IH$5))&gt;$C$20,$C$20,IF(AND(ISNA(IH$5),ISNA(IG$5)),IG11*(1+$E11),IF(AND(IG$5&gt;0,ISNA(IH$5)),IG11*(1+$E11),IH$5)))</f>
        <v>27154404.400000002</v>
      </c>
      <c r="II11" s="21">
        <f>IF(IF(AND(ISNA(II$5),ISNA(IH$5)),IH11*(1+$E11),IF(AND(IH$5&gt;0,ISNA(II$5)),IH11*(1+$E11),II$5))&gt;$C$20,$C$20,IF(AND(ISNA(II$5),ISNA(IH$5)),IH11*(1+$E11),IF(AND(IH$5&gt;0,ISNA(II$5)),IH11*(1+$E11),II$5)))</f>
        <v>27154404.400000002</v>
      </c>
      <c r="IJ11" s="21">
        <f>IF(IF(AND(ISNA(IJ$5),ISNA(II$5)),II11*(1+$E11),IF(AND(II$5&gt;0,ISNA(IJ$5)),II11*(1+$E11),IJ$5))&gt;$C$20,$C$20,IF(AND(ISNA(IJ$5),ISNA(II$5)),II11*(1+$E11),IF(AND(II$5&gt;0,ISNA(IJ$5)),II11*(1+$E11),IJ$5)))</f>
        <v>27154404.400000002</v>
      </c>
      <c r="IK11" s="21">
        <f>IF(IF(AND(ISNA(IK$5),ISNA(IJ$5)),IJ11*(1+$E11),IF(AND(IJ$5&gt;0,ISNA(IK$5)),IJ11*(1+$E11),IK$5))&gt;$C$20,$C$20,IF(AND(ISNA(IK$5),ISNA(IJ$5)),IJ11*(1+$E11),IF(AND(IJ$5&gt;0,ISNA(IK$5)),IJ11*(1+$E11),IK$5)))</f>
        <v>27154404.400000002</v>
      </c>
      <c r="IL11" s="21">
        <f>IF(IF(AND(ISNA(IL$5),ISNA(IK$5)),IK11*(1+$E11),IF(AND(IK$5&gt;0,ISNA(IL$5)),IK11*(1+$E11),IL$5))&gt;$C$20,$C$20,IF(AND(ISNA(IL$5),ISNA(IK$5)),IK11*(1+$E11),IF(AND(IK$5&gt;0,ISNA(IL$5)),IK11*(1+$E11),IL$5)))</f>
        <v>27154404.400000002</v>
      </c>
      <c r="IM11" s="21">
        <f>IF(IF(AND(ISNA(IM$5),ISNA(IL$5)),IL11*(1+$E11),IF(AND(IL$5&gt;0,ISNA(IM$5)),IL11*(1+$E11),IM$5))&gt;$C$20,$C$20,IF(AND(ISNA(IM$5),ISNA(IL$5)),IL11*(1+$E11),IF(AND(IL$5&gt;0,ISNA(IM$5)),IL11*(1+$E11),IM$5)))</f>
        <v>27154404.400000002</v>
      </c>
      <c r="IN11" s="21">
        <f>IF(IF(AND(ISNA(IN$5),ISNA(IM$5)),IM11*(1+$E11),IF(AND(IM$5&gt;0,ISNA(IN$5)),IM11*(1+$E11),IN$5))&gt;$C$20,$C$20,IF(AND(ISNA(IN$5),ISNA(IM$5)),IM11*(1+$E11),IF(AND(IM$5&gt;0,ISNA(IN$5)),IM11*(1+$E11),IN$5)))</f>
        <v>27154404.400000002</v>
      </c>
    </row>
    <row r="12" spans="2:248" x14ac:dyDescent="0.3">
      <c r="F12" s="19" t="s">
        <v>612</v>
      </c>
      <c r="G12" s="21">
        <f t="shared" ref="G12:R12" si="255">G11</f>
        <v>116</v>
      </c>
      <c r="H12" s="21">
        <f t="shared" si="255"/>
        <v>164</v>
      </c>
      <c r="I12" s="21">
        <f t="shared" si="255"/>
        <v>207</v>
      </c>
      <c r="J12" s="21">
        <f t="shared" si="255"/>
        <v>274</v>
      </c>
      <c r="K12" s="21">
        <f t="shared" si="255"/>
        <v>322</v>
      </c>
      <c r="L12" s="21">
        <f t="shared" si="255"/>
        <v>384</v>
      </c>
      <c r="M12" s="21">
        <f t="shared" si="255"/>
        <v>459</v>
      </c>
      <c r="N12" s="21">
        <f t="shared" si="255"/>
        <v>590</v>
      </c>
      <c r="O12" s="21">
        <f t="shared" si="255"/>
        <v>803</v>
      </c>
      <c r="P12" s="21">
        <f t="shared" si="255"/>
        <v>1145</v>
      </c>
      <c r="Q12" s="21">
        <f t="shared" si="255"/>
        <v>1355</v>
      </c>
      <c r="R12" s="21">
        <f t="shared" si="255"/>
        <v>1552</v>
      </c>
      <c r="S12" s="21">
        <f>S11-G11</f>
        <v>1844</v>
      </c>
      <c r="T12" s="21">
        <f t="shared" ref="T12" si="256">T11-H11</f>
        <v>2462</v>
      </c>
      <c r="U12" s="21">
        <f t="shared" ref="U12" si="257">U11-I11</f>
        <v>3075.5</v>
      </c>
      <c r="V12" s="21">
        <f t="shared" ref="V12" si="258">V11-J11</f>
        <v>3829.125</v>
      </c>
      <c r="W12" s="21">
        <f t="shared" ref="W12" si="259">W11-K11</f>
        <v>4806.90625</v>
      </c>
      <c r="X12" s="21">
        <f t="shared" ref="X12" si="260">X11-L11</f>
        <v>6027.1328125</v>
      </c>
      <c r="Y12" s="21">
        <f t="shared" ref="Y12" si="261">Y11-M11</f>
        <v>7554.916015625</v>
      </c>
      <c r="Z12" s="21">
        <f t="shared" ref="Z12" si="262">Z11-N11</f>
        <v>9427.39501953125</v>
      </c>
      <c r="AA12" s="21">
        <f t="shared" ref="AA12" si="263">AA11-O11</f>
        <v>11718.743774414063</v>
      </c>
      <c r="AB12" s="21">
        <f t="shared" ref="AB12" si="264">AB11-P11</f>
        <v>14507.179718017578</v>
      </c>
      <c r="AC12" s="21">
        <f t="shared" ref="AC12" si="265">AC11-Q11</f>
        <v>18210.224647521973</v>
      </c>
      <c r="AD12" s="21">
        <f t="shared" ref="AD12" si="266">AD11-R11</f>
        <v>22904.530809402466</v>
      </c>
      <c r="AE12" s="21">
        <f t="shared" ref="AE12" si="267">AE11-S11</f>
        <v>28610.663511753082</v>
      </c>
      <c r="AF12" s="21">
        <f t="shared" ref="AF12" si="268">AF11-T11</f>
        <v>35587.329389691353</v>
      </c>
      <c r="AG12" s="21">
        <f t="shared" ref="AG12" si="269">AG11-U11</f>
        <v>44484.161737114191</v>
      </c>
      <c r="AH12" s="21">
        <f t="shared" ref="AH12" si="270">AH11-V11</f>
        <v>55605.202171392739</v>
      </c>
      <c r="AI12" s="21">
        <f t="shared" ref="AI12" si="271">AI11-W11</f>
        <v>69506.502714240924</v>
      </c>
      <c r="AJ12" s="21">
        <f t="shared" ref="AJ12" si="272">AJ11-X11</f>
        <v>86883.128392801154</v>
      </c>
      <c r="AK12" s="21">
        <f t="shared" ref="AK12" si="273">AK11-Y11</f>
        <v>108603.91049100144</v>
      </c>
      <c r="AL12" s="21">
        <f t="shared" ref="AL12" si="274">AL11-Z11</f>
        <v>135754.8881137518</v>
      </c>
      <c r="AM12" s="21">
        <f t="shared" ref="AM12" si="275">AM11-AA11</f>
        <v>169693.61014218975</v>
      </c>
      <c r="AN12" s="21">
        <f t="shared" ref="AN12" si="276">AN11-AB11</f>
        <v>212117.01267773719</v>
      </c>
      <c r="AO12" s="21">
        <f t="shared" ref="AO12" si="277">AO11-AC11</f>
        <v>265146.26584717148</v>
      </c>
      <c r="AP12" s="21">
        <f t="shared" ref="AP12" si="278">AP11-AD11</f>
        <v>331432.83230896434</v>
      </c>
      <c r="AQ12" s="21">
        <f t="shared" ref="AQ12" si="279">AQ11-AE11</f>
        <v>414291.04038620542</v>
      </c>
      <c r="AR12" s="21">
        <f t="shared" ref="AR12" si="280">AR11-AF11</f>
        <v>517863.80048275681</v>
      </c>
      <c r="AS12" s="21">
        <f t="shared" ref="AS12" si="281">AS11-AG11</f>
        <v>647329.75060344604</v>
      </c>
      <c r="AT12" s="21">
        <f t="shared" ref="AT12" si="282">AT11-AH11</f>
        <v>809162.18825430749</v>
      </c>
      <c r="AU12" s="21">
        <f t="shared" ref="AU12" si="283">AU11-AI11</f>
        <v>1011452.7353178845</v>
      </c>
      <c r="AV12" s="21">
        <f t="shared" ref="AV12" si="284">AV11-AJ11</f>
        <v>1264315.9191473555</v>
      </c>
      <c r="AW12" s="21">
        <f t="shared" ref="AW12" si="285">AW11-AK11</f>
        <v>1580394.8989341944</v>
      </c>
      <c r="AX12" s="21">
        <f t="shared" ref="AX12" si="286">AX11-AL11</f>
        <v>1975493.6236677428</v>
      </c>
      <c r="AY12" s="21">
        <f t="shared" ref="AY12" si="287">AY11-AM11</f>
        <v>2469367.0295846788</v>
      </c>
      <c r="AZ12" s="21">
        <f t="shared" ref="AZ12" si="288">AZ11-AN11</f>
        <v>3086708.7869808483</v>
      </c>
      <c r="BA12" s="21">
        <f t="shared" ref="BA12" si="289">BA11-AO11</f>
        <v>3858385.98372606</v>
      </c>
      <c r="BB12" s="21">
        <f t="shared" ref="BB12" si="290">BB11-AP11</f>
        <v>4822982.4796575755</v>
      </c>
      <c r="BC12" s="21">
        <f t="shared" ref="BC12" si="291">BC11-AQ11</f>
        <v>6028728.0995719684</v>
      </c>
      <c r="BD12" s="21">
        <f t="shared" ref="BD12" si="292">BD11-AR11</f>
        <v>7535910.1244649608</v>
      </c>
      <c r="BE12" s="21">
        <f t="shared" ref="BE12" si="293">BE11-AS11</f>
        <v>9419887.6555812005</v>
      </c>
      <c r="BF12" s="21">
        <f t="shared" ref="BF12" si="294">BF11-AT11</f>
        <v>11774859.5694765</v>
      </c>
      <c r="BG12" s="21">
        <f t="shared" ref="BG12" si="295">BG11-AU11</f>
        <v>14718574.461845625</v>
      </c>
      <c r="BH12" s="21">
        <f t="shared" ref="BH12" si="296">BH11-AV11</f>
        <v>18398218.077307031</v>
      </c>
      <c r="BI12" s="21">
        <f t="shared" ref="BI12" si="297">BI11-AW11</f>
        <v>22997772.596633792</v>
      </c>
      <c r="BJ12" s="21">
        <f t="shared" ref="BJ12" si="298">BJ11-AX11</f>
        <v>25033138.493198976</v>
      </c>
      <c r="BK12" s="21">
        <f t="shared" ref="BK12" si="299">BK11-AY11</f>
        <v>24502822.016498718</v>
      </c>
      <c r="BL12" s="21">
        <f t="shared" ref="BL12" si="300">BL11-AZ11</f>
        <v>23839926.420623399</v>
      </c>
      <c r="BM12" s="21">
        <f t="shared" ref="BM12" si="301">BM11-BA11</f>
        <v>23011306.92577925</v>
      </c>
      <c r="BN12" s="21">
        <f t="shared" ref="BN12" si="302">BN11-BB11</f>
        <v>21975532.557224061</v>
      </c>
      <c r="BO12" s="21">
        <f t="shared" ref="BO12" si="303">BO11-BC11</f>
        <v>20680814.596530076</v>
      </c>
      <c r="BP12" s="21">
        <f t="shared" ref="BP12" si="304">BP11-BD11</f>
        <v>19062417.145662595</v>
      </c>
      <c r="BQ12" s="21">
        <f t="shared" ref="BQ12" si="305">BQ11-BE11</f>
        <v>17039420.332078241</v>
      </c>
      <c r="BR12" s="21">
        <f t="shared" ref="BR12" si="306">BR11-BF11</f>
        <v>14510674.315097801</v>
      </c>
      <c r="BS12" s="21">
        <f t="shared" ref="BS12" si="307">BS11-BG11</f>
        <v>11349741.793872252</v>
      </c>
      <c r="BT12" s="21">
        <f t="shared" ref="BT12" si="308">BT11-BH11</f>
        <v>7398576.1423403136</v>
      </c>
      <c r="BU12" s="21">
        <f t="shared" ref="BU12" si="309">BU11-BI11</f>
        <v>2459619.0779253915</v>
      </c>
      <c r="BV12" s="21">
        <f t="shared" ref="BV12" si="310">BV11-BJ11</f>
        <v>0</v>
      </c>
      <c r="BW12" s="21">
        <f t="shared" ref="BW12" si="311">BW11-BK11</f>
        <v>0</v>
      </c>
      <c r="BX12" s="21">
        <f t="shared" ref="BX12" si="312">BX11-BL11</f>
        <v>0</v>
      </c>
      <c r="BY12" s="21">
        <f t="shared" ref="BY12" si="313">BY11-BM11</f>
        <v>0</v>
      </c>
      <c r="BZ12" s="21">
        <f t="shared" ref="BZ12" si="314">BZ11-BN11</f>
        <v>0</v>
      </c>
      <c r="CA12" s="21">
        <f t="shared" ref="CA12" si="315">CA11-BO11</f>
        <v>0</v>
      </c>
      <c r="CB12" s="21">
        <f t="shared" ref="CB12" si="316">CB11-BP11</f>
        <v>0</v>
      </c>
      <c r="CC12" s="21">
        <f t="shared" ref="CC12" si="317">CC11-BQ11</f>
        <v>0</v>
      </c>
      <c r="CD12" s="21">
        <f t="shared" ref="CD12" si="318">CD11-BR11</f>
        <v>0</v>
      </c>
      <c r="CE12" s="21">
        <f t="shared" ref="CE12" si="319">CE11-BS11</f>
        <v>0</v>
      </c>
      <c r="CF12" s="21">
        <f t="shared" ref="CF12" si="320">CF11-BT11</f>
        <v>0</v>
      </c>
      <c r="CG12" s="21">
        <f t="shared" ref="CG12" si="321">CG11-BU11</f>
        <v>0</v>
      </c>
      <c r="CH12" s="21">
        <f t="shared" ref="CH12" si="322">CH11-BV11</f>
        <v>0</v>
      </c>
      <c r="CI12" s="21">
        <f t="shared" ref="CI12" si="323">CI11-BW11</f>
        <v>0</v>
      </c>
      <c r="CJ12" s="21">
        <f t="shared" ref="CJ12" si="324">CJ11-BX11</f>
        <v>0</v>
      </c>
      <c r="CK12" s="21">
        <f t="shared" ref="CK12" si="325">CK11-BY11</f>
        <v>0</v>
      </c>
      <c r="CL12" s="21">
        <f t="shared" ref="CL12" si="326">CL11-BZ11</f>
        <v>0</v>
      </c>
      <c r="CM12" s="21">
        <f t="shared" ref="CM12" si="327">CM11-CA11</f>
        <v>0</v>
      </c>
      <c r="CN12" s="21">
        <f t="shared" ref="CN12" si="328">CN11-CB11</f>
        <v>0</v>
      </c>
      <c r="CO12" s="21">
        <f t="shared" ref="CO12" si="329">CO11-CC11</f>
        <v>0</v>
      </c>
      <c r="CP12" s="21">
        <f t="shared" ref="CP12" si="330">CP11-CD11</f>
        <v>0</v>
      </c>
      <c r="CQ12" s="21">
        <f t="shared" ref="CQ12" si="331">CQ11-CE11</f>
        <v>0</v>
      </c>
      <c r="CR12" s="21">
        <f t="shared" ref="CR12" si="332">CR11-CF11</f>
        <v>0</v>
      </c>
      <c r="CS12" s="21">
        <f t="shared" ref="CS12" si="333">CS11-CG11</f>
        <v>0</v>
      </c>
      <c r="CT12" s="21">
        <f t="shared" ref="CT12" si="334">CT11-CH11</f>
        <v>0</v>
      </c>
      <c r="CU12" s="21">
        <f t="shared" ref="CU12" si="335">CU11-CI11</f>
        <v>0</v>
      </c>
      <c r="CV12" s="21">
        <f t="shared" ref="CV12" si="336">CV11-CJ11</f>
        <v>0</v>
      </c>
      <c r="CW12" s="21">
        <f t="shared" ref="CW12" si="337">CW11-CK11</f>
        <v>0</v>
      </c>
      <c r="CX12" s="21">
        <f t="shared" ref="CX12" si="338">CX11-CL11</f>
        <v>0</v>
      </c>
      <c r="CY12" s="21">
        <f t="shared" ref="CY12" si="339">CY11-CM11</f>
        <v>0</v>
      </c>
      <c r="CZ12" s="21">
        <f t="shared" ref="CZ12" si="340">CZ11-CN11</f>
        <v>0</v>
      </c>
      <c r="DA12" s="21">
        <f t="shared" ref="DA12" si="341">DA11-CO11</f>
        <v>0</v>
      </c>
      <c r="DB12" s="21">
        <f t="shared" ref="DB12" si="342">DB11-CP11</f>
        <v>0</v>
      </c>
      <c r="DC12" s="21">
        <f t="shared" ref="DC12" si="343">DC11-CQ11</f>
        <v>0</v>
      </c>
      <c r="DD12" s="21">
        <f t="shared" ref="DD12" si="344">DD11-CR11</f>
        <v>0</v>
      </c>
      <c r="DE12" s="21">
        <f t="shared" ref="DE12" si="345">DE11-CS11</f>
        <v>0</v>
      </c>
      <c r="DF12" s="21">
        <f t="shared" ref="DF12" si="346">DF11-CT11</f>
        <v>0</v>
      </c>
      <c r="DG12" s="21">
        <f t="shared" ref="DG12" si="347">DG11-CU11</f>
        <v>0</v>
      </c>
      <c r="DH12" s="21">
        <f t="shared" ref="DH12" si="348">DH11-CV11</f>
        <v>0</v>
      </c>
      <c r="DI12" s="21">
        <f t="shared" ref="DI12" si="349">DI11-CW11</f>
        <v>0</v>
      </c>
      <c r="DJ12" s="21">
        <f t="shared" ref="DJ12" si="350">DJ11-CX11</f>
        <v>0</v>
      </c>
      <c r="DK12" s="21">
        <f t="shared" ref="DK12" si="351">DK11-CY11</f>
        <v>0</v>
      </c>
      <c r="DL12" s="21">
        <f t="shared" ref="DL12" si="352">DL11-CZ11</f>
        <v>0</v>
      </c>
      <c r="DM12" s="21">
        <f t="shared" ref="DM12" si="353">DM11-DA11</f>
        <v>0</v>
      </c>
      <c r="DN12" s="21">
        <f t="shared" ref="DN12" si="354">DN11-DB11</f>
        <v>0</v>
      </c>
      <c r="DO12" s="21">
        <f t="shared" ref="DO12" si="355">DO11-DC11</f>
        <v>0</v>
      </c>
      <c r="DP12" s="21">
        <f t="shared" ref="DP12" si="356">DP11-DD11</f>
        <v>0</v>
      </c>
      <c r="DQ12" s="21">
        <f t="shared" ref="DQ12" si="357">DQ11-DE11</f>
        <v>0</v>
      </c>
      <c r="DR12" s="21">
        <f t="shared" ref="DR12" si="358">DR11-DF11</f>
        <v>0</v>
      </c>
      <c r="DS12" s="21">
        <f t="shared" ref="DS12" si="359">DS11-DG11</f>
        <v>0</v>
      </c>
      <c r="DT12" s="21">
        <f t="shared" ref="DT12" si="360">DT11-DH11</f>
        <v>0</v>
      </c>
      <c r="DU12" s="21">
        <f t="shared" ref="DU12" si="361">DU11-DI11</f>
        <v>0</v>
      </c>
      <c r="DV12" s="21">
        <f t="shared" ref="DV12" si="362">DV11-DJ11</f>
        <v>0</v>
      </c>
      <c r="DW12" s="21">
        <f t="shared" ref="DW12" si="363">DW11-DK11</f>
        <v>0</v>
      </c>
      <c r="DX12" s="21">
        <f t="shared" ref="DX12" si="364">DX11-DL11</f>
        <v>0</v>
      </c>
      <c r="DY12" s="21">
        <f t="shared" ref="DY12" si="365">DY11-DM11</f>
        <v>0</v>
      </c>
      <c r="DZ12" s="21">
        <f t="shared" ref="DZ12" si="366">DZ11-DN11</f>
        <v>0</v>
      </c>
      <c r="EA12" s="21">
        <f t="shared" ref="EA12" si="367">EA11-DO11</f>
        <v>0</v>
      </c>
      <c r="EB12" s="21">
        <f t="shared" ref="EB12" si="368">EB11-DP11</f>
        <v>0</v>
      </c>
      <c r="EC12" s="21">
        <f t="shared" ref="EC12" si="369">EC11-DQ11</f>
        <v>0</v>
      </c>
      <c r="ED12" s="21">
        <f t="shared" ref="ED12" si="370">ED11-DR11</f>
        <v>0</v>
      </c>
      <c r="EE12" s="21">
        <f t="shared" ref="EE12" si="371">EE11-DS11</f>
        <v>0</v>
      </c>
      <c r="EF12" s="21">
        <f t="shared" ref="EF12" si="372">EF11-DT11</f>
        <v>0</v>
      </c>
      <c r="EG12" s="21">
        <f t="shared" ref="EG12" si="373">EG11-DU11</f>
        <v>0</v>
      </c>
      <c r="EH12" s="21">
        <f t="shared" ref="EH12" si="374">EH11-DV11</f>
        <v>0</v>
      </c>
      <c r="EI12" s="21">
        <f t="shared" ref="EI12" si="375">EI11-DW11</f>
        <v>0</v>
      </c>
      <c r="EJ12" s="21">
        <f t="shared" ref="EJ12" si="376">EJ11-DX11</f>
        <v>0</v>
      </c>
      <c r="EK12" s="21">
        <f t="shared" ref="EK12" si="377">EK11-DY11</f>
        <v>0</v>
      </c>
      <c r="EL12" s="21">
        <f t="shared" ref="EL12" si="378">EL11-DZ11</f>
        <v>0</v>
      </c>
      <c r="EM12" s="21">
        <f t="shared" ref="EM12" si="379">EM11-EA11</f>
        <v>0</v>
      </c>
      <c r="EN12" s="21">
        <f t="shared" ref="EN12" si="380">EN11-EB11</f>
        <v>0</v>
      </c>
      <c r="EO12" s="21">
        <f t="shared" ref="EO12" si="381">EO11-EC11</f>
        <v>0</v>
      </c>
      <c r="EP12" s="21">
        <f t="shared" ref="EP12" si="382">EP11-ED11</f>
        <v>0</v>
      </c>
      <c r="EQ12" s="21">
        <f t="shared" ref="EQ12" si="383">EQ11-EE11</f>
        <v>0</v>
      </c>
      <c r="ER12" s="21">
        <f t="shared" ref="ER12" si="384">ER11-EF11</f>
        <v>0</v>
      </c>
      <c r="ES12" s="21">
        <f t="shared" ref="ES12" si="385">ES11-EG11</f>
        <v>0</v>
      </c>
      <c r="ET12" s="21">
        <f t="shared" ref="ET12" si="386">ET11-EH11</f>
        <v>0</v>
      </c>
      <c r="EU12" s="21">
        <f t="shared" ref="EU12" si="387">EU11-EI11</f>
        <v>0</v>
      </c>
      <c r="EV12" s="21">
        <f t="shared" ref="EV12" si="388">EV11-EJ11</f>
        <v>0</v>
      </c>
      <c r="EW12" s="21">
        <f t="shared" ref="EW12" si="389">EW11-EK11</f>
        <v>0</v>
      </c>
      <c r="EX12" s="21">
        <f t="shared" ref="EX12" si="390">EX11-EL11</f>
        <v>0</v>
      </c>
      <c r="EY12" s="21">
        <f t="shared" ref="EY12" si="391">EY11-EM11</f>
        <v>0</v>
      </c>
      <c r="EZ12" s="21">
        <f t="shared" ref="EZ12" si="392">EZ11-EN11</f>
        <v>0</v>
      </c>
      <c r="FA12" s="21">
        <f t="shared" ref="FA12" si="393">FA11-EO11</f>
        <v>0</v>
      </c>
      <c r="FB12" s="21">
        <f t="shared" ref="FB12" si="394">FB11-EP11</f>
        <v>0</v>
      </c>
      <c r="FC12" s="21">
        <f t="shared" ref="FC12" si="395">FC11-EQ11</f>
        <v>0</v>
      </c>
      <c r="FD12" s="21">
        <f t="shared" ref="FD12" si="396">FD11-ER11</f>
        <v>0</v>
      </c>
      <c r="FE12" s="21">
        <f t="shared" ref="FE12" si="397">FE11-ES11</f>
        <v>0</v>
      </c>
      <c r="FF12" s="21">
        <f t="shared" ref="FF12" si="398">FF11-ET11</f>
        <v>0</v>
      </c>
      <c r="FG12" s="21">
        <f t="shared" ref="FG12" si="399">FG11-EU11</f>
        <v>0</v>
      </c>
      <c r="FH12" s="21">
        <f t="shared" ref="FH12" si="400">FH11-EV11</f>
        <v>0</v>
      </c>
      <c r="FI12" s="21">
        <f t="shared" ref="FI12" si="401">FI11-EW11</f>
        <v>0</v>
      </c>
      <c r="FJ12" s="21">
        <f t="shared" ref="FJ12" si="402">FJ11-EX11</f>
        <v>0</v>
      </c>
      <c r="FK12" s="21">
        <f t="shared" ref="FK12" si="403">FK11-EY11</f>
        <v>0</v>
      </c>
      <c r="FL12" s="21">
        <f t="shared" ref="FL12" si="404">FL11-EZ11</f>
        <v>0</v>
      </c>
      <c r="FM12" s="21">
        <f t="shared" ref="FM12" si="405">FM11-FA11</f>
        <v>0</v>
      </c>
      <c r="FN12" s="21">
        <f t="shared" ref="FN12" si="406">FN11-FB11</f>
        <v>0</v>
      </c>
      <c r="FO12" s="21">
        <f t="shared" ref="FO12" si="407">FO11-FC11</f>
        <v>0</v>
      </c>
      <c r="FP12" s="21">
        <f t="shared" ref="FP12" si="408">FP11-FD11</f>
        <v>0</v>
      </c>
      <c r="FQ12" s="21">
        <f t="shared" ref="FQ12" si="409">FQ11-FE11</f>
        <v>0</v>
      </c>
      <c r="FR12" s="21">
        <f t="shared" ref="FR12" si="410">FR11-FF11</f>
        <v>0</v>
      </c>
      <c r="FS12" s="21">
        <f t="shared" ref="FS12" si="411">FS11-FG11</f>
        <v>0</v>
      </c>
      <c r="FT12" s="21">
        <f t="shared" ref="FT12" si="412">FT11-FH11</f>
        <v>0</v>
      </c>
      <c r="FU12" s="21">
        <f t="shared" ref="FU12" si="413">FU11-FI11</f>
        <v>0</v>
      </c>
      <c r="FV12" s="21">
        <f t="shared" ref="FV12" si="414">FV11-FJ11</f>
        <v>0</v>
      </c>
      <c r="FW12" s="21">
        <f t="shared" ref="FW12" si="415">FW11-FK11</f>
        <v>0</v>
      </c>
      <c r="FX12" s="21">
        <f t="shared" ref="FX12" si="416">FX11-FL11</f>
        <v>0</v>
      </c>
      <c r="FY12" s="21">
        <f t="shared" ref="FY12" si="417">FY11-FM11</f>
        <v>0</v>
      </c>
      <c r="FZ12" s="21">
        <f t="shared" ref="FZ12" si="418">FZ11-FN11</f>
        <v>0</v>
      </c>
      <c r="GA12" s="21">
        <f t="shared" ref="GA12" si="419">GA11-FO11</f>
        <v>0</v>
      </c>
      <c r="GB12" s="21">
        <f t="shared" ref="GB12" si="420">GB11-FP11</f>
        <v>0</v>
      </c>
      <c r="GC12" s="21">
        <f t="shared" ref="GC12" si="421">GC11-FQ11</f>
        <v>0</v>
      </c>
      <c r="GD12" s="21">
        <f t="shared" ref="GD12" si="422">GD11-FR11</f>
        <v>0</v>
      </c>
      <c r="GE12" s="21">
        <f t="shared" ref="GE12" si="423">GE11-FS11</f>
        <v>0</v>
      </c>
      <c r="GF12" s="21">
        <f t="shared" ref="GF12" si="424">GF11-FT11</f>
        <v>0</v>
      </c>
      <c r="GG12" s="21">
        <f t="shared" ref="GG12" si="425">GG11-FU11</f>
        <v>0</v>
      </c>
      <c r="GH12" s="21">
        <f t="shared" ref="GH12" si="426">GH11-FV11</f>
        <v>0</v>
      </c>
      <c r="GI12" s="21">
        <f t="shared" ref="GI12" si="427">GI11-FW11</f>
        <v>0</v>
      </c>
      <c r="GJ12" s="21">
        <f t="shared" ref="GJ12" si="428">GJ11-FX11</f>
        <v>0</v>
      </c>
      <c r="GK12" s="21">
        <f t="shared" ref="GK12" si="429">GK11-FY11</f>
        <v>0</v>
      </c>
      <c r="GL12" s="21">
        <f t="shared" ref="GL12" si="430">GL11-FZ11</f>
        <v>0</v>
      </c>
      <c r="GM12" s="21">
        <f t="shared" ref="GM12" si="431">GM11-GA11</f>
        <v>0</v>
      </c>
      <c r="GN12" s="21">
        <f t="shared" ref="GN12" si="432">GN11-GB11</f>
        <v>0</v>
      </c>
      <c r="GO12" s="21">
        <f t="shared" ref="GO12" si="433">GO11-GC11</f>
        <v>0</v>
      </c>
      <c r="GP12" s="21">
        <f t="shared" ref="GP12" si="434">GP11-GD11</f>
        <v>0</v>
      </c>
      <c r="GQ12" s="21">
        <f t="shared" ref="GQ12" si="435">GQ11-GE11</f>
        <v>0</v>
      </c>
      <c r="GR12" s="21">
        <f t="shared" ref="GR12" si="436">GR11-GF11</f>
        <v>0</v>
      </c>
      <c r="GS12" s="21">
        <f t="shared" ref="GS12" si="437">GS11-GG11</f>
        <v>0</v>
      </c>
      <c r="GT12" s="21">
        <f t="shared" ref="GT12" si="438">GT11-GH11</f>
        <v>0</v>
      </c>
      <c r="GU12" s="21">
        <f t="shared" ref="GU12" si="439">GU11-GI11</f>
        <v>0</v>
      </c>
      <c r="GV12" s="21">
        <f t="shared" ref="GV12" si="440">GV11-GJ11</f>
        <v>0</v>
      </c>
      <c r="GW12" s="21">
        <f t="shared" ref="GW12" si="441">GW11-GK11</f>
        <v>0</v>
      </c>
      <c r="GX12" s="21">
        <f t="shared" ref="GX12" si="442">GX11-GL11</f>
        <v>0</v>
      </c>
      <c r="GY12" s="21">
        <f t="shared" ref="GY12" si="443">GY11-GM11</f>
        <v>0</v>
      </c>
      <c r="GZ12" s="21">
        <f t="shared" ref="GZ12" si="444">GZ11-GN11</f>
        <v>0</v>
      </c>
      <c r="HA12" s="21">
        <f t="shared" ref="HA12" si="445">HA11-GO11</f>
        <v>0</v>
      </c>
      <c r="HB12" s="21">
        <f t="shared" ref="HB12" si="446">HB11-GP11</f>
        <v>0</v>
      </c>
      <c r="HC12" s="21">
        <f t="shared" ref="HC12" si="447">HC11-GQ11</f>
        <v>0</v>
      </c>
      <c r="HD12" s="21">
        <f t="shared" ref="HD12" si="448">HD11-GR11</f>
        <v>0</v>
      </c>
      <c r="HE12" s="21">
        <f t="shared" ref="HE12" si="449">HE11-GS11</f>
        <v>0</v>
      </c>
      <c r="HF12" s="21">
        <f t="shared" ref="HF12" si="450">HF11-GT11</f>
        <v>0</v>
      </c>
      <c r="HG12" s="21">
        <f t="shared" ref="HG12" si="451">HG11-GU11</f>
        <v>0</v>
      </c>
      <c r="HH12" s="21">
        <f t="shared" ref="HH12" si="452">HH11-GV11</f>
        <v>0</v>
      </c>
      <c r="HI12" s="21">
        <f t="shared" ref="HI12" si="453">HI11-GW11</f>
        <v>0</v>
      </c>
      <c r="HJ12" s="21">
        <f t="shared" ref="HJ12" si="454">HJ11-GX11</f>
        <v>0</v>
      </c>
      <c r="HK12" s="21">
        <f t="shared" ref="HK12" si="455">HK11-GY11</f>
        <v>0</v>
      </c>
      <c r="HL12" s="21">
        <f t="shared" ref="HL12" si="456">HL11-GZ11</f>
        <v>0</v>
      </c>
      <c r="HM12" s="21">
        <f t="shared" ref="HM12" si="457">HM11-HA11</f>
        <v>0</v>
      </c>
      <c r="HN12" s="21">
        <f t="shared" ref="HN12" si="458">HN11-HB11</f>
        <v>0</v>
      </c>
      <c r="HO12" s="21">
        <f t="shared" ref="HO12" si="459">HO11-HC11</f>
        <v>0</v>
      </c>
      <c r="HP12" s="21">
        <f t="shared" ref="HP12" si="460">HP11-HD11</f>
        <v>0</v>
      </c>
      <c r="HQ12" s="21">
        <f t="shared" ref="HQ12" si="461">HQ11-HE11</f>
        <v>0</v>
      </c>
      <c r="HR12" s="21">
        <f t="shared" ref="HR12" si="462">HR11-HF11</f>
        <v>0</v>
      </c>
      <c r="HS12" s="21">
        <f t="shared" ref="HS12" si="463">HS11-HG11</f>
        <v>0</v>
      </c>
      <c r="HT12" s="21">
        <f t="shared" ref="HT12" si="464">HT11-HH11</f>
        <v>0</v>
      </c>
      <c r="HU12" s="21">
        <f t="shared" ref="HU12" si="465">HU11-HI11</f>
        <v>0</v>
      </c>
      <c r="HV12" s="21">
        <f t="shared" ref="HV12" si="466">HV11-HJ11</f>
        <v>0</v>
      </c>
      <c r="HW12" s="21">
        <f t="shared" ref="HW12" si="467">HW11-HK11</f>
        <v>0</v>
      </c>
      <c r="HX12" s="21">
        <f t="shared" ref="HX12" si="468">HX11-HL11</f>
        <v>0</v>
      </c>
      <c r="HY12" s="21">
        <f t="shared" ref="HY12" si="469">HY11-HM11</f>
        <v>0</v>
      </c>
      <c r="HZ12" s="21">
        <f t="shared" ref="HZ12" si="470">HZ11-HN11</f>
        <v>0</v>
      </c>
      <c r="IA12" s="21">
        <f t="shared" ref="IA12" si="471">IA11-HO11</f>
        <v>0</v>
      </c>
      <c r="IB12" s="21">
        <f t="shared" ref="IB12" si="472">IB11-HP11</f>
        <v>0</v>
      </c>
      <c r="IC12" s="21">
        <f t="shared" ref="IC12" si="473">IC11-HQ11</f>
        <v>0</v>
      </c>
      <c r="ID12" s="21">
        <f t="shared" ref="ID12" si="474">ID11-HR11</f>
        <v>0</v>
      </c>
      <c r="IE12" s="21">
        <f t="shared" ref="IE12" si="475">IE11-HS11</f>
        <v>0</v>
      </c>
      <c r="IF12" s="21">
        <f t="shared" ref="IF12" si="476">IF11-HT11</f>
        <v>0</v>
      </c>
      <c r="IG12" s="21">
        <f t="shared" ref="IG12" si="477">IG11-HU11</f>
        <v>0</v>
      </c>
      <c r="IH12" s="21">
        <f t="shared" ref="IH12" si="478">IH11-HV11</f>
        <v>0</v>
      </c>
      <c r="II12" s="21">
        <f t="shared" ref="II12" si="479">II11-HW11</f>
        <v>0</v>
      </c>
      <c r="IJ12" s="21">
        <f t="shared" ref="IJ12" si="480">IJ11-HX11</f>
        <v>0</v>
      </c>
      <c r="IK12" s="21">
        <f t="shared" ref="IK12" si="481">IK11-HY11</f>
        <v>0</v>
      </c>
      <c r="IL12" s="21">
        <f t="shared" ref="IL12" si="482">IL11-HZ11</f>
        <v>0</v>
      </c>
      <c r="IM12" s="21">
        <f t="shared" ref="IM12" si="483">IM11-IA11</f>
        <v>0</v>
      </c>
      <c r="IN12" s="21">
        <f t="shared" ref="IN12" si="484">IN11-IB11</f>
        <v>0</v>
      </c>
    </row>
    <row r="13" spans="2:248" x14ac:dyDescent="0.3">
      <c r="B13" s="19" t="s">
        <v>484</v>
      </c>
      <c r="C13" s="21">
        <f>C4*(1+C11)</f>
        <v>3328.2087423831099</v>
      </c>
      <c r="E13" s="19">
        <v>0.3</v>
      </c>
      <c r="F13" s="22" t="s">
        <v>486</v>
      </c>
      <c r="G13" s="21">
        <f>IF(IF(AND(ISNA(G$5),ISNA(F$5)),F13*(1+$E13),IF(AND(F$5&gt;0,ISNA(G$5)),F13*(1+$E13),G$5))&gt;$C$20,$C$20,IF(AND(ISNA(G$5),ISNA(F$5)),F13*(1+$E13),IF(AND(F$5&gt;0,ISNA(G$5)),F13*(1+$E13),G$5)))</f>
        <v>116</v>
      </c>
      <c r="H13" s="21">
        <f>IF(IF(AND(ISNA(H$5),ISNA(G$5)),G13*(1+$E13),IF(AND(G$5&gt;0,ISNA(H$5)),G13*(1+$E13),H$5))&gt;$C$20,$C$20,IF(AND(ISNA(H$5),ISNA(G$5)),G13*(1+$E13),IF(AND(G$5&gt;0,ISNA(H$5)),G13*(1+$E13),H$5)))</f>
        <v>164</v>
      </c>
      <c r="I13" s="21">
        <f>IF(IF(AND(ISNA(I$5),ISNA(H$5)),H13*(1+$E13),IF(AND(H$5&gt;0,ISNA(I$5)),H13*(1+$E13),I$5))&gt;$C$20,$C$20,IF(AND(ISNA(I$5),ISNA(H$5)),H13*(1+$E13),IF(AND(H$5&gt;0,ISNA(I$5)),H13*(1+$E13),I$5)))</f>
        <v>207</v>
      </c>
      <c r="J13" s="21">
        <f>IF(IF(AND(ISNA(J$5),ISNA(I$5)),I13*(1+$E13),IF(AND(I$5&gt;0,ISNA(J$5)),I13*(1+$E13),J$5))&gt;$C$20,$C$20,IF(AND(ISNA(J$5),ISNA(I$5)),I13*(1+$E13),IF(AND(I$5&gt;0,ISNA(J$5)),I13*(1+$E13),J$5)))</f>
        <v>274</v>
      </c>
      <c r="K13" s="21">
        <f>IF(IF(AND(ISNA(K$5),ISNA(J$5)),J13*(1+$E13),IF(AND(J$5&gt;0,ISNA(K$5)),J13*(1+$E13),K$5))&gt;$C$20,$C$20,IF(AND(ISNA(K$5),ISNA(J$5)),J13*(1+$E13),IF(AND(J$5&gt;0,ISNA(K$5)),J13*(1+$E13),K$5)))</f>
        <v>322</v>
      </c>
      <c r="L13" s="21">
        <f>IF(IF(AND(ISNA(L$5),ISNA(K$5)),K13*(1+$E13),IF(AND(K$5&gt;0,ISNA(L$5)),K13*(1+$E13),L$5))&gt;$C$20,$C$20,IF(AND(ISNA(L$5),ISNA(K$5)),K13*(1+$E13),IF(AND(K$5&gt;0,ISNA(L$5)),K13*(1+$E13),L$5)))</f>
        <v>384</v>
      </c>
      <c r="M13" s="21">
        <f>IF(IF(AND(ISNA(M$5),ISNA(L$5)),L13*(1+$E13),IF(AND(L$5&gt;0,ISNA(M$5)),L13*(1+$E13),M$5))&gt;$C$20,$C$20,IF(AND(ISNA(M$5),ISNA(L$5)),L13*(1+$E13),IF(AND(L$5&gt;0,ISNA(M$5)),L13*(1+$E13),M$5)))</f>
        <v>459</v>
      </c>
      <c r="N13" s="21">
        <f>IF(IF(AND(ISNA(N$5),ISNA(M$5)),M13*(1+$E13),IF(AND(M$5&gt;0,ISNA(N$5)),M13*(1+$E13),N$5))&gt;$C$20,$C$20,IF(AND(ISNA(N$5),ISNA(M$5)),M13*(1+$E13),IF(AND(M$5&gt;0,ISNA(N$5)),M13*(1+$E13),N$5)))</f>
        <v>590</v>
      </c>
      <c r="O13" s="21">
        <f>IF(IF(AND(ISNA(O$5),ISNA(N$5)),N13*(1+$E13),IF(AND(N$5&gt;0,ISNA(O$5)),N13*(1+$E13),O$5))&gt;$C$20,$C$20,IF(AND(ISNA(O$5),ISNA(N$5)),N13*(1+$E13),IF(AND(N$5&gt;0,ISNA(O$5)),N13*(1+$E13),O$5)))</f>
        <v>803</v>
      </c>
      <c r="P13" s="21">
        <f>IF(IF(AND(ISNA(P$5),ISNA(O$5)),O13*(1+$E13),IF(AND(O$5&gt;0,ISNA(P$5)),O13*(1+$E13),P$5))&gt;$C$20,$C$20,IF(AND(ISNA(P$5),ISNA(O$5)),O13*(1+$E13),IF(AND(O$5&gt;0,ISNA(P$5)),O13*(1+$E13),P$5)))</f>
        <v>1145</v>
      </c>
      <c r="Q13" s="21">
        <f>IF(IF(AND(ISNA(Q$5),ISNA(P$5)),P13*(1+$E13),IF(AND(P$5&gt;0,ISNA(Q$5)),P13*(1+$E13),Q$5))&gt;$C$20,$C$20,IF(AND(ISNA(Q$5),ISNA(P$5)),P13*(1+$E13),IF(AND(P$5&gt;0,ISNA(Q$5)),P13*(1+$E13),Q$5)))</f>
        <v>1355</v>
      </c>
      <c r="R13" s="21">
        <f>IF(IF(AND(ISNA(R$5),ISNA(Q$5)),Q13*(1+$E13),IF(AND(Q$5&gt;0,ISNA(R$5)),Q13*(1+$E13),R$5))&gt;$C$20,$C$20,IF(AND(ISNA(R$5),ISNA(Q$5)),Q13*(1+$E13),IF(AND(Q$5&gt;0,ISNA(R$5)),Q13*(1+$E13),R$5)))</f>
        <v>1552</v>
      </c>
      <c r="S13" s="21">
        <f>IF(IF(AND(ISNA(S$5),ISNA(R$5)),R13*(1+$E13),IF(AND(R$5&gt;0,ISNA(S$5)),R13*(1+$E13),S$5))&gt;$C$20,$C$20,IF(AND(ISNA(S$5),ISNA(R$5)),R13*(1+$E13),IF(AND(R$5&gt;0,ISNA(S$5)),R13*(1+$E13),S$5)))</f>
        <v>1960</v>
      </c>
      <c r="T13" s="21">
        <f>IF(IF(AND(ISNA(T$5),ISNA(S$5)),S13*(1+$E13),IF(AND(S$5&gt;0,ISNA(T$5)),S13*(1+$E13),T$5))&gt;$C$20,$C$20,IF(AND(ISNA(T$5),ISNA(S$5)),S13*(1+$E13),IF(AND(S$5&gt;0,ISNA(T$5)),S13*(1+$E13),T$5)))</f>
        <v>2626</v>
      </c>
      <c r="U13" s="21">
        <f>IF(IF(AND(ISNA(U$5),ISNA(T$5)),T13*(1+$E13),IF(AND(T$5&gt;0,ISNA(U$5)),T13*(1+$E13),U$5))&gt;$C$20,$C$20,IF(AND(ISNA(U$5),ISNA(T$5)),T13*(1+$E13),IF(AND(T$5&gt;0,ISNA(U$5)),T13*(1+$E13),U$5)))</f>
        <v>3413.8</v>
      </c>
      <c r="V13" s="21">
        <f>IF(IF(AND(ISNA(V$5),ISNA(U$5)),U13*(1+$E13),IF(AND(U$5&gt;0,ISNA(V$5)),U13*(1+$E13),V$5))&gt;$C$20,$C$20,IF(AND(ISNA(V$5),ISNA(U$5)),U13*(1+$E13),IF(AND(U$5&gt;0,ISNA(V$5)),U13*(1+$E13),V$5)))</f>
        <v>4437.9400000000005</v>
      </c>
      <c r="W13" s="21">
        <f>IF(IF(AND(ISNA(W$5),ISNA(V$5)),V13*(1+$E13),IF(AND(V$5&gt;0,ISNA(W$5)),V13*(1+$E13),W$5))&gt;$C$20,$C$20,IF(AND(ISNA(W$5),ISNA(V$5)),V13*(1+$E13),IF(AND(V$5&gt;0,ISNA(W$5)),V13*(1+$E13),W$5)))</f>
        <v>5769.322000000001</v>
      </c>
      <c r="X13" s="21">
        <f>IF(IF(AND(ISNA(X$5),ISNA(W$5)),W13*(1+$E13),IF(AND(W$5&gt;0,ISNA(X$5)),W13*(1+$E13),X$5))&gt;$C$20,$C$20,IF(AND(ISNA(X$5),ISNA(W$5)),W13*(1+$E13),IF(AND(W$5&gt;0,ISNA(X$5)),W13*(1+$E13),X$5)))</f>
        <v>7500.1186000000016</v>
      </c>
      <c r="Y13" s="21">
        <f>IF(IF(AND(ISNA(Y$5),ISNA(X$5)),X13*(1+$E13),IF(AND(X$5&gt;0,ISNA(Y$5)),X13*(1+$E13),Y$5))&gt;$C$20,$C$20,IF(AND(ISNA(Y$5),ISNA(X$5)),X13*(1+$E13),IF(AND(X$5&gt;0,ISNA(Y$5)),X13*(1+$E13),Y$5)))</f>
        <v>9750.1541800000032</v>
      </c>
      <c r="Z13" s="21">
        <f>IF(IF(AND(ISNA(Z$5),ISNA(Y$5)),Y13*(1+$E13),IF(AND(Y$5&gt;0,ISNA(Z$5)),Y13*(1+$E13),Z$5))&gt;$C$20,$C$20,IF(AND(ISNA(Z$5),ISNA(Y$5)),Y13*(1+$E13),IF(AND(Y$5&gt;0,ISNA(Z$5)),Y13*(1+$E13),Z$5)))</f>
        <v>12675.200434000004</v>
      </c>
      <c r="AA13" s="21">
        <f>IF(IF(AND(ISNA(AA$5),ISNA(Z$5)),Z13*(1+$E13),IF(AND(Z$5&gt;0,ISNA(AA$5)),Z13*(1+$E13),AA$5))&gt;$C$20,$C$20,IF(AND(ISNA(AA$5),ISNA(Z$5)),Z13*(1+$E13),IF(AND(Z$5&gt;0,ISNA(AA$5)),Z13*(1+$E13),AA$5)))</f>
        <v>16477.760564200005</v>
      </c>
      <c r="AB13" s="21">
        <f>IF(IF(AND(ISNA(AB$5),ISNA(AA$5)),AA13*(1+$E13),IF(AND(AA$5&gt;0,ISNA(AB$5)),AA13*(1+$E13),AB$5))&gt;$C$20,$C$20,IF(AND(ISNA(AB$5),ISNA(AA$5)),AA13*(1+$E13),IF(AND(AA$5&gt;0,ISNA(AB$5)),AA13*(1+$E13),AB$5)))</f>
        <v>21421.088733460008</v>
      </c>
      <c r="AC13" s="21">
        <f>IF(IF(AND(ISNA(AC$5),ISNA(AB$5)),AB13*(1+$E13),IF(AND(AB$5&gt;0,ISNA(AC$5)),AB13*(1+$E13),AC$5))&gt;$C$20,$C$20,IF(AND(ISNA(AC$5),ISNA(AB$5)),AB13*(1+$E13),IF(AND(AB$5&gt;0,ISNA(AC$5)),AB13*(1+$E13),AC$5)))</f>
        <v>27847.415353498011</v>
      </c>
      <c r="AD13" s="21">
        <f>IF(IF(AND(ISNA(AD$5),ISNA(AC$5)),AC13*(1+$E13),IF(AND(AC$5&gt;0,ISNA(AD$5)),AC13*(1+$E13),AD$5))&gt;$C$20,$C$20,IF(AND(ISNA(AD$5),ISNA(AC$5)),AC13*(1+$E13),IF(AND(AC$5&gt;0,ISNA(AD$5)),AC13*(1+$E13),AD$5)))</f>
        <v>36201.639959547414</v>
      </c>
      <c r="AE13" s="21">
        <f>IF(IF(AND(ISNA(AE$5),ISNA(AD$5)),AD13*(1+$E13),IF(AND(AD$5&gt;0,ISNA(AE$5)),AD13*(1+$E13),AE$5))&gt;$C$20,$C$20,IF(AND(ISNA(AE$5),ISNA(AD$5)),AD13*(1+$E13),IF(AND(AD$5&gt;0,ISNA(AE$5)),AD13*(1+$E13),AE$5)))</f>
        <v>47062.131947411639</v>
      </c>
      <c r="AF13" s="21">
        <f>IF(IF(AND(ISNA(AF$5),ISNA(AE$5)),AE13*(1+$E13),IF(AND(AE$5&gt;0,ISNA(AF$5)),AE13*(1+$E13),AF$5))&gt;$C$20,$C$20,IF(AND(ISNA(AF$5),ISNA(AE$5)),AE13*(1+$E13),IF(AND(AE$5&gt;0,ISNA(AF$5)),AE13*(1+$E13),AF$5)))</f>
        <v>61180.771531635131</v>
      </c>
      <c r="AG13" s="21">
        <f>IF(IF(AND(ISNA(AG$5),ISNA(AF$5)),AF13*(1+$E13),IF(AND(AF$5&gt;0,ISNA(AG$5)),AF13*(1+$E13),AG$5))&gt;$C$20,$C$20,IF(AND(ISNA(AG$5),ISNA(AF$5)),AF13*(1+$E13),IF(AND(AF$5&gt;0,ISNA(AG$5)),AF13*(1+$E13),AG$5)))</f>
        <v>79535.002991125672</v>
      </c>
      <c r="AH13" s="21">
        <f>IF(IF(AND(ISNA(AH$5),ISNA(AG$5)),AG13*(1+$E13),IF(AND(AG$5&gt;0,ISNA(AH$5)),AG13*(1+$E13),AH$5))&gt;$C$20,$C$20,IF(AND(ISNA(AH$5),ISNA(AG$5)),AG13*(1+$E13),IF(AND(AG$5&gt;0,ISNA(AH$5)),AG13*(1+$E13),AH$5)))</f>
        <v>103395.50388846338</v>
      </c>
      <c r="AI13" s="21">
        <f>IF(IF(AND(ISNA(AI$5),ISNA(AH$5)),AH13*(1+$E13),IF(AND(AH$5&gt;0,ISNA(AI$5)),AH13*(1+$E13),AI$5))&gt;$C$20,$C$20,IF(AND(ISNA(AI$5),ISNA(AH$5)),AH13*(1+$E13),IF(AND(AH$5&gt;0,ISNA(AI$5)),AH13*(1+$E13),AI$5)))</f>
        <v>134414.1550550024</v>
      </c>
      <c r="AJ13" s="21">
        <f>IF(IF(AND(ISNA(AJ$5),ISNA(AI$5)),AI13*(1+$E13),IF(AND(AI$5&gt;0,ISNA(AJ$5)),AI13*(1+$E13),AJ$5))&gt;$C$20,$C$20,IF(AND(ISNA(AJ$5),ISNA(AI$5)),AI13*(1+$E13),IF(AND(AI$5&gt;0,ISNA(AJ$5)),AI13*(1+$E13),AJ$5)))</f>
        <v>174738.40157150311</v>
      </c>
      <c r="AK13" s="21">
        <f>IF(IF(AND(ISNA(AK$5),ISNA(AJ$5)),AJ13*(1+$E13),IF(AND(AJ$5&gt;0,ISNA(AK$5)),AJ13*(1+$E13),AK$5))&gt;$C$20,$C$20,IF(AND(ISNA(AK$5),ISNA(AJ$5)),AJ13*(1+$E13),IF(AND(AJ$5&gt;0,ISNA(AK$5)),AJ13*(1+$E13),AK$5)))</f>
        <v>227159.92204295404</v>
      </c>
      <c r="AL13" s="21">
        <f>IF(IF(AND(ISNA(AL$5),ISNA(AK$5)),AK13*(1+$E13),IF(AND(AK$5&gt;0,ISNA(AL$5)),AK13*(1+$E13),AL$5))&gt;$C$20,$C$20,IF(AND(ISNA(AL$5),ISNA(AK$5)),AK13*(1+$E13),IF(AND(AK$5&gt;0,ISNA(AL$5)),AK13*(1+$E13),AL$5)))</f>
        <v>295307.89865584025</v>
      </c>
      <c r="AM13" s="21">
        <f>IF(IF(AND(ISNA(AM$5),ISNA(AL$5)),AL13*(1+$E13),IF(AND(AL$5&gt;0,ISNA(AM$5)),AL13*(1+$E13),AM$5))&gt;$C$20,$C$20,IF(AND(ISNA(AM$5),ISNA(AL$5)),AL13*(1+$E13),IF(AND(AL$5&gt;0,ISNA(AM$5)),AL13*(1+$E13),AM$5)))</f>
        <v>383900.26825259236</v>
      </c>
      <c r="AN13" s="21">
        <f>IF(IF(AND(ISNA(AN$5),ISNA(AM$5)),AM13*(1+$E13),IF(AND(AM$5&gt;0,ISNA(AN$5)),AM13*(1+$E13),AN$5))&gt;$C$20,$C$20,IF(AND(ISNA(AN$5),ISNA(AM$5)),AM13*(1+$E13),IF(AND(AM$5&gt;0,ISNA(AN$5)),AM13*(1+$E13),AN$5)))</f>
        <v>499070.3487283701</v>
      </c>
      <c r="AO13" s="21">
        <f>IF(IF(AND(ISNA(AO$5),ISNA(AN$5)),AN13*(1+$E13),IF(AND(AN$5&gt;0,ISNA(AO$5)),AN13*(1+$E13),AO$5))&gt;$C$20,$C$20,IF(AND(ISNA(AO$5),ISNA(AN$5)),AN13*(1+$E13),IF(AND(AN$5&gt;0,ISNA(AO$5)),AN13*(1+$E13),AO$5)))</f>
        <v>648791.4533468812</v>
      </c>
      <c r="AP13" s="21">
        <f>IF(IF(AND(ISNA(AP$5),ISNA(AO$5)),AO13*(1+$E13),IF(AND(AO$5&gt;0,ISNA(AP$5)),AO13*(1+$E13),AP$5))&gt;$C$20,$C$20,IF(AND(ISNA(AP$5),ISNA(AO$5)),AO13*(1+$E13),IF(AND(AO$5&gt;0,ISNA(AP$5)),AO13*(1+$E13),AP$5)))</f>
        <v>843428.8893509456</v>
      </c>
      <c r="AQ13" s="21">
        <f>IF(IF(AND(ISNA(AQ$5),ISNA(AP$5)),AP13*(1+$E13),IF(AND(AP$5&gt;0,ISNA(AQ$5)),AP13*(1+$E13),AQ$5))&gt;$C$20,$C$20,IF(AND(ISNA(AQ$5),ISNA(AP$5)),AP13*(1+$E13),IF(AND(AP$5&gt;0,ISNA(AQ$5)),AP13*(1+$E13),AQ$5)))</f>
        <v>1096457.5561562292</v>
      </c>
      <c r="AR13" s="21">
        <f>IF(IF(AND(ISNA(AR$5),ISNA(AQ$5)),AQ13*(1+$E13),IF(AND(AQ$5&gt;0,ISNA(AR$5)),AQ13*(1+$E13),AR$5))&gt;$C$20,$C$20,IF(AND(ISNA(AR$5),ISNA(AQ$5)),AQ13*(1+$E13),IF(AND(AQ$5&gt;0,ISNA(AR$5)),AQ13*(1+$E13),AR$5)))</f>
        <v>1425394.8230030981</v>
      </c>
      <c r="AS13" s="21">
        <f>IF(IF(AND(ISNA(AS$5),ISNA(AR$5)),AR13*(1+$E13),IF(AND(AR$5&gt;0,ISNA(AS$5)),AR13*(1+$E13),AS$5))&gt;$C$20,$C$20,IF(AND(ISNA(AS$5),ISNA(AR$5)),AR13*(1+$E13),IF(AND(AR$5&gt;0,ISNA(AS$5)),AR13*(1+$E13),AS$5)))</f>
        <v>1853013.2699040277</v>
      </c>
      <c r="AT13" s="21">
        <f>IF(IF(AND(ISNA(AT$5),ISNA(AS$5)),AS13*(1+$E13),IF(AND(AS$5&gt;0,ISNA(AT$5)),AS13*(1+$E13),AT$5))&gt;$C$20,$C$20,IF(AND(ISNA(AT$5),ISNA(AS$5)),AS13*(1+$E13),IF(AND(AS$5&gt;0,ISNA(AT$5)),AS13*(1+$E13),AT$5)))</f>
        <v>2408917.250875236</v>
      </c>
      <c r="AU13" s="21">
        <f>IF(IF(AND(ISNA(AU$5),ISNA(AT$5)),AT13*(1+$E13),IF(AND(AT$5&gt;0,ISNA(AU$5)),AT13*(1+$E13),AU$5))&gt;$C$20,$C$20,IF(AND(ISNA(AU$5),ISNA(AT$5)),AT13*(1+$E13),IF(AND(AT$5&gt;0,ISNA(AU$5)),AT13*(1+$E13),AU$5)))</f>
        <v>3131592.4261378068</v>
      </c>
      <c r="AV13" s="21">
        <f>IF(IF(AND(ISNA(AV$5),ISNA(AU$5)),AU13*(1+$E13),IF(AND(AU$5&gt;0,ISNA(AV$5)),AU13*(1+$E13),AV$5))&gt;$C$20,$C$20,IF(AND(ISNA(AV$5),ISNA(AU$5)),AU13*(1+$E13),IF(AND(AU$5&gt;0,ISNA(AV$5)),AU13*(1+$E13),AV$5)))</f>
        <v>4071070.1539791492</v>
      </c>
      <c r="AW13" s="21">
        <f>IF(IF(AND(ISNA(AW$5),ISNA(AV$5)),AV13*(1+$E13),IF(AND(AV$5&gt;0,ISNA(AW$5)),AV13*(1+$E13),AW$5))&gt;$C$20,$C$20,IF(AND(ISNA(AW$5),ISNA(AV$5)),AV13*(1+$E13),IF(AND(AV$5&gt;0,ISNA(AW$5)),AV13*(1+$E13),AW$5)))</f>
        <v>5292391.2001728937</v>
      </c>
      <c r="AX13" s="21">
        <f>IF(IF(AND(ISNA(AX$5),ISNA(AW$5)),AW13*(1+$E13),IF(AND(AW$5&gt;0,ISNA(AX$5)),AW13*(1+$E13),AX$5))&gt;$C$20,$C$20,IF(AND(ISNA(AX$5),ISNA(AW$5)),AW13*(1+$E13),IF(AND(AW$5&gt;0,ISNA(AX$5)),AW13*(1+$E13),AX$5)))</f>
        <v>6880108.5602247622</v>
      </c>
      <c r="AY13" s="21">
        <f>IF(IF(AND(ISNA(AY$5),ISNA(AX$5)),AX13*(1+$E13),IF(AND(AX$5&gt;0,ISNA(AY$5)),AX13*(1+$E13),AY$5))&gt;$C$20,$C$20,IF(AND(ISNA(AY$5),ISNA(AX$5)),AX13*(1+$E13),IF(AND(AX$5&gt;0,ISNA(AY$5)),AX13*(1+$E13),AY$5)))</f>
        <v>8944141.1282921918</v>
      </c>
      <c r="AZ13" s="21">
        <f>IF(IF(AND(ISNA(AZ$5),ISNA(AY$5)),AY13*(1+$E13),IF(AND(AY$5&gt;0,ISNA(AZ$5)),AY13*(1+$E13),AZ$5))&gt;$C$20,$C$20,IF(AND(ISNA(AZ$5),ISNA(AY$5)),AY13*(1+$E13),IF(AND(AY$5&gt;0,ISNA(AZ$5)),AY13*(1+$E13),AZ$5)))</f>
        <v>11627383.46677985</v>
      </c>
      <c r="BA13" s="21">
        <f>IF(IF(AND(ISNA(BA$5),ISNA(AZ$5)),AZ13*(1+$E13),IF(AND(AZ$5&gt;0,ISNA(BA$5)),AZ13*(1+$E13),BA$5))&gt;$C$20,$C$20,IF(AND(ISNA(BA$5),ISNA(AZ$5)),AZ13*(1+$E13),IF(AND(AZ$5&gt;0,ISNA(BA$5)),AZ13*(1+$E13),BA$5)))</f>
        <v>15115598.506813806</v>
      </c>
      <c r="BB13" s="21">
        <f>IF(IF(AND(ISNA(BB$5),ISNA(BA$5)),BA13*(1+$E13),IF(AND(BA$5&gt;0,ISNA(BB$5)),BA13*(1+$E13),BB$5))&gt;$C$20,$C$20,IF(AND(ISNA(BB$5),ISNA(BA$5)),BA13*(1+$E13),IF(AND(BA$5&gt;0,ISNA(BB$5)),BA13*(1+$E13),BB$5)))</f>
        <v>19650278.058857948</v>
      </c>
      <c r="BC13" s="21">
        <f>IF(IF(AND(ISNA(BC$5),ISNA(BB$5)),BB13*(1+$E13),IF(AND(BB$5&gt;0,ISNA(BC$5)),BB13*(1+$E13),BC$5))&gt;$C$20,$C$20,IF(AND(ISNA(BC$5),ISNA(BB$5)),BB13*(1+$E13),IF(AND(BB$5&gt;0,ISNA(BC$5)),BB13*(1+$E13),BC$5)))</f>
        <v>25545361.476515334</v>
      </c>
      <c r="BD13" s="21">
        <f>IF(IF(AND(ISNA(BD$5),ISNA(BC$5)),BC13*(1+$E13),IF(AND(BC$5&gt;0,ISNA(BD$5)),BC13*(1+$E13),BD$5))&gt;$C$20,$C$20,IF(AND(ISNA(BD$5),ISNA(BC$5)),BC13*(1+$E13),IF(AND(BC$5&gt;0,ISNA(BD$5)),BC13*(1+$E13),BD$5)))</f>
        <v>27154404.400000002</v>
      </c>
      <c r="BE13" s="21">
        <f>IF(IF(AND(ISNA(BE$5),ISNA(BD$5)),BD13*(1+$E13),IF(AND(BD$5&gt;0,ISNA(BE$5)),BD13*(1+$E13),BE$5))&gt;$C$20,$C$20,IF(AND(ISNA(BE$5),ISNA(BD$5)),BD13*(1+$E13),IF(AND(BD$5&gt;0,ISNA(BE$5)),BD13*(1+$E13),BE$5)))</f>
        <v>27154404.400000002</v>
      </c>
      <c r="BF13" s="21">
        <f>IF(IF(AND(ISNA(BF$5),ISNA(BE$5)),BE13*(1+$E13),IF(AND(BE$5&gt;0,ISNA(BF$5)),BE13*(1+$E13),BF$5))&gt;$C$20,$C$20,IF(AND(ISNA(BF$5),ISNA(BE$5)),BE13*(1+$E13),IF(AND(BE$5&gt;0,ISNA(BF$5)),BE13*(1+$E13),BF$5)))</f>
        <v>27154404.400000002</v>
      </c>
      <c r="BG13" s="21">
        <f>IF(IF(AND(ISNA(BG$5),ISNA(BF$5)),BF13*(1+$E13),IF(AND(BF$5&gt;0,ISNA(BG$5)),BF13*(1+$E13),BG$5))&gt;$C$20,$C$20,IF(AND(ISNA(BG$5),ISNA(BF$5)),BF13*(1+$E13),IF(AND(BF$5&gt;0,ISNA(BG$5)),BF13*(1+$E13),BG$5)))</f>
        <v>27154404.400000002</v>
      </c>
      <c r="BH13" s="21">
        <f>IF(IF(AND(ISNA(BH$5),ISNA(BG$5)),BG13*(1+$E13),IF(AND(BG$5&gt;0,ISNA(BH$5)),BG13*(1+$E13),BH$5))&gt;$C$20,$C$20,IF(AND(ISNA(BH$5),ISNA(BG$5)),BG13*(1+$E13),IF(AND(BG$5&gt;0,ISNA(BH$5)),BG13*(1+$E13),BH$5)))</f>
        <v>27154404.400000002</v>
      </c>
      <c r="BI13" s="21">
        <f>IF(IF(AND(ISNA(BI$5),ISNA(BH$5)),BH13*(1+$E13),IF(AND(BH$5&gt;0,ISNA(BI$5)),BH13*(1+$E13),BI$5))&gt;$C$20,$C$20,IF(AND(ISNA(BI$5),ISNA(BH$5)),BH13*(1+$E13),IF(AND(BH$5&gt;0,ISNA(BI$5)),BH13*(1+$E13),BI$5)))</f>
        <v>27154404.400000002</v>
      </c>
      <c r="BJ13" s="21">
        <f>IF(IF(AND(ISNA(BJ$5),ISNA(BI$5)),BI13*(1+$E13),IF(AND(BI$5&gt;0,ISNA(BJ$5)),BI13*(1+$E13),BJ$5))&gt;$C$20,$C$20,IF(AND(ISNA(BJ$5),ISNA(BI$5)),BI13*(1+$E13),IF(AND(BI$5&gt;0,ISNA(BJ$5)),BI13*(1+$E13),BJ$5)))</f>
        <v>27154404.400000002</v>
      </c>
      <c r="BK13" s="21">
        <f>IF(IF(AND(ISNA(BK$5),ISNA(BJ$5)),BJ13*(1+$E13),IF(AND(BJ$5&gt;0,ISNA(BK$5)),BJ13*(1+$E13),BK$5))&gt;$C$20,$C$20,IF(AND(ISNA(BK$5),ISNA(BJ$5)),BJ13*(1+$E13),IF(AND(BJ$5&gt;0,ISNA(BK$5)),BJ13*(1+$E13),BK$5)))</f>
        <v>27154404.400000002</v>
      </c>
      <c r="BL13" s="21">
        <f>IF(IF(AND(ISNA(BL$5),ISNA(BK$5)),BK13*(1+$E13),IF(AND(BK$5&gt;0,ISNA(BL$5)),BK13*(1+$E13),BL$5))&gt;$C$20,$C$20,IF(AND(ISNA(BL$5),ISNA(BK$5)),BK13*(1+$E13),IF(AND(BK$5&gt;0,ISNA(BL$5)),BK13*(1+$E13),BL$5)))</f>
        <v>27154404.400000002</v>
      </c>
      <c r="BM13" s="21">
        <f>IF(IF(AND(ISNA(BM$5),ISNA(BL$5)),BL13*(1+$E13),IF(AND(BL$5&gt;0,ISNA(BM$5)),BL13*(1+$E13),BM$5))&gt;$C$20,$C$20,IF(AND(ISNA(BM$5),ISNA(BL$5)),BL13*(1+$E13),IF(AND(BL$5&gt;0,ISNA(BM$5)),BL13*(1+$E13),BM$5)))</f>
        <v>27154404.400000002</v>
      </c>
      <c r="BN13" s="21">
        <f>IF(IF(AND(ISNA(BN$5),ISNA(BM$5)),BM13*(1+$E13),IF(AND(BM$5&gt;0,ISNA(BN$5)),BM13*(1+$E13),BN$5))&gt;$C$20,$C$20,IF(AND(ISNA(BN$5),ISNA(BM$5)),BM13*(1+$E13),IF(AND(BM$5&gt;0,ISNA(BN$5)),BM13*(1+$E13),BN$5)))</f>
        <v>27154404.400000002</v>
      </c>
      <c r="BO13" s="21">
        <f>IF(IF(AND(ISNA(BO$5),ISNA(BN$5)),BN13*(1+$E13),IF(AND(BN$5&gt;0,ISNA(BO$5)),BN13*(1+$E13),BO$5))&gt;$C$20,$C$20,IF(AND(ISNA(BO$5),ISNA(BN$5)),BN13*(1+$E13),IF(AND(BN$5&gt;0,ISNA(BO$5)),BN13*(1+$E13),BO$5)))</f>
        <v>27154404.400000002</v>
      </c>
      <c r="BP13" s="21">
        <f>IF(IF(AND(ISNA(BP$5),ISNA(BO$5)),BO13*(1+$E13),IF(AND(BO$5&gt;0,ISNA(BP$5)),BO13*(1+$E13),BP$5))&gt;$C$20,$C$20,IF(AND(ISNA(BP$5),ISNA(BO$5)),BO13*(1+$E13),IF(AND(BO$5&gt;0,ISNA(BP$5)),BO13*(1+$E13),BP$5)))</f>
        <v>27154404.400000002</v>
      </c>
      <c r="BQ13" s="21">
        <f>IF(IF(AND(ISNA(BQ$5),ISNA(BP$5)),BP13*(1+$E13),IF(AND(BP$5&gt;0,ISNA(BQ$5)),BP13*(1+$E13),BQ$5))&gt;$C$20,$C$20,IF(AND(ISNA(BQ$5),ISNA(BP$5)),BP13*(1+$E13),IF(AND(BP$5&gt;0,ISNA(BQ$5)),BP13*(1+$E13),BQ$5)))</f>
        <v>27154404.400000002</v>
      </c>
      <c r="BR13" s="21">
        <f>IF(IF(AND(ISNA(BR$5),ISNA(BQ$5)),BQ13*(1+$E13),IF(AND(BQ$5&gt;0,ISNA(BR$5)),BQ13*(1+$E13),BR$5))&gt;$C$20,$C$20,IF(AND(ISNA(BR$5),ISNA(BQ$5)),BQ13*(1+$E13),IF(AND(BQ$5&gt;0,ISNA(BR$5)),BQ13*(1+$E13),BR$5)))</f>
        <v>27154404.400000002</v>
      </c>
      <c r="BS13" s="21">
        <f>IF(IF(AND(ISNA(BS$5),ISNA(BR$5)),BR13*(1+$E13),IF(AND(BR$5&gt;0,ISNA(BS$5)),BR13*(1+$E13),BS$5))&gt;$C$20,$C$20,IF(AND(ISNA(BS$5),ISNA(BR$5)),BR13*(1+$E13),IF(AND(BR$5&gt;0,ISNA(BS$5)),BR13*(1+$E13),BS$5)))</f>
        <v>27154404.400000002</v>
      </c>
      <c r="BT13" s="21">
        <f>IF(IF(AND(ISNA(BT$5),ISNA(BS$5)),BS13*(1+$E13),IF(AND(BS$5&gt;0,ISNA(BT$5)),BS13*(1+$E13),BT$5))&gt;$C$20,$C$20,IF(AND(ISNA(BT$5),ISNA(BS$5)),BS13*(1+$E13),IF(AND(BS$5&gt;0,ISNA(BT$5)),BS13*(1+$E13),BT$5)))</f>
        <v>27154404.400000002</v>
      </c>
      <c r="BU13" s="21">
        <f>IF(IF(AND(ISNA(BU$5),ISNA(BT$5)),BT13*(1+$E13),IF(AND(BT$5&gt;0,ISNA(BU$5)),BT13*(1+$E13),BU$5))&gt;$C$20,$C$20,IF(AND(ISNA(BU$5),ISNA(BT$5)),BT13*(1+$E13),IF(AND(BT$5&gt;0,ISNA(BU$5)),BT13*(1+$E13),BU$5)))</f>
        <v>27154404.400000002</v>
      </c>
      <c r="BV13" s="21">
        <f>IF(IF(AND(ISNA(BV$5),ISNA(BU$5)),BU13*(1+$E13),IF(AND(BU$5&gt;0,ISNA(BV$5)),BU13*(1+$E13),BV$5))&gt;$C$20,$C$20,IF(AND(ISNA(BV$5),ISNA(BU$5)),BU13*(1+$E13),IF(AND(BU$5&gt;0,ISNA(BV$5)),BU13*(1+$E13),BV$5)))</f>
        <v>27154404.400000002</v>
      </c>
      <c r="BW13" s="21">
        <f>IF(IF(AND(ISNA(BW$5),ISNA(BV$5)),BV13*(1+$E13),IF(AND(BV$5&gt;0,ISNA(BW$5)),BV13*(1+$E13),BW$5))&gt;$C$20,$C$20,IF(AND(ISNA(BW$5),ISNA(BV$5)),BV13*(1+$E13),IF(AND(BV$5&gt;0,ISNA(BW$5)),BV13*(1+$E13),BW$5)))</f>
        <v>27154404.400000002</v>
      </c>
      <c r="BX13" s="21">
        <f>IF(IF(AND(ISNA(BX$5),ISNA(BW$5)),BW13*(1+$E13),IF(AND(BW$5&gt;0,ISNA(BX$5)),BW13*(1+$E13),BX$5))&gt;$C$20,$C$20,IF(AND(ISNA(BX$5),ISNA(BW$5)),BW13*(1+$E13),IF(AND(BW$5&gt;0,ISNA(BX$5)),BW13*(1+$E13),BX$5)))</f>
        <v>27154404.400000002</v>
      </c>
      <c r="BY13" s="21">
        <f>IF(IF(AND(ISNA(BY$5),ISNA(BX$5)),BX13*(1+$E13),IF(AND(BX$5&gt;0,ISNA(BY$5)),BX13*(1+$E13),BY$5))&gt;$C$20,$C$20,IF(AND(ISNA(BY$5),ISNA(BX$5)),BX13*(1+$E13),IF(AND(BX$5&gt;0,ISNA(BY$5)),BX13*(1+$E13),BY$5)))</f>
        <v>27154404.400000002</v>
      </c>
      <c r="BZ13" s="21">
        <f>IF(IF(AND(ISNA(BZ$5),ISNA(BY$5)),BY13*(1+$E13),IF(AND(BY$5&gt;0,ISNA(BZ$5)),BY13*(1+$E13),BZ$5))&gt;$C$20,$C$20,IF(AND(ISNA(BZ$5),ISNA(BY$5)),BY13*(1+$E13),IF(AND(BY$5&gt;0,ISNA(BZ$5)),BY13*(1+$E13),BZ$5)))</f>
        <v>27154404.400000002</v>
      </c>
      <c r="CA13" s="21">
        <f>IF(IF(AND(ISNA(CA$5),ISNA(BZ$5)),BZ13*(1+$E13),IF(AND(BZ$5&gt;0,ISNA(CA$5)),BZ13*(1+$E13),CA$5))&gt;$C$20,$C$20,IF(AND(ISNA(CA$5),ISNA(BZ$5)),BZ13*(1+$E13),IF(AND(BZ$5&gt;0,ISNA(CA$5)),BZ13*(1+$E13),CA$5)))</f>
        <v>27154404.400000002</v>
      </c>
      <c r="CB13" s="21">
        <f>IF(IF(AND(ISNA(CB$5),ISNA(CA$5)),CA13*(1+$E13),IF(AND(CA$5&gt;0,ISNA(CB$5)),CA13*(1+$E13),CB$5))&gt;$C$20,$C$20,IF(AND(ISNA(CB$5),ISNA(CA$5)),CA13*(1+$E13),IF(AND(CA$5&gt;0,ISNA(CB$5)),CA13*(1+$E13),CB$5)))</f>
        <v>27154404.400000002</v>
      </c>
      <c r="CC13" s="21">
        <f>IF(IF(AND(ISNA(CC$5),ISNA(CB$5)),CB13*(1+$E13),IF(AND(CB$5&gt;0,ISNA(CC$5)),CB13*(1+$E13),CC$5))&gt;$C$20,$C$20,IF(AND(ISNA(CC$5),ISNA(CB$5)),CB13*(1+$E13),IF(AND(CB$5&gt;0,ISNA(CC$5)),CB13*(1+$E13),CC$5)))</f>
        <v>27154404.400000002</v>
      </c>
      <c r="CD13" s="21">
        <f>IF(IF(AND(ISNA(CD$5),ISNA(CC$5)),CC13*(1+$E13),IF(AND(CC$5&gt;0,ISNA(CD$5)),CC13*(1+$E13),CD$5))&gt;$C$20,$C$20,IF(AND(ISNA(CD$5),ISNA(CC$5)),CC13*(1+$E13),IF(AND(CC$5&gt;0,ISNA(CD$5)),CC13*(1+$E13),CD$5)))</f>
        <v>27154404.400000002</v>
      </c>
      <c r="CE13" s="21">
        <f>IF(IF(AND(ISNA(CE$5),ISNA(CD$5)),CD13*(1+$E13),IF(AND(CD$5&gt;0,ISNA(CE$5)),CD13*(1+$E13),CE$5))&gt;$C$20,$C$20,IF(AND(ISNA(CE$5),ISNA(CD$5)),CD13*(1+$E13),IF(AND(CD$5&gt;0,ISNA(CE$5)),CD13*(1+$E13),CE$5)))</f>
        <v>27154404.400000002</v>
      </c>
      <c r="CF13" s="21">
        <f>IF(IF(AND(ISNA(CF$5),ISNA(CE$5)),CE13*(1+$E13),IF(AND(CE$5&gt;0,ISNA(CF$5)),CE13*(1+$E13),CF$5))&gt;$C$20,$C$20,IF(AND(ISNA(CF$5),ISNA(CE$5)),CE13*(1+$E13),IF(AND(CE$5&gt;0,ISNA(CF$5)),CE13*(1+$E13),CF$5)))</f>
        <v>27154404.400000002</v>
      </c>
      <c r="CG13" s="21">
        <f>IF(IF(AND(ISNA(CG$5),ISNA(CF$5)),CF13*(1+$E13),IF(AND(CF$5&gt;0,ISNA(CG$5)),CF13*(1+$E13),CG$5))&gt;$C$20,$C$20,IF(AND(ISNA(CG$5),ISNA(CF$5)),CF13*(1+$E13),IF(AND(CF$5&gt;0,ISNA(CG$5)),CF13*(1+$E13),CG$5)))</f>
        <v>27154404.400000002</v>
      </c>
      <c r="CH13" s="21">
        <f>IF(IF(AND(ISNA(CH$5),ISNA(CG$5)),CG13*(1+$E13),IF(AND(CG$5&gt;0,ISNA(CH$5)),CG13*(1+$E13),CH$5))&gt;$C$20,$C$20,IF(AND(ISNA(CH$5),ISNA(CG$5)),CG13*(1+$E13),IF(AND(CG$5&gt;0,ISNA(CH$5)),CG13*(1+$E13),CH$5)))</f>
        <v>27154404.400000002</v>
      </c>
      <c r="CI13" s="21">
        <f>IF(IF(AND(ISNA(CI$5),ISNA(CH$5)),CH13*(1+$E13),IF(AND(CH$5&gt;0,ISNA(CI$5)),CH13*(1+$E13),CI$5))&gt;$C$20,$C$20,IF(AND(ISNA(CI$5),ISNA(CH$5)),CH13*(1+$E13),IF(AND(CH$5&gt;0,ISNA(CI$5)),CH13*(1+$E13),CI$5)))</f>
        <v>27154404.400000002</v>
      </c>
      <c r="CJ13" s="21">
        <f>IF(IF(AND(ISNA(CJ$5),ISNA(CI$5)),CI13*(1+$E13),IF(AND(CI$5&gt;0,ISNA(CJ$5)),CI13*(1+$E13),CJ$5))&gt;$C$20,$C$20,IF(AND(ISNA(CJ$5),ISNA(CI$5)),CI13*(1+$E13),IF(AND(CI$5&gt;0,ISNA(CJ$5)),CI13*(1+$E13),CJ$5)))</f>
        <v>27154404.400000002</v>
      </c>
      <c r="CK13" s="21">
        <f>IF(IF(AND(ISNA(CK$5),ISNA(CJ$5)),CJ13*(1+$E13),IF(AND(CJ$5&gt;0,ISNA(CK$5)),CJ13*(1+$E13),CK$5))&gt;$C$20,$C$20,IF(AND(ISNA(CK$5),ISNA(CJ$5)),CJ13*(1+$E13),IF(AND(CJ$5&gt;0,ISNA(CK$5)),CJ13*(1+$E13),CK$5)))</f>
        <v>27154404.400000002</v>
      </c>
      <c r="CL13" s="21">
        <f>IF(IF(AND(ISNA(CL$5),ISNA(CK$5)),CK13*(1+$E13),IF(AND(CK$5&gt;0,ISNA(CL$5)),CK13*(1+$E13),CL$5))&gt;$C$20,$C$20,IF(AND(ISNA(CL$5),ISNA(CK$5)),CK13*(1+$E13),IF(AND(CK$5&gt;0,ISNA(CL$5)),CK13*(1+$E13),CL$5)))</f>
        <v>27154404.400000002</v>
      </c>
      <c r="CM13" s="21">
        <f>IF(IF(AND(ISNA(CM$5),ISNA(CL$5)),CL13*(1+$E13),IF(AND(CL$5&gt;0,ISNA(CM$5)),CL13*(1+$E13),CM$5))&gt;$C$20,$C$20,IF(AND(ISNA(CM$5),ISNA(CL$5)),CL13*(1+$E13),IF(AND(CL$5&gt;0,ISNA(CM$5)),CL13*(1+$E13),CM$5)))</f>
        <v>27154404.400000002</v>
      </c>
      <c r="CN13" s="21">
        <f>IF(IF(AND(ISNA(CN$5),ISNA(CM$5)),CM13*(1+$E13),IF(AND(CM$5&gt;0,ISNA(CN$5)),CM13*(1+$E13),CN$5))&gt;$C$20,$C$20,IF(AND(ISNA(CN$5),ISNA(CM$5)),CM13*(1+$E13),IF(AND(CM$5&gt;0,ISNA(CN$5)),CM13*(1+$E13),CN$5)))</f>
        <v>27154404.400000002</v>
      </c>
      <c r="CO13" s="21">
        <f>IF(IF(AND(ISNA(CO$5),ISNA(CN$5)),CN13*(1+$E13),IF(AND(CN$5&gt;0,ISNA(CO$5)),CN13*(1+$E13),CO$5))&gt;$C$20,$C$20,IF(AND(ISNA(CO$5),ISNA(CN$5)),CN13*(1+$E13),IF(AND(CN$5&gt;0,ISNA(CO$5)),CN13*(1+$E13),CO$5)))</f>
        <v>27154404.400000002</v>
      </c>
      <c r="CP13" s="21">
        <f>IF(IF(AND(ISNA(CP$5),ISNA(CO$5)),CO13*(1+$E13),IF(AND(CO$5&gt;0,ISNA(CP$5)),CO13*(1+$E13),CP$5))&gt;$C$20,$C$20,IF(AND(ISNA(CP$5),ISNA(CO$5)),CO13*(1+$E13),IF(AND(CO$5&gt;0,ISNA(CP$5)),CO13*(1+$E13),CP$5)))</f>
        <v>27154404.400000002</v>
      </c>
      <c r="CQ13" s="21">
        <f>IF(IF(AND(ISNA(CQ$5),ISNA(CP$5)),CP13*(1+$E13),IF(AND(CP$5&gt;0,ISNA(CQ$5)),CP13*(1+$E13),CQ$5))&gt;$C$20,$C$20,IF(AND(ISNA(CQ$5),ISNA(CP$5)),CP13*(1+$E13),IF(AND(CP$5&gt;0,ISNA(CQ$5)),CP13*(1+$E13),CQ$5)))</f>
        <v>27154404.400000002</v>
      </c>
      <c r="CR13" s="21">
        <f>IF(IF(AND(ISNA(CR$5),ISNA(CQ$5)),CQ13*(1+$E13),IF(AND(CQ$5&gt;0,ISNA(CR$5)),CQ13*(1+$E13),CR$5))&gt;$C$20,$C$20,IF(AND(ISNA(CR$5),ISNA(CQ$5)),CQ13*(1+$E13),IF(AND(CQ$5&gt;0,ISNA(CR$5)),CQ13*(1+$E13),CR$5)))</f>
        <v>27154404.400000002</v>
      </c>
      <c r="CS13" s="21">
        <f>IF(IF(AND(ISNA(CS$5),ISNA(CR$5)),CR13*(1+$E13),IF(AND(CR$5&gt;0,ISNA(CS$5)),CR13*(1+$E13),CS$5))&gt;$C$20,$C$20,IF(AND(ISNA(CS$5),ISNA(CR$5)),CR13*(1+$E13),IF(AND(CR$5&gt;0,ISNA(CS$5)),CR13*(1+$E13),CS$5)))</f>
        <v>27154404.400000002</v>
      </c>
      <c r="CT13" s="21">
        <f>IF(IF(AND(ISNA(CT$5),ISNA(CS$5)),CS13*(1+$E13),IF(AND(CS$5&gt;0,ISNA(CT$5)),CS13*(1+$E13),CT$5))&gt;$C$20,$C$20,IF(AND(ISNA(CT$5),ISNA(CS$5)),CS13*(1+$E13),IF(AND(CS$5&gt;0,ISNA(CT$5)),CS13*(1+$E13),CT$5)))</f>
        <v>27154404.400000002</v>
      </c>
      <c r="CU13" s="21">
        <f>IF(IF(AND(ISNA(CU$5),ISNA(CT$5)),CT13*(1+$E13),IF(AND(CT$5&gt;0,ISNA(CU$5)),CT13*(1+$E13),CU$5))&gt;$C$20,$C$20,IF(AND(ISNA(CU$5),ISNA(CT$5)),CT13*(1+$E13),IF(AND(CT$5&gt;0,ISNA(CU$5)),CT13*(1+$E13),CU$5)))</f>
        <v>27154404.400000002</v>
      </c>
      <c r="CV13" s="21">
        <f>IF(IF(AND(ISNA(CV$5),ISNA(CU$5)),CU13*(1+$E13),IF(AND(CU$5&gt;0,ISNA(CV$5)),CU13*(1+$E13),CV$5))&gt;$C$20,$C$20,IF(AND(ISNA(CV$5),ISNA(CU$5)),CU13*(1+$E13),IF(AND(CU$5&gt;0,ISNA(CV$5)),CU13*(1+$E13),CV$5)))</f>
        <v>27154404.400000002</v>
      </c>
      <c r="CW13" s="21">
        <f>IF(IF(AND(ISNA(CW$5),ISNA(CV$5)),CV13*(1+$E13),IF(AND(CV$5&gt;0,ISNA(CW$5)),CV13*(1+$E13),CW$5))&gt;$C$20,$C$20,IF(AND(ISNA(CW$5),ISNA(CV$5)),CV13*(1+$E13),IF(AND(CV$5&gt;0,ISNA(CW$5)),CV13*(1+$E13),CW$5)))</f>
        <v>27154404.400000002</v>
      </c>
      <c r="CX13" s="21">
        <f>IF(IF(AND(ISNA(CX$5),ISNA(CW$5)),CW13*(1+$E13),IF(AND(CW$5&gt;0,ISNA(CX$5)),CW13*(1+$E13),CX$5))&gt;$C$20,$C$20,IF(AND(ISNA(CX$5),ISNA(CW$5)),CW13*(1+$E13),IF(AND(CW$5&gt;0,ISNA(CX$5)),CW13*(1+$E13),CX$5)))</f>
        <v>27154404.400000002</v>
      </c>
      <c r="CY13" s="21">
        <f>IF(IF(AND(ISNA(CY$5),ISNA(CX$5)),CX13*(1+$E13),IF(AND(CX$5&gt;0,ISNA(CY$5)),CX13*(1+$E13),CY$5))&gt;$C$20,$C$20,IF(AND(ISNA(CY$5),ISNA(CX$5)),CX13*(1+$E13),IF(AND(CX$5&gt;0,ISNA(CY$5)),CX13*(1+$E13),CY$5)))</f>
        <v>27154404.400000002</v>
      </c>
      <c r="CZ13" s="21">
        <f>IF(IF(AND(ISNA(CZ$5),ISNA(CY$5)),CY13*(1+$E13),IF(AND(CY$5&gt;0,ISNA(CZ$5)),CY13*(1+$E13),CZ$5))&gt;$C$20,$C$20,IF(AND(ISNA(CZ$5),ISNA(CY$5)),CY13*(1+$E13),IF(AND(CY$5&gt;0,ISNA(CZ$5)),CY13*(1+$E13),CZ$5)))</f>
        <v>27154404.400000002</v>
      </c>
      <c r="DA13" s="21">
        <f>IF(IF(AND(ISNA(DA$5),ISNA(CZ$5)),CZ13*(1+$E13),IF(AND(CZ$5&gt;0,ISNA(DA$5)),CZ13*(1+$E13),DA$5))&gt;$C$20,$C$20,IF(AND(ISNA(DA$5),ISNA(CZ$5)),CZ13*(1+$E13),IF(AND(CZ$5&gt;0,ISNA(DA$5)),CZ13*(1+$E13),DA$5)))</f>
        <v>27154404.400000002</v>
      </c>
      <c r="DB13" s="21">
        <f>IF(IF(AND(ISNA(DB$5),ISNA(DA$5)),DA13*(1+$E13),IF(AND(DA$5&gt;0,ISNA(DB$5)),DA13*(1+$E13),DB$5))&gt;$C$20,$C$20,IF(AND(ISNA(DB$5),ISNA(DA$5)),DA13*(1+$E13),IF(AND(DA$5&gt;0,ISNA(DB$5)),DA13*(1+$E13),DB$5)))</f>
        <v>27154404.400000002</v>
      </c>
      <c r="DC13" s="21">
        <f>IF(IF(AND(ISNA(DC$5),ISNA(DB$5)),DB13*(1+$E13),IF(AND(DB$5&gt;0,ISNA(DC$5)),DB13*(1+$E13),DC$5))&gt;$C$20,$C$20,IF(AND(ISNA(DC$5),ISNA(DB$5)),DB13*(1+$E13),IF(AND(DB$5&gt;0,ISNA(DC$5)),DB13*(1+$E13),DC$5)))</f>
        <v>27154404.400000002</v>
      </c>
      <c r="DD13" s="21">
        <f>IF(IF(AND(ISNA(DD$5),ISNA(DC$5)),DC13*(1+$E13),IF(AND(DC$5&gt;0,ISNA(DD$5)),DC13*(1+$E13),DD$5))&gt;$C$20,$C$20,IF(AND(ISNA(DD$5),ISNA(DC$5)),DC13*(1+$E13),IF(AND(DC$5&gt;0,ISNA(DD$5)),DC13*(1+$E13),DD$5)))</f>
        <v>27154404.400000002</v>
      </c>
      <c r="DE13" s="21">
        <f>IF(IF(AND(ISNA(DE$5),ISNA(DD$5)),DD13*(1+$E13),IF(AND(DD$5&gt;0,ISNA(DE$5)),DD13*(1+$E13),DE$5))&gt;$C$20,$C$20,IF(AND(ISNA(DE$5),ISNA(DD$5)),DD13*(1+$E13),IF(AND(DD$5&gt;0,ISNA(DE$5)),DD13*(1+$E13),DE$5)))</f>
        <v>27154404.400000002</v>
      </c>
      <c r="DF13" s="21">
        <f>IF(IF(AND(ISNA(DF$5),ISNA(DE$5)),DE13*(1+$E13),IF(AND(DE$5&gt;0,ISNA(DF$5)),DE13*(1+$E13),DF$5))&gt;$C$20,$C$20,IF(AND(ISNA(DF$5),ISNA(DE$5)),DE13*(1+$E13),IF(AND(DE$5&gt;0,ISNA(DF$5)),DE13*(1+$E13),DF$5)))</f>
        <v>27154404.400000002</v>
      </c>
      <c r="DG13" s="21">
        <f>IF(IF(AND(ISNA(DG$5),ISNA(DF$5)),DF13*(1+$E13),IF(AND(DF$5&gt;0,ISNA(DG$5)),DF13*(1+$E13),DG$5))&gt;$C$20,$C$20,IF(AND(ISNA(DG$5),ISNA(DF$5)),DF13*(1+$E13),IF(AND(DF$5&gt;0,ISNA(DG$5)),DF13*(1+$E13),DG$5)))</f>
        <v>27154404.400000002</v>
      </c>
      <c r="DH13" s="21">
        <f>IF(IF(AND(ISNA(DH$5),ISNA(DG$5)),DG13*(1+$E13),IF(AND(DG$5&gt;0,ISNA(DH$5)),DG13*(1+$E13),DH$5))&gt;$C$20,$C$20,IF(AND(ISNA(DH$5),ISNA(DG$5)),DG13*(1+$E13),IF(AND(DG$5&gt;0,ISNA(DH$5)),DG13*(1+$E13),DH$5)))</f>
        <v>27154404.400000002</v>
      </c>
      <c r="DI13" s="21">
        <f>IF(IF(AND(ISNA(DI$5),ISNA(DH$5)),DH13*(1+$E13),IF(AND(DH$5&gt;0,ISNA(DI$5)),DH13*(1+$E13),DI$5))&gt;$C$20,$C$20,IF(AND(ISNA(DI$5),ISNA(DH$5)),DH13*(1+$E13),IF(AND(DH$5&gt;0,ISNA(DI$5)),DH13*(1+$E13),DI$5)))</f>
        <v>27154404.400000002</v>
      </c>
      <c r="DJ13" s="21">
        <f>IF(IF(AND(ISNA(DJ$5),ISNA(DI$5)),DI13*(1+$E13),IF(AND(DI$5&gt;0,ISNA(DJ$5)),DI13*(1+$E13),DJ$5))&gt;$C$20,$C$20,IF(AND(ISNA(DJ$5),ISNA(DI$5)),DI13*(1+$E13),IF(AND(DI$5&gt;0,ISNA(DJ$5)),DI13*(1+$E13),DJ$5)))</f>
        <v>27154404.400000002</v>
      </c>
      <c r="DK13" s="21">
        <f>IF(IF(AND(ISNA(DK$5),ISNA(DJ$5)),DJ13*(1+$E13),IF(AND(DJ$5&gt;0,ISNA(DK$5)),DJ13*(1+$E13),DK$5))&gt;$C$20,$C$20,IF(AND(ISNA(DK$5),ISNA(DJ$5)),DJ13*(1+$E13),IF(AND(DJ$5&gt;0,ISNA(DK$5)),DJ13*(1+$E13),DK$5)))</f>
        <v>27154404.400000002</v>
      </c>
      <c r="DL13" s="21">
        <f>IF(IF(AND(ISNA(DL$5),ISNA(DK$5)),DK13*(1+$E13),IF(AND(DK$5&gt;0,ISNA(DL$5)),DK13*(1+$E13),DL$5))&gt;$C$20,$C$20,IF(AND(ISNA(DL$5),ISNA(DK$5)),DK13*(1+$E13),IF(AND(DK$5&gt;0,ISNA(DL$5)),DK13*(1+$E13),DL$5)))</f>
        <v>27154404.400000002</v>
      </c>
      <c r="DM13" s="21">
        <f>IF(IF(AND(ISNA(DM$5),ISNA(DL$5)),DL13*(1+$E13),IF(AND(DL$5&gt;0,ISNA(DM$5)),DL13*(1+$E13),DM$5))&gt;$C$20,$C$20,IF(AND(ISNA(DM$5),ISNA(DL$5)),DL13*(1+$E13),IF(AND(DL$5&gt;0,ISNA(DM$5)),DL13*(1+$E13),DM$5)))</f>
        <v>27154404.400000002</v>
      </c>
      <c r="DN13" s="21">
        <f>IF(IF(AND(ISNA(DN$5),ISNA(DM$5)),DM13*(1+$E13),IF(AND(DM$5&gt;0,ISNA(DN$5)),DM13*(1+$E13),DN$5))&gt;$C$20,$C$20,IF(AND(ISNA(DN$5),ISNA(DM$5)),DM13*(1+$E13),IF(AND(DM$5&gt;0,ISNA(DN$5)),DM13*(1+$E13),DN$5)))</f>
        <v>27154404.400000002</v>
      </c>
      <c r="DO13" s="21">
        <f>IF(IF(AND(ISNA(DO$5),ISNA(DN$5)),DN13*(1+$E13),IF(AND(DN$5&gt;0,ISNA(DO$5)),DN13*(1+$E13),DO$5))&gt;$C$20,$C$20,IF(AND(ISNA(DO$5),ISNA(DN$5)),DN13*(1+$E13),IF(AND(DN$5&gt;0,ISNA(DO$5)),DN13*(1+$E13),DO$5)))</f>
        <v>27154404.400000002</v>
      </c>
      <c r="DP13" s="21">
        <f>IF(IF(AND(ISNA(DP$5),ISNA(DO$5)),DO13*(1+$E13),IF(AND(DO$5&gt;0,ISNA(DP$5)),DO13*(1+$E13),DP$5))&gt;$C$20,$C$20,IF(AND(ISNA(DP$5),ISNA(DO$5)),DO13*(1+$E13),IF(AND(DO$5&gt;0,ISNA(DP$5)),DO13*(1+$E13),DP$5)))</f>
        <v>27154404.400000002</v>
      </c>
      <c r="DQ13" s="21">
        <f>IF(IF(AND(ISNA(DQ$5),ISNA(DP$5)),DP13*(1+$E13),IF(AND(DP$5&gt;0,ISNA(DQ$5)),DP13*(1+$E13),DQ$5))&gt;$C$20,$C$20,IF(AND(ISNA(DQ$5),ISNA(DP$5)),DP13*(1+$E13),IF(AND(DP$5&gt;0,ISNA(DQ$5)),DP13*(1+$E13),DQ$5)))</f>
        <v>27154404.400000002</v>
      </c>
      <c r="DR13" s="21">
        <f>IF(IF(AND(ISNA(DR$5),ISNA(DQ$5)),DQ13*(1+$E13),IF(AND(DQ$5&gt;0,ISNA(DR$5)),DQ13*(1+$E13),DR$5))&gt;$C$20,$C$20,IF(AND(ISNA(DR$5),ISNA(DQ$5)),DQ13*(1+$E13),IF(AND(DQ$5&gt;0,ISNA(DR$5)),DQ13*(1+$E13),DR$5)))</f>
        <v>27154404.400000002</v>
      </c>
      <c r="DS13" s="21">
        <f>IF(IF(AND(ISNA(DS$5),ISNA(DR$5)),DR13*(1+$E13),IF(AND(DR$5&gt;0,ISNA(DS$5)),DR13*(1+$E13),DS$5))&gt;$C$20,$C$20,IF(AND(ISNA(DS$5),ISNA(DR$5)),DR13*(1+$E13),IF(AND(DR$5&gt;0,ISNA(DS$5)),DR13*(1+$E13),DS$5)))</f>
        <v>27154404.400000002</v>
      </c>
      <c r="DT13" s="21">
        <f>IF(IF(AND(ISNA(DT$5),ISNA(DS$5)),DS13*(1+$E13),IF(AND(DS$5&gt;0,ISNA(DT$5)),DS13*(1+$E13),DT$5))&gt;$C$20,$C$20,IF(AND(ISNA(DT$5),ISNA(DS$5)),DS13*(1+$E13),IF(AND(DS$5&gt;0,ISNA(DT$5)),DS13*(1+$E13),DT$5)))</f>
        <v>27154404.400000002</v>
      </c>
      <c r="DU13" s="21">
        <f>IF(IF(AND(ISNA(DU$5),ISNA(DT$5)),DT13*(1+$E13),IF(AND(DT$5&gt;0,ISNA(DU$5)),DT13*(1+$E13),DU$5))&gt;$C$20,$C$20,IF(AND(ISNA(DU$5),ISNA(DT$5)),DT13*(1+$E13),IF(AND(DT$5&gt;0,ISNA(DU$5)),DT13*(1+$E13),DU$5)))</f>
        <v>27154404.400000002</v>
      </c>
      <c r="DV13" s="21">
        <f>IF(IF(AND(ISNA(DV$5),ISNA(DU$5)),DU13*(1+$E13),IF(AND(DU$5&gt;0,ISNA(DV$5)),DU13*(1+$E13),DV$5))&gt;$C$20,$C$20,IF(AND(ISNA(DV$5),ISNA(DU$5)),DU13*(1+$E13),IF(AND(DU$5&gt;0,ISNA(DV$5)),DU13*(1+$E13),DV$5)))</f>
        <v>27154404.400000002</v>
      </c>
      <c r="DW13" s="21">
        <f>IF(IF(AND(ISNA(DW$5),ISNA(DV$5)),DV13*(1+$E13),IF(AND(DV$5&gt;0,ISNA(DW$5)),DV13*(1+$E13),DW$5))&gt;$C$20,$C$20,IF(AND(ISNA(DW$5),ISNA(DV$5)),DV13*(1+$E13),IF(AND(DV$5&gt;0,ISNA(DW$5)),DV13*(1+$E13),DW$5)))</f>
        <v>27154404.400000002</v>
      </c>
      <c r="DX13" s="21">
        <f>IF(IF(AND(ISNA(DX$5),ISNA(DW$5)),DW13*(1+$E13),IF(AND(DW$5&gt;0,ISNA(DX$5)),DW13*(1+$E13),DX$5))&gt;$C$20,$C$20,IF(AND(ISNA(DX$5),ISNA(DW$5)),DW13*(1+$E13),IF(AND(DW$5&gt;0,ISNA(DX$5)),DW13*(1+$E13),DX$5)))</f>
        <v>27154404.400000002</v>
      </c>
      <c r="DY13" s="21">
        <f>IF(IF(AND(ISNA(DY$5),ISNA(DX$5)),DX13*(1+$E13),IF(AND(DX$5&gt;0,ISNA(DY$5)),DX13*(1+$E13),DY$5))&gt;$C$20,$C$20,IF(AND(ISNA(DY$5),ISNA(DX$5)),DX13*(1+$E13),IF(AND(DX$5&gt;0,ISNA(DY$5)),DX13*(1+$E13),DY$5)))</f>
        <v>27154404.400000002</v>
      </c>
      <c r="DZ13" s="21">
        <f>IF(IF(AND(ISNA(DZ$5),ISNA(DY$5)),DY13*(1+$E13),IF(AND(DY$5&gt;0,ISNA(DZ$5)),DY13*(1+$E13),DZ$5))&gt;$C$20,$C$20,IF(AND(ISNA(DZ$5),ISNA(DY$5)),DY13*(1+$E13),IF(AND(DY$5&gt;0,ISNA(DZ$5)),DY13*(1+$E13),DZ$5)))</f>
        <v>27154404.400000002</v>
      </c>
      <c r="EA13" s="21">
        <f>IF(IF(AND(ISNA(EA$5),ISNA(DZ$5)),DZ13*(1+$E13),IF(AND(DZ$5&gt;0,ISNA(EA$5)),DZ13*(1+$E13),EA$5))&gt;$C$20,$C$20,IF(AND(ISNA(EA$5),ISNA(DZ$5)),DZ13*(1+$E13),IF(AND(DZ$5&gt;0,ISNA(EA$5)),DZ13*(1+$E13),EA$5)))</f>
        <v>27154404.400000002</v>
      </c>
      <c r="EB13" s="21">
        <f>IF(IF(AND(ISNA(EB$5),ISNA(EA$5)),EA13*(1+$E13),IF(AND(EA$5&gt;0,ISNA(EB$5)),EA13*(1+$E13),EB$5))&gt;$C$20,$C$20,IF(AND(ISNA(EB$5),ISNA(EA$5)),EA13*(1+$E13),IF(AND(EA$5&gt;0,ISNA(EB$5)),EA13*(1+$E13),EB$5)))</f>
        <v>27154404.400000002</v>
      </c>
      <c r="EC13" s="21">
        <f>IF(IF(AND(ISNA(EC$5),ISNA(EB$5)),EB13*(1+$E13),IF(AND(EB$5&gt;0,ISNA(EC$5)),EB13*(1+$E13),EC$5))&gt;$C$20,$C$20,IF(AND(ISNA(EC$5),ISNA(EB$5)),EB13*(1+$E13),IF(AND(EB$5&gt;0,ISNA(EC$5)),EB13*(1+$E13),EC$5)))</f>
        <v>27154404.400000002</v>
      </c>
      <c r="ED13" s="21">
        <f>IF(IF(AND(ISNA(ED$5),ISNA(EC$5)),EC13*(1+$E13),IF(AND(EC$5&gt;0,ISNA(ED$5)),EC13*(1+$E13),ED$5))&gt;$C$20,$C$20,IF(AND(ISNA(ED$5),ISNA(EC$5)),EC13*(1+$E13),IF(AND(EC$5&gt;0,ISNA(ED$5)),EC13*(1+$E13),ED$5)))</f>
        <v>27154404.400000002</v>
      </c>
      <c r="EE13" s="21">
        <f>IF(IF(AND(ISNA(EE$5),ISNA(ED$5)),ED13*(1+$E13),IF(AND(ED$5&gt;0,ISNA(EE$5)),ED13*(1+$E13),EE$5))&gt;$C$20,$C$20,IF(AND(ISNA(EE$5),ISNA(ED$5)),ED13*(1+$E13),IF(AND(ED$5&gt;0,ISNA(EE$5)),ED13*(1+$E13),EE$5)))</f>
        <v>27154404.400000002</v>
      </c>
      <c r="EF13" s="21">
        <f>IF(IF(AND(ISNA(EF$5),ISNA(EE$5)),EE13*(1+$E13),IF(AND(EE$5&gt;0,ISNA(EF$5)),EE13*(1+$E13),EF$5))&gt;$C$20,$C$20,IF(AND(ISNA(EF$5),ISNA(EE$5)),EE13*(1+$E13),IF(AND(EE$5&gt;0,ISNA(EF$5)),EE13*(1+$E13),EF$5)))</f>
        <v>27154404.400000002</v>
      </c>
      <c r="EG13" s="21">
        <f>IF(IF(AND(ISNA(EG$5),ISNA(EF$5)),EF13*(1+$E13),IF(AND(EF$5&gt;0,ISNA(EG$5)),EF13*(1+$E13),EG$5))&gt;$C$20,$C$20,IF(AND(ISNA(EG$5),ISNA(EF$5)),EF13*(1+$E13),IF(AND(EF$5&gt;0,ISNA(EG$5)),EF13*(1+$E13),EG$5)))</f>
        <v>27154404.400000002</v>
      </c>
      <c r="EH13" s="21">
        <f>IF(IF(AND(ISNA(EH$5),ISNA(EG$5)),EG13*(1+$E13),IF(AND(EG$5&gt;0,ISNA(EH$5)),EG13*(1+$E13),EH$5))&gt;$C$20,$C$20,IF(AND(ISNA(EH$5),ISNA(EG$5)),EG13*(1+$E13),IF(AND(EG$5&gt;0,ISNA(EH$5)),EG13*(1+$E13),EH$5)))</f>
        <v>27154404.400000002</v>
      </c>
      <c r="EI13" s="21">
        <f>IF(IF(AND(ISNA(EI$5),ISNA(EH$5)),EH13*(1+$E13),IF(AND(EH$5&gt;0,ISNA(EI$5)),EH13*(1+$E13),EI$5))&gt;$C$20,$C$20,IF(AND(ISNA(EI$5),ISNA(EH$5)),EH13*(1+$E13),IF(AND(EH$5&gt;0,ISNA(EI$5)),EH13*(1+$E13),EI$5)))</f>
        <v>27154404.400000002</v>
      </c>
      <c r="EJ13" s="21">
        <f>IF(IF(AND(ISNA(EJ$5),ISNA(EI$5)),EI13*(1+$E13),IF(AND(EI$5&gt;0,ISNA(EJ$5)),EI13*(1+$E13),EJ$5))&gt;$C$20,$C$20,IF(AND(ISNA(EJ$5),ISNA(EI$5)),EI13*(1+$E13),IF(AND(EI$5&gt;0,ISNA(EJ$5)),EI13*(1+$E13),EJ$5)))</f>
        <v>27154404.400000002</v>
      </c>
      <c r="EK13" s="21">
        <f>IF(IF(AND(ISNA(EK$5),ISNA(EJ$5)),EJ13*(1+$E13),IF(AND(EJ$5&gt;0,ISNA(EK$5)),EJ13*(1+$E13),EK$5))&gt;$C$20,$C$20,IF(AND(ISNA(EK$5),ISNA(EJ$5)),EJ13*(1+$E13),IF(AND(EJ$5&gt;0,ISNA(EK$5)),EJ13*(1+$E13),EK$5)))</f>
        <v>27154404.400000002</v>
      </c>
      <c r="EL13" s="21">
        <f>IF(IF(AND(ISNA(EL$5),ISNA(EK$5)),EK13*(1+$E13),IF(AND(EK$5&gt;0,ISNA(EL$5)),EK13*(1+$E13),EL$5))&gt;$C$20,$C$20,IF(AND(ISNA(EL$5),ISNA(EK$5)),EK13*(1+$E13),IF(AND(EK$5&gt;0,ISNA(EL$5)),EK13*(1+$E13),EL$5)))</f>
        <v>27154404.400000002</v>
      </c>
      <c r="EM13" s="21">
        <f>IF(IF(AND(ISNA(EM$5),ISNA(EL$5)),EL13*(1+$E13),IF(AND(EL$5&gt;0,ISNA(EM$5)),EL13*(1+$E13),EM$5))&gt;$C$20,$C$20,IF(AND(ISNA(EM$5),ISNA(EL$5)),EL13*(1+$E13),IF(AND(EL$5&gt;0,ISNA(EM$5)),EL13*(1+$E13),EM$5)))</f>
        <v>27154404.400000002</v>
      </c>
      <c r="EN13" s="21">
        <f>IF(IF(AND(ISNA(EN$5),ISNA(EM$5)),EM13*(1+$E13),IF(AND(EM$5&gt;0,ISNA(EN$5)),EM13*(1+$E13),EN$5))&gt;$C$20,$C$20,IF(AND(ISNA(EN$5),ISNA(EM$5)),EM13*(1+$E13),IF(AND(EM$5&gt;0,ISNA(EN$5)),EM13*(1+$E13),EN$5)))</f>
        <v>27154404.400000002</v>
      </c>
      <c r="EO13" s="21">
        <f>IF(IF(AND(ISNA(EO$5),ISNA(EN$5)),EN13*(1+$E13),IF(AND(EN$5&gt;0,ISNA(EO$5)),EN13*(1+$E13),EO$5))&gt;$C$20,$C$20,IF(AND(ISNA(EO$5),ISNA(EN$5)),EN13*(1+$E13),IF(AND(EN$5&gt;0,ISNA(EO$5)),EN13*(1+$E13),EO$5)))</f>
        <v>27154404.400000002</v>
      </c>
      <c r="EP13" s="21">
        <f>IF(IF(AND(ISNA(EP$5),ISNA(EO$5)),EO13*(1+$E13),IF(AND(EO$5&gt;0,ISNA(EP$5)),EO13*(1+$E13),EP$5))&gt;$C$20,$C$20,IF(AND(ISNA(EP$5),ISNA(EO$5)),EO13*(1+$E13),IF(AND(EO$5&gt;0,ISNA(EP$5)),EO13*(1+$E13),EP$5)))</f>
        <v>27154404.400000002</v>
      </c>
      <c r="EQ13" s="21">
        <f>IF(IF(AND(ISNA(EQ$5),ISNA(EP$5)),EP13*(1+$E13),IF(AND(EP$5&gt;0,ISNA(EQ$5)),EP13*(1+$E13),EQ$5))&gt;$C$20,$C$20,IF(AND(ISNA(EQ$5),ISNA(EP$5)),EP13*(1+$E13),IF(AND(EP$5&gt;0,ISNA(EQ$5)),EP13*(1+$E13),EQ$5)))</f>
        <v>27154404.400000002</v>
      </c>
      <c r="ER13" s="21">
        <f>IF(IF(AND(ISNA(ER$5),ISNA(EQ$5)),EQ13*(1+$E13),IF(AND(EQ$5&gt;0,ISNA(ER$5)),EQ13*(1+$E13),ER$5))&gt;$C$20,$C$20,IF(AND(ISNA(ER$5),ISNA(EQ$5)),EQ13*(1+$E13),IF(AND(EQ$5&gt;0,ISNA(ER$5)),EQ13*(1+$E13),ER$5)))</f>
        <v>27154404.400000002</v>
      </c>
      <c r="ES13" s="21">
        <f>IF(IF(AND(ISNA(ES$5),ISNA(ER$5)),ER13*(1+$E13),IF(AND(ER$5&gt;0,ISNA(ES$5)),ER13*(1+$E13),ES$5))&gt;$C$20,$C$20,IF(AND(ISNA(ES$5),ISNA(ER$5)),ER13*(1+$E13),IF(AND(ER$5&gt;0,ISNA(ES$5)),ER13*(1+$E13),ES$5)))</f>
        <v>27154404.400000002</v>
      </c>
      <c r="ET13" s="21">
        <f>IF(IF(AND(ISNA(ET$5),ISNA(ES$5)),ES13*(1+$E13),IF(AND(ES$5&gt;0,ISNA(ET$5)),ES13*(1+$E13),ET$5))&gt;$C$20,$C$20,IF(AND(ISNA(ET$5),ISNA(ES$5)),ES13*(1+$E13),IF(AND(ES$5&gt;0,ISNA(ET$5)),ES13*(1+$E13),ET$5)))</f>
        <v>27154404.400000002</v>
      </c>
      <c r="EU13" s="21">
        <f>IF(IF(AND(ISNA(EU$5),ISNA(ET$5)),ET13*(1+$E13),IF(AND(ET$5&gt;0,ISNA(EU$5)),ET13*(1+$E13),EU$5))&gt;$C$20,$C$20,IF(AND(ISNA(EU$5),ISNA(ET$5)),ET13*(1+$E13),IF(AND(ET$5&gt;0,ISNA(EU$5)),ET13*(1+$E13),EU$5)))</f>
        <v>27154404.400000002</v>
      </c>
      <c r="EV13" s="21">
        <f>IF(IF(AND(ISNA(EV$5),ISNA(EU$5)),EU13*(1+$E13),IF(AND(EU$5&gt;0,ISNA(EV$5)),EU13*(1+$E13),EV$5))&gt;$C$20,$C$20,IF(AND(ISNA(EV$5),ISNA(EU$5)),EU13*(1+$E13),IF(AND(EU$5&gt;0,ISNA(EV$5)),EU13*(1+$E13),EV$5)))</f>
        <v>27154404.400000002</v>
      </c>
      <c r="EW13" s="21">
        <f>IF(IF(AND(ISNA(EW$5),ISNA(EV$5)),EV13*(1+$E13),IF(AND(EV$5&gt;0,ISNA(EW$5)),EV13*(1+$E13),EW$5))&gt;$C$20,$C$20,IF(AND(ISNA(EW$5),ISNA(EV$5)),EV13*(1+$E13),IF(AND(EV$5&gt;0,ISNA(EW$5)),EV13*(1+$E13),EW$5)))</f>
        <v>27154404.400000002</v>
      </c>
      <c r="EX13" s="21">
        <f>IF(IF(AND(ISNA(EX$5),ISNA(EW$5)),EW13*(1+$E13),IF(AND(EW$5&gt;0,ISNA(EX$5)),EW13*(1+$E13),EX$5))&gt;$C$20,$C$20,IF(AND(ISNA(EX$5),ISNA(EW$5)),EW13*(1+$E13),IF(AND(EW$5&gt;0,ISNA(EX$5)),EW13*(1+$E13),EX$5)))</f>
        <v>27154404.400000002</v>
      </c>
      <c r="EY13" s="21">
        <f>IF(IF(AND(ISNA(EY$5),ISNA(EX$5)),EX13*(1+$E13),IF(AND(EX$5&gt;0,ISNA(EY$5)),EX13*(1+$E13),EY$5))&gt;$C$20,$C$20,IF(AND(ISNA(EY$5),ISNA(EX$5)),EX13*(1+$E13),IF(AND(EX$5&gt;0,ISNA(EY$5)),EX13*(1+$E13),EY$5)))</f>
        <v>27154404.400000002</v>
      </c>
      <c r="EZ13" s="21">
        <f>IF(IF(AND(ISNA(EZ$5),ISNA(EY$5)),EY13*(1+$E13),IF(AND(EY$5&gt;0,ISNA(EZ$5)),EY13*(1+$E13),EZ$5))&gt;$C$20,$C$20,IF(AND(ISNA(EZ$5),ISNA(EY$5)),EY13*(1+$E13),IF(AND(EY$5&gt;0,ISNA(EZ$5)),EY13*(1+$E13),EZ$5)))</f>
        <v>27154404.400000002</v>
      </c>
      <c r="FA13" s="21">
        <f>IF(IF(AND(ISNA(FA$5),ISNA(EZ$5)),EZ13*(1+$E13),IF(AND(EZ$5&gt;0,ISNA(FA$5)),EZ13*(1+$E13),FA$5))&gt;$C$20,$C$20,IF(AND(ISNA(FA$5),ISNA(EZ$5)),EZ13*(1+$E13),IF(AND(EZ$5&gt;0,ISNA(FA$5)),EZ13*(1+$E13),FA$5)))</f>
        <v>27154404.400000002</v>
      </c>
      <c r="FB13" s="21">
        <f>IF(IF(AND(ISNA(FB$5),ISNA(FA$5)),FA13*(1+$E13),IF(AND(FA$5&gt;0,ISNA(FB$5)),FA13*(1+$E13),FB$5))&gt;$C$20,$C$20,IF(AND(ISNA(FB$5),ISNA(FA$5)),FA13*(1+$E13),IF(AND(FA$5&gt;0,ISNA(FB$5)),FA13*(1+$E13),FB$5)))</f>
        <v>27154404.400000002</v>
      </c>
      <c r="FC13" s="21">
        <f>IF(IF(AND(ISNA(FC$5),ISNA(FB$5)),FB13*(1+$E13),IF(AND(FB$5&gt;0,ISNA(FC$5)),FB13*(1+$E13),FC$5))&gt;$C$20,$C$20,IF(AND(ISNA(FC$5),ISNA(FB$5)),FB13*(1+$E13),IF(AND(FB$5&gt;0,ISNA(FC$5)),FB13*(1+$E13),FC$5)))</f>
        <v>27154404.400000002</v>
      </c>
      <c r="FD13" s="21">
        <f>IF(IF(AND(ISNA(FD$5),ISNA(FC$5)),FC13*(1+$E13),IF(AND(FC$5&gt;0,ISNA(FD$5)),FC13*(1+$E13),FD$5))&gt;$C$20,$C$20,IF(AND(ISNA(FD$5),ISNA(FC$5)),FC13*(1+$E13),IF(AND(FC$5&gt;0,ISNA(FD$5)),FC13*(1+$E13),FD$5)))</f>
        <v>27154404.400000002</v>
      </c>
      <c r="FE13" s="21">
        <f>IF(IF(AND(ISNA(FE$5),ISNA(FD$5)),FD13*(1+$E13),IF(AND(FD$5&gt;0,ISNA(FE$5)),FD13*(1+$E13),FE$5))&gt;$C$20,$C$20,IF(AND(ISNA(FE$5),ISNA(FD$5)),FD13*(1+$E13),IF(AND(FD$5&gt;0,ISNA(FE$5)),FD13*(1+$E13),FE$5)))</f>
        <v>27154404.400000002</v>
      </c>
      <c r="FF13" s="21">
        <f>IF(IF(AND(ISNA(FF$5),ISNA(FE$5)),FE13*(1+$E13),IF(AND(FE$5&gt;0,ISNA(FF$5)),FE13*(1+$E13),FF$5))&gt;$C$20,$C$20,IF(AND(ISNA(FF$5),ISNA(FE$5)),FE13*(1+$E13),IF(AND(FE$5&gt;0,ISNA(FF$5)),FE13*(1+$E13),FF$5)))</f>
        <v>27154404.400000002</v>
      </c>
      <c r="FG13" s="21">
        <f>IF(IF(AND(ISNA(FG$5),ISNA(FF$5)),FF13*(1+$E13),IF(AND(FF$5&gt;0,ISNA(FG$5)),FF13*(1+$E13),FG$5))&gt;$C$20,$C$20,IF(AND(ISNA(FG$5),ISNA(FF$5)),FF13*(1+$E13),IF(AND(FF$5&gt;0,ISNA(FG$5)),FF13*(1+$E13),FG$5)))</f>
        <v>27154404.400000002</v>
      </c>
      <c r="FH13" s="21">
        <f>IF(IF(AND(ISNA(FH$5),ISNA(FG$5)),FG13*(1+$E13),IF(AND(FG$5&gt;0,ISNA(FH$5)),FG13*(1+$E13),FH$5))&gt;$C$20,$C$20,IF(AND(ISNA(FH$5),ISNA(FG$5)),FG13*(1+$E13),IF(AND(FG$5&gt;0,ISNA(FH$5)),FG13*(1+$E13),FH$5)))</f>
        <v>27154404.400000002</v>
      </c>
      <c r="FI13" s="21">
        <f>IF(IF(AND(ISNA(FI$5),ISNA(FH$5)),FH13*(1+$E13),IF(AND(FH$5&gt;0,ISNA(FI$5)),FH13*(1+$E13),FI$5))&gt;$C$20,$C$20,IF(AND(ISNA(FI$5),ISNA(FH$5)),FH13*(1+$E13),IF(AND(FH$5&gt;0,ISNA(FI$5)),FH13*(1+$E13),FI$5)))</f>
        <v>27154404.400000002</v>
      </c>
      <c r="FJ13" s="21">
        <f>IF(IF(AND(ISNA(FJ$5),ISNA(FI$5)),FI13*(1+$E13),IF(AND(FI$5&gt;0,ISNA(FJ$5)),FI13*(1+$E13),FJ$5))&gt;$C$20,$C$20,IF(AND(ISNA(FJ$5),ISNA(FI$5)),FI13*(1+$E13),IF(AND(FI$5&gt;0,ISNA(FJ$5)),FI13*(1+$E13),FJ$5)))</f>
        <v>27154404.400000002</v>
      </c>
      <c r="FK13" s="21">
        <f>IF(IF(AND(ISNA(FK$5),ISNA(FJ$5)),FJ13*(1+$E13),IF(AND(FJ$5&gt;0,ISNA(FK$5)),FJ13*(1+$E13),FK$5))&gt;$C$20,$C$20,IF(AND(ISNA(FK$5),ISNA(FJ$5)),FJ13*(1+$E13),IF(AND(FJ$5&gt;0,ISNA(FK$5)),FJ13*(1+$E13),FK$5)))</f>
        <v>27154404.400000002</v>
      </c>
      <c r="FL13" s="21">
        <f>IF(IF(AND(ISNA(FL$5),ISNA(FK$5)),FK13*(1+$E13),IF(AND(FK$5&gt;0,ISNA(FL$5)),FK13*(1+$E13),FL$5))&gt;$C$20,$C$20,IF(AND(ISNA(FL$5),ISNA(FK$5)),FK13*(1+$E13),IF(AND(FK$5&gt;0,ISNA(FL$5)),FK13*(1+$E13),FL$5)))</f>
        <v>27154404.400000002</v>
      </c>
      <c r="FM13" s="21">
        <f>IF(IF(AND(ISNA(FM$5),ISNA(FL$5)),FL13*(1+$E13),IF(AND(FL$5&gt;0,ISNA(FM$5)),FL13*(1+$E13),FM$5))&gt;$C$20,$C$20,IF(AND(ISNA(FM$5),ISNA(FL$5)),FL13*(1+$E13),IF(AND(FL$5&gt;0,ISNA(FM$5)),FL13*(1+$E13),FM$5)))</f>
        <v>27154404.400000002</v>
      </c>
      <c r="FN13" s="21">
        <f>IF(IF(AND(ISNA(FN$5),ISNA(FM$5)),FM13*(1+$E13),IF(AND(FM$5&gt;0,ISNA(FN$5)),FM13*(1+$E13),FN$5))&gt;$C$20,$C$20,IF(AND(ISNA(FN$5),ISNA(FM$5)),FM13*(1+$E13),IF(AND(FM$5&gt;0,ISNA(FN$5)),FM13*(1+$E13),FN$5)))</f>
        <v>27154404.400000002</v>
      </c>
      <c r="FO13" s="21">
        <f>IF(IF(AND(ISNA(FO$5),ISNA(FN$5)),FN13*(1+$E13),IF(AND(FN$5&gt;0,ISNA(FO$5)),FN13*(1+$E13),FO$5))&gt;$C$20,$C$20,IF(AND(ISNA(FO$5),ISNA(FN$5)),FN13*(1+$E13),IF(AND(FN$5&gt;0,ISNA(FO$5)),FN13*(1+$E13),FO$5)))</f>
        <v>27154404.400000002</v>
      </c>
      <c r="FP13" s="21">
        <f>IF(IF(AND(ISNA(FP$5),ISNA(FO$5)),FO13*(1+$E13),IF(AND(FO$5&gt;0,ISNA(FP$5)),FO13*(1+$E13),FP$5))&gt;$C$20,$C$20,IF(AND(ISNA(FP$5),ISNA(FO$5)),FO13*(1+$E13),IF(AND(FO$5&gt;0,ISNA(FP$5)),FO13*(1+$E13),FP$5)))</f>
        <v>27154404.400000002</v>
      </c>
      <c r="FQ13" s="21">
        <f>IF(IF(AND(ISNA(FQ$5),ISNA(FP$5)),FP13*(1+$E13),IF(AND(FP$5&gt;0,ISNA(FQ$5)),FP13*(1+$E13),FQ$5))&gt;$C$20,$C$20,IF(AND(ISNA(FQ$5),ISNA(FP$5)),FP13*(1+$E13),IF(AND(FP$5&gt;0,ISNA(FQ$5)),FP13*(1+$E13),FQ$5)))</f>
        <v>27154404.400000002</v>
      </c>
      <c r="FR13" s="21">
        <f>IF(IF(AND(ISNA(FR$5),ISNA(FQ$5)),FQ13*(1+$E13),IF(AND(FQ$5&gt;0,ISNA(FR$5)),FQ13*(1+$E13),FR$5))&gt;$C$20,$C$20,IF(AND(ISNA(FR$5),ISNA(FQ$5)),FQ13*(1+$E13),IF(AND(FQ$5&gt;0,ISNA(FR$5)),FQ13*(1+$E13),FR$5)))</f>
        <v>27154404.400000002</v>
      </c>
      <c r="FS13" s="21">
        <f>IF(IF(AND(ISNA(FS$5),ISNA(FR$5)),FR13*(1+$E13),IF(AND(FR$5&gt;0,ISNA(FS$5)),FR13*(1+$E13),FS$5))&gt;$C$20,$C$20,IF(AND(ISNA(FS$5),ISNA(FR$5)),FR13*(1+$E13),IF(AND(FR$5&gt;0,ISNA(FS$5)),FR13*(1+$E13),FS$5)))</f>
        <v>27154404.400000002</v>
      </c>
      <c r="FT13" s="21">
        <f>IF(IF(AND(ISNA(FT$5),ISNA(FS$5)),FS13*(1+$E13),IF(AND(FS$5&gt;0,ISNA(FT$5)),FS13*(1+$E13),FT$5))&gt;$C$20,$C$20,IF(AND(ISNA(FT$5),ISNA(FS$5)),FS13*(1+$E13),IF(AND(FS$5&gt;0,ISNA(FT$5)),FS13*(1+$E13),FT$5)))</f>
        <v>27154404.400000002</v>
      </c>
      <c r="FU13" s="21">
        <f>IF(IF(AND(ISNA(FU$5),ISNA(FT$5)),FT13*(1+$E13),IF(AND(FT$5&gt;0,ISNA(FU$5)),FT13*(1+$E13),FU$5))&gt;$C$20,$C$20,IF(AND(ISNA(FU$5),ISNA(FT$5)),FT13*(1+$E13),IF(AND(FT$5&gt;0,ISNA(FU$5)),FT13*(1+$E13),FU$5)))</f>
        <v>27154404.400000002</v>
      </c>
      <c r="FV13" s="21">
        <f>IF(IF(AND(ISNA(FV$5),ISNA(FU$5)),FU13*(1+$E13),IF(AND(FU$5&gt;0,ISNA(FV$5)),FU13*(1+$E13),FV$5))&gt;$C$20,$C$20,IF(AND(ISNA(FV$5),ISNA(FU$5)),FU13*(1+$E13),IF(AND(FU$5&gt;0,ISNA(FV$5)),FU13*(1+$E13),FV$5)))</f>
        <v>27154404.400000002</v>
      </c>
      <c r="FW13" s="21">
        <f>IF(IF(AND(ISNA(FW$5),ISNA(FV$5)),FV13*(1+$E13),IF(AND(FV$5&gt;0,ISNA(FW$5)),FV13*(1+$E13),FW$5))&gt;$C$20,$C$20,IF(AND(ISNA(FW$5),ISNA(FV$5)),FV13*(1+$E13),IF(AND(FV$5&gt;0,ISNA(FW$5)),FV13*(1+$E13),FW$5)))</f>
        <v>27154404.400000002</v>
      </c>
      <c r="FX13" s="21">
        <f>IF(IF(AND(ISNA(FX$5),ISNA(FW$5)),FW13*(1+$E13),IF(AND(FW$5&gt;0,ISNA(FX$5)),FW13*(1+$E13),FX$5))&gt;$C$20,$C$20,IF(AND(ISNA(FX$5),ISNA(FW$5)),FW13*(1+$E13),IF(AND(FW$5&gt;0,ISNA(FX$5)),FW13*(1+$E13),FX$5)))</f>
        <v>27154404.400000002</v>
      </c>
      <c r="FY13" s="21">
        <f>IF(IF(AND(ISNA(FY$5),ISNA(FX$5)),FX13*(1+$E13),IF(AND(FX$5&gt;0,ISNA(FY$5)),FX13*(1+$E13),FY$5))&gt;$C$20,$C$20,IF(AND(ISNA(FY$5),ISNA(FX$5)),FX13*(1+$E13),IF(AND(FX$5&gt;0,ISNA(FY$5)),FX13*(1+$E13),FY$5)))</f>
        <v>27154404.400000002</v>
      </c>
      <c r="FZ13" s="21">
        <f>IF(IF(AND(ISNA(FZ$5),ISNA(FY$5)),FY13*(1+$E13),IF(AND(FY$5&gt;0,ISNA(FZ$5)),FY13*(1+$E13),FZ$5))&gt;$C$20,$C$20,IF(AND(ISNA(FZ$5),ISNA(FY$5)),FY13*(1+$E13),IF(AND(FY$5&gt;0,ISNA(FZ$5)),FY13*(1+$E13),FZ$5)))</f>
        <v>27154404.400000002</v>
      </c>
      <c r="GA13" s="21">
        <f>IF(IF(AND(ISNA(GA$5),ISNA(FZ$5)),FZ13*(1+$E13),IF(AND(FZ$5&gt;0,ISNA(GA$5)),FZ13*(1+$E13),GA$5))&gt;$C$20,$C$20,IF(AND(ISNA(GA$5),ISNA(FZ$5)),FZ13*(1+$E13),IF(AND(FZ$5&gt;0,ISNA(GA$5)),FZ13*(1+$E13),GA$5)))</f>
        <v>27154404.400000002</v>
      </c>
      <c r="GB13" s="21">
        <f>IF(IF(AND(ISNA(GB$5),ISNA(GA$5)),GA13*(1+$E13),IF(AND(GA$5&gt;0,ISNA(GB$5)),GA13*(1+$E13),GB$5))&gt;$C$20,$C$20,IF(AND(ISNA(GB$5),ISNA(GA$5)),GA13*(1+$E13),IF(AND(GA$5&gt;0,ISNA(GB$5)),GA13*(1+$E13),GB$5)))</f>
        <v>27154404.400000002</v>
      </c>
      <c r="GC13" s="21">
        <f>IF(IF(AND(ISNA(GC$5),ISNA(GB$5)),GB13*(1+$E13),IF(AND(GB$5&gt;0,ISNA(GC$5)),GB13*(1+$E13),GC$5))&gt;$C$20,$C$20,IF(AND(ISNA(GC$5),ISNA(GB$5)),GB13*(1+$E13),IF(AND(GB$5&gt;0,ISNA(GC$5)),GB13*(1+$E13),GC$5)))</f>
        <v>27154404.400000002</v>
      </c>
      <c r="GD13" s="21">
        <f>IF(IF(AND(ISNA(GD$5),ISNA(GC$5)),GC13*(1+$E13),IF(AND(GC$5&gt;0,ISNA(GD$5)),GC13*(1+$E13),GD$5))&gt;$C$20,$C$20,IF(AND(ISNA(GD$5),ISNA(GC$5)),GC13*(1+$E13),IF(AND(GC$5&gt;0,ISNA(GD$5)),GC13*(1+$E13),GD$5)))</f>
        <v>27154404.400000002</v>
      </c>
      <c r="GE13" s="21">
        <f>IF(IF(AND(ISNA(GE$5),ISNA(GD$5)),GD13*(1+$E13),IF(AND(GD$5&gt;0,ISNA(GE$5)),GD13*(1+$E13),GE$5))&gt;$C$20,$C$20,IF(AND(ISNA(GE$5),ISNA(GD$5)),GD13*(1+$E13),IF(AND(GD$5&gt;0,ISNA(GE$5)),GD13*(1+$E13),GE$5)))</f>
        <v>27154404.400000002</v>
      </c>
      <c r="GF13" s="21">
        <f>IF(IF(AND(ISNA(GF$5),ISNA(GE$5)),GE13*(1+$E13),IF(AND(GE$5&gt;0,ISNA(GF$5)),GE13*(1+$E13),GF$5))&gt;$C$20,$C$20,IF(AND(ISNA(GF$5),ISNA(GE$5)),GE13*(1+$E13),IF(AND(GE$5&gt;0,ISNA(GF$5)),GE13*(1+$E13),GF$5)))</f>
        <v>27154404.400000002</v>
      </c>
      <c r="GG13" s="21">
        <f>IF(IF(AND(ISNA(GG$5),ISNA(GF$5)),GF13*(1+$E13),IF(AND(GF$5&gt;0,ISNA(GG$5)),GF13*(1+$E13),GG$5))&gt;$C$20,$C$20,IF(AND(ISNA(GG$5),ISNA(GF$5)),GF13*(1+$E13),IF(AND(GF$5&gt;0,ISNA(GG$5)),GF13*(1+$E13),GG$5)))</f>
        <v>27154404.400000002</v>
      </c>
      <c r="GH13" s="21">
        <f>IF(IF(AND(ISNA(GH$5),ISNA(GG$5)),GG13*(1+$E13),IF(AND(GG$5&gt;0,ISNA(GH$5)),GG13*(1+$E13),GH$5))&gt;$C$20,$C$20,IF(AND(ISNA(GH$5),ISNA(GG$5)),GG13*(1+$E13),IF(AND(GG$5&gt;0,ISNA(GH$5)),GG13*(1+$E13),GH$5)))</f>
        <v>27154404.400000002</v>
      </c>
      <c r="GI13" s="21">
        <f>IF(IF(AND(ISNA(GI$5),ISNA(GH$5)),GH13*(1+$E13),IF(AND(GH$5&gt;0,ISNA(GI$5)),GH13*(1+$E13),GI$5))&gt;$C$20,$C$20,IF(AND(ISNA(GI$5),ISNA(GH$5)),GH13*(1+$E13),IF(AND(GH$5&gt;0,ISNA(GI$5)),GH13*(1+$E13),GI$5)))</f>
        <v>27154404.400000002</v>
      </c>
      <c r="GJ13" s="21">
        <f>IF(IF(AND(ISNA(GJ$5),ISNA(GI$5)),GI13*(1+$E13),IF(AND(GI$5&gt;0,ISNA(GJ$5)),GI13*(1+$E13),GJ$5))&gt;$C$20,$C$20,IF(AND(ISNA(GJ$5),ISNA(GI$5)),GI13*(1+$E13),IF(AND(GI$5&gt;0,ISNA(GJ$5)),GI13*(1+$E13),GJ$5)))</f>
        <v>27154404.400000002</v>
      </c>
      <c r="GK13" s="21">
        <f>IF(IF(AND(ISNA(GK$5),ISNA(GJ$5)),GJ13*(1+$E13),IF(AND(GJ$5&gt;0,ISNA(GK$5)),GJ13*(1+$E13),GK$5))&gt;$C$20,$C$20,IF(AND(ISNA(GK$5),ISNA(GJ$5)),GJ13*(1+$E13),IF(AND(GJ$5&gt;0,ISNA(GK$5)),GJ13*(1+$E13),GK$5)))</f>
        <v>27154404.400000002</v>
      </c>
      <c r="GL13" s="21">
        <f>IF(IF(AND(ISNA(GL$5),ISNA(GK$5)),GK13*(1+$E13),IF(AND(GK$5&gt;0,ISNA(GL$5)),GK13*(1+$E13),GL$5))&gt;$C$20,$C$20,IF(AND(ISNA(GL$5),ISNA(GK$5)),GK13*(1+$E13),IF(AND(GK$5&gt;0,ISNA(GL$5)),GK13*(1+$E13),GL$5)))</f>
        <v>27154404.400000002</v>
      </c>
      <c r="GM13" s="21">
        <f>IF(IF(AND(ISNA(GM$5),ISNA(GL$5)),GL13*(1+$E13),IF(AND(GL$5&gt;0,ISNA(GM$5)),GL13*(1+$E13),GM$5))&gt;$C$20,$C$20,IF(AND(ISNA(GM$5),ISNA(GL$5)),GL13*(1+$E13),IF(AND(GL$5&gt;0,ISNA(GM$5)),GL13*(1+$E13),GM$5)))</f>
        <v>27154404.400000002</v>
      </c>
      <c r="GN13" s="21">
        <f>IF(IF(AND(ISNA(GN$5),ISNA(GM$5)),GM13*(1+$E13),IF(AND(GM$5&gt;0,ISNA(GN$5)),GM13*(1+$E13),GN$5))&gt;$C$20,$C$20,IF(AND(ISNA(GN$5),ISNA(GM$5)),GM13*(1+$E13),IF(AND(GM$5&gt;0,ISNA(GN$5)),GM13*(1+$E13),GN$5)))</f>
        <v>27154404.400000002</v>
      </c>
      <c r="GO13" s="21">
        <f>IF(IF(AND(ISNA(GO$5),ISNA(GN$5)),GN13*(1+$E13),IF(AND(GN$5&gt;0,ISNA(GO$5)),GN13*(1+$E13),GO$5))&gt;$C$20,$C$20,IF(AND(ISNA(GO$5),ISNA(GN$5)),GN13*(1+$E13),IF(AND(GN$5&gt;0,ISNA(GO$5)),GN13*(1+$E13),GO$5)))</f>
        <v>27154404.400000002</v>
      </c>
      <c r="GP13" s="21">
        <f>IF(IF(AND(ISNA(GP$5),ISNA(GO$5)),GO13*(1+$E13),IF(AND(GO$5&gt;0,ISNA(GP$5)),GO13*(1+$E13),GP$5))&gt;$C$20,$C$20,IF(AND(ISNA(GP$5),ISNA(GO$5)),GO13*(1+$E13),IF(AND(GO$5&gt;0,ISNA(GP$5)),GO13*(1+$E13),GP$5)))</f>
        <v>27154404.400000002</v>
      </c>
      <c r="GQ13" s="21">
        <f>IF(IF(AND(ISNA(GQ$5),ISNA(GP$5)),GP13*(1+$E13),IF(AND(GP$5&gt;0,ISNA(GQ$5)),GP13*(1+$E13),GQ$5))&gt;$C$20,$C$20,IF(AND(ISNA(GQ$5),ISNA(GP$5)),GP13*(1+$E13),IF(AND(GP$5&gt;0,ISNA(GQ$5)),GP13*(1+$E13),GQ$5)))</f>
        <v>27154404.400000002</v>
      </c>
      <c r="GR13" s="21">
        <f>IF(IF(AND(ISNA(GR$5),ISNA(GQ$5)),GQ13*(1+$E13),IF(AND(GQ$5&gt;0,ISNA(GR$5)),GQ13*(1+$E13),GR$5))&gt;$C$20,$C$20,IF(AND(ISNA(GR$5),ISNA(GQ$5)),GQ13*(1+$E13),IF(AND(GQ$5&gt;0,ISNA(GR$5)),GQ13*(1+$E13),GR$5)))</f>
        <v>27154404.400000002</v>
      </c>
      <c r="GS13" s="21">
        <f>IF(IF(AND(ISNA(GS$5),ISNA(GR$5)),GR13*(1+$E13),IF(AND(GR$5&gt;0,ISNA(GS$5)),GR13*(1+$E13),GS$5))&gt;$C$20,$C$20,IF(AND(ISNA(GS$5),ISNA(GR$5)),GR13*(1+$E13),IF(AND(GR$5&gt;0,ISNA(GS$5)),GR13*(1+$E13),GS$5)))</f>
        <v>27154404.400000002</v>
      </c>
      <c r="GT13" s="21">
        <f>IF(IF(AND(ISNA(GT$5),ISNA(GS$5)),GS13*(1+$E13),IF(AND(GS$5&gt;0,ISNA(GT$5)),GS13*(1+$E13),GT$5))&gt;$C$20,$C$20,IF(AND(ISNA(GT$5),ISNA(GS$5)),GS13*(1+$E13),IF(AND(GS$5&gt;0,ISNA(GT$5)),GS13*(1+$E13),GT$5)))</f>
        <v>27154404.400000002</v>
      </c>
      <c r="GU13" s="21">
        <f>IF(IF(AND(ISNA(GU$5),ISNA(GT$5)),GT13*(1+$E13),IF(AND(GT$5&gt;0,ISNA(GU$5)),GT13*(1+$E13),GU$5))&gt;$C$20,$C$20,IF(AND(ISNA(GU$5),ISNA(GT$5)),GT13*(1+$E13),IF(AND(GT$5&gt;0,ISNA(GU$5)),GT13*(1+$E13),GU$5)))</f>
        <v>27154404.400000002</v>
      </c>
      <c r="GV13" s="21">
        <f>IF(IF(AND(ISNA(GV$5),ISNA(GU$5)),GU13*(1+$E13),IF(AND(GU$5&gt;0,ISNA(GV$5)),GU13*(1+$E13),GV$5))&gt;$C$20,$C$20,IF(AND(ISNA(GV$5),ISNA(GU$5)),GU13*(1+$E13),IF(AND(GU$5&gt;0,ISNA(GV$5)),GU13*(1+$E13),GV$5)))</f>
        <v>27154404.400000002</v>
      </c>
      <c r="GW13" s="21">
        <f>IF(IF(AND(ISNA(GW$5),ISNA(GV$5)),GV13*(1+$E13),IF(AND(GV$5&gt;0,ISNA(GW$5)),GV13*(1+$E13),GW$5))&gt;$C$20,$C$20,IF(AND(ISNA(GW$5),ISNA(GV$5)),GV13*(1+$E13),IF(AND(GV$5&gt;0,ISNA(GW$5)),GV13*(1+$E13),GW$5)))</f>
        <v>27154404.400000002</v>
      </c>
      <c r="GX13" s="21">
        <f>IF(IF(AND(ISNA(GX$5),ISNA(GW$5)),GW13*(1+$E13),IF(AND(GW$5&gt;0,ISNA(GX$5)),GW13*(1+$E13),GX$5))&gt;$C$20,$C$20,IF(AND(ISNA(GX$5),ISNA(GW$5)),GW13*(1+$E13),IF(AND(GW$5&gt;0,ISNA(GX$5)),GW13*(1+$E13),GX$5)))</f>
        <v>27154404.400000002</v>
      </c>
      <c r="GY13" s="21">
        <f>IF(IF(AND(ISNA(GY$5),ISNA(GX$5)),GX13*(1+$E13),IF(AND(GX$5&gt;0,ISNA(GY$5)),GX13*(1+$E13),GY$5))&gt;$C$20,$C$20,IF(AND(ISNA(GY$5),ISNA(GX$5)),GX13*(1+$E13),IF(AND(GX$5&gt;0,ISNA(GY$5)),GX13*(1+$E13),GY$5)))</f>
        <v>27154404.400000002</v>
      </c>
      <c r="GZ13" s="21">
        <f>IF(IF(AND(ISNA(GZ$5),ISNA(GY$5)),GY13*(1+$E13),IF(AND(GY$5&gt;0,ISNA(GZ$5)),GY13*(1+$E13),GZ$5))&gt;$C$20,$C$20,IF(AND(ISNA(GZ$5),ISNA(GY$5)),GY13*(1+$E13),IF(AND(GY$5&gt;0,ISNA(GZ$5)),GY13*(1+$E13),GZ$5)))</f>
        <v>27154404.400000002</v>
      </c>
      <c r="HA13" s="21">
        <f>IF(IF(AND(ISNA(HA$5),ISNA(GZ$5)),GZ13*(1+$E13),IF(AND(GZ$5&gt;0,ISNA(HA$5)),GZ13*(1+$E13),HA$5))&gt;$C$20,$C$20,IF(AND(ISNA(HA$5),ISNA(GZ$5)),GZ13*(1+$E13),IF(AND(GZ$5&gt;0,ISNA(HA$5)),GZ13*(1+$E13),HA$5)))</f>
        <v>27154404.400000002</v>
      </c>
      <c r="HB13" s="21">
        <f>IF(IF(AND(ISNA(HB$5),ISNA(HA$5)),HA13*(1+$E13),IF(AND(HA$5&gt;0,ISNA(HB$5)),HA13*(1+$E13),HB$5))&gt;$C$20,$C$20,IF(AND(ISNA(HB$5),ISNA(HA$5)),HA13*(1+$E13),IF(AND(HA$5&gt;0,ISNA(HB$5)),HA13*(1+$E13),HB$5)))</f>
        <v>27154404.400000002</v>
      </c>
      <c r="HC13" s="21">
        <f>IF(IF(AND(ISNA(HC$5),ISNA(HB$5)),HB13*(1+$E13),IF(AND(HB$5&gt;0,ISNA(HC$5)),HB13*(1+$E13),HC$5))&gt;$C$20,$C$20,IF(AND(ISNA(HC$5),ISNA(HB$5)),HB13*(1+$E13),IF(AND(HB$5&gt;0,ISNA(HC$5)),HB13*(1+$E13),HC$5)))</f>
        <v>27154404.400000002</v>
      </c>
      <c r="HD13" s="21">
        <f>IF(IF(AND(ISNA(HD$5),ISNA(HC$5)),HC13*(1+$E13),IF(AND(HC$5&gt;0,ISNA(HD$5)),HC13*(1+$E13),HD$5))&gt;$C$20,$C$20,IF(AND(ISNA(HD$5),ISNA(HC$5)),HC13*(1+$E13),IF(AND(HC$5&gt;0,ISNA(HD$5)),HC13*(1+$E13),HD$5)))</f>
        <v>27154404.400000002</v>
      </c>
      <c r="HE13" s="21">
        <f>IF(IF(AND(ISNA(HE$5),ISNA(HD$5)),HD13*(1+$E13),IF(AND(HD$5&gt;0,ISNA(HE$5)),HD13*(1+$E13),HE$5))&gt;$C$20,$C$20,IF(AND(ISNA(HE$5),ISNA(HD$5)),HD13*(1+$E13),IF(AND(HD$5&gt;0,ISNA(HE$5)),HD13*(1+$E13),HE$5)))</f>
        <v>27154404.400000002</v>
      </c>
      <c r="HF13" s="21">
        <f>IF(IF(AND(ISNA(HF$5),ISNA(HE$5)),HE13*(1+$E13),IF(AND(HE$5&gt;0,ISNA(HF$5)),HE13*(1+$E13),HF$5))&gt;$C$20,$C$20,IF(AND(ISNA(HF$5),ISNA(HE$5)),HE13*(1+$E13),IF(AND(HE$5&gt;0,ISNA(HF$5)),HE13*(1+$E13),HF$5)))</f>
        <v>27154404.400000002</v>
      </c>
      <c r="HG13" s="21">
        <f>IF(IF(AND(ISNA(HG$5),ISNA(HF$5)),HF13*(1+$E13),IF(AND(HF$5&gt;0,ISNA(HG$5)),HF13*(1+$E13),HG$5))&gt;$C$20,$C$20,IF(AND(ISNA(HG$5),ISNA(HF$5)),HF13*(1+$E13),IF(AND(HF$5&gt;0,ISNA(HG$5)),HF13*(1+$E13),HG$5)))</f>
        <v>27154404.400000002</v>
      </c>
      <c r="HH13" s="21">
        <f>IF(IF(AND(ISNA(HH$5),ISNA(HG$5)),HG13*(1+$E13),IF(AND(HG$5&gt;0,ISNA(HH$5)),HG13*(1+$E13),HH$5))&gt;$C$20,$C$20,IF(AND(ISNA(HH$5),ISNA(HG$5)),HG13*(1+$E13),IF(AND(HG$5&gt;0,ISNA(HH$5)),HG13*(1+$E13),HH$5)))</f>
        <v>27154404.400000002</v>
      </c>
      <c r="HI13" s="21">
        <f>IF(IF(AND(ISNA(HI$5),ISNA(HH$5)),HH13*(1+$E13),IF(AND(HH$5&gt;0,ISNA(HI$5)),HH13*(1+$E13),HI$5))&gt;$C$20,$C$20,IF(AND(ISNA(HI$5),ISNA(HH$5)),HH13*(1+$E13),IF(AND(HH$5&gt;0,ISNA(HI$5)),HH13*(1+$E13),HI$5)))</f>
        <v>27154404.400000002</v>
      </c>
      <c r="HJ13" s="21">
        <f>IF(IF(AND(ISNA(HJ$5),ISNA(HI$5)),HI13*(1+$E13),IF(AND(HI$5&gt;0,ISNA(HJ$5)),HI13*(1+$E13),HJ$5))&gt;$C$20,$C$20,IF(AND(ISNA(HJ$5),ISNA(HI$5)),HI13*(1+$E13),IF(AND(HI$5&gt;0,ISNA(HJ$5)),HI13*(1+$E13),HJ$5)))</f>
        <v>27154404.400000002</v>
      </c>
      <c r="HK13" s="21">
        <f>IF(IF(AND(ISNA(HK$5),ISNA(HJ$5)),HJ13*(1+$E13),IF(AND(HJ$5&gt;0,ISNA(HK$5)),HJ13*(1+$E13),HK$5))&gt;$C$20,$C$20,IF(AND(ISNA(HK$5),ISNA(HJ$5)),HJ13*(1+$E13),IF(AND(HJ$5&gt;0,ISNA(HK$5)),HJ13*(1+$E13),HK$5)))</f>
        <v>27154404.400000002</v>
      </c>
      <c r="HL13" s="21">
        <f>IF(IF(AND(ISNA(HL$5),ISNA(HK$5)),HK13*(1+$E13),IF(AND(HK$5&gt;0,ISNA(HL$5)),HK13*(1+$E13),HL$5))&gt;$C$20,$C$20,IF(AND(ISNA(HL$5),ISNA(HK$5)),HK13*(1+$E13),IF(AND(HK$5&gt;0,ISNA(HL$5)),HK13*(1+$E13),HL$5)))</f>
        <v>27154404.400000002</v>
      </c>
      <c r="HM13" s="21">
        <f>IF(IF(AND(ISNA(HM$5),ISNA(HL$5)),HL13*(1+$E13),IF(AND(HL$5&gt;0,ISNA(HM$5)),HL13*(1+$E13),HM$5))&gt;$C$20,$C$20,IF(AND(ISNA(HM$5),ISNA(HL$5)),HL13*(1+$E13),IF(AND(HL$5&gt;0,ISNA(HM$5)),HL13*(1+$E13),HM$5)))</f>
        <v>27154404.400000002</v>
      </c>
      <c r="HN13" s="21">
        <f>IF(IF(AND(ISNA(HN$5),ISNA(HM$5)),HM13*(1+$E13),IF(AND(HM$5&gt;0,ISNA(HN$5)),HM13*(1+$E13),HN$5))&gt;$C$20,$C$20,IF(AND(ISNA(HN$5),ISNA(HM$5)),HM13*(1+$E13),IF(AND(HM$5&gt;0,ISNA(HN$5)),HM13*(1+$E13),HN$5)))</f>
        <v>27154404.400000002</v>
      </c>
      <c r="HO13" s="21">
        <f>IF(IF(AND(ISNA(HO$5),ISNA(HN$5)),HN13*(1+$E13),IF(AND(HN$5&gt;0,ISNA(HO$5)),HN13*(1+$E13),HO$5))&gt;$C$20,$C$20,IF(AND(ISNA(HO$5),ISNA(HN$5)),HN13*(1+$E13),IF(AND(HN$5&gt;0,ISNA(HO$5)),HN13*(1+$E13),HO$5)))</f>
        <v>27154404.400000002</v>
      </c>
      <c r="HP13" s="21">
        <f>IF(IF(AND(ISNA(HP$5),ISNA(HO$5)),HO13*(1+$E13),IF(AND(HO$5&gt;0,ISNA(HP$5)),HO13*(1+$E13),HP$5))&gt;$C$20,$C$20,IF(AND(ISNA(HP$5),ISNA(HO$5)),HO13*(1+$E13),IF(AND(HO$5&gt;0,ISNA(HP$5)),HO13*(1+$E13),HP$5)))</f>
        <v>27154404.400000002</v>
      </c>
      <c r="HQ13" s="21">
        <f>IF(IF(AND(ISNA(HQ$5),ISNA(HP$5)),HP13*(1+$E13),IF(AND(HP$5&gt;0,ISNA(HQ$5)),HP13*(1+$E13),HQ$5))&gt;$C$20,$C$20,IF(AND(ISNA(HQ$5),ISNA(HP$5)),HP13*(1+$E13),IF(AND(HP$5&gt;0,ISNA(HQ$5)),HP13*(1+$E13),HQ$5)))</f>
        <v>27154404.400000002</v>
      </c>
      <c r="HR13" s="21">
        <f>IF(IF(AND(ISNA(HR$5),ISNA(HQ$5)),HQ13*(1+$E13),IF(AND(HQ$5&gt;0,ISNA(HR$5)),HQ13*(1+$E13),HR$5))&gt;$C$20,$C$20,IF(AND(ISNA(HR$5),ISNA(HQ$5)),HQ13*(1+$E13),IF(AND(HQ$5&gt;0,ISNA(HR$5)),HQ13*(1+$E13),HR$5)))</f>
        <v>27154404.400000002</v>
      </c>
      <c r="HS13" s="21">
        <f>IF(IF(AND(ISNA(HS$5),ISNA(HR$5)),HR13*(1+$E13),IF(AND(HR$5&gt;0,ISNA(HS$5)),HR13*(1+$E13),HS$5))&gt;$C$20,$C$20,IF(AND(ISNA(HS$5),ISNA(HR$5)),HR13*(1+$E13),IF(AND(HR$5&gt;0,ISNA(HS$5)),HR13*(1+$E13),HS$5)))</f>
        <v>27154404.400000002</v>
      </c>
      <c r="HT13" s="21">
        <f>IF(IF(AND(ISNA(HT$5),ISNA(HS$5)),HS13*(1+$E13),IF(AND(HS$5&gt;0,ISNA(HT$5)),HS13*(1+$E13),HT$5))&gt;$C$20,$C$20,IF(AND(ISNA(HT$5),ISNA(HS$5)),HS13*(1+$E13),IF(AND(HS$5&gt;0,ISNA(HT$5)),HS13*(1+$E13),HT$5)))</f>
        <v>27154404.400000002</v>
      </c>
      <c r="HU13" s="21">
        <f>IF(IF(AND(ISNA(HU$5),ISNA(HT$5)),HT13*(1+$E13),IF(AND(HT$5&gt;0,ISNA(HU$5)),HT13*(1+$E13),HU$5))&gt;$C$20,$C$20,IF(AND(ISNA(HU$5),ISNA(HT$5)),HT13*(1+$E13),IF(AND(HT$5&gt;0,ISNA(HU$5)),HT13*(1+$E13),HU$5)))</f>
        <v>27154404.400000002</v>
      </c>
      <c r="HV13" s="21">
        <f>IF(IF(AND(ISNA(HV$5),ISNA(HU$5)),HU13*(1+$E13),IF(AND(HU$5&gt;0,ISNA(HV$5)),HU13*(1+$E13),HV$5))&gt;$C$20,$C$20,IF(AND(ISNA(HV$5),ISNA(HU$5)),HU13*(1+$E13),IF(AND(HU$5&gt;0,ISNA(HV$5)),HU13*(1+$E13),HV$5)))</f>
        <v>27154404.400000002</v>
      </c>
      <c r="HW13" s="21">
        <f>IF(IF(AND(ISNA(HW$5),ISNA(HV$5)),HV13*(1+$E13),IF(AND(HV$5&gt;0,ISNA(HW$5)),HV13*(1+$E13),HW$5))&gt;$C$20,$C$20,IF(AND(ISNA(HW$5),ISNA(HV$5)),HV13*(1+$E13),IF(AND(HV$5&gt;0,ISNA(HW$5)),HV13*(1+$E13),HW$5)))</f>
        <v>27154404.400000002</v>
      </c>
      <c r="HX13" s="21">
        <f>IF(IF(AND(ISNA(HX$5),ISNA(HW$5)),HW13*(1+$E13),IF(AND(HW$5&gt;0,ISNA(HX$5)),HW13*(1+$E13),HX$5))&gt;$C$20,$C$20,IF(AND(ISNA(HX$5),ISNA(HW$5)),HW13*(1+$E13),IF(AND(HW$5&gt;0,ISNA(HX$5)),HW13*(1+$E13),HX$5)))</f>
        <v>27154404.400000002</v>
      </c>
      <c r="HY13" s="21">
        <f>IF(IF(AND(ISNA(HY$5),ISNA(HX$5)),HX13*(1+$E13),IF(AND(HX$5&gt;0,ISNA(HY$5)),HX13*(1+$E13),HY$5))&gt;$C$20,$C$20,IF(AND(ISNA(HY$5),ISNA(HX$5)),HX13*(1+$E13),IF(AND(HX$5&gt;0,ISNA(HY$5)),HX13*(1+$E13),HY$5)))</f>
        <v>27154404.400000002</v>
      </c>
      <c r="HZ13" s="21">
        <f>IF(IF(AND(ISNA(HZ$5),ISNA(HY$5)),HY13*(1+$E13),IF(AND(HY$5&gt;0,ISNA(HZ$5)),HY13*(1+$E13),HZ$5))&gt;$C$20,$C$20,IF(AND(ISNA(HZ$5),ISNA(HY$5)),HY13*(1+$E13),IF(AND(HY$5&gt;0,ISNA(HZ$5)),HY13*(1+$E13),HZ$5)))</f>
        <v>27154404.400000002</v>
      </c>
      <c r="IA13" s="21">
        <f>IF(IF(AND(ISNA(IA$5),ISNA(HZ$5)),HZ13*(1+$E13),IF(AND(HZ$5&gt;0,ISNA(IA$5)),HZ13*(1+$E13),IA$5))&gt;$C$20,$C$20,IF(AND(ISNA(IA$5),ISNA(HZ$5)),HZ13*(1+$E13),IF(AND(HZ$5&gt;0,ISNA(IA$5)),HZ13*(1+$E13),IA$5)))</f>
        <v>27154404.400000002</v>
      </c>
      <c r="IB13" s="21">
        <f>IF(IF(AND(ISNA(IB$5),ISNA(IA$5)),IA13*(1+$E13),IF(AND(IA$5&gt;0,ISNA(IB$5)),IA13*(1+$E13),IB$5))&gt;$C$20,$C$20,IF(AND(ISNA(IB$5),ISNA(IA$5)),IA13*(1+$E13),IF(AND(IA$5&gt;0,ISNA(IB$5)),IA13*(1+$E13),IB$5)))</f>
        <v>27154404.400000002</v>
      </c>
      <c r="IC13" s="21">
        <f>IF(IF(AND(ISNA(IC$5),ISNA(IB$5)),IB13*(1+$E13),IF(AND(IB$5&gt;0,ISNA(IC$5)),IB13*(1+$E13),IC$5))&gt;$C$20,$C$20,IF(AND(ISNA(IC$5),ISNA(IB$5)),IB13*(1+$E13),IF(AND(IB$5&gt;0,ISNA(IC$5)),IB13*(1+$E13),IC$5)))</f>
        <v>27154404.400000002</v>
      </c>
      <c r="ID13" s="21">
        <f>IF(IF(AND(ISNA(ID$5),ISNA(IC$5)),IC13*(1+$E13),IF(AND(IC$5&gt;0,ISNA(ID$5)),IC13*(1+$E13),ID$5))&gt;$C$20,$C$20,IF(AND(ISNA(ID$5),ISNA(IC$5)),IC13*(1+$E13),IF(AND(IC$5&gt;0,ISNA(ID$5)),IC13*(1+$E13),ID$5)))</f>
        <v>27154404.400000002</v>
      </c>
      <c r="IE13" s="21">
        <f>IF(IF(AND(ISNA(IE$5),ISNA(ID$5)),ID13*(1+$E13),IF(AND(ID$5&gt;0,ISNA(IE$5)),ID13*(1+$E13),IE$5))&gt;$C$20,$C$20,IF(AND(ISNA(IE$5),ISNA(ID$5)),ID13*(1+$E13),IF(AND(ID$5&gt;0,ISNA(IE$5)),ID13*(1+$E13),IE$5)))</f>
        <v>27154404.400000002</v>
      </c>
      <c r="IF13" s="21">
        <f>IF(IF(AND(ISNA(IF$5),ISNA(IE$5)),IE13*(1+$E13),IF(AND(IE$5&gt;0,ISNA(IF$5)),IE13*(1+$E13),IF$5))&gt;$C$20,$C$20,IF(AND(ISNA(IF$5),ISNA(IE$5)),IE13*(1+$E13),IF(AND(IE$5&gt;0,ISNA(IF$5)),IE13*(1+$E13),IF$5)))</f>
        <v>27154404.400000002</v>
      </c>
      <c r="IG13" s="21">
        <f>IF(IF(AND(ISNA(IG$5),ISNA(IF$5)),IF13*(1+$E13),IF(AND(IF$5&gt;0,ISNA(IG$5)),IF13*(1+$E13),IG$5))&gt;$C$20,$C$20,IF(AND(ISNA(IG$5),ISNA(IF$5)),IF13*(1+$E13),IF(AND(IF$5&gt;0,ISNA(IG$5)),IF13*(1+$E13),IG$5)))</f>
        <v>27154404.400000002</v>
      </c>
      <c r="IH13" s="21">
        <f>IF(IF(AND(ISNA(IH$5),ISNA(IG$5)),IG13*(1+$E13),IF(AND(IG$5&gt;0,ISNA(IH$5)),IG13*(1+$E13),IH$5))&gt;$C$20,$C$20,IF(AND(ISNA(IH$5),ISNA(IG$5)),IG13*(1+$E13),IF(AND(IG$5&gt;0,ISNA(IH$5)),IG13*(1+$E13),IH$5)))</f>
        <v>27154404.400000002</v>
      </c>
      <c r="II13" s="21">
        <f>IF(IF(AND(ISNA(II$5),ISNA(IH$5)),IH13*(1+$E13),IF(AND(IH$5&gt;0,ISNA(II$5)),IH13*(1+$E13),II$5))&gt;$C$20,$C$20,IF(AND(ISNA(II$5),ISNA(IH$5)),IH13*(1+$E13),IF(AND(IH$5&gt;0,ISNA(II$5)),IH13*(1+$E13),II$5)))</f>
        <v>27154404.400000002</v>
      </c>
      <c r="IJ13" s="21">
        <f>IF(IF(AND(ISNA(IJ$5),ISNA(II$5)),II13*(1+$E13),IF(AND(II$5&gt;0,ISNA(IJ$5)),II13*(1+$E13),IJ$5))&gt;$C$20,$C$20,IF(AND(ISNA(IJ$5),ISNA(II$5)),II13*(1+$E13),IF(AND(II$5&gt;0,ISNA(IJ$5)),II13*(1+$E13),IJ$5)))</f>
        <v>27154404.400000002</v>
      </c>
      <c r="IK13" s="21">
        <f>IF(IF(AND(ISNA(IK$5),ISNA(IJ$5)),IJ13*(1+$E13),IF(AND(IJ$5&gt;0,ISNA(IK$5)),IJ13*(1+$E13),IK$5))&gt;$C$20,$C$20,IF(AND(ISNA(IK$5),ISNA(IJ$5)),IJ13*(1+$E13),IF(AND(IJ$5&gt;0,ISNA(IK$5)),IJ13*(1+$E13),IK$5)))</f>
        <v>27154404.400000002</v>
      </c>
      <c r="IL13" s="21">
        <f>IF(IF(AND(ISNA(IL$5),ISNA(IK$5)),IK13*(1+$E13),IF(AND(IK$5&gt;0,ISNA(IL$5)),IK13*(1+$E13),IL$5))&gt;$C$20,$C$20,IF(AND(ISNA(IL$5),ISNA(IK$5)),IK13*(1+$E13),IF(AND(IK$5&gt;0,ISNA(IL$5)),IK13*(1+$E13),IL$5)))</f>
        <v>27154404.400000002</v>
      </c>
      <c r="IM13" s="21">
        <f>IF(IF(AND(ISNA(IM$5),ISNA(IL$5)),IL13*(1+$E13),IF(AND(IL$5&gt;0,ISNA(IM$5)),IL13*(1+$E13),IM$5))&gt;$C$20,$C$20,IF(AND(ISNA(IM$5),ISNA(IL$5)),IL13*(1+$E13),IF(AND(IL$5&gt;0,ISNA(IM$5)),IL13*(1+$E13),IM$5)))</f>
        <v>27154404.400000002</v>
      </c>
      <c r="IN13" s="21">
        <f>IF(IF(AND(ISNA(IN$5),ISNA(IM$5)),IM13*(1+$E13),IF(AND(IM$5&gt;0,ISNA(IN$5)),IM13*(1+$E13),IN$5))&gt;$C$20,$C$20,IF(AND(ISNA(IN$5),ISNA(IM$5)),IM13*(1+$E13),IF(AND(IM$5&gt;0,ISNA(IN$5)),IM13*(1+$E13),IN$5)))</f>
        <v>27154404.400000002</v>
      </c>
    </row>
    <row r="14" spans="2:248" x14ac:dyDescent="0.3">
      <c r="B14" s="19" t="s">
        <v>501</v>
      </c>
      <c r="C14" s="25">
        <v>4.7E-2</v>
      </c>
      <c r="F14" s="19" t="s">
        <v>612</v>
      </c>
      <c r="G14" s="21">
        <f t="shared" ref="G14:R14" si="485">G13</f>
        <v>116</v>
      </c>
      <c r="H14" s="21">
        <f t="shared" si="485"/>
        <v>164</v>
      </c>
      <c r="I14" s="21">
        <f t="shared" si="485"/>
        <v>207</v>
      </c>
      <c r="J14" s="21">
        <f t="shared" si="485"/>
        <v>274</v>
      </c>
      <c r="K14" s="21">
        <f t="shared" si="485"/>
        <v>322</v>
      </c>
      <c r="L14" s="21">
        <f t="shared" si="485"/>
        <v>384</v>
      </c>
      <c r="M14" s="21">
        <f t="shared" si="485"/>
        <v>459</v>
      </c>
      <c r="N14" s="21">
        <f t="shared" si="485"/>
        <v>590</v>
      </c>
      <c r="O14" s="21">
        <f t="shared" si="485"/>
        <v>803</v>
      </c>
      <c r="P14" s="21">
        <f t="shared" si="485"/>
        <v>1145</v>
      </c>
      <c r="Q14" s="21">
        <f t="shared" si="485"/>
        <v>1355</v>
      </c>
      <c r="R14" s="21">
        <f t="shared" si="485"/>
        <v>1552</v>
      </c>
      <c r="S14" s="21">
        <f>S13-G13</f>
        <v>1844</v>
      </c>
      <c r="T14" s="21">
        <f t="shared" ref="T14" si="486">T13-H13</f>
        <v>2462</v>
      </c>
      <c r="U14" s="21">
        <f t="shared" ref="U14" si="487">U13-I13</f>
        <v>3206.8</v>
      </c>
      <c r="V14" s="21">
        <f t="shared" ref="V14" si="488">V13-J13</f>
        <v>4163.9400000000005</v>
      </c>
      <c r="W14" s="21">
        <f t="shared" ref="W14" si="489">W13-K13</f>
        <v>5447.322000000001</v>
      </c>
      <c r="X14" s="21">
        <f t="shared" ref="X14" si="490">X13-L13</f>
        <v>7116.1186000000016</v>
      </c>
      <c r="Y14" s="21">
        <f t="shared" ref="Y14" si="491">Y13-M13</f>
        <v>9291.1541800000032</v>
      </c>
      <c r="Z14" s="21">
        <f t="shared" ref="Z14" si="492">Z13-N13</f>
        <v>12085.200434000004</v>
      </c>
      <c r="AA14" s="21">
        <f t="shared" ref="AA14" si="493">AA13-O13</f>
        <v>15674.760564200005</v>
      </c>
      <c r="AB14" s="21">
        <f t="shared" ref="AB14" si="494">AB13-P13</f>
        <v>20276.088733460008</v>
      </c>
      <c r="AC14" s="21">
        <f t="shared" ref="AC14" si="495">AC13-Q13</f>
        <v>26492.415353498011</v>
      </c>
      <c r="AD14" s="21">
        <f t="shared" ref="AD14" si="496">AD13-R13</f>
        <v>34649.639959547414</v>
      </c>
      <c r="AE14" s="21">
        <f t="shared" ref="AE14" si="497">AE13-S13</f>
        <v>45102.131947411639</v>
      </c>
      <c r="AF14" s="21">
        <f t="shared" ref="AF14" si="498">AF13-T13</f>
        <v>58554.771531635131</v>
      </c>
      <c r="AG14" s="21">
        <f t="shared" ref="AG14" si="499">AG13-U13</f>
        <v>76121.202991125669</v>
      </c>
      <c r="AH14" s="21">
        <f t="shared" ref="AH14" si="500">AH13-V13</f>
        <v>98957.563888463381</v>
      </c>
      <c r="AI14" s="21">
        <f t="shared" ref="AI14" si="501">AI13-W13</f>
        <v>128644.8330550024</v>
      </c>
      <c r="AJ14" s="21">
        <f t="shared" ref="AJ14" si="502">AJ13-X13</f>
        <v>167238.2829715031</v>
      </c>
      <c r="AK14" s="21">
        <f t="shared" ref="AK14" si="503">AK13-Y13</f>
        <v>217409.76786295403</v>
      </c>
      <c r="AL14" s="21">
        <f t="shared" ref="AL14" si="504">AL13-Z13</f>
        <v>282632.69822184026</v>
      </c>
      <c r="AM14" s="21">
        <f t="shared" ref="AM14" si="505">AM13-AA13</f>
        <v>367422.50768839236</v>
      </c>
      <c r="AN14" s="21">
        <f t="shared" ref="AN14" si="506">AN13-AB13</f>
        <v>477649.2599949101</v>
      </c>
      <c r="AO14" s="21">
        <f t="shared" ref="AO14" si="507">AO13-AC13</f>
        <v>620944.03799338324</v>
      </c>
      <c r="AP14" s="21">
        <f t="shared" ref="AP14" si="508">AP13-AD13</f>
        <v>807227.24939139816</v>
      </c>
      <c r="AQ14" s="21">
        <f t="shared" ref="AQ14" si="509">AQ13-AE13</f>
        <v>1049395.4242088175</v>
      </c>
      <c r="AR14" s="21">
        <f t="shared" ref="AR14" si="510">AR13-AF13</f>
        <v>1364214.0514714629</v>
      </c>
      <c r="AS14" s="21">
        <f t="shared" ref="AS14" si="511">AS13-AG13</f>
        <v>1773478.266912902</v>
      </c>
      <c r="AT14" s="21">
        <f t="shared" ref="AT14" si="512">AT13-AH13</f>
        <v>2305521.7469867724</v>
      </c>
      <c r="AU14" s="21">
        <f t="shared" ref="AU14" si="513">AU13-AI13</f>
        <v>2997178.2710828045</v>
      </c>
      <c r="AV14" s="21">
        <f t="shared" ref="AV14" si="514">AV13-AJ13</f>
        <v>3896331.7524076463</v>
      </c>
      <c r="AW14" s="21">
        <f t="shared" ref="AW14" si="515">AW13-AK13</f>
        <v>5065231.2781299399</v>
      </c>
      <c r="AX14" s="21">
        <f t="shared" ref="AX14" si="516">AX13-AL13</f>
        <v>6584800.661568922</v>
      </c>
      <c r="AY14" s="21">
        <f t="shared" ref="AY14" si="517">AY13-AM13</f>
        <v>8560240.8600395992</v>
      </c>
      <c r="AZ14" s="21">
        <f t="shared" ref="AZ14" si="518">AZ13-AN13</f>
        <v>11128313.118051481</v>
      </c>
      <c r="BA14" s="21">
        <f t="shared" ref="BA14" si="519">BA13-AO13</f>
        <v>14466807.053466924</v>
      </c>
      <c r="BB14" s="21">
        <f t="shared" ref="BB14" si="520">BB13-AP13</f>
        <v>18806849.169507001</v>
      </c>
      <c r="BC14" s="21">
        <f t="shared" ref="BC14" si="521">BC13-AQ13</f>
        <v>24448903.920359105</v>
      </c>
      <c r="BD14" s="21">
        <f t="shared" ref="BD14" si="522">BD13-AR13</f>
        <v>25729009.576996904</v>
      </c>
      <c r="BE14" s="21">
        <f t="shared" ref="BE14" si="523">BE13-AS13</f>
        <v>25301391.130095974</v>
      </c>
      <c r="BF14" s="21">
        <f t="shared" ref="BF14" si="524">BF13-AT13</f>
        <v>24745487.149124768</v>
      </c>
      <c r="BG14" s="21">
        <f t="shared" ref="BG14" si="525">BG13-AU13</f>
        <v>24022811.973862194</v>
      </c>
      <c r="BH14" s="21">
        <f t="shared" ref="BH14" si="526">BH13-AV13</f>
        <v>23083334.246020854</v>
      </c>
      <c r="BI14" s="21">
        <f t="shared" ref="BI14" si="527">BI13-AW13</f>
        <v>21862013.199827109</v>
      </c>
      <c r="BJ14" s="21">
        <f t="shared" ref="BJ14" si="528">BJ13-AX13</f>
        <v>20274295.839775242</v>
      </c>
      <c r="BK14" s="21">
        <f t="shared" ref="BK14" si="529">BK13-AY13</f>
        <v>18210263.27170781</v>
      </c>
      <c r="BL14" s="21">
        <f t="shared" ref="BL14" si="530">BL13-AZ13</f>
        <v>15527020.933220152</v>
      </c>
      <c r="BM14" s="21">
        <f t="shared" ref="BM14" si="531">BM13-BA13</f>
        <v>12038805.893186197</v>
      </c>
      <c r="BN14" s="21">
        <f t="shared" ref="BN14" si="532">BN13-BB13</f>
        <v>7504126.3411420546</v>
      </c>
      <c r="BO14" s="21">
        <f t="shared" ref="BO14" si="533">BO13-BC13</f>
        <v>1609042.9234846681</v>
      </c>
      <c r="BP14" s="21">
        <f t="shared" ref="BP14" si="534">BP13-BD13</f>
        <v>0</v>
      </c>
      <c r="BQ14" s="21">
        <f t="shared" ref="BQ14" si="535">BQ13-BE13</f>
        <v>0</v>
      </c>
      <c r="BR14" s="21">
        <f t="shared" ref="BR14" si="536">BR13-BF13</f>
        <v>0</v>
      </c>
      <c r="BS14" s="21">
        <f t="shared" ref="BS14" si="537">BS13-BG13</f>
        <v>0</v>
      </c>
      <c r="BT14" s="21">
        <f t="shared" ref="BT14" si="538">BT13-BH13</f>
        <v>0</v>
      </c>
      <c r="BU14" s="21">
        <f t="shared" ref="BU14" si="539">BU13-BI13</f>
        <v>0</v>
      </c>
      <c r="BV14" s="21">
        <f t="shared" ref="BV14" si="540">BV13-BJ13</f>
        <v>0</v>
      </c>
      <c r="BW14" s="21">
        <f t="shared" ref="BW14" si="541">BW13-BK13</f>
        <v>0</v>
      </c>
      <c r="BX14" s="21">
        <f t="shared" ref="BX14" si="542">BX13-BL13</f>
        <v>0</v>
      </c>
      <c r="BY14" s="21">
        <f t="shared" ref="BY14" si="543">BY13-BM13</f>
        <v>0</v>
      </c>
      <c r="BZ14" s="21">
        <f t="shared" ref="BZ14" si="544">BZ13-BN13</f>
        <v>0</v>
      </c>
      <c r="CA14" s="21">
        <f t="shared" ref="CA14" si="545">CA13-BO13</f>
        <v>0</v>
      </c>
      <c r="CB14" s="21">
        <f t="shared" ref="CB14" si="546">CB13-BP13</f>
        <v>0</v>
      </c>
      <c r="CC14" s="21">
        <f t="shared" ref="CC14" si="547">CC13-BQ13</f>
        <v>0</v>
      </c>
      <c r="CD14" s="21">
        <f t="shared" ref="CD14" si="548">CD13-BR13</f>
        <v>0</v>
      </c>
      <c r="CE14" s="21">
        <f t="shared" ref="CE14" si="549">CE13-BS13</f>
        <v>0</v>
      </c>
      <c r="CF14" s="21">
        <f t="shared" ref="CF14" si="550">CF13-BT13</f>
        <v>0</v>
      </c>
      <c r="CG14" s="21">
        <f t="shared" ref="CG14" si="551">CG13-BU13</f>
        <v>0</v>
      </c>
      <c r="CH14" s="21">
        <f t="shared" ref="CH14" si="552">CH13-BV13</f>
        <v>0</v>
      </c>
      <c r="CI14" s="21">
        <f t="shared" ref="CI14" si="553">CI13-BW13</f>
        <v>0</v>
      </c>
      <c r="CJ14" s="21">
        <f t="shared" ref="CJ14" si="554">CJ13-BX13</f>
        <v>0</v>
      </c>
      <c r="CK14" s="21">
        <f t="shared" ref="CK14" si="555">CK13-BY13</f>
        <v>0</v>
      </c>
      <c r="CL14" s="21">
        <f t="shared" ref="CL14" si="556">CL13-BZ13</f>
        <v>0</v>
      </c>
      <c r="CM14" s="21">
        <f t="shared" ref="CM14" si="557">CM13-CA13</f>
        <v>0</v>
      </c>
      <c r="CN14" s="21">
        <f t="shared" ref="CN14" si="558">CN13-CB13</f>
        <v>0</v>
      </c>
      <c r="CO14" s="21">
        <f t="shared" ref="CO14" si="559">CO13-CC13</f>
        <v>0</v>
      </c>
      <c r="CP14" s="21">
        <f t="shared" ref="CP14" si="560">CP13-CD13</f>
        <v>0</v>
      </c>
      <c r="CQ14" s="21">
        <f t="shared" ref="CQ14" si="561">CQ13-CE13</f>
        <v>0</v>
      </c>
      <c r="CR14" s="21">
        <f t="shared" ref="CR14" si="562">CR13-CF13</f>
        <v>0</v>
      </c>
      <c r="CS14" s="21">
        <f t="shared" ref="CS14" si="563">CS13-CG13</f>
        <v>0</v>
      </c>
      <c r="CT14" s="21">
        <f t="shared" ref="CT14" si="564">CT13-CH13</f>
        <v>0</v>
      </c>
      <c r="CU14" s="21">
        <f t="shared" ref="CU14" si="565">CU13-CI13</f>
        <v>0</v>
      </c>
      <c r="CV14" s="21">
        <f t="shared" ref="CV14" si="566">CV13-CJ13</f>
        <v>0</v>
      </c>
      <c r="CW14" s="21">
        <f t="shared" ref="CW14" si="567">CW13-CK13</f>
        <v>0</v>
      </c>
      <c r="CX14" s="21">
        <f t="shared" ref="CX14" si="568">CX13-CL13</f>
        <v>0</v>
      </c>
      <c r="CY14" s="21">
        <f t="shared" ref="CY14" si="569">CY13-CM13</f>
        <v>0</v>
      </c>
      <c r="CZ14" s="21">
        <f t="shared" ref="CZ14" si="570">CZ13-CN13</f>
        <v>0</v>
      </c>
      <c r="DA14" s="21">
        <f t="shared" ref="DA14" si="571">DA13-CO13</f>
        <v>0</v>
      </c>
      <c r="DB14" s="21">
        <f t="shared" ref="DB14" si="572">DB13-CP13</f>
        <v>0</v>
      </c>
      <c r="DC14" s="21">
        <f t="shared" ref="DC14" si="573">DC13-CQ13</f>
        <v>0</v>
      </c>
      <c r="DD14" s="21">
        <f t="shared" ref="DD14" si="574">DD13-CR13</f>
        <v>0</v>
      </c>
      <c r="DE14" s="21">
        <f t="shared" ref="DE14" si="575">DE13-CS13</f>
        <v>0</v>
      </c>
      <c r="DF14" s="21">
        <f t="shared" ref="DF14" si="576">DF13-CT13</f>
        <v>0</v>
      </c>
      <c r="DG14" s="21">
        <f t="shared" ref="DG14" si="577">DG13-CU13</f>
        <v>0</v>
      </c>
      <c r="DH14" s="21">
        <f t="shared" ref="DH14" si="578">DH13-CV13</f>
        <v>0</v>
      </c>
      <c r="DI14" s="21">
        <f t="shared" ref="DI14" si="579">DI13-CW13</f>
        <v>0</v>
      </c>
      <c r="DJ14" s="21">
        <f t="shared" ref="DJ14" si="580">DJ13-CX13</f>
        <v>0</v>
      </c>
      <c r="DK14" s="21">
        <f t="shared" ref="DK14" si="581">DK13-CY13</f>
        <v>0</v>
      </c>
      <c r="DL14" s="21">
        <f t="shared" ref="DL14" si="582">DL13-CZ13</f>
        <v>0</v>
      </c>
      <c r="DM14" s="21">
        <f t="shared" ref="DM14" si="583">DM13-DA13</f>
        <v>0</v>
      </c>
      <c r="DN14" s="21">
        <f t="shared" ref="DN14" si="584">DN13-DB13</f>
        <v>0</v>
      </c>
      <c r="DO14" s="21">
        <f t="shared" ref="DO14" si="585">DO13-DC13</f>
        <v>0</v>
      </c>
      <c r="DP14" s="21">
        <f t="shared" ref="DP14" si="586">DP13-DD13</f>
        <v>0</v>
      </c>
      <c r="DQ14" s="21">
        <f t="shared" ref="DQ14" si="587">DQ13-DE13</f>
        <v>0</v>
      </c>
      <c r="DR14" s="21">
        <f t="shared" ref="DR14" si="588">DR13-DF13</f>
        <v>0</v>
      </c>
      <c r="DS14" s="21">
        <f t="shared" ref="DS14" si="589">DS13-DG13</f>
        <v>0</v>
      </c>
      <c r="DT14" s="21">
        <f t="shared" ref="DT14" si="590">DT13-DH13</f>
        <v>0</v>
      </c>
      <c r="DU14" s="21">
        <f t="shared" ref="DU14" si="591">DU13-DI13</f>
        <v>0</v>
      </c>
      <c r="DV14" s="21">
        <f t="shared" ref="DV14" si="592">DV13-DJ13</f>
        <v>0</v>
      </c>
      <c r="DW14" s="21">
        <f t="shared" ref="DW14" si="593">DW13-DK13</f>
        <v>0</v>
      </c>
      <c r="DX14" s="21">
        <f t="shared" ref="DX14" si="594">DX13-DL13</f>
        <v>0</v>
      </c>
      <c r="DY14" s="21">
        <f t="shared" ref="DY14" si="595">DY13-DM13</f>
        <v>0</v>
      </c>
      <c r="DZ14" s="21">
        <f t="shared" ref="DZ14" si="596">DZ13-DN13</f>
        <v>0</v>
      </c>
      <c r="EA14" s="21">
        <f t="shared" ref="EA14" si="597">EA13-DO13</f>
        <v>0</v>
      </c>
      <c r="EB14" s="21">
        <f t="shared" ref="EB14" si="598">EB13-DP13</f>
        <v>0</v>
      </c>
      <c r="EC14" s="21">
        <f t="shared" ref="EC14" si="599">EC13-DQ13</f>
        <v>0</v>
      </c>
      <c r="ED14" s="21">
        <f t="shared" ref="ED14" si="600">ED13-DR13</f>
        <v>0</v>
      </c>
      <c r="EE14" s="21">
        <f t="shared" ref="EE14" si="601">EE13-DS13</f>
        <v>0</v>
      </c>
      <c r="EF14" s="21">
        <f t="shared" ref="EF14" si="602">EF13-DT13</f>
        <v>0</v>
      </c>
      <c r="EG14" s="21">
        <f t="shared" ref="EG14" si="603">EG13-DU13</f>
        <v>0</v>
      </c>
      <c r="EH14" s="21">
        <f t="shared" ref="EH14" si="604">EH13-DV13</f>
        <v>0</v>
      </c>
      <c r="EI14" s="21">
        <f t="shared" ref="EI14" si="605">EI13-DW13</f>
        <v>0</v>
      </c>
      <c r="EJ14" s="21">
        <f t="shared" ref="EJ14" si="606">EJ13-DX13</f>
        <v>0</v>
      </c>
      <c r="EK14" s="21">
        <f t="shared" ref="EK14" si="607">EK13-DY13</f>
        <v>0</v>
      </c>
      <c r="EL14" s="21">
        <f t="shared" ref="EL14" si="608">EL13-DZ13</f>
        <v>0</v>
      </c>
      <c r="EM14" s="21">
        <f t="shared" ref="EM14" si="609">EM13-EA13</f>
        <v>0</v>
      </c>
      <c r="EN14" s="21">
        <f t="shared" ref="EN14" si="610">EN13-EB13</f>
        <v>0</v>
      </c>
      <c r="EO14" s="21">
        <f t="shared" ref="EO14" si="611">EO13-EC13</f>
        <v>0</v>
      </c>
      <c r="EP14" s="21">
        <f t="shared" ref="EP14" si="612">EP13-ED13</f>
        <v>0</v>
      </c>
      <c r="EQ14" s="21">
        <f t="shared" ref="EQ14" si="613">EQ13-EE13</f>
        <v>0</v>
      </c>
      <c r="ER14" s="21">
        <f t="shared" ref="ER14" si="614">ER13-EF13</f>
        <v>0</v>
      </c>
      <c r="ES14" s="21">
        <f t="shared" ref="ES14" si="615">ES13-EG13</f>
        <v>0</v>
      </c>
      <c r="ET14" s="21">
        <f t="shared" ref="ET14" si="616">ET13-EH13</f>
        <v>0</v>
      </c>
      <c r="EU14" s="21">
        <f t="shared" ref="EU14" si="617">EU13-EI13</f>
        <v>0</v>
      </c>
      <c r="EV14" s="21">
        <f t="shared" ref="EV14" si="618">EV13-EJ13</f>
        <v>0</v>
      </c>
      <c r="EW14" s="21">
        <f t="shared" ref="EW14" si="619">EW13-EK13</f>
        <v>0</v>
      </c>
      <c r="EX14" s="21">
        <f t="shared" ref="EX14" si="620">EX13-EL13</f>
        <v>0</v>
      </c>
      <c r="EY14" s="21">
        <f t="shared" ref="EY14" si="621">EY13-EM13</f>
        <v>0</v>
      </c>
      <c r="EZ14" s="21">
        <f t="shared" ref="EZ14" si="622">EZ13-EN13</f>
        <v>0</v>
      </c>
      <c r="FA14" s="21">
        <f t="shared" ref="FA14" si="623">FA13-EO13</f>
        <v>0</v>
      </c>
      <c r="FB14" s="21">
        <f t="shared" ref="FB14" si="624">FB13-EP13</f>
        <v>0</v>
      </c>
      <c r="FC14" s="21">
        <f t="shared" ref="FC14" si="625">FC13-EQ13</f>
        <v>0</v>
      </c>
      <c r="FD14" s="21">
        <f t="shared" ref="FD14" si="626">FD13-ER13</f>
        <v>0</v>
      </c>
      <c r="FE14" s="21">
        <f t="shared" ref="FE14" si="627">FE13-ES13</f>
        <v>0</v>
      </c>
      <c r="FF14" s="21">
        <f t="shared" ref="FF14" si="628">FF13-ET13</f>
        <v>0</v>
      </c>
      <c r="FG14" s="21">
        <f t="shared" ref="FG14" si="629">FG13-EU13</f>
        <v>0</v>
      </c>
      <c r="FH14" s="21">
        <f t="shared" ref="FH14" si="630">FH13-EV13</f>
        <v>0</v>
      </c>
      <c r="FI14" s="21">
        <f t="shared" ref="FI14" si="631">FI13-EW13</f>
        <v>0</v>
      </c>
      <c r="FJ14" s="21">
        <f t="shared" ref="FJ14" si="632">FJ13-EX13</f>
        <v>0</v>
      </c>
      <c r="FK14" s="21">
        <f t="shared" ref="FK14" si="633">FK13-EY13</f>
        <v>0</v>
      </c>
      <c r="FL14" s="21">
        <f t="shared" ref="FL14" si="634">FL13-EZ13</f>
        <v>0</v>
      </c>
      <c r="FM14" s="21">
        <f t="shared" ref="FM14" si="635">FM13-FA13</f>
        <v>0</v>
      </c>
      <c r="FN14" s="21">
        <f t="shared" ref="FN14" si="636">FN13-FB13</f>
        <v>0</v>
      </c>
      <c r="FO14" s="21">
        <f t="shared" ref="FO14" si="637">FO13-FC13</f>
        <v>0</v>
      </c>
      <c r="FP14" s="21">
        <f t="shared" ref="FP14" si="638">FP13-FD13</f>
        <v>0</v>
      </c>
      <c r="FQ14" s="21">
        <f t="shared" ref="FQ14" si="639">FQ13-FE13</f>
        <v>0</v>
      </c>
      <c r="FR14" s="21">
        <f t="shared" ref="FR14" si="640">FR13-FF13</f>
        <v>0</v>
      </c>
      <c r="FS14" s="21">
        <f t="shared" ref="FS14" si="641">FS13-FG13</f>
        <v>0</v>
      </c>
      <c r="FT14" s="21">
        <f t="shared" ref="FT14" si="642">FT13-FH13</f>
        <v>0</v>
      </c>
      <c r="FU14" s="21">
        <f t="shared" ref="FU14" si="643">FU13-FI13</f>
        <v>0</v>
      </c>
      <c r="FV14" s="21">
        <f t="shared" ref="FV14" si="644">FV13-FJ13</f>
        <v>0</v>
      </c>
      <c r="FW14" s="21">
        <f t="shared" ref="FW14" si="645">FW13-FK13</f>
        <v>0</v>
      </c>
      <c r="FX14" s="21">
        <f t="shared" ref="FX14" si="646">FX13-FL13</f>
        <v>0</v>
      </c>
      <c r="FY14" s="21">
        <f t="shared" ref="FY14" si="647">FY13-FM13</f>
        <v>0</v>
      </c>
      <c r="FZ14" s="21">
        <f t="shared" ref="FZ14" si="648">FZ13-FN13</f>
        <v>0</v>
      </c>
      <c r="GA14" s="21">
        <f t="shared" ref="GA14" si="649">GA13-FO13</f>
        <v>0</v>
      </c>
      <c r="GB14" s="21">
        <f t="shared" ref="GB14" si="650">GB13-FP13</f>
        <v>0</v>
      </c>
      <c r="GC14" s="21">
        <f t="shared" ref="GC14" si="651">GC13-FQ13</f>
        <v>0</v>
      </c>
      <c r="GD14" s="21">
        <f t="shared" ref="GD14" si="652">GD13-FR13</f>
        <v>0</v>
      </c>
      <c r="GE14" s="21">
        <f t="shared" ref="GE14" si="653">GE13-FS13</f>
        <v>0</v>
      </c>
      <c r="GF14" s="21">
        <f t="shared" ref="GF14" si="654">GF13-FT13</f>
        <v>0</v>
      </c>
      <c r="GG14" s="21">
        <f t="shared" ref="GG14" si="655">GG13-FU13</f>
        <v>0</v>
      </c>
      <c r="GH14" s="21">
        <f t="shared" ref="GH14" si="656">GH13-FV13</f>
        <v>0</v>
      </c>
      <c r="GI14" s="21">
        <f t="shared" ref="GI14" si="657">GI13-FW13</f>
        <v>0</v>
      </c>
      <c r="GJ14" s="21">
        <f t="shared" ref="GJ14" si="658">GJ13-FX13</f>
        <v>0</v>
      </c>
      <c r="GK14" s="21">
        <f t="shared" ref="GK14" si="659">GK13-FY13</f>
        <v>0</v>
      </c>
      <c r="GL14" s="21">
        <f t="shared" ref="GL14" si="660">GL13-FZ13</f>
        <v>0</v>
      </c>
      <c r="GM14" s="21">
        <f t="shared" ref="GM14" si="661">GM13-GA13</f>
        <v>0</v>
      </c>
      <c r="GN14" s="21">
        <f t="shared" ref="GN14" si="662">GN13-GB13</f>
        <v>0</v>
      </c>
      <c r="GO14" s="21">
        <f t="shared" ref="GO14" si="663">GO13-GC13</f>
        <v>0</v>
      </c>
      <c r="GP14" s="21">
        <f t="shared" ref="GP14" si="664">GP13-GD13</f>
        <v>0</v>
      </c>
      <c r="GQ14" s="21">
        <f t="shared" ref="GQ14" si="665">GQ13-GE13</f>
        <v>0</v>
      </c>
      <c r="GR14" s="21">
        <f t="shared" ref="GR14" si="666">GR13-GF13</f>
        <v>0</v>
      </c>
      <c r="GS14" s="21">
        <f t="shared" ref="GS14" si="667">GS13-GG13</f>
        <v>0</v>
      </c>
      <c r="GT14" s="21">
        <f t="shared" ref="GT14" si="668">GT13-GH13</f>
        <v>0</v>
      </c>
      <c r="GU14" s="21">
        <f t="shared" ref="GU14" si="669">GU13-GI13</f>
        <v>0</v>
      </c>
      <c r="GV14" s="21">
        <f t="shared" ref="GV14" si="670">GV13-GJ13</f>
        <v>0</v>
      </c>
      <c r="GW14" s="21">
        <f t="shared" ref="GW14" si="671">GW13-GK13</f>
        <v>0</v>
      </c>
      <c r="GX14" s="21">
        <f t="shared" ref="GX14" si="672">GX13-GL13</f>
        <v>0</v>
      </c>
      <c r="GY14" s="21">
        <f t="shared" ref="GY14" si="673">GY13-GM13</f>
        <v>0</v>
      </c>
      <c r="GZ14" s="21">
        <f t="shared" ref="GZ14" si="674">GZ13-GN13</f>
        <v>0</v>
      </c>
      <c r="HA14" s="21">
        <f t="shared" ref="HA14" si="675">HA13-GO13</f>
        <v>0</v>
      </c>
      <c r="HB14" s="21">
        <f t="shared" ref="HB14" si="676">HB13-GP13</f>
        <v>0</v>
      </c>
      <c r="HC14" s="21">
        <f t="shared" ref="HC14" si="677">HC13-GQ13</f>
        <v>0</v>
      </c>
      <c r="HD14" s="21">
        <f t="shared" ref="HD14" si="678">HD13-GR13</f>
        <v>0</v>
      </c>
      <c r="HE14" s="21">
        <f t="shared" ref="HE14" si="679">HE13-GS13</f>
        <v>0</v>
      </c>
      <c r="HF14" s="21">
        <f t="shared" ref="HF14" si="680">HF13-GT13</f>
        <v>0</v>
      </c>
      <c r="HG14" s="21">
        <f t="shared" ref="HG14" si="681">HG13-GU13</f>
        <v>0</v>
      </c>
      <c r="HH14" s="21">
        <f t="shared" ref="HH14" si="682">HH13-GV13</f>
        <v>0</v>
      </c>
      <c r="HI14" s="21">
        <f t="shared" ref="HI14" si="683">HI13-GW13</f>
        <v>0</v>
      </c>
      <c r="HJ14" s="21">
        <f t="shared" ref="HJ14" si="684">HJ13-GX13</f>
        <v>0</v>
      </c>
      <c r="HK14" s="21">
        <f t="shared" ref="HK14" si="685">HK13-GY13</f>
        <v>0</v>
      </c>
      <c r="HL14" s="21">
        <f t="shared" ref="HL14" si="686">HL13-GZ13</f>
        <v>0</v>
      </c>
      <c r="HM14" s="21">
        <f t="shared" ref="HM14" si="687">HM13-HA13</f>
        <v>0</v>
      </c>
      <c r="HN14" s="21">
        <f t="shared" ref="HN14" si="688">HN13-HB13</f>
        <v>0</v>
      </c>
      <c r="HO14" s="21">
        <f t="shared" ref="HO14" si="689">HO13-HC13</f>
        <v>0</v>
      </c>
      <c r="HP14" s="21">
        <f t="shared" ref="HP14" si="690">HP13-HD13</f>
        <v>0</v>
      </c>
      <c r="HQ14" s="21">
        <f t="shared" ref="HQ14" si="691">HQ13-HE13</f>
        <v>0</v>
      </c>
      <c r="HR14" s="21">
        <f t="shared" ref="HR14" si="692">HR13-HF13</f>
        <v>0</v>
      </c>
      <c r="HS14" s="21">
        <f t="shared" ref="HS14" si="693">HS13-HG13</f>
        <v>0</v>
      </c>
      <c r="HT14" s="21">
        <f t="shared" ref="HT14" si="694">HT13-HH13</f>
        <v>0</v>
      </c>
      <c r="HU14" s="21">
        <f t="shared" ref="HU14" si="695">HU13-HI13</f>
        <v>0</v>
      </c>
      <c r="HV14" s="21">
        <f t="shared" ref="HV14" si="696">HV13-HJ13</f>
        <v>0</v>
      </c>
      <c r="HW14" s="21">
        <f t="shared" ref="HW14" si="697">HW13-HK13</f>
        <v>0</v>
      </c>
      <c r="HX14" s="21">
        <f t="shared" ref="HX14" si="698">HX13-HL13</f>
        <v>0</v>
      </c>
      <c r="HY14" s="21">
        <f t="shared" ref="HY14" si="699">HY13-HM13</f>
        <v>0</v>
      </c>
      <c r="HZ14" s="21">
        <f t="shared" ref="HZ14" si="700">HZ13-HN13</f>
        <v>0</v>
      </c>
      <c r="IA14" s="21">
        <f t="shared" ref="IA14" si="701">IA13-HO13</f>
        <v>0</v>
      </c>
      <c r="IB14" s="21">
        <f t="shared" ref="IB14" si="702">IB13-HP13</f>
        <v>0</v>
      </c>
      <c r="IC14" s="21">
        <f t="shared" ref="IC14" si="703">IC13-HQ13</f>
        <v>0</v>
      </c>
      <c r="ID14" s="21">
        <f t="shared" ref="ID14" si="704">ID13-HR13</f>
        <v>0</v>
      </c>
      <c r="IE14" s="21">
        <f t="shared" ref="IE14" si="705">IE13-HS13</f>
        <v>0</v>
      </c>
      <c r="IF14" s="21">
        <f t="shared" ref="IF14" si="706">IF13-HT13</f>
        <v>0</v>
      </c>
      <c r="IG14" s="21">
        <f t="shared" ref="IG14" si="707">IG13-HU13</f>
        <v>0</v>
      </c>
      <c r="IH14" s="21">
        <f t="shared" ref="IH14" si="708">IH13-HV13</f>
        <v>0</v>
      </c>
      <c r="II14" s="21">
        <f t="shared" ref="II14" si="709">II13-HW13</f>
        <v>0</v>
      </c>
      <c r="IJ14" s="21">
        <f t="shared" ref="IJ14" si="710">IJ13-HX13</f>
        <v>0</v>
      </c>
      <c r="IK14" s="21">
        <f t="shared" ref="IK14" si="711">IK13-HY13</f>
        <v>0</v>
      </c>
      <c r="IL14" s="21">
        <f t="shared" ref="IL14" si="712">IL13-HZ13</f>
        <v>0</v>
      </c>
      <c r="IM14" s="21">
        <f t="shared" ref="IM14" si="713">IM13-IA13</f>
        <v>0</v>
      </c>
      <c r="IN14" s="21">
        <f t="shared" ref="IN14" si="714">IN13-IB13</f>
        <v>0</v>
      </c>
    </row>
    <row r="15" spans="2:248" x14ac:dyDescent="0.3">
      <c r="B15" s="19" t="s">
        <v>500</v>
      </c>
      <c r="C15" s="21">
        <f>VLOOKUP(B2,H30:O127,8,FALSE)</f>
        <v>4480.4767259999999</v>
      </c>
      <c r="E15" s="19">
        <v>0.4</v>
      </c>
      <c r="F15" s="22" t="s">
        <v>487</v>
      </c>
      <c r="G15" s="21">
        <f>IF(IF(AND(ISNA(G$5),ISNA(F$5)),F15*(1+$E15),IF(AND(F$5&gt;0,ISNA(G$5)),F15*(1+$E15),G$5))&gt;$C$20,$C$20,IF(AND(ISNA(G$5),ISNA(F$5)),F15*(1+$E15),IF(AND(F$5&gt;0,ISNA(G$5)),F15*(1+$E15),G$5)))</f>
        <v>116</v>
      </c>
      <c r="H15" s="21">
        <f>IF(IF(AND(ISNA(H$5),ISNA(G$5)),G15*(1+$E15),IF(AND(G$5&gt;0,ISNA(H$5)),G15*(1+$E15),H$5))&gt;$C$20,$C$20,IF(AND(ISNA(H$5),ISNA(G$5)),G15*(1+$E15),IF(AND(G$5&gt;0,ISNA(H$5)),G15*(1+$E15),H$5)))</f>
        <v>164</v>
      </c>
      <c r="I15" s="21">
        <f>IF(IF(AND(ISNA(I$5),ISNA(H$5)),H15*(1+$E15),IF(AND(H$5&gt;0,ISNA(I$5)),H15*(1+$E15),I$5))&gt;$C$20,$C$20,IF(AND(ISNA(I$5),ISNA(H$5)),H15*(1+$E15),IF(AND(H$5&gt;0,ISNA(I$5)),H15*(1+$E15),I$5)))</f>
        <v>207</v>
      </c>
      <c r="J15" s="21">
        <f>IF(IF(AND(ISNA(J$5),ISNA(I$5)),I15*(1+$E15),IF(AND(I$5&gt;0,ISNA(J$5)),I15*(1+$E15),J$5))&gt;$C$20,$C$20,IF(AND(ISNA(J$5),ISNA(I$5)),I15*(1+$E15),IF(AND(I$5&gt;0,ISNA(J$5)),I15*(1+$E15),J$5)))</f>
        <v>274</v>
      </c>
      <c r="K15" s="21">
        <f>IF(IF(AND(ISNA(K$5),ISNA(J$5)),J15*(1+$E15),IF(AND(J$5&gt;0,ISNA(K$5)),J15*(1+$E15),K$5))&gt;$C$20,$C$20,IF(AND(ISNA(K$5),ISNA(J$5)),J15*(1+$E15),IF(AND(J$5&gt;0,ISNA(K$5)),J15*(1+$E15),K$5)))</f>
        <v>322</v>
      </c>
      <c r="L15" s="21">
        <f>IF(IF(AND(ISNA(L$5),ISNA(K$5)),K15*(1+$E15),IF(AND(K$5&gt;0,ISNA(L$5)),K15*(1+$E15),L$5))&gt;$C$20,$C$20,IF(AND(ISNA(L$5),ISNA(K$5)),K15*(1+$E15),IF(AND(K$5&gt;0,ISNA(L$5)),K15*(1+$E15),L$5)))</f>
        <v>384</v>
      </c>
      <c r="M15" s="21">
        <f>IF(IF(AND(ISNA(M$5),ISNA(L$5)),L15*(1+$E15),IF(AND(L$5&gt;0,ISNA(M$5)),L15*(1+$E15),M$5))&gt;$C$20,$C$20,IF(AND(ISNA(M$5),ISNA(L$5)),L15*(1+$E15),IF(AND(L$5&gt;0,ISNA(M$5)),L15*(1+$E15),M$5)))</f>
        <v>459</v>
      </c>
      <c r="N15" s="21">
        <f>IF(IF(AND(ISNA(N$5),ISNA(M$5)),M15*(1+$E15),IF(AND(M$5&gt;0,ISNA(N$5)),M15*(1+$E15),N$5))&gt;$C$20,$C$20,IF(AND(ISNA(N$5),ISNA(M$5)),M15*(1+$E15),IF(AND(M$5&gt;0,ISNA(N$5)),M15*(1+$E15),N$5)))</f>
        <v>590</v>
      </c>
      <c r="O15" s="21">
        <f>IF(IF(AND(ISNA(O$5),ISNA(N$5)),N15*(1+$E15),IF(AND(N$5&gt;0,ISNA(O$5)),N15*(1+$E15),O$5))&gt;$C$20,$C$20,IF(AND(ISNA(O$5),ISNA(N$5)),N15*(1+$E15),IF(AND(N$5&gt;0,ISNA(O$5)),N15*(1+$E15),O$5)))</f>
        <v>803</v>
      </c>
      <c r="P15" s="21">
        <f>IF(IF(AND(ISNA(P$5),ISNA(O$5)),O15*(1+$E15),IF(AND(O$5&gt;0,ISNA(P$5)),O15*(1+$E15),P$5))&gt;$C$20,$C$20,IF(AND(ISNA(P$5),ISNA(O$5)),O15*(1+$E15),IF(AND(O$5&gt;0,ISNA(P$5)),O15*(1+$E15),P$5)))</f>
        <v>1145</v>
      </c>
      <c r="Q15" s="21">
        <f>IF(IF(AND(ISNA(Q$5),ISNA(P$5)),P15*(1+$E15),IF(AND(P$5&gt;0,ISNA(Q$5)),P15*(1+$E15),Q$5))&gt;$C$20,$C$20,IF(AND(ISNA(Q$5),ISNA(P$5)),P15*(1+$E15),IF(AND(P$5&gt;0,ISNA(Q$5)),P15*(1+$E15),Q$5)))</f>
        <v>1355</v>
      </c>
      <c r="R15" s="21">
        <f>IF(IF(AND(ISNA(R$5),ISNA(Q$5)),Q15*(1+$E15),IF(AND(Q$5&gt;0,ISNA(R$5)),Q15*(1+$E15),R$5))&gt;$C$20,$C$20,IF(AND(ISNA(R$5),ISNA(Q$5)),Q15*(1+$E15),IF(AND(Q$5&gt;0,ISNA(R$5)),Q15*(1+$E15),R$5)))</f>
        <v>1552</v>
      </c>
      <c r="S15" s="21">
        <f>IF(IF(AND(ISNA(S$5),ISNA(R$5)),R15*(1+$E15),IF(AND(R$5&gt;0,ISNA(S$5)),R15*(1+$E15),S$5))&gt;$C$20,$C$20,IF(AND(ISNA(S$5),ISNA(R$5)),R15*(1+$E15),IF(AND(R$5&gt;0,ISNA(S$5)),R15*(1+$E15),S$5)))</f>
        <v>1960</v>
      </c>
      <c r="T15" s="21">
        <f>IF(IF(AND(ISNA(T$5),ISNA(S$5)),S15*(1+$E15),IF(AND(S$5&gt;0,ISNA(T$5)),S15*(1+$E15),T$5))&gt;$C$20,$C$20,IF(AND(ISNA(T$5),ISNA(S$5)),S15*(1+$E15),IF(AND(S$5&gt;0,ISNA(T$5)),S15*(1+$E15),T$5)))</f>
        <v>2626</v>
      </c>
      <c r="U15" s="21">
        <f>IF(IF(AND(ISNA(U$5),ISNA(T$5)),T15*(1+$E15),IF(AND(T$5&gt;0,ISNA(U$5)),T15*(1+$E15),U$5))&gt;$C$20,$C$20,IF(AND(ISNA(U$5),ISNA(T$5)),T15*(1+$E15),IF(AND(T$5&gt;0,ISNA(U$5)),T15*(1+$E15),U$5)))</f>
        <v>3676.3999999999996</v>
      </c>
      <c r="V15" s="21">
        <f>IF(IF(AND(ISNA(V$5),ISNA(U$5)),U15*(1+$E15),IF(AND(U$5&gt;0,ISNA(V$5)),U15*(1+$E15),V$5))&gt;$C$20,$C$20,IF(AND(ISNA(V$5),ISNA(U$5)),U15*(1+$E15),IF(AND(U$5&gt;0,ISNA(V$5)),U15*(1+$E15),V$5)))</f>
        <v>5146.9599999999991</v>
      </c>
      <c r="W15" s="21">
        <f>IF(IF(AND(ISNA(W$5),ISNA(V$5)),V15*(1+$E15),IF(AND(V$5&gt;0,ISNA(W$5)),V15*(1+$E15),W$5))&gt;$C$20,$C$20,IF(AND(ISNA(W$5),ISNA(V$5)),V15*(1+$E15),IF(AND(V$5&gt;0,ISNA(W$5)),V15*(1+$E15),W$5)))</f>
        <v>7205.7439999999979</v>
      </c>
      <c r="X15" s="21">
        <f>IF(IF(AND(ISNA(X$5),ISNA(W$5)),W15*(1+$E15),IF(AND(W$5&gt;0,ISNA(X$5)),W15*(1+$E15),X$5))&gt;$C$20,$C$20,IF(AND(ISNA(X$5),ISNA(W$5)),W15*(1+$E15),IF(AND(W$5&gt;0,ISNA(X$5)),W15*(1+$E15),X$5)))</f>
        <v>10088.041599999997</v>
      </c>
      <c r="Y15" s="21">
        <f>IF(IF(AND(ISNA(Y$5),ISNA(X$5)),X15*(1+$E15),IF(AND(X$5&gt;0,ISNA(Y$5)),X15*(1+$E15),Y$5))&gt;$C$20,$C$20,IF(AND(ISNA(Y$5),ISNA(X$5)),X15*(1+$E15),IF(AND(X$5&gt;0,ISNA(Y$5)),X15*(1+$E15),Y$5)))</f>
        <v>14123.258239999996</v>
      </c>
      <c r="Z15" s="21">
        <f>IF(IF(AND(ISNA(Z$5),ISNA(Y$5)),Y15*(1+$E15),IF(AND(Y$5&gt;0,ISNA(Z$5)),Y15*(1+$E15),Z$5))&gt;$C$20,$C$20,IF(AND(ISNA(Z$5),ISNA(Y$5)),Y15*(1+$E15),IF(AND(Y$5&gt;0,ISNA(Z$5)),Y15*(1+$E15),Z$5)))</f>
        <v>19772.561535999994</v>
      </c>
      <c r="AA15" s="21">
        <f>IF(IF(AND(ISNA(AA$5),ISNA(Z$5)),Z15*(1+$E15),IF(AND(Z$5&gt;0,ISNA(AA$5)),Z15*(1+$E15),AA$5))&gt;$C$20,$C$20,IF(AND(ISNA(AA$5),ISNA(Z$5)),Z15*(1+$E15),IF(AND(Z$5&gt;0,ISNA(AA$5)),Z15*(1+$E15),AA$5)))</f>
        <v>27681.586150399991</v>
      </c>
      <c r="AB15" s="21">
        <f>IF(IF(AND(ISNA(AB$5),ISNA(AA$5)),AA15*(1+$E15),IF(AND(AA$5&gt;0,ISNA(AB$5)),AA15*(1+$E15),AB$5))&gt;$C$20,$C$20,IF(AND(ISNA(AB$5),ISNA(AA$5)),AA15*(1+$E15),IF(AND(AA$5&gt;0,ISNA(AB$5)),AA15*(1+$E15),AB$5)))</f>
        <v>38754.220610559983</v>
      </c>
      <c r="AC15" s="21">
        <f>IF(IF(AND(ISNA(AC$5),ISNA(AB$5)),AB15*(1+$E15),IF(AND(AB$5&gt;0,ISNA(AC$5)),AB15*(1+$E15),AC$5))&gt;$C$20,$C$20,IF(AND(ISNA(AC$5),ISNA(AB$5)),AB15*(1+$E15),IF(AND(AB$5&gt;0,ISNA(AC$5)),AB15*(1+$E15),AC$5)))</f>
        <v>54255.908854783971</v>
      </c>
      <c r="AD15" s="21">
        <f>IF(IF(AND(ISNA(AD$5),ISNA(AC$5)),AC15*(1+$E15),IF(AND(AC$5&gt;0,ISNA(AD$5)),AC15*(1+$E15),AD$5))&gt;$C$20,$C$20,IF(AND(ISNA(AD$5),ISNA(AC$5)),AC15*(1+$E15),IF(AND(AC$5&gt;0,ISNA(AD$5)),AC15*(1+$E15),AD$5)))</f>
        <v>75958.272396697561</v>
      </c>
      <c r="AE15" s="21">
        <f>IF(IF(AND(ISNA(AE$5),ISNA(AD$5)),AD15*(1+$E15),IF(AND(AD$5&gt;0,ISNA(AE$5)),AD15*(1+$E15),AE$5))&gt;$C$20,$C$20,IF(AND(ISNA(AE$5),ISNA(AD$5)),AD15*(1+$E15),IF(AND(AD$5&gt;0,ISNA(AE$5)),AD15*(1+$E15),AE$5)))</f>
        <v>106341.58135537658</v>
      </c>
      <c r="AF15" s="21">
        <f>IF(IF(AND(ISNA(AF$5),ISNA(AE$5)),AE15*(1+$E15),IF(AND(AE$5&gt;0,ISNA(AF$5)),AE15*(1+$E15),AF$5))&gt;$C$20,$C$20,IF(AND(ISNA(AF$5),ISNA(AE$5)),AE15*(1+$E15),IF(AND(AE$5&gt;0,ISNA(AF$5)),AE15*(1+$E15),AF$5)))</f>
        <v>148878.2138975272</v>
      </c>
      <c r="AG15" s="21">
        <f>IF(IF(AND(ISNA(AG$5),ISNA(AF$5)),AF15*(1+$E15),IF(AND(AF$5&gt;0,ISNA(AG$5)),AF15*(1+$E15),AG$5))&gt;$C$20,$C$20,IF(AND(ISNA(AG$5),ISNA(AF$5)),AF15*(1+$E15),IF(AND(AF$5&gt;0,ISNA(AG$5)),AF15*(1+$E15),AG$5)))</f>
        <v>208429.49945653806</v>
      </c>
      <c r="AH15" s="21">
        <f>IF(IF(AND(ISNA(AH$5),ISNA(AG$5)),AG15*(1+$E15),IF(AND(AG$5&gt;0,ISNA(AH$5)),AG15*(1+$E15),AH$5))&gt;$C$20,$C$20,IF(AND(ISNA(AH$5),ISNA(AG$5)),AG15*(1+$E15),IF(AND(AG$5&gt;0,ISNA(AH$5)),AG15*(1+$E15),AH$5)))</f>
        <v>291801.29923915328</v>
      </c>
      <c r="AI15" s="21">
        <f>IF(IF(AND(ISNA(AI$5),ISNA(AH$5)),AH15*(1+$E15),IF(AND(AH$5&gt;0,ISNA(AI$5)),AH15*(1+$E15),AI$5))&gt;$C$20,$C$20,IF(AND(ISNA(AI$5),ISNA(AH$5)),AH15*(1+$E15),IF(AND(AH$5&gt;0,ISNA(AI$5)),AH15*(1+$E15),AI$5)))</f>
        <v>408521.81893481454</v>
      </c>
      <c r="AJ15" s="21">
        <f>IF(IF(AND(ISNA(AJ$5),ISNA(AI$5)),AI15*(1+$E15),IF(AND(AI$5&gt;0,ISNA(AJ$5)),AI15*(1+$E15),AJ$5))&gt;$C$20,$C$20,IF(AND(ISNA(AJ$5),ISNA(AI$5)),AI15*(1+$E15),IF(AND(AI$5&gt;0,ISNA(AJ$5)),AI15*(1+$E15),AJ$5)))</f>
        <v>571930.54650874028</v>
      </c>
      <c r="AK15" s="21">
        <f>IF(IF(AND(ISNA(AK$5),ISNA(AJ$5)),AJ15*(1+$E15),IF(AND(AJ$5&gt;0,ISNA(AK$5)),AJ15*(1+$E15),AK$5))&gt;$C$20,$C$20,IF(AND(ISNA(AK$5),ISNA(AJ$5)),AJ15*(1+$E15),IF(AND(AJ$5&gt;0,ISNA(AK$5)),AJ15*(1+$E15),AK$5)))</f>
        <v>800702.76511223637</v>
      </c>
      <c r="AL15" s="21">
        <f>IF(IF(AND(ISNA(AL$5),ISNA(AK$5)),AK15*(1+$E15),IF(AND(AK$5&gt;0,ISNA(AL$5)),AK15*(1+$E15),AL$5))&gt;$C$20,$C$20,IF(AND(ISNA(AL$5),ISNA(AK$5)),AK15*(1+$E15),IF(AND(AK$5&gt;0,ISNA(AL$5)),AK15*(1+$E15),AL$5)))</f>
        <v>1120983.8711571309</v>
      </c>
      <c r="AM15" s="21">
        <f>IF(IF(AND(ISNA(AM$5),ISNA(AL$5)),AL15*(1+$E15),IF(AND(AL$5&gt;0,ISNA(AM$5)),AL15*(1+$E15),AM$5))&gt;$C$20,$C$20,IF(AND(ISNA(AM$5),ISNA(AL$5)),AL15*(1+$E15),IF(AND(AL$5&gt;0,ISNA(AM$5)),AL15*(1+$E15),AM$5)))</f>
        <v>1569377.4196199833</v>
      </c>
      <c r="AN15" s="21">
        <f>IF(IF(AND(ISNA(AN$5),ISNA(AM$5)),AM15*(1+$E15),IF(AND(AM$5&gt;0,ISNA(AN$5)),AM15*(1+$E15),AN$5))&gt;$C$20,$C$20,IF(AND(ISNA(AN$5),ISNA(AM$5)),AM15*(1+$E15),IF(AND(AM$5&gt;0,ISNA(AN$5)),AM15*(1+$E15),AN$5)))</f>
        <v>2197128.3874679767</v>
      </c>
      <c r="AO15" s="21">
        <f>IF(IF(AND(ISNA(AO$5),ISNA(AN$5)),AN15*(1+$E15),IF(AND(AN$5&gt;0,ISNA(AO$5)),AN15*(1+$E15),AO$5))&gt;$C$20,$C$20,IF(AND(ISNA(AO$5),ISNA(AN$5)),AN15*(1+$E15),IF(AND(AN$5&gt;0,ISNA(AO$5)),AN15*(1+$E15),AO$5)))</f>
        <v>3075979.7424551672</v>
      </c>
      <c r="AP15" s="21">
        <f>IF(IF(AND(ISNA(AP$5),ISNA(AO$5)),AO15*(1+$E15),IF(AND(AO$5&gt;0,ISNA(AP$5)),AO15*(1+$E15),AP$5))&gt;$C$20,$C$20,IF(AND(ISNA(AP$5),ISNA(AO$5)),AO15*(1+$E15),IF(AND(AO$5&gt;0,ISNA(AP$5)),AO15*(1+$E15),AP$5)))</f>
        <v>4306371.639437234</v>
      </c>
      <c r="AQ15" s="21">
        <f>IF(IF(AND(ISNA(AQ$5),ISNA(AP$5)),AP15*(1+$E15),IF(AND(AP$5&gt;0,ISNA(AQ$5)),AP15*(1+$E15),AQ$5))&gt;$C$20,$C$20,IF(AND(ISNA(AQ$5),ISNA(AP$5)),AP15*(1+$E15),IF(AND(AP$5&gt;0,ISNA(AQ$5)),AP15*(1+$E15),AQ$5)))</f>
        <v>6028920.2952121273</v>
      </c>
      <c r="AR15" s="21">
        <f>IF(IF(AND(ISNA(AR$5),ISNA(AQ$5)),AQ15*(1+$E15),IF(AND(AQ$5&gt;0,ISNA(AR$5)),AQ15*(1+$E15),AR$5))&gt;$C$20,$C$20,IF(AND(ISNA(AR$5),ISNA(AQ$5)),AQ15*(1+$E15),IF(AND(AQ$5&gt;0,ISNA(AR$5)),AQ15*(1+$E15),AR$5)))</f>
        <v>8440488.4132969771</v>
      </c>
      <c r="AS15" s="21">
        <f>IF(IF(AND(ISNA(AS$5),ISNA(AR$5)),AR15*(1+$E15),IF(AND(AR$5&gt;0,ISNA(AS$5)),AR15*(1+$E15),AS$5))&gt;$C$20,$C$20,IF(AND(ISNA(AS$5),ISNA(AR$5)),AR15*(1+$E15),IF(AND(AR$5&gt;0,ISNA(AS$5)),AR15*(1+$E15),AS$5)))</f>
        <v>11816683.778615767</v>
      </c>
      <c r="AT15" s="21">
        <f>IF(IF(AND(ISNA(AT$5),ISNA(AS$5)),AS15*(1+$E15),IF(AND(AS$5&gt;0,ISNA(AT$5)),AS15*(1+$E15),AT$5))&gt;$C$20,$C$20,IF(AND(ISNA(AT$5),ISNA(AS$5)),AS15*(1+$E15),IF(AND(AS$5&gt;0,ISNA(AT$5)),AS15*(1+$E15),AT$5)))</f>
        <v>16543357.290062074</v>
      </c>
      <c r="AU15" s="21">
        <f>IF(IF(AND(ISNA(AU$5),ISNA(AT$5)),AT15*(1+$E15),IF(AND(AT$5&gt;0,ISNA(AU$5)),AT15*(1+$E15),AU$5))&gt;$C$20,$C$20,IF(AND(ISNA(AU$5),ISNA(AT$5)),AT15*(1+$E15),IF(AND(AT$5&gt;0,ISNA(AU$5)),AT15*(1+$E15),AU$5)))</f>
        <v>23160700.2060869</v>
      </c>
      <c r="AV15" s="21">
        <f>IF(IF(AND(ISNA(AV$5),ISNA(AU$5)),AU15*(1+$E15),IF(AND(AU$5&gt;0,ISNA(AV$5)),AU15*(1+$E15),AV$5))&gt;$C$20,$C$20,IF(AND(ISNA(AV$5),ISNA(AU$5)),AU15*(1+$E15),IF(AND(AU$5&gt;0,ISNA(AV$5)),AU15*(1+$E15),AV$5)))</f>
        <v>27154404.400000002</v>
      </c>
      <c r="AW15" s="21">
        <f>IF(IF(AND(ISNA(AW$5),ISNA(AV$5)),AV15*(1+$E15),IF(AND(AV$5&gt;0,ISNA(AW$5)),AV15*(1+$E15),AW$5))&gt;$C$20,$C$20,IF(AND(ISNA(AW$5),ISNA(AV$5)),AV15*(1+$E15),IF(AND(AV$5&gt;0,ISNA(AW$5)),AV15*(1+$E15),AW$5)))</f>
        <v>27154404.400000002</v>
      </c>
      <c r="AX15" s="21">
        <f>IF(IF(AND(ISNA(AX$5),ISNA(AW$5)),AW15*(1+$E15),IF(AND(AW$5&gt;0,ISNA(AX$5)),AW15*(1+$E15),AX$5))&gt;$C$20,$C$20,IF(AND(ISNA(AX$5),ISNA(AW$5)),AW15*(1+$E15),IF(AND(AW$5&gt;0,ISNA(AX$5)),AW15*(1+$E15),AX$5)))</f>
        <v>27154404.400000002</v>
      </c>
      <c r="AY15" s="21">
        <f>IF(IF(AND(ISNA(AY$5),ISNA(AX$5)),AX15*(1+$E15),IF(AND(AX$5&gt;0,ISNA(AY$5)),AX15*(1+$E15),AY$5))&gt;$C$20,$C$20,IF(AND(ISNA(AY$5),ISNA(AX$5)),AX15*(1+$E15),IF(AND(AX$5&gt;0,ISNA(AY$5)),AX15*(1+$E15),AY$5)))</f>
        <v>27154404.400000002</v>
      </c>
      <c r="AZ15" s="21">
        <f>IF(IF(AND(ISNA(AZ$5),ISNA(AY$5)),AY15*(1+$E15),IF(AND(AY$5&gt;0,ISNA(AZ$5)),AY15*(1+$E15),AZ$5))&gt;$C$20,$C$20,IF(AND(ISNA(AZ$5),ISNA(AY$5)),AY15*(1+$E15),IF(AND(AY$5&gt;0,ISNA(AZ$5)),AY15*(1+$E15),AZ$5)))</f>
        <v>27154404.400000002</v>
      </c>
      <c r="BA15" s="21">
        <f>IF(IF(AND(ISNA(BA$5),ISNA(AZ$5)),AZ15*(1+$E15),IF(AND(AZ$5&gt;0,ISNA(BA$5)),AZ15*(1+$E15),BA$5))&gt;$C$20,$C$20,IF(AND(ISNA(BA$5),ISNA(AZ$5)),AZ15*(1+$E15),IF(AND(AZ$5&gt;0,ISNA(BA$5)),AZ15*(1+$E15),BA$5)))</f>
        <v>27154404.400000002</v>
      </c>
      <c r="BB15" s="21">
        <f>IF(IF(AND(ISNA(BB$5),ISNA(BA$5)),BA15*(1+$E15),IF(AND(BA$5&gt;0,ISNA(BB$5)),BA15*(1+$E15),BB$5))&gt;$C$20,$C$20,IF(AND(ISNA(BB$5),ISNA(BA$5)),BA15*(1+$E15),IF(AND(BA$5&gt;0,ISNA(BB$5)),BA15*(1+$E15),BB$5)))</f>
        <v>27154404.400000002</v>
      </c>
      <c r="BC15" s="21">
        <f>IF(IF(AND(ISNA(BC$5),ISNA(BB$5)),BB15*(1+$E15),IF(AND(BB$5&gt;0,ISNA(BC$5)),BB15*(1+$E15),BC$5))&gt;$C$20,$C$20,IF(AND(ISNA(BC$5),ISNA(BB$5)),BB15*(1+$E15),IF(AND(BB$5&gt;0,ISNA(BC$5)),BB15*(1+$E15),BC$5)))</f>
        <v>27154404.400000002</v>
      </c>
      <c r="BD15" s="21">
        <f>IF(IF(AND(ISNA(BD$5),ISNA(BC$5)),BC15*(1+$E15),IF(AND(BC$5&gt;0,ISNA(BD$5)),BC15*(1+$E15),BD$5))&gt;$C$20,$C$20,IF(AND(ISNA(BD$5),ISNA(BC$5)),BC15*(1+$E15),IF(AND(BC$5&gt;0,ISNA(BD$5)),BC15*(1+$E15),BD$5)))</f>
        <v>27154404.400000002</v>
      </c>
      <c r="BE15" s="21">
        <f>IF(IF(AND(ISNA(BE$5),ISNA(BD$5)),BD15*(1+$E15),IF(AND(BD$5&gt;0,ISNA(BE$5)),BD15*(1+$E15),BE$5))&gt;$C$20,$C$20,IF(AND(ISNA(BE$5),ISNA(BD$5)),BD15*(1+$E15),IF(AND(BD$5&gt;0,ISNA(BE$5)),BD15*(1+$E15),BE$5)))</f>
        <v>27154404.400000002</v>
      </c>
      <c r="BF15" s="21">
        <f>IF(IF(AND(ISNA(BF$5),ISNA(BE$5)),BE15*(1+$E15),IF(AND(BE$5&gt;0,ISNA(BF$5)),BE15*(1+$E15),BF$5))&gt;$C$20,$C$20,IF(AND(ISNA(BF$5),ISNA(BE$5)),BE15*(1+$E15),IF(AND(BE$5&gt;0,ISNA(BF$5)),BE15*(1+$E15),BF$5)))</f>
        <v>27154404.400000002</v>
      </c>
      <c r="BG15" s="21">
        <f>IF(IF(AND(ISNA(BG$5),ISNA(BF$5)),BF15*(1+$E15),IF(AND(BF$5&gt;0,ISNA(BG$5)),BF15*(1+$E15),BG$5))&gt;$C$20,$C$20,IF(AND(ISNA(BG$5),ISNA(BF$5)),BF15*(1+$E15),IF(AND(BF$5&gt;0,ISNA(BG$5)),BF15*(1+$E15),BG$5)))</f>
        <v>27154404.400000002</v>
      </c>
      <c r="BH15" s="21">
        <f>IF(IF(AND(ISNA(BH$5),ISNA(BG$5)),BG15*(1+$E15),IF(AND(BG$5&gt;0,ISNA(BH$5)),BG15*(1+$E15),BH$5))&gt;$C$20,$C$20,IF(AND(ISNA(BH$5),ISNA(BG$5)),BG15*(1+$E15),IF(AND(BG$5&gt;0,ISNA(BH$5)),BG15*(1+$E15),BH$5)))</f>
        <v>27154404.400000002</v>
      </c>
      <c r="BI15" s="21">
        <f>IF(IF(AND(ISNA(BI$5),ISNA(BH$5)),BH15*(1+$E15),IF(AND(BH$5&gt;0,ISNA(BI$5)),BH15*(1+$E15),BI$5))&gt;$C$20,$C$20,IF(AND(ISNA(BI$5),ISNA(BH$5)),BH15*(1+$E15),IF(AND(BH$5&gt;0,ISNA(BI$5)),BH15*(1+$E15),BI$5)))</f>
        <v>27154404.400000002</v>
      </c>
      <c r="BJ15" s="21">
        <f>IF(IF(AND(ISNA(BJ$5),ISNA(BI$5)),BI15*(1+$E15),IF(AND(BI$5&gt;0,ISNA(BJ$5)),BI15*(1+$E15),BJ$5))&gt;$C$20,$C$20,IF(AND(ISNA(BJ$5),ISNA(BI$5)),BI15*(1+$E15),IF(AND(BI$5&gt;0,ISNA(BJ$5)),BI15*(1+$E15),BJ$5)))</f>
        <v>27154404.400000002</v>
      </c>
      <c r="BK15" s="21">
        <f>IF(IF(AND(ISNA(BK$5),ISNA(BJ$5)),BJ15*(1+$E15),IF(AND(BJ$5&gt;0,ISNA(BK$5)),BJ15*(1+$E15),BK$5))&gt;$C$20,$C$20,IF(AND(ISNA(BK$5),ISNA(BJ$5)),BJ15*(1+$E15),IF(AND(BJ$5&gt;0,ISNA(BK$5)),BJ15*(1+$E15),BK$5)))</f>
        <v>27154404.400000002</v>
      </c>
      <c r="BL15" s="21">
        <f>IF(IF(AND(ISNA(BL$5),ISNA(BK$5)),BK15*(1+$E15),IF(AND(BK$5&gt;0,ISNA(BL$5)),BK15*(1+$E15),BL$5))&gt;$C$20,$C$20,IF(AND(ISNA(BL$5),ISNA(BK$5)),BK15*(1+$E15),IF(AND(BK$5&gt;0,ISNA(BL$5)),BK15*(1+$E15),BL$5)))</f>
        <v>27154404.400000002</v>
      </c>
      <c r="BM15" s="21">
        <f>IF(IF(AND(ISNA(BM$5),ISNA(BL$5)),BL15*(1+$E15),IF(AND(BL$5&gt;0,ISNA(BM$5)),BL15*(1+$E15),BM$5))&gt;$C$20,$C$20,IF(AND(ISNA(BM$5),ISNA(BL$5)),BL15*(1+$E15),IF(AND(BL$5&gt;0,ISNA(BM$5)),BL15*(1+$E15),BM$5)))</f>
        <v>27154404.400000002</v>
      </c>
      <c r="BN15" s="21">
        <f>IF(IF(AND(ISNA(BN$5),ISNA(BM$5)),BM15*(1+$E15),IF(AND(BM$5&gt;0,ISNA(BN$5)),BM15*(1+$E15),BN$5))&gt;$C$20,$C$20,IF(AND(ISNA(BN$5),ISNA(BM$5)),BM15*(1+$E15),IF(AND(BM$5&gt;0,ISNA(BN$5)),BM15*(1+$E15),BN$5)))</f>
        <v>27154404.400000002</v>
      </c>
      <c r="BO15" s="21">
        <f>IF(IF(AND(ISNA(BO$5),ISNA(BN$5)),BN15*(1+$E15),IF(AND(BN$5&gt;0,ISNA(BO$5)),BN15*(1+$E15),BO$5))&gt;$C$20,$C$20,IF(AND(ISNA(BO$5),ISNA(BN$5)),BN15*(1+$E15),IF(AND(BN$5&gt;0,ISNA(BO$5)),BN15*(1+$E15),BO$5)))</f>
        <v>27154404.400000002</v>
      </c>
      <c r="BP15" s="21">
        <f>IF(IF(AND(ISNA(BP$5),ISNA(BO$5)),BO15*(1+$E15),IF(AND(BO$5&gt;0,ISNA(BP$5)),BO15*(1+$E15),BP$5))&gt;$C$20,$C$20,IF(AND(ISNA(BP$5),ISNA(BO$5)),BO15*(1+$E15),IF(AND(BO$5&gt;0,ISNA(BP$5)),BO15*(1+$E15),BP$5)))</f>
        <v>27154404.400000002</v>
      </c>
      <c r="BQ15" s="21">
        <f>IF(IF(AND(ISNA(BQ$5),ISNA(BP$5)),BP15*(1+$E15),IF(AND(BP$5&gt;0,ISNA(BQ$5)),BP15*(1+$E15),BQ$5))&gt;$C$20,$C$20,IF(AND(ISNA(BQ$5),ISNA(BP$5)),BP15*(1+$E15),IF(AND(BP$5&gt;0,ISNA(BQ$5)),BP15*(1+$E15),BQ$5)))</f>
        <v>27154404.400000002</v>
      </c>
      <c r="BR15" s="21">
        <f>IF(IF(AND(ISNA(BR$5),ISNA(BQ$5)),BQ15*(1+$E15),IF(AND(BQ$5&gt;0,ISNA(BR$5)),BQ15*(1+$E15),BR$5))&gt;$C$20,$C$20,IF(AND(ISNA(BR$5),ISNA(BQ$5)),BQ15*(1+$E15),IF(AND(BQ$5&gt;0,ISNA(BR$5)),BQ15*(1+$E15),BR$5)))</f>
        <v>27154404.400000002</v>
      </c>
      <c r="BS15" s="21">
        <f>IF(IF(AND(ISNA(BS$5),ISNA(BR$5)),BR15*(1+$E15),IF(AND(BR$5&gt;0,ISNA(BS$5)),BR15*(1+$E15),BS$5))&gt;$C$20,$C$20,IF(AND(ISNA(BS$5),ISNA(BR$5)),BR15*(1+$E15),IF(AND(BR$5&gt;0,ISNA(BS$5)),BR15*(1+$E15),BS$5)))</f>
        <v>27154404.400000002</v>
      </c>
      <c r="BT15" s="21">
        <f>IF(IF(AND(ISNA(BT$5),ISNA(BS$5)),BS15*(1+$E15),IF(AND(BS$5&gt;0,ISNA(BT$5)),BS15*(1+$E15),BT$5))&gt;$C$20,$C$20,IF(AND(ISNA(BT$5),ISNA(BS$5)),BS15*(1+$E15),IF(AND(BS$5&gt;0,ISNA(BT$5)),BS15*(1+$E15),BT$5)))</f>
        <v>27154404.400000002</v>
      </c>
      <c r="BU15" s="21">
        <f>IF(IF(AND(ISNA(BU$5),ISNA(BT$5)),BT15*(1+$E15),IF(AND(BT$5&gt;0,ISNA(BU$5)),BT15*(1+$E15),BU$5))&gt;$C$20,$C$20,IF(AND(ISNA(BU$5),ISNA(BT$5)),BT15*(1+$E15),IF(AND(BT$5&gt;0,ISNA(BU$5)),BT15*(1+$E15),BU$5)))</f>
        <v>27154404.400000002</v>
      </c>
      <c r="BV15" s="21">
        <f>IF(IF(AND(ISNA(BV$5),ISNA(BU$5)),BU15*(1+$E15),IF(AND(BU$5&gt;0,ISNA(BV$5)),BU15*(1+$E15),BV$5))&gt;$C$20,$C$20,IF(AND(ISNA(BV$5),ISNA(BU$5)),BU15*(1+$E15),IF(AND(BU$5&gt;0,ISNA(BV$5)),BU15*(1+$E15),BV$5)))</f>
        <v>27154404.400000002</v>
      </c>
      <c r="BW15" s="21">
        <f>IF(IF(AND(ISNA(BW$5),ISNA(BV$5)),BV15*(1+$E15),IF(AND(BV$5&gt;0,ISNA(BW$5)),BV15*(1+$E15),BW$5))&gt;$C$20,$C$20,IF(AND(ISNA(BW$5),ISNA(BV$5)),BV15*(1+$E15),IF(AND(BV$5&gt;0,ISNA(BW$5)),BV15*(1+$E15),BW$5)))</f>
        <v>27154404.400000002</v>
      </c>
      <c r="BX15" s="21">
        <f>IF(IF(AND(ISNA(BX$5),ISNA(BW$5)),BW15*(1+$E15),IF(AND(BW$5&gt;0,ISNA(BX$5)),BW15*(1+$E15),BX$5))&gt;$C$20,$C$20,IF(AND(ISNA(BX$5),ISNA(BW$5)),BW15*(1+$E15),IF(AND(BW$5&gt;0,ISNA(BX$5)),BW15*(1+$E15),BX$5)))</f>
        <v>27154404.400000002</v>
      </c>
      <c r="BY15" s="21">
        <f>IF(IF(AND(ISNA(BY$5),ISNA(BX$5)),BX15*(1+$E15),IF(AND(BX$5&gt;0,ISNA(BY$5)),BX15*(1+$E15),BY$5))&gt;$C$20,$C$20,IF(AND(ISNA(BY$5),ISNA(BX$5)),BX15*(1+$E15),IF(AND(BX$5&gt;0,ISNA(BY$5)),BX15*(1+$E15),BY$5)))</f>
        <v>27154404.400000002</v>
      </c>
      <c r="BZ15" s="21">
        <f>IF(IF(AND(ISNA(BZ$5),ISNA(BY$5)),BY15*(1+$E15),IF(AND(BY$5&gt;0,ISNA(BZ$5)),BY15*(1+$E15),BZ$5))&gt;$C$20,$C$20,IF(AND(ISNA(BZ$5),ISNA(BY$5)),BY15*(1+$E15),IF(AND(BY$5&gt;0,ISNA(BZ$5)),BY15*(1+$E15),BZ$5)))</f>
        <v>27154404.400000002</v>
      </c>
      <c r="CA15" s="21">
        <f>IF(IF(AND(ISNA(CA$5),ISNA(BZ$5)),BZ15*(1+$E15),IF(AND(BZ$5&gt;0,ISNA(CA$5)),BZ15*(1+$E15),CA$5))&gt;$C$20,$C$20,IF(AND(ISNA(CA$5),ISNA(BZ$5)),BZ15*(1+$E15),IF(AND(BZ$5&gt;0,ISNA(CA$5)),BZ15*(1+$E15),CA$5)))</f>
        <v>27154404.400000002</v>
      </c>
      <c r="CB15" s="21">
        <f>IF(IF(AND(ISNA(CB$5),ISNA(CA$5)),CA15*(1+$E15),IF(AND(CA$5&gt;0,ISNA(CB$5)),CA15*(1+$E15),CB$5))&gt;$C$20,$C$20,IF(AND(ISNA(CB$5),ISNA(CA$5)),CA15*(1+$E15),IF(AND(CA$5&gt;0,ISNA(CB$5)),CA15*(1+$E15),CB$5)))</f>
        <v>27154404.400000002</v>
      </c>
      <c r="CC15" s="21">
        <f>IF(IF(AND(ISNA(CC$5),ISNA(CB$5)),CB15*(1+$E15),IF(AND(CB$5&gt;0,ISNA(CC$5)),CB15*(1+$E15),CC$5))&gt;$C$20,$C$20,IF(AND(ISNA(CC$5),ISNA(CB$5)),CB15*(1+$E15),IF(AND(CB$5&gt;0,ISNA(CC$5)),CB15*(1+$E15),CC$5)))</f>
        <v>27154404.400000002</v>
      </c>
      <c r="CD15" s="21">
        <f>IF(IF(AND(ISNA(CD$5),ISNA(CC$5)),CC15*(1+$E15),IF(AND(CC$5&gt;0,ISNA(CD$5)),CC15*(1+$E15),CD$5))&gt;$C$20,$C$20,IF(AND(ISNA(CD$5),ISNA(CC$5)),CC15*(1+$E15),IF(AND(CC$5&gt;0,ISNA(CD$5)),CC15*(1+$E15),CD$5)))</f>
        <v>27154404.400000002</v>
      </c>
      <c r="CE15" s="21">
        <f>IF(IF(AND(ISNA(CE$5),ISNA(CD$5)),CD15*(1+$E15),IF(AND(CD$5&gt;0,ISNA(CE$5)),CD15*(1+$E15),CE$5))&gt;$C$20,$C$20,IF(AND(ISNA(CE$5),ISNA(CD$5)),CD15*(1+$E15),IF(AND(CD$5&gt;0,ISNA(CE$5)),CD15*(1+$E15),CE$5)))</f>
        <v>27154404.400000002</v>
      </c>
      <c r="CF15" s="21">
        <f>IF(IF(AND(ISNA(CF$5),ISNA(CE$5)),CE15*(1+$E15),IF(AND(CE$5&gt;0,ISNA(CF$5)),CE15*(1+$E15),CF$5))&gt;$C$20,$C$20,IF(AND(ISNA(CF$5),ISNA(CE$5)),CE15*(1+$E15),IF(AND(CE$5&gt;0,ISNA(CF$5)),CE15*(1+$E15),CF$5)))</f>
        <v>27154404.400000002</v>
      </c>
      <c r="CG15" s="21">
        <f>IF(IF(AND(ISNA(CG$5),ISNA(CF$5)),CF15*(1+$E15),IF(AND(CF$5&gt;0,ISNA(CG$5)),CF15*(1+$E15),CG$5))&gt;$C$20,$C$20,IF(AND(ISNA(CG$5),ISNA(CF$5)),CF15*(1+$E15),IF(AND(CF$5&gt;0,ISNA(CG$5)),CF15*(1+$E15),CG$5)))</f>
        <v>27154404.400000002</v>
      </c>
      <c r="CH15" s="21">
        <f>IF(IF(AND(ISNA(CH$5),ISNA(CG$5)),CG15*(1+$E15),IF(AND(CG$5&gt;0,ISNA(CH$5)),CG15*(1+$E15),CH$5))&gt;$C$20,$C$20,IF(AND(ISNA(CH$5),ISNA(CG$5)),CG15*(1+$E15),IF(AND(CG$5&gt;0,ISNA(CH$5)),CG15*(1+$E15),CH$5)))</f>
        <v>27154404.400000002</v>
      </c>
      <c r="CI15" s="21">
        <f>IF(IF(AND(ISNA(CI$5),ISNA(CH$5)),CH15*(1+$E15),IF(AND(CH$5&gt;0,ISNA(CI$5)),CH15*(1+$E15),CI$5))&gt;$C$20,$C$20,IF(AND(ISNA(CI$5),ISNA(CH$5)),CH15*(1+$E15),IF(AND(CH$5&gt;0,ISNA(CI$5)),CH15*(1+$E15),CI$5)))</f>
        <v>27154404.400000002</v>
      </c>
      <c r="CJ15" s="21">
        <f>IF(IF(AND(ISNA(CJ$5),ISNA(CI$5)),CI15*(1+$E15),IF(AND(CI$5&gt;0,ISNA(CJ$5)),CI15*(1+$E15),CJ$5))&gt;$C$20,$C$20,IF(AND(ISNA(CJ$5),ISNA(CI$5)),CI15*(1+$E15),IF(AND(CI$5&gt;0,ISNA(CJ$5)),CI15*(1+$E15),CJ$5)))</f>
        <v>27154404.400000002</v>
      </c>
      <c r="CK15" s="21">
        <f>IF(IF(AND(ISNA(CK$5),ISNA(CJ$5)),CJ15*(1+$E15),IF(AND(CJ$5&gt;0,ISNA(CK$5)),CJ15*(1+$E15),CK$5))&gt;$C$20,$C$20,IF(AND(ISNA(CK$5),ISNA(CJ$5)),CJ15*(1+$E15),IF(AND(CJ$5&gt;0,ISNA(CK$5)),CJ15*(1+$E15),CK$5)))</f>
        <v>27154404.400000002</v>
      </c>
      <c r="CL15" s="21">
        <f>IF(IF(AND(ISNA(CL$5),ISNA(CK$5)),CK15*(1+$E15),IF(AND(CK$5&gt;0,ISNA(CL$5)),CK15*(1+$E15),CL$5))&gt;$C$20,$C$20,IF(AND(ISNA(CL$5),ISNA(CK$5)),CK15*(1+$E15),IF(AND(CK$5&gt;0,ISNA(CL$5)),CK15*(1+$E15),CL$5)))</f>
        <v>27154404.400000002</v>
      </c>
      <c r="CM15" s="21">
        <f>IF(IF(AND(ISNA(CM$5),ISNA(CL$5)),CL15*(1+$E15),IF(AND(CL$5&gt;0,ISNA(CM$5)),CL15*(1+$E15),CM$5))&gt;$C$20,$C$20,IF(AND(ISNA(CM$5),ISNA(CL$5)),CL15*(1+$E15),IF(AND(CL$5&gt;0,ISNA(CM$5)),CL15*(1+$E15),CM$5)))</f>
        <v>27154404.400000002</v>
      </c>
      <c r="CN15" s="21">
        <f>IF(IF(AND(ISNA(CN$5),ISNA(CM$5)),CM15*(1+$E15),IF(AND(CM$5&gt;0,ISNA(CN$5)),CM15*(1+$E15),CN$5))&gt;$C$20,$C$20,IF(AND(ISNA(CN$5),ISNA(CM$5)),CM15*(1+$E15),IF(AND(CM$5&gt;0,ISNA(CN$5)),CM15*(1+$E15),CN$5)))</f>
        <v>27154404.400000002</v>
      </c>
      <c r="CO15" s="21">
        <f>IF(IF(AND(ISNA(CO$5),ISNA(CN$5)),CN15*(1+$E15),IF(AND(CN$5&gt;0,ISNA(CO$5)),CN15*(1+$E15),CO$5))&gt;$C$20,$C$20,IF(AND(ISNA(CO$5),ISNA(CN$5)),CN15*(1+$E15),IF(AND(CN$5&gt;0,ISNA(CO$5)),CN15*(1+$E15),CO$5)))</f>
        <v>27154404.400000002</v>
      </c>
      <c r="CP15" s="21">
        <f>IF(IF(AND(ISNA(CP$5),ISNA(CO$5)),CO15*(1+$E15),IF(AND(CO$5&gt;0,ISNA(CP$5)),CO15*(1+$E15),CP$5))&gt;$C$20,$C$20,IF(AND(ISNA(CP$5),ISNA(CO$5)),CO15*(1+$E15),IF(AND(CO$5&gt;0,ISNA(CP$5)),CO15*(1+$E15),CP$5)))</f>
        <v>27154404.400000002</v>
      </c>
      <c r="CQ15" s="21">
        <f>IF(IF(AND(ISNA(CQ$5),ISNA(CP$5)),CP15*(1+$E15),IF(AND(CP$5&gt;0,ISNA(CQ$5)),CP15*(1+$E15),CQ$5))&gt;$C$20,$C$20,IF(AND(ISNA(CQ$5),ISNA(CP$5)),CP15*(1+$E15),IF(AND(CP$5&gt;0,ISNA(CQ$5)),CP15*(1+$E15),CQ$5)))</f>
        <v>27154404.400000002</v>
      </c>
      <c r="CR15" s="21">
        <f>IF(IF(AND(ISNA(CR$5),ISNA(CQ$5)),CQ15*(1+$E15),IF(AND(CQ$5&gt;0,ISNA(CR$5)),CQ15*(1+$E15),CR$5))&gt;$C$20,$C$20,IF(AND(ISNA(CR$5),ISNA(CQ$5)),CQ15*(1+$E15),IF(AND(CQ$5&gt;0,ISNA(CR$5)),CQ15*(1+$E15),CR$5)))</f>
        <v>27154404.400000002</v>
      </c>
      <c r="CS15" s="21">
        <f>IF(IF(AND(ISNA(CS$5),ISNA(CR$5)),CR15*(1+$E15),IF(AND(CR$5&gt;0,ISNA(CS$5)),CR15*(1+$E15),CS$5))&gt;$C$20,$C$20,IF(AND(ISNA(CS$5),ISNA(CR$5)),CR15*(1+$E15),IF(AND(CR$5&gt;0,ISNA(CS$5)),CR15*(1+$E15),CS$5)))</f>
        <v>27154404.400000002</v>
      </c>
      <c r="CT15" s="21">
        <f>IF(IF(AND(ISNA(CT$5),ISNA(CS$5)),CS15*(1+$E15),IF(AND(CS$5&gt;0,ISNA(CT$5)),CS15*(1+$E15),CT$5))&gt;$C$20,$C$20,IF(AND(ISNA(CT$5),ISNA(CS$5)),CS15*(1+$E15),IF(AND(CS$5&gt;0,ISNA(CT$5)),CS15*(1+$E15),CT$5)))</f>
        <v>27154404.400000002</v>
      </c>
      <c r="CU15" s="21">
        <f>IF(IF(AND(ISNA(CU$5),ISNA(CT$5)),CT15*(1+$E15),IF(AND(CT$5&gt;0,ISNA(CU$5)),CT15*(1+$E15),CU$5))&gt;$C$20,$C$20,IF(AND(ISNA(CU$5),ISNA(CT$5)),CT15*(1+$E15),IF(AND(CT$5&gt;0,ISNA(CU$5)),CT15*(1+$E15),CU$5)))</f>
        <v>27154404.400000002</v>
      </c>
      <c r="CV15" s="21">
        <f>IF(IF(AND(ISNA(CV$5),ISNA(CU$5)),CU15*(1+$E15),IF(AND(CU$5&gt;0,ISNA(CV$5)),CU15*(1+$E15),CV$5))&gt;$C$20,$C$20,IF(AND(ISNA(CV$5),ISNA(CU$5)),CU15*(1+$E15),IF(AND(CU$5&gt;0,ISNA(CV$5)),CU15*(1+$E15),CV$5)))</f>
        <v>27154404.400000002</v>
      </c>
      <c r="CW15" s="21">
        <f>IF(IF(AND(ISNA(CW$5),ISNA(CV$5)),CV15*(1+$E15),IF(AND(CV$5&gt;0,ISNA(CW$5)),CV15*(1+$E15),CW$5))&gt;$C$20,$C$20,IF(AND(ISNA(CW$5),ISNA(CV$5)),CV15*(1+$E15),IF(AND(CV$5&gt;0,ISNA(CW$5)),CV15*(1+$E15),CW$5)))</f>
        <v>27154404.400000002</v>
      </c>
      <c r="CX15" s="21">
        <f>IF(IF(AND(ISNA(CX$5),ISNA(CW$5)),CW15*(1+$E15),IF(AND(CW$5&gt;0,ISNA(CX$5)),CW15*(1+$E15),CX$5))&gt;$C$20,$C$20,IF(AND(ISNA(CX$5),ISNA(CW$5)),CW15*(1+$E15),IF(AND(CW$5&gt;0,ISNA(CX$5)),CW15*(1+$E15),CX$5)))</f>
        <v>27154404.400000002</v>
      </c>
      <c r="CY15" s="21">
        <f>IF(IF(AND(ISNA(CY$5),ISNA(CX$5)),CX15*(1+$E15),IF(AND(CX$5&gt;0,ISNA(CY$5)),CX15*(1+$E15),CY$5))&gt;$C$20,$C$20,IF(AND(ISNA(CY$5),ISNA(CX$5)),CX15*(1+$E15),IF(AND(CX$5&gt;0,ISNA(CY$5)),CX15*(1+$E15),CY$5)))</f>
        <v>27154404.400000002</v>
      </c>
      <c r="CZ15" s="21">
        <f>IF(IF(AND(ISNA(CZ$5),ISNA(CY$5)),CY15*(1+$E15),IF(AND(CY$5&gt;0,ISNA(CZ$5)),CY15*(1+$E15),CZ$5))&gt;$C$20,$C$20,IF(AND(ISNA(CZ$5),ISNA(CY$5)),CY15*(1+$E15),IF(AND(CY$5&gt;0,ISNA(CZ$5)),CY15*(1+$E15),CZ$5)))</f>
        <v>27154404.400000002</v>
      </c>
      <c r="DA15" s="21">
        <f>IF(IF(AND(ISNA(DA$5),ISNA(CZ$5)),CZ15*(1+$E15),IF(AND(CZ$5&gt;0,ISNA(DA$5)),CZ15*(1+$E15),DA$5))&gt;$C$20,$C$20,IF(AND(ISNA(DA$5),ISNA(CZ$5)),CZ15*(1+$E15),IF(AND(CZ$5&gt;0,ISNA(DA$5)),CZ15*(1+$E15),DA$5)))</f>
        <v>27154404.400000002</v>
      </c>
      <c r="DB15" s="21">
        <f>IF(IF(AND(ISNA(DB$5),ISNA(DA$5)),DA15*(1+$E15),IF(AND(DA$5&gt;0,ISNA(DB$5)),DA15*(1+$E15),DB$5))&gt;$C$20,$C$20,IF(AND(ISNA(DB$5),ISNA(DA$5)),DA15*(1+$E15),IF(AND(DA$5&gt;0,ISNA(DB$5)),DA15*(1+$E15),DB$5)))</f>
        <v>27154404.400000002</v>
      </c>
      <c r="DC15" s="21">
        <f>IF(IF(AND(ISNA(DC$5),ISNA(DB$5)),DB15*(1+$E15),IF(AND(DB$5&gt;0,ISNA(DC$5)),DB15*(1+$E15),DC$5))&gt;$C$20,$C$20,IF(AND(ISNA(DC$5),ISNA(DB$5)),DB15*(1+$E15),IF(AND(DB$5&gt;0,ISNA(DC$5)),DB15*(1+$E15),DC$5)))</f>
        <v>27154404.400000002</v>
      </c>
      <c r="DD15" s="21">
        <f>IF(IF(AND(ISNA(DD$5),ISNA(DC$5)),DC15*(1+$E15),IF(AND(DC$5&gt;0,ISNA(DD$5)),DC15*(1+$E15),DD$5))&gt;$C$20,$C$20,IF(AND(ISNA(DD$5),ISNA(DC$5)),DC15*(1+$E15),IF(AND(DC$5&gt;0,ISNA(DD$5)),DC15*(1+$E15),DD$5)))</f>
        <v>27154404.400000002</v>
      </c>
      <c r="DE15" s="21">
        <f>IF(IF(AND(ISNA(DE$5),ISNA(DD$5)),DD15*(1+$E15),IF(AND(DD$5&gt;0,ISNA(DE$5)),DD15*(1+$E15),DE$5))&gt;$C$20,$C$20,IF(AND(ISNA(DE$5),ISNA(DD$5)),DD15*(1+$E15),IF(AND(DD$5&gt;0,ISNA(DE$5)),DD15*(1+$E15),DE$5)))</f>
        <v>27154404.400000002</v>
      </c>
      <c r="DF15" s="21">
        <f>IF(IF(AND(ISNA(DF$5),ISNA(DE$5)),DE15*(1+$E15),IF(AND(DE$5&gt;0,ISNA(DF$5)),DE15*(1+$E15),DF$5))&gt;$C$20,$C$20,IF(AND(ISNA(DF$5),ISNA(DE$5)),DE15*(1+$E15),IF(AND(DE$5&gt;0,ISNA(DF$5)),DE15*(1+$E15),DF$5)))</f>
        <v>27154404.400000002</v>
      </c>
      <c r="DG15" s="21">
        <f>IF(IF(AND(ISNA(DG$5),ISNA(DF$5)),DF15*(1+$E15),IF(AND(DF$5&gt;0,ISNA(DG$5)),DF15*(1+$E15),DG$5))&gt;$C$20,$C$20,IF(AND(ISNA(DG$5),ISNA(DF$5)),DF15*(1+$E15),IF(AND(DF$5&gt;0,ISNA(DG$5)),DF15*(1+$E15),DG$5)))</f>
        <v>27154404.400000002</v>
      </c>
      <c r="DH15" s="21">
        <f>IF(IF(AND(ISNA(DH$5),ISNA(DG$5)),DG15*(1+$E15),IF(AND(DG$5&gt;0,ISNA(DH$5)),DG15*(1+$E15),DH$5))&gt;$C$20,$C$20,IF(AND(ISNA(DH$5),ISNA(DG$5)),DG15*(1+$E15),IF(AND(DG$5&gt;0,ISNA(DH$5)),DG15*(1+$E15),DH$5)))</f>
        <v>27154404.400000002</v>
      </c>
      <c r="DI15" s="21">
        <f>IF(IF(AND(ISNA(DI$5),ISNA(DH$5)),DH15*(1+$E15),IF(AND(DH$5&gt;0,ISNA(DI$5)),DH15*(1+$E15),DI$5))&gt;$C$20,$C$20,IF(AND(ISNA(DI$5),ISNA(DH$5)),DH15*(1+$E15),IF(AND(DH$5&gt;0,ISNA(DI$5)),DH15*(1+$E15),DI$5)))</f>
        <v>27154404.400000002</v>
      </c>
      <c r="DJ15" s="21">
        <f>IF(IF(AND(ISNA(DJ$5),ISNA(DI$5)),DI15*(1+$E15),IF(AND(DI$5&gt;0,ISNA(DJ$5)),DI15*(1+$E15),DJ$5))&gt;$C$20,$C$20,IF(AND(ISNA(DJ$5),ISNA(DI$5)),DI15*(1+$E15),IF(AND(DI$5&gt;0,ISNA(DJ$5)),DI15*(1+$E15),DJ$5)))</f>
        <v>27154404.400000002</v>
      </c>
      <c r="DK15" s="21">
        <f>IF(IF(AND(ISNA(DK$5),ISNA(DJ$5)),DJ15*(1+$E15),IF(AND(DJ$5&gt;0,ISNA(DK$5)),DJ15*(1+$E15),DK$5))&gt;$C$20,$C$20,IF(AND(ISNA(DK$5),ISNA(DJ$5)),DJ15*(1+$E15),IF(AND(DJ$5&gt;0,ISNA(DK$5)),DJ15*(1+$E15),DK$5)))</f>
        <v>27154404.400000002</v>
      </c>
      <c r="DL15" s="21">
        <f>IF(IF(AND(ISNA(DL$5),ISNA(DK$5)),DK15*(1+$E15),IF(AND(DK$5&gt;0,ISNA(DL$5)),DK15*(1+$E15),DL$5))&gt;$C$20,$C$20,IF(AND(ISNA(DL$5),ISNA(DK$5)),DK15*(1+$E15),IF(AND(DK$5&gt;0,ISNA(DL$5)),DK15*(1+$E15),DL$5)))</f>
        <v>27154404.400000002</v>
      </c>
      <c r="DM15" s="21">
        <f>IF(IF(AND(ISNA(DM$5),ISNA(DL$5)),DL15*(1+$E15),IF(AND(DL$5&gt;0,ISNA(DM$5)),DL15*(1+$E15),DM$5))&gt;$C$20,$C$20,IF(AND(ISNA(DM$5),ISNA(DL$5)),DL15*(1+$E15),IF(AND(DL$5&gt;0,ISNA(DM$5)),DL15*(1+$E15),DM$5)))</f>
        <v>27154404.400000002</v>
      </c>
      <c r="DN15" s="21">
        <f>IF(IF(AND(ISNA(DN$5),ISNA(DM$5)),DM15*(1+$E15),IF(AND(DM$5&gt;0,ISNA(DN$5)),DM15*(1+$E15),DN$5))&gt;$C$20,$C$20,IF(AND(ISNA(DN$5),ISNA(DM$5)),DM15*(1+$E15),IF(AND(DM$5&gt;0,ISNA(DN$5)),DM15*(1+$E15),DN$5)))</f>
        <v>27154404.400000002</v>
      </c>
      <c r="DO15" s="21">
        <f>IF(IF(AND(ISNA(DO$5),ISNA(DN$5)),DN15*(1+$E15),IF(AND(DN$5&gt;0,ISNA(DO$5)),DN15*(1+$E15),DO$5))&gt;$C$20,$C$20,IF(AND(ISNA(DO$5),ISNA(DN$5)),DN15*(1+$E15),IF(AND(DN$5&gt;0,ISNA(DO$5)),DN15*(1+$E15),DO$5)))</f>
        <v>27154404.400000002</v>
      </c>
      <c r="DP15" s="21">
        <f>IF(IF(AND(ISNA(DP$5),ISNA(DO$5)),DO15*(1+$E15),IF(AND(DO$5&gt;0,ISNA(DP$5)),DO15*(1+$E15),DP$5))&gt;$C$20,$C$20,IF(AND(ISNA(DP$5),ISNA(DO$5)),DO15*(1+$E15),IF(AND(DO$5&gt;0,ISNA(DP$5)),DO15*(1+$E15),DP$5)))</f>
        <v>27154404.400000002</v>
      </c>
      <c r="DQ15" s="21">
        <f>IF(IF(AND(ISNA(DQ$5),ISNA(DP$5)),DP15*(1+$E15),IF(AND(DP$5&gt;0,ISNA(DQ$5)),DP15*(1+$E15),DQ$5))&gt;$C$20,$C$20,IF(AND(ISNA(DQ$5),ISNA(DP$5)),DP15*(1+$E15),IF(AND(DP$5&gt;0,ISNA(DQ$5)),DP15*(1+$E15),DQ$5)))</f>
        <v>27154404.400000002</v>
      </c>
      <c r="DR15" s="21">
        <f>IF(IF(AND(ISNA(DR$5),ISNA(DQ$5)),DQ15*(1+$E15),IF(AND(DQ$5&gt;0,ISNA(DR$5)),DQ15*(1+$E15),DR$5))&gt;$C$20,$C$20,IF(AND(ISNA(DR$5),ISNA(DQ$5)),DQ15*(1+$E15),IF(AND(DQ$5&gt;0,ISNA(DR$5)),DQ15*(1+$E15),DR$5)))</f>
        <v>27154404.400000002</v>
      </c>
      <c r="DS15" s="21">
        <f>IF(IF(AND(ISNA(DS$5),ISNA(DR$5)),DR15*(1+$E15),IF(AND(DR$5&gt;0,ISNA(DS$5)),DR15*(1+$E15),DS$5))&gt;$C$20,$C$20,IF(AND(ISNA(DS$5),ISNA(DR$5)),DR15*(1+$E15),IF(AND(DR$5&gt;0,ISNA(DS$5)),DR15*(1+$E15),DS$5)))</f>
        <v>27154404.400000002</v>
      </c>
      <c r="DT15" s="21">
        <f>IF(IF(AND(ISNA(DT$5),ISNA(DS$5)),DS15*(1+$E15),IF(AND(DS$5&gt;0,ISNA(DT$5)),DS15*(1+$E15),DT$5))&gt;$C$20,$C$20,IF(AND(ISNA(DT$5),ISNA(DS$5)),DS15*(1+$E15),IF(AND(DS$5&gt;0,ISNA(DT$5)),DS15*(1+$E15),DT$5)))</f>
        <v>27154404.400000002</v>
      </c>
      <c r="DU15" s="21">
        <f>IF(IF(AND(ISNA(DU$5),ISNA(DT$5)),DT15*(1+$E15),IF(AND(DT$5&gt;0,ISNA(DU$5)),DT15*(1+$E15),DU$5))&gt;$C$20,$C$20,IF(AND(ISNA(DU$5),ISNA(DT$5)),DT15*(1+$E15),IF(AND(DT$5&gt;0,ISNA(DU$5)),DT15*(1+$E15),DU$5)))</f>
        <v>27154404.400000002</v>
      </c>
      <c r="DV15" s="21">
        <f>IF(IF(AND(ISNA(DV$5),ISNA(DU$5)),DU15*(1+$E15),IF(AND(DU$5&gt;0,ISNA(DV$5)),DU15*(1+$E15),DV$5))&gt;$C$20,$C$20,IF(AND(ISNA(DV$5),ISNA(DU$5)),DU15*(1+$E15),IF(AND(DU$5&gt;0,ISNA(DV$5)),DU15*(1+$E15),DV$5)))</f>
        <v>27154404.400000002</v>
      </c>
      <c r="DW15" s="21">
        <f>IF(IF(AND(ISNA(DW$5),ISNA(DV$5)),DV15*(1+$E15),IF(AND(DV$5&gt;0,ISNA(DW$5)),DV15*(1+$E15),DW$5))&gt;$C$20,$C$20,IF(AND(ISNA(DW$5),ISNA(DV$5)),DV15*(1+$E15),IF(AND(DV$5&gt;0,ISNA(DW$5)),DV15*(1+$E15),DW$5)))</f>
        <v>27154404.400000002</v>
      </c>
      <c r="DX15" s="21">
        <f>IF(IF(AND(ISNA(DX$5),ISNA(DW$5)),DW15*(1+$E15),IF(AND(DW$5&gt;0,ISNA(DX$5)),DW15*(1+$E15),DX$5))&gt;$C$20,$C$20,IF(AND(ISNA(DX$5),ISNA(DW$5)),DW15*(1+$E15),IF(AND(DW$5&gt;0,ISNA(DX$5)),DW15*(1+$E15),DX$5)))</f>
        <v>27154404.400000002</v>
      </c>
      <c r="DY15" s="21">
        <f>IF(IF(AND(ISNA(DY$5),ISNA(DX$5)),DX15*(1+$E15),IF(AND(DX$5&gt;0,ISNA(DY$5)),DX15*(1+$E15),DY$5))&gt;$C$20,$C$20,IF(AND(ISNA(DY$5),ISNA(DX$5)),DX15*(1+$E15),IF(AND(DX$5&gt;0,ISNA(DY$5)),DX15*(1+$E15),DY$5)))</f>
        <v>27154404.400000002</v>
      </c>
      <c r="DZ15" s="21">
        <f>IF(IF(AND(ISNA(DZ$5),ISNA(DY$5)),DY15*(1+$E15),IF(AND(DY$5&gt;0,ISNA(DZ$5)),DY15*(1+$E15),DZ$5))&gt;$C$20,$C$20,IF(AND(ISNA(DZ$5),ISNA(DY$5)),DY15*(1+$E15),IF(AND(DY$5&gt;0,ISNA(DZ$5)),DY15*(1+$E15),DZ$5)))</f>
        <v>27154404.400000002</v>
      </c>
      <c r="EA15" s="21">
        <f>IF(IF(AND(ISNA(EA$5),ISNA(DZ$5)),DZ15*(1+$E15),IF(AND(DZ$5&gt;0,ISNA(EA$5)),DZ15*(1+$E15),EA$5))&gt;$C$20,$C$20,IF(AND(ISNA(EA$5),ISNA(DZ$5)),DZ15*(1+$E15),IF(AND(DZ$5&gt;0,ISNA(EA$5)),DZ15*(1+$E15),EA$5)))</f>
        <v>27154404.400000002</v>
      </c>
      <c r="EB15" s="21">
        <f>IF(IF(AND(ISNA(EB$5),ISNA(EA$5)),EA15*(1+$E15),IF(AND(EA$5&gt;0,ISNA(EB$5)),EA15*(1+$E15),EB$5))&gt;$C$20,$C$20,IF(AND(ISNA(EB$5),ISNA(EA$5)),EA15*(1+$E15),IF(AND(EA$5&gt;0,ISNA(EB$5)),EA15*(1+$E15),EB$5)))</f>
        <v>27154404.400000002</v>
      </c>
      <c r="EC15" s="21">
        <f>IF(IF(AND(ISNA(EC$5),ISNA(EB$5)),EB15*(1+$E15),IF(AND(EB$5&gt;0,ISNA(EC$5)),EB15*(1+$E15),EC$5))&gt;$C$20,$C$20,IF(AND(ISNA(EC$5),ISNA(EB$5)),EB15*(1+$E15),IF(AND(EB$5&gt;0,ISNA(EC$5)),EB15*(1+$E15),EC$5)))</f>
        <v>27154404.400000002</v>
      </c>
      <c r="ED15" s="21">
        <f>IF(IF(AND(ISNA(ED$5),ISNA(EC$5)),EC15*(1+$E15),IF(AND(EC$5&gt;0,ISNA(ED$5)),EC15*(1+$E15),ED$5))&gt;$C$20,$C$20,IF(AND(ISNA(ED$5),ISNA(EC$5)),EC15*(1+$E15),IF(AND(EC$5&gt;0,ISNA(ED$5)),EC15*(1+$E15),ED$5)))</f>
        <v>27154404.400000002</v>
      </c>
      <c r="EE15" s="21">
        <f>IF(IF(AND(ISNA(EE$5),ISNA(ED$5)),ED15*(1+$E15),IF(AND(ED$5&gt;0,ISNA(EE$5)),ED15*(1+$E15),EE$5))&gt;$C$20,$C$20,IF(AND(ISNA(EE$5),ISNA(ED$5)),ED15*(1+$E15),IF(AND(ED$5&gt;0,ISNA(EE$5)),ED15*(1+$E15),EE$5)))</f>
        <v>27154404.400000002</v>
      </c>
      <c r="EF15" s="21">
        <f>IF(IF(AND(ISNA(EF$5),ISNA(EE$5)),EE15*(1+$E15),IF(AND(EE$5&gt;0,ISNA(EF$5)),EE15*(1+$E15),EF$5))&gt;$C$20,$C$20,IF(AND(ISNA(EF$5),ISNA(EE$5)),EE15*(1+$E15),IF(AND(EE$5&gt;0,ISNA(EF$5)),EE15*(1+$E15),EF$5)))</f>
        <v>27154404.400000002</v>
      </c>
      <c r="EG15" s="21">
        <f>IF(IF(AND(ISNA(EG$5),ISNA(EF$5)),EF15*(1+$E15),IF(AND(EF$5&gt;0,ISNA(EG$5)),EF15*(1+$E15),EG$5))&gt;$C$20,$C$20,IF(AND(ISNA(EG$5),ISNA(EF$5)),EF15*(1+$E15),IF(AND(EF$5&gt;0,ISNA(EG$5)),EF15*(1+$E15),EG$5)))</f>
        <v>27154404.400000002</v>
      </c>
      <c r="EH15" s="21">
        <f>IF(IF(AND(ISNA(EH$5),ISNA(EG$5)),EG15*(1+$E15),IF(AND(EG$5&gt;0,ISNA(EH$5)),EG15*(1+$E15),EH$5))&gt;$C$20,$C$20,IF(AND(ISNA(EH$5),ISNA(EG$5)),EG15*(1+$E15),IF(AND(EG$5&gt;0,ISNA(EH$5)),EG15*(1+$E15),EH$5)))</f>
        <v>27154404.400000002</v>
      </c>
      <c r="EI15" s="21">
        <f>IF(IF(AND(ISNA(EI$5),ISNA(EH$5)),EH15*(1+$E15),IF(AND(EH$5&gt;0,ISNA(EI$5)),EH15*(1+$E15),EI$5))&gt;$C$20,$C$20,IF(AND(ISNA(EI$5),ISNA(EH$5)),EH15*(1+$E15),IF(AND(EH$5&gt;0,ISNA(EI$5)),EH15*(1+$E15),EI$5)))</f>
        <v>27154404.400000002</v>
      </c>
      <c r="EJ15" s="21">
        <f>IF(IF(AND(ISNA(EJ$5),ISNA(EI$5)),EI15*(1+$E15),IF(AND(EI$5&gt;0,ISNA(EJ$5)),EI15*(1+$E15),EJ$5))&gt;$C$20,$C$20,IF(AND(ISNA(EJ$5),ISNA(EI$5)),EI15*(1+$E15),IF(AND(EI$5&gt;0,ISNA(EJ$5)),EI15*(1+$E15),EJ$5)))</f>
        <v>27154404.400000002</v>
      </c>
      <c r="EK15" s="21">
        <f>IF(IF(AND(ISNA(EK$5),ISNA(EJ$5)),EJ15*(1+$E15),IF(AND(EJ$5&gt;0,ISNA(EK$5)),EJ15*(1+$E15),EK$5))&gt;$C$20,$C$20,IF(AND(ISNA(EK$5),ISNA(EJ$5)),EJ15*(1+$E15),IF(AND(EJ$5&gt;0,ISNA(EK$5)),EJ15*(1+$E15),EK$5)))</f>
        <v>27154404.400000002</v>
      </c>
      <c r="EL15" s="21">
        <f>IF(IF(AND(ISNA(EL$5),ISNA(EK$5)),EK15*(1+$E15),IF(AND(EK$5&gt;0,ISNA(EL$5)),EK15*(1+$E15),EL$5))&gt;$C$20,$C$20,IF(AND(ISNA(EL$5),ISNA(EK$5)),EK15*(1+$E15),IF(AND(EK$5&gt;0,ISNA(EL$5)),EK15*(1+$E15),EL$5)))</f>
        <v>27154404.400000002</v>
      </c>
      <c r="EM15" s="21">
        <f>IF(IF(AND(ISNA(EM$5),ISNA(EL$5)),EL15*(1+$E15),IF(AND(EL$5&gt;0,ISNA(EM$5)),EL15*(1+$E15),EM$5))&gt;$C$20,$C$20,IF(AND(ISNA(EM$5),ISNA(EL$5)),EL15*(1+$E15),IF(AND(EL$5&gt;0,ISNA(EM$5)),EL15*(1+$E15),EM$5)))</f>
        <v>27154404.400000002</v>
      </c>
      <c r="EN15" s="21">
        <f>IF(IF(AND(ISNA(EN$5),ISNA(EM$5)),EM15*(1+$E15),IF(AND(EM$5&gt;0,ISNA(EN$5)),EM15*(1+$E15),EN$5))&gt;$C$20,$C$20,IF(AND(ISNA(EN$5),ISNA(EM$5)),EM15*(1+$E15),IF(AND(EM$5&gt;0,ISNA(EN$5)),EM15*(1+$E15),EN$5)))</f>
        <v>27154404.400000002</v>
      </c>
      <c r="EO15" s="21">
        <f>IF(IF(AND(ISNA(EO$5),ISNA(EN$5)),EN15*(1+$E15),IF(AND(EN$5&gt;0,ISNA(EO$5)),EN15*(1+$E15),EO$5))&gt;$C$20,$C$20,IF(AND(ISNA(EO$5),ISNA(EN$5)),EN15*(1+$E15),IF(AND(EN$5&gt;0,ISNA(EO$5)),EN15*(1+$E15),EO$5)))</f>
        <v>27154404.400000002</v>
      </c>
      <c r="EP15" s="21">
        <f>IF(IF(AND(ISNA(EP$5),ISNA(EO$5)),EO15*(1+$E15),IF(AND(EO$5&gt;0,ISNA(EP$5)),EO15*(1+$E15),EP$5))&gt;$C$20,$C$20,IF(AND(ISNA(EP$5),ISNA(EO$5)),EO15*(1+$E15),IF(AND(EO$5&gt;0,ISNA(EP$5)),EO15*(1+$E15),EP$5)))</f>
        <v>27154404.400000002</v>
      </c>
      <c r="EQ15" s="21">
        <f>IF(IF(AND(ISNA(EQ$5),ISNA(EP$5)),EP15*(1+$E15),IF(AND(EP$5&gt;0,ISNA(EQ$5)),EP15*(1+$E15),EQ$5))&gt;$C$20,$C$20,IF(AND(ISNA(EQ$5),ISNA(EP$5)),EP15*(1+$E15),IF(AND(EP$5&gt;0,ISNA(EQ$5)),EP15*(1+$E15),EQ$5)))</f>
        <v>27154404.400000002</v>
      </c>
      <c r="ER15" s="21">
        <f>IF(IF(AND(ISNA(ER$5),ISNA(EQ$5)),EQ15*(1+$E15),IF(AND(EQ$5&gt;0,ISNA(ER$5)),EQ15*(1+$E15),ER$5))&gt;$C$20,$C$20,IF(AND(ISNA(ER$5),ISNA(EQ$5)),EQ15*(1+$E15),IF(AND(EQ$5&gt;0,ISNA(ER$5)),EQ15*(1+$E15),ER$5)))</f>
        <v>27154404.400000002</v>
      </c>
      <c r="ES15" s="21">
        <f>IF(IF(AND(ISNA(ES$5),ISNA(ER$5)),ER15*(1+$E15),IF(AND(ER$5&gt;0,ISNA(ES$5)),ER15*(1+$E15),ES$5))&gt;$C$20,$C$20,IF(AND(ISNA(ES$5),ISNA(ER$5)),ER15*(1+$E15),IF(AND(ER$5&gt;0,ISNA(ES$5)),ER15*(1+$E15),ES$5)))</f>
        <v>27154404.400000002</v>
      </c>
      <c r="ET15" s="21">
        <f>IF(IF(AND(ISNA(ET$5),ISNA(ES$5)),ES15*(1+$E15),IF(AND(ES$5&gt;0,ISNA(ET$5)),ES15*(1+$E15),ET$5))&gt;$C$20,$C$20,IF(AND(ISNA(ET$5),ISNA(ES$5)),ES15*(1+$E15),IF(AND(ES$5&gt;0,ISNA(ET$5)),ES15*(1+$E15),ET$5)))</f>
        <v>27154404.400000002</v>
      </c>
      <c r="EU15" s="21">
        <f>IF(IF(AND(ISNA(EU$5),ISNA(ET$5)),ET15*(1+$E15),IF(AND(ET$5&gt;0,ISNA(EU$5)),ET15*(1+$E15),EU$5))&gt;$C$20,$C$20,IF(AND(ISNA(EU$5),ISNA(ET$5)),ET15*(1+$E15),IF(AND(ET$5&gt;0,ISNA(EU$5)),ET15*(1+$E15),EU$5)))</f>
        <v>27154404.400000002</v>
      </c>
      <c r="EV15" s="21">
        <f>IF(IF(AND(ISNA(EV$5),ISNA(EU$5)),EU15*(1+$E15),IF(AND(EU$5&gt;0,ISNA(EV$5)),EU15*(1+$E15),EV$5))&gt;$C$20,$C$20,IF(AND(ISNA(EV$5),ISNA(EU$5)),EU15*(1+$E15),IF(AND(EU$5&gt;0,ISNA(EV$5)),EU15*(1+$E15),EV$5)))</f>
        <v>27154404.400000002</v>
      </c>
      <c r="EW15" s="21">
        <f>IF(IF(AND(ISNA(EW$5),ISNA(EV$5)),EV15*(1+$E15),IF(AND(EV$5&gt;0,ISNA(EW$5)),EV15*(1+$E15),EW$5))&gt;$C$20,$C$20,IF(AND(ISNA(EW$5),ISNA(EV$5)),EV15*(1+$E15),IF(AND(EV$5&gt;0,ISNA(EW$5)),EV15*(1+$E15),EW$5)))</f>
        <v>27154404.400000002</v>
      </c>
      <c r="EX15" s="21">
        <f>IF(IF(AND(ISNA(EX$5),ISNA(EW$5)),EW15*(1+$E15),IF(AND(EW$5&gt;0,ISNA(EX$5)),EW15*(1+$E15),EX$5))&gt;$C$20,$C$20,IF(AND(ISNA(EX$5),ISNA(EW$5)),EW15*(1+$E15),IF(AND(EW$5&gt;0,ISNA(EX$5)),EW15*(1+$E15),EX$5)))</f>
        <v>27154404.400000002</v>
      </c>
      <c r="EY15" s="21">
        <f>IF(IF(AND(ISNA(EY$5),ISNA(EX$5)),EX15*(1+$E15),IF(AND(EX$5&gt;0,ISNA(EY$5)),EX15*(1+$E15),EY$5))&gt;$C$20,$C$20,IF(AND(ISNA(EY$5),ISNA(EX$5)),EX15*(1+$E15),IF(AND(EX$5&gt;0,ISNA(EY$5)),EX15*(1+$E15),EY$5)))</f>
        <v>27154404.400000002</v>
      </c>
      <c r="EZ15" s="21">
        <f>IF(IF(AND(ISNA(EZ$5),ISNA(EY$5)),EY15*(1+$E15),IF(AND(EY$5&gt;0,ISNA(EZ$5)),EY15*(1+$E15),EZ$5))&gt;$C$20,$C$20,IF(AND(ISNA(EZ$5),ISNA(EY$5)),EY15*(1+$E15),IF(AND(EY$5&gt;0,ISNA(EZ$5)),EY15*(1+$E15),EZ$5)))</f>
        <v>27154404.400000002</v>
      </c>
      <c r="FA15" s="21">
        <f>IF(IF(AND(ISNA(FA$5),ISNA(EZ$5)),EZ15*(1+$E15),IF(AND(EZ$5&gt;0,ISNA(FA$5)),EZ15*(1+$E15),FA$5))&gt;$C$20,$C$20,IF(AND(ISNA(FA$5),ISNA(EZ$5)),EZ15*(1+$E15),IF(AND(EZ$5&gt;0,ISNA(FA$5)),EZ15*(1+$E15),FA$5)))</f>
        <v>27154404.400000002</v>
      </c>
      <c r="FB15" s="21">
        <f>IF(IF(AND(ISNA(FB$5),ISNA(FA$5)),FA15*(1+$E15),IF(AND(FA$5&gt;0,ISNA(FB$5)),FA15*(1+$E15),FB$5))&gt;$C$20,$C$20,IF(AND(ISNA(FB$5),ISNA(FA$5)),FA15*(1+$E15),IF(AND(FA$5&gt;0,ISNA(FB$5)),FA15*(1+$E15),FB$5)))</f>
        <v>27154404.400000002</v>
      </c>
      <c r="FC15" s="21">
        <f>IF(IF(AND(ISNA(FC$5),ISNA(FB$5)),FB15*(1+$E15),IF(AND(FB$5&gt;0,ISNA(FC$5)),FB15*(1+$E15),FC$5))&gt;$C$20,$C$20,IF(AND(ISNA(FC$5),ISNA(FB$5)),FB15*(1+$E15),IF(AND(FB$5&gt;0,ISNA(FC$5)),FB15*(1+$E15),FC$5)))</f>
        <v>27154404.400000002</v>
      </c>
      <c r="FD15" s="21">
        <f>IF(IF(AND(ISNA(FD$5),ISNA(FC$5)),FC15*(1+$E15),IF(AND(FC$5&gt;0,ISNA(FD$5)),FC15*(1+$E15),FD$5))&gt;$C$20,$C$20,IF(AND(ISNA(FD$5),ISNA(FC$5)),FC15*(1+$E15),IF(AND(FC$5&gt;0,ISNA(FD$5)),FC15*(1+$E15),FD$5)))</f>
        <v>27154404.400000002</v>
      </c>
      <c r="FE15" s="21">
        <f>IF(IF(AND(ISNA(FE$5),ISNA(FD$5)),FD15*(1+$E15),IF(AND(FD$5&gt;0,ISNA(FE$5)),FD15*(1+$E15),FE$5))&gt;$C$20,$C$20,IF(AND(ISNA(FE$5),ISNA(FD$5)),FD15*(1+$E15),IF(AND(FD$5&gt;0,ISNA(FE$5)),FD15*(1+$E15),FE$5)))</f>
        <v>27154404.400000002</v>
      </c>
      <c r="FF15" s="21">
        <f>IF(IF(AND(ISNA(FF$5),ISNA(FE$5)),FE15*(1+$E15),IF(AND(FE$5&gt;0,ISNA(FF$5)),FE15*(1+$E15),FF$5))&gt;$C$20,$C$20,IF(AND(ISNA(FF$5),ISNA(FE$5)),FE15*(1+$E15),IF(AND(FE$5&gt;0,ISNA(FF$5)),FE15*(1+$E15),FF$5)))</f>
        <v>27154404.400000002</v>
      </c>
      <c r="FG15" s="21">
        <f>IF(IF(AND(ISNA(FG$5),ISNA(FF$5)),FF15*(1+$E15),IF(AND(FF$5&gt;0,ISNA(FG$5)),FF15*(1+$E15),FG$5))&gt;$C$20,$C$20,IF(AND(ISNA(FG$5),ISNA(FF$5)),FF15*(1+$E15),IF(AND(FF$5&gt;0,ISNA(FG$5)),FF15*(1+$E15),FG$5)))</f>
        <v>27154404.400000002</v>
      </c>
      <c r="FH15" s="21">
        <f>IF(IF(AND(ISNA(FH$5),ISNA(FG$5)),FG15*(1+$E15),IF(AND(FG$5&gt;0,ISNA(FH$5)),FG15*(1+$E15),FH$5))&gt;$C$20,$C$20,IF(AND(ISNA(FH$5),ISNA(FG$5)),FG15*(1+$E15),IF(AND(FG$5&gt;0,ISNA(FH$5)),FG15*(1+$E15),FH$5)))</f>
        <v>27154404.400000002</v>
      </c>
      <c r="FI15" s="21">
        <f>IF(IF(AND(ISNA(FI$5),ISNA(FH$5)),FH15*(1+$E15),IF(AND(FH$5&gt;0,ISNA(FI$5)),FH15*(1+$E15),FI$5))&gt;$C$20,$C$20,IF(AND(ISNA(FI$5),ISNA(FH$5)),FH15*(1+$E15),IF(AND(FH$5&gt;0,ISNA(FI$5)),FH15*(1+$E15),FI$5)))</f>
        <v>27154404.400000002</v>
      </c>
      <c r="FJ15" s="21">
        <f>IF(IF(AND(ISNA(FJ$5),ISNA(FI$5)),FI15*(1+$E15),IF(AND(FI$5&gt;0,ISNA(FJ$5)),FI15*(1+$E15),FJ$5))&gt;$C$20,$C$20,IF(AND(ISNA(FJ$5),ISNA(FI$5)),FI15*(1+$E15),IF(AND(FI$5&gt;0,ISNA(FJ$5)),FI15*(1+$E15),FJ$5)))</f>
        <v>27154404.400000002</v>
      </c>
      <c r="FK15" s="21">
        <f>IF(IF(AND(ISNA(FK$5),ISNA(FJ$5)),FJ15*(1+$E15),IF(AND(FJ$5&gt;0,ISNA(FK$5)),FJ15*(1+$E15),FK$5))&gt;$C$20,$C$20,IF(AND(ISNA(FK$5),ISNA(FJ$5)),FJ15*(1+$E15),IF(AND(FJ$5&gt;0,ISNA(FK$5)),FJ15*(1+$E15),FK$5)))</f>
        <v>27154404.400000002</v>
      </c>
      <c r="FL15" s="21">
        <f>IF(IF(AND(ISNA(FL$5),ISNA(FK$5)),FK15*(1+$E15),IF(AND(FK$5&gt;0,ISNA(FL$5)),FK15*(1+$E15),FL$5))&gt;$C$20,$C$20,IF(AND(ISNA(FL$5),ISNA(FK$5)),FK15*(1+$E15),IF(AND(FK$5&gt;0,ISNA(FL$5)),FK15*(1+$E15),FL$5)))</f>
        <v>27154404.400000002</v>
      </c>
      <c r="FM15" s="21">
        <f>IF(IF(AND(ISNA(FM$5),ISNA(FL$5)),FL15*(1+$E15),IF(AND(FL$5&gt;0,ISNA(FM$5)),FL15*(1+$E15),FM$5))&gt;$C$20,$C$20,IF(AND(ISNA(FM$5),ISNA(FL$5)),FL15*(1+$E15),IF(AND(FL$5&gt;0,ISNA(FM$5)),FL15*(1+$E15),FM$5)))</f>
        <v>27154404.400000002</v>
      </c>
      <c r="FN15" s="21">
        <f>IF(IF(AND(ISNA(FN$5),ISNA(FM$5)),FM15*(1+$E15),IF(AND(FM$5&gt;0,ISNA(FN$5)),FM15*(1+$E15),FN$5))&gt;$C$20,$C$20,IF(AND(ISNA(FN$5),ISNA(FM$5)),FM15*(1+$E15),IF(AND(FM$5&gt;0,ISNA(FN$5)),FM15*(1+$E15),FN$5)))</f>
        <v>27154404.400000002</v>
      </c>
      <c r="FO15" s="21">
        <f>IF(IF(AND(ISNA(FO$5),ISNA(FN$5)),FN15*(1+$E15),IF(AND(FN$5&gt;0,ISNA(FO$5)),FN15*(1+$E15),FO$5))&gt;$C$20,$C$20,IF(AND(ISNA(FO$5),ISNA(FN$5)),FN15*(1+$E15),IF(AND(FN$5&gt;0,ISNA(FO$5)),FN15*(1+$E15),FO$5)))</f>
        <v>27154404.400000002</v>
      </c>
      <c r="FP15" s="21">
        <f>IF(IF(AND(ISNA(FP$5),ISNA(FO$5)),FO15*(1+$E15),IF(AND(FO$5&gt;0,ISNA(FP$5)),FO15*(1+$E15),FP$5))&gt;$C$20,$C$20,IF(AND(ISNA(FP$5),ISNA(FO$5)),FO15*(1+$E15),IF(AND(FO$5&gt;0,ISNA(FP$5)),FO15*(1+$E15),FP$5)))</f>
        <v>27154404.400000002</v>
      </c>
      <c r="FQ15" s="21">
        <f>IF(IF(AND(ISNA(FQ$5),ISNA(FP$5)),FP15*(1+$E15),IF(AND(FP$5&gt;0,ISNA(FQ$5)),FP15*(1+$E15),FQ$5))&gt;$C$20,$C$20,IF(AND(ISNA(FQ$5),ISNA(FP$5)),FP15*(1+$E15),IF(AND(FP$5&gt;0,ISNA(FQ$5)),FP15*(1+$E15),FQ$5)))</f>
        <v>27154404.400000002</v>
      </c>
      <c r="FR15" s="21">
        <f>IF(IF(AND(ISNA(FR$5),ISNA(FQ$5)),FQ15*(1+$E15),IF(AND(FQ$5&gt;0,ISNA(FR$5)),FQ15*(1+$E15),FR$5))&gt;$C$20,$C$20,IF(AND(ISNA(FR$5),ISNA(FQ$5)),FQ15*(1+$E15),IF(AND(FQ$5&gt;0,ISNA(FR$5)),FQ15*(1+$E15),FR$5)))</f>
        <v>27154404.400000002</v>
      </c>
      <c r="FS15" s="21">
        <f>IF(IF(AND(ISNA(FS$5),ISNA(FR$5)),FR15*(1+$E15),IF(AND(FR$5&gt;0,ISNA(FS$5)),FR15*(1+$E15),FS$5))&gt;$C$20,$C$20,IF(AND(ISNA(FS$5),ISNA(FR$5)),FR15*(1+$E15),IF(AND(FR$5&gt;0,ISNA(FS$5)),FR15*(1+$E15),FS$5)))</f>
        <v>27154404.400000002</v>
      </c>
      <c r="FT15" s="21">
        <f>IF(IF(AND(ISNA(FT$5),ISNA(FS$5)),FS15*(1+$E15),IF(AND(FS$5&gt;0,ISNA(FT$5)),FS15*(1+$E15),FT$5))&gt;$C$20,$C$20,IF(AND(ISNA(FT$5),ISNA(FS$5)),FS15*(1+$E15),IF(AND(FS$5&gt;0,ISNA(FT$5)),FS15*(1+$E15),FT$5)))</f>
        <v>27154404.400000002</v>
      </c>
      <c r="FU15" s="21">
        <f>IF(IF(AND(ISNA(FU$5),ISNA(FT$5)),FT15*(1+$E15),IF(AND(FT$5&gt;0,ISNA(FU$5)),FT15*(1+$E15),FU$5))&gt;$C$20,$C$20,IF(AND(ISNA(FU$5),ISNA(FT$5)),FT15*(1+$E15),IF(AND(FT$5&gt;0,ISNA(FU$5)),FT15*(1+$E15),FU$5)))</f>
        <v>27154404.400000002</v>
      </c>
      <c r="FV15" s="21">
        <f>IF(IF(AND(ISNA(FV$5),ISNA(FU$5)),FU15*(1+$E15),IF(AND(FU$5&gt;0,ISNA(FV$5)),FU15*(1+$E15),FV$5))&gt;$C$20,$C$20,IF(AND(ISNA(FV$5),ISNA(FU$5)),FU15*(1+$E15),IF(AND(FU$5&gt;0,ISNA(FV$5)),FU15*(1+$E15),FV$5)))</f>
        <v>27154404.400000002</v>
      </c>
      <c r="FW15" s="21">
        <f>IF(IF(AND(ISNA(FW$5),ISNA(FV$5)),FV15*(1+$E15),IF(AND(FV$5&gt;0,ISNA(FW$5)),FV15*(1+$E15),FW$5))&gt;$C$20,$C$20,IF(AND(ISNA(FW$5),ISNA(FV$5)),FV15*(1+$E15),IF(AND(FV$5&gt;0,ISNA(FW$5)),FV15*(1+$E15),FW$5)))</f>
        <v>27154404.400000002</v>
      </c>
      <c r="FX15" s="21">
        <f>IF(IF(AND(ISNA(FX$5),ISNA(FW$5)),FW15*(1+$E15),IF(AND(FW$5&gt;0,ISNA(FX$5)),FW15*(1+$E15),FX$5))&gt;$C$20,$C$20,IF(AND(ISNA(FX$5),ISNA(FW$5)),FW15*(1+$E15),IF(AND(FW$5&gt;0,ISNA(FX$5)),FW15*(1+$E15),FX$5)))</f>
        <v>27154404.400000002</v>
      </c>
      <c r="FY15" s="21">
        <f>IF(IF(AND(ISNA(FY$5),ISNA(FX$5)),FX15*(1+$E15),IF(AND(FX$5&gt;0,ISNA(FY$5)),FX15*(1+$E15),FY$5))&gt;$C$20,$C$20,IF(AND(ISNA(FY$5),ISNA(FX$5)),FX15*(1+$E15),IF(AND(FX$5&gt;0,ISNA(FY$5)),FX15*(1+$E15),FY$5)))</f>
        <v>27154404.400000002</v>
      </c>
      <c r="FZ15" s="21">
        <f>IF(IF(AND(ISNA(FZ$5),ISNA(FY$5)),FY15*(1+$E15),IF(AND(FY$5&gt;0,ISNA(FZ$5)),FY15*(1+$E15),FZ$5))&gt;$C$20,$C$20,IF(AND(ISNA(FZ$5),ISNA(FY$5)),FY15*(1+$E15),IF(AND(FY$5&gt;0,ISNA(FZ$5)),FY15*(1+$E15),FZ$5)))</f>
        <v>27154404.400000002</v>
      </c>
      <c r="GA15" s="21">
        <f>IF(IF(AND(ISNA(GA$5),ISNA(FZ$5)),FZ15*(1+$E15),IF(AND(FZ$5&gt;0,ISNA(GA$5)),FZ15*(1+$E15),GA$5))&gt;$C$20,$C$20,IF(AND(ISNA(GA$5),ISNA(FZ$5)),FZ15*(1+$E15),IF(AND(FZ$5&gt;0,ISNA(GA$5)),FZ15*(1+$E15),GA$5)))</f>
        <v>27154404.400000002</v>
      </c>
      <c r="GB15" s="21">
        <f>IF(IF(AND(ISNA(GB$5),ISNA(GA$5)),GA15*(1+$E15),IF(AND(GA$5&gt;0,ISNA(GB$5)),GA15*(1+$E15),GB$5))&gt;$C$20,$C$20,IF(AND(ISNA(GB$5),ISNA(GA$5)),GA15*(1+$E15),IF(AND(GA$5&gt;0,ISNA(GB$5)),GA15*(1+$E15),GB$5)))</f>
        <v>27154404.400000002</v>
      </c>
      <c r="GC15" s="21">
        <f>IF(IF(AND(ISNA(GC$5),ISNA(GB$5)),GB15*(1+$E15),IF(AND(GB$5&gt;0,ISNA(GC$5)),GB15*(1+$E15),GC$5))&gt;$C$20,$C$20,IF(AND(ISNA(GC$5),ISNA(GB$5)),GB15*(1+$E15),IF(AND(GB$5&gt;0,ISNA(GC$5)),GB15*(1+$E15),GC$5)))</f>
        <v>27154404.400000002</v>
      </c>
      <c r="GD15" s="21">
        <f>IF(IF(AND(ISNA(GD$5),ISNA(GC$5)),GC15*(1+$E15),IF(AND(GC$5&gt;0,ISNA(GD$5)),GC15*(1+$E15),GD$5))&gt;$C$20,$C$20,IF(AND(ISNA(GD$5),ISNA(GC$5)),GC15*(1+$E15),IF(AND(GC$5&gt;0,ISNA(GD$5)),GC15*(1+$E15),GD$5)))</f>
        <v>27154404.400000002</v>
      </c>
      <c r="GE15" s="21">
        <f>IF(IF(AND(ISNA(GE$5),ISNA(GD$5)),GD15*(1+$E15),IF(AND(GD$5&gt;0,ISNA(GE$5)),GD15*(1+$E15),GE$5))&gt;$C$20,$C$20,IF(AND(ISNA(GE$5),ISNA(GD$5)),GD15*(1+$E15),IF(AND(GD$5&gt;0,ISNA(GE$5)),GD15*(1+$E15),GE$5)))</f>
        <v>27154404.400000002</v>
      </c>
      <c r="GF15" s="21">
        <f>IF(IF(AND(ISNA(GF$5),ISNA(GE$5)),GE15*(1+$E15),IF(AND(GE$5&gt;0,ISNA(GF$5)),GE15*(1+$E15),GF$5))&gt;$C$20,$C$20,IF(AND(ISNA(GF$5),ISNA(GE$5)),GE15*(1+$E15),IF(AND(GE$5&gt;0,ISNA(GF$5)),GE15*(1+$E15),GF$5)))</f>
        <v>27154404.400000002</v>
      </c>
      <c r="GG15" s="21">
        <f>IF(IF(AND(ISNA(GG$5),ISNA(GF$5)),GF15*(1+$E15),IF(AND(GF$5&gt;0,ISNA(GG$5)),GF15*(1+$E15),GG$5))&gt;$C$20,$C$20,IF(AND(ISNA(GG$5),ISNA(GF$5)),GF15*(1+$E15),IF(AND(GF$5&gt;0,ISNA(GG$5)),GF15*(1+$E15),GG$5)))</f>
        <v>27154404.400000002</v>
      </c>
      <c r="GH15" s="21">
        <f>IF(IF(AND(ISNA(GH$5),ISNA(GG$5)),GG15*(1+$E15),IF(AND(GG$5&gt;0,ISNA(GH$5)),GG15*(1+$E15),GH$5))&gt;$C$20,$C$20,IF(AND(ISNA(GH$5),ISNA(GG$5)),GG15*(1+$E15),IF(AND(GG$5&gt;0,ISNA(GH$5)),GG15*(1+$E15),GH$5)))</f>
        <v>27154404.400000002</v>
      </c>
      <c r="GI15" s="21">
        <f>IF(IF(AND(ISNA(GI$5),ISNA(GH$5)),GH15*(1+$E15),IF(AND(GH$5&gt;0,ISNA(GI$5)),GH15*(1+$E15),GI$5))&gt;$C$20,$C$20,IF(AND(ISNA(GI$5),ISNA(GH$5)),GH15*(1+$E15),IF(AND(GH$5&gt;0,ISNA(GI$5)),GH15*(1+$E15),GI$5)))</f>
        <v>27154404.400000002</v>
      </c>
      <c r="GJ15" s="21">
        <f>IF(IF(AND(ISNA(GJ$5),ISNA(GI$5)),GI15*(1+$E15),IF(AND(GI$5&gt;0,ISNA(GJ$5)),GI15*(1+$E15),GJ$5))&gt;$C$20,$C$20,IF(AND(ISNA(GJ$5),ISNA(GI$5)),GI15*(1+$E15),IF(AND(GI$5&gt;0,ISNA(GJ$5)),GI15*(1+$E15),GJ$5)))</f>
        <v>27154404.400000002</v>
      </c>
      <c r="GK15" s="21">
        <f>IF(IF(AND(ISNA(GK$5),ISNA(GJ$5)),GJ15*(1+$E15),IF(AND(GJ$5&gt;0,ISNA(GK$5)),GJ15*(1+$E15),GK$5))&gt;$C$20,$C$20,IF(AND(ISNA(GK$5),ISNA(GJ$5)),GJ15*(1+$E15),IF(AND(GJ$5&gt;0,ISNA(GK$5)),GJ15*(1+$E15),GK$5)))</f>
        <v>27154404.400000002</v>
      </c>
      <c r="GL15" s="21">
        <f>IF(IF(AND(ISNA(GL$5),ISNA(GK$5)),GK15*(1+$E15),IF(AND(GK$5&gt;0,ISNA(GL$5)),GK15*(1+$E15),GL$5))&gt;$C$20,$C$20,IF(AND(ISNA(GL$5),ISNA(GK$5)),GK15*(1+$E15),IF(AND(GK$5&gt;0,ISNA(GL$5)),GK15*(1+$E15),GL$5)))</f>
        <v>27154404.400000002</v>
      </c>
      <c r="GM15" s="21">
        <f>IF(IF(AND(ISNA(GM$5),ISNA(GL$5)),GL15*(1+$E15),IF(AND(GL$5&gt;0,ISNA(GM$5)),GL15*(1+$E15),GM$5))&gt;$C$20,$C$20,IF(AND(ISNA(GM$5),ISNA(GL$5)),GL15*(1+$E15),IF(AND(GL$5&gt;0,ISNA(GM$5)),GL15*(1+$E15),GM$5)))</f>
        <v>27154404.400000002</v>
      </c>
      <c r="GN15" s="21">
        <f>IF(IF(AND(ISNA(GN$5),ISNA(GM$5)),GM15*(1+$E15),IF(AND(GM$5&gt;0,ISNA(GN$5)),GM15*(1+$E15),GN$5))&gt;$C$20,$C$20,IF(AND(ISNA(GN$5),ISNA(GM$5)),GM15*(1+$E15),IF(AND(GM$5&gt;0,ISNA(GN$5)),GM15*(1+$E15),GN$5)))</f>
        <v>27154404.400000002</v>
      </c>
      <c r="GO15" s="21">
        <f>IF(IF(AND(ISNA(GO$5),ISNA(GN$5)),GN15*(1+$E15),IF(AND(GN$5&gt;0,ISNA(GO$5)),GN15*(1+$E15),GO$5))&gt;$C$20,$C$20,IF(AND(ISNA(GO$5),ISNA(GN$5)),GN15*(1+$E15),IF(AND(GN$5&gt;0,ISNA(GO$5)),GN15*(1+$E15),GO$5)))</f>
        <v>27154404.400000002</v>
      </c>
      <c r="GP15" s="21">
        <f>IF(IF(AND(ISNA(GP$5),ISNA(GO$5)),GO15*(1+$E15),IF(AND(GO$5&gt;0,ISNA(GP$5)),GO15*(1+$E15),GP$5))&gt;$C$20,$C$20,IF(AND(ISNA(GP$5),ISNA(GO$5)),GO15*(1+$E15),IF(AND(GO$5&gt;0,ISNA(GP$5)),GO15*(1+$E15),GP$5)))</f>
        <v>27154404.400000002</v>
      </c>
      <c r="GQ15" s="21">
        <f>IF(IF(AND(ISNA(GQ$5),ISNA(GP$5)),GP15*(1+$E15),IF(AND(GP$5&gt;0,ISNA(GQ$5)),GP15*(1+$E15),GQ$5))&gt;$C$20,$C$20,IF(AND(ISNA(GQ$5),ISNA(GP$5)),GP15*(1+$E15),IF(AND(GP$5&gt;0,ISNA(GQ$5)),GP15*(1+$E15),GQ$5)))</f>
        <v>27154404.400000002</v>
      </c>
      <c r="GR15" s="21">
        <f>IF(IF(AND(ISNA(GR$5),ISNA(GQ$5)),GQ15*(1+$E15),IF(AND(GQ$5&gt;0,ISNA(GR$5)),GQ15*(1+$E15),GR$5))&gt;$C$20,$C$20,IF(AND(ISNA(GR$5),ISNA(GQ$5)),GQ15*(1+$E15),IF(AND(GQ$5&gt;0,ISNA(GR$5)),GQ15*(1+$E15),GR$5)))</f>
        <v>27154404.400000002</v>
      </c>
      <c r="GS15" s="21">
        <f>IF(IF(AND(ISNA(GS$5),ISNA(GR$5)),GR15*(1+$E15),IF(AND(GR$5&gt;0,ISNA(GS$5)),GR15*(1+$E15),GS$5))&gt;$C$20,$C$20,IF(AND(ISNA(GS$5),ISNA(GR$5)),GR15*(1+$E15),IF(AND(GR$5&gt;0,ISNA(GS$5)),GR15*(1+$E15),GS$5)))</f>
        <v>27154404.400000002</v>
      </c>
      <c r="GT15" s="21">
        <f>IF(IF(AND(ISNA(GT$5),ISNA(GS$5)),GS15*(1+$E15),IF(AND(GS$5&gt;0,ISNA(GT$5)),GS15*(1+$E15),GT$5))&gt;$C$20,$C$20,IF(AND(ISNA(GT$5),ISNA(GS$5)),GS15*(1+$E15),IF(AND(GS$5&gt;0,ISNA(GT$5)),GS15*(1+$E15),GT$5)))</f>
        <v>27154404.400000002</v>
      </c>
      <c r="GU15" s="21">
        <f>IF(IF(AND(ISNA(GU$5),ISNA(GT$5)),GT15*(1+$E15),IF(AND(GT$5&gt;0,ISNA(GU$5)),GT15*(1+$E15),GU$5))&gt;$C$20,$C$20,IF(AND(ISNA(GU$5),ISNA(GT$5)),GT15*(1+$E15),IF(AND(GT$5&gt;0,ISNA(GU$5)),GT15*(1+$E15),GU$5)))</f>
        <v>27154404.400000002</v>
      </c>
      <c r="GV15" s="21">
        <f>IF(IF(AND(ISNA(GV$5),ISNA(GU$5)),GU15*(1+$E15),IF(AND(GU$5&gt;0,ISNA(GV$5)),GU15*(1+$E15),GV$5))&gt;$C$20,$C$20,IF(AND(ISNA(GV$5),ISNA(GU$5)),GU15*(1+$E15),IF(AND(GU$5&gt;0,ISNA(GV$5)),GU15*(1+$E15),GV$5)))</f>
        <v>27154404.400000002</v>
      </c>
      <c r="GW15" s="21">
        <f>IF(IF(AND(ISNA(GW$5),ISNA(GV$5)),GV15*(1+$E15),IF(AND(GV$5&gt;0,ISNA(GW$5)),GV15*(1+$E15),GW$5))&gt;$C$20,$C$20,IF(AND(ISNA(GW$5),ISNA(GV$5)),GV15*(1+$E15),IF(AND(GV$5&gt;0,ISNA(GW$5)),GV15*(1+$E15),GW$5)))</f>
        <v>27154404.400000002</v>
      </c>
      <c r="GX15" s="21">
        <f>IF(IF(AND(ISNA(GX$5),ISNA(GW$5)),GW15*(1+$E15),IF(AND(GW$5&gt;0,ISNA(GX$5)),GW15*(1+$E15),GX$5))&gt;$C$20,$C$20,IF(AND(ISNA(GX$5),ISNA(GW$5)),GW15*(1+$E15),IF(AND(GW$5&gt;0,ISNA(GX$5)),GW15*(1+$E15),GX$5)))</f>
        <v>27154404.400000002</v>
      </c>
      <c r="GY15" s="21">
        <f>IF(IF(AND(ISNA(GY$5),ISNA(GX$5)),GX15*(1+$E15),IF(AND(GX$5&gt;0,ISNA(GY$5)),GX15*(1+$E15),GY$5))&gt;$C$20,$C$20,IF(AND(ISNA(GY$5),ISNA(GX$5)),GX15*(1+$E15),IF(AND(GX$5&gt;0,ISNA(GY$5)),GX15*(1+$E15),GY$5)))</f>
        <v>27154404.400000002</v>
      </c>
      <c r="GZ15" s="21">
        <f>IF(IF(AND(ISNA(GZ$5),ISNA(GY$5)),GY15*(1+$E15),IF(AND(GY$5&gt;0,ISNA(GZ$5)),GY15*(1+$E15),GZ$5))&gt;$C$20,$C$20,IF(AND(ISNA(GZ$5),ISNA(GY$5)),GY15*(1+$E15),IF(AND(GY$5&gt;0,ISNA(GZ$5)),GY15*(1+$E15),GZ$5)))</f>
        <v>27154404.400000002</v>
      </c>
      <c r="HA15" s="21">
        <f>IF(IF(AND(ISNA(HA$5),ISNA(GZ$5)),GZ15*(1+$E15),IF(AND(GZ$5&gt;0,ISNA(HA$5)),GZ15*(1+$E15),HA$5))&gt;$C$20,$C$20,IF(AND(ISNA(HA$5),ISNA(GZ$5)),GZ15*(1+$E15),IF(AND(GZ$5&gt;0,ISNA(HA$5)),GZ15*(1+$E15),HA$5)))</f>
        <v>27154404.400000002</v>
      </c>
      <c r="HB15" s="21">
        <f>IF(IF(AND(ISNA(HB$5),ISNA(HA$5)),HA15*(1+$E15),IF(AND(HA$5&gt;0,ISNA(HB$5)),HA15*(1+$E15),HB$5))&gt;$C$20,$C$20,IF(AND(ISNA(HB$5),ISNA(HA$5)),HA15*(1+$E15),IF(AND(HA$5&gt;0,ISNA(HB$5)),HA15*(1+$E15),HB$5)))</f>
        <v>27154404.400000002</v>
      </c>
      <c r="HC15" s="21">
        <f>IF(IF(AND(ISNA(HC$5),ISNA(HB$5)),HB15*(1+$E15),IF(AND(HB$5&gt;0,ISNA(HC$5)),HB15*(1+$E15),HC$5))&gt;$C$20,$C$20,IF(AND(ISNA(HC$5),ISNA(HB$5)),HB15*(1+$E15),IF(AND(HB$5&gt;0,ISNA(HC$5)),HB15*(1+$E15),HC$5)))</f>
        <v>27154404.400000002</v>
      </c>
      <c r="HD15" s="21">
        <f>IF(IF(AND(ISNA(HD$5),ISNA(HC$5)),HC15*(1+$E15),IF(AND(HC$5&gt;0,ISNA(HD$5)),HC15*(1+$E15),HD$5))&gt;$C$20,$C$20,IF(AND(ISNA(HD$5),ISNA(HC$5)),HC15*(1+$E15),IF(AND(HC$5&gt;0,ISNA(HD$5)),HC15*(1+$E15),HD$5)))</f>
        <v>27154404.400000002</v>
      </c>
      <c r="HE15" s="21">
        <f>IF(IF(AND(ISNA(HE$5),ISNA(HD$5)),HD15*(1+$E15),IF(AND(HD$5&gt;0,ISNA(HE$5)),HD15*(1+$E15),HE$5))&gt;$C$20,$C$20,IF(AND(ISNA(HE$5),ISNA(HD$5)),HD15*(1+$E15),IF(AND(HD$5&gt;0,ISNA(HE$5)),HD15*(1+$E15),HE$5)))</f>
        <v>27154404.400000002</v>
      </c>
      <c r="HF15" s="21">
        <f>IF(IF(AND(ISNA(HF$5),ISNA(HE$5)),HE15*(1+$E15),IF(AND(HE$5&gt;0,ISNA(HF$5)),HE15*(1+$E15),HF$5))&gt;$C$20,$C$20,IF(AND(ISNA(HF$5),ISNA(HE$5)),HE15*(1+$E15),IF(AND(HE$5&gt;0,ISNA(HF$5)),HE15*(1+$E15),HF$5)))</f>
        <v>27154404.400000002</v>
      </c>
      <c r="HG15" s="21">
        <f>IF(IF(AND(ISNA(HG$5),ISNA(HF$5)),HF15*(1+$E15),IF(AND(HF$5&gt;0,ISNA(HG$5)),HF15*(1+$E15),HG$5))&gt;$C$20,$C$20,IF(AND(ISNA(HG$5),ISNA(HF$5)),HF15*(1+$E15),IF(AND(HF$5&gt;0,ISNA(HG$5)),HF15*(1+$E15),HG$5)))</f>
        <v>27154404.400000002</v>
      </c>
      <c r="HH15" s="21">
        <f>IF(IF(AND(ISNA(HH$5),ISNA(HG$5)),HG15*(1+$E15),IF(AND(HG$5&gt;0,ISNA(HH$5)),HG15*(1+$E15),HH$5))&gt;$C$20,$C$20,IF(AND(ISNA(HH$5),ISNA(HG$5)),HG15*(1+$E15),IF(AND(HG$5&gt;0,ISNA(HH$5)),HG15*(1+$E15),HH$5)))</f>
        <v>27154404.400000002</v>
      </c>
      <c r="HI15" s="21">
        <f>IF(IF(AND(ISNA(HI$5),ISNA(HH$5)),HH15*(1+$E15),IF(AND(HH$5&gt;0,ISNA(HI$5)),HH15*(1+$E15),HI$5))&gt;$C$20,$C$20,IF(AND(ISNA(HI$5),ISNA(HH$5)),HH15*(1+$E15),IF(AND(HH$5&gt;0,ISNA(HI$5)),HH15*(1+$E15),HI$5)))</f>
        <v>27154404.400000002</v>
      </c>
      <c r="HJ15" s="21">
        <f>IF(IF(AND(ISNA(HJ$5),ISNA(HI$5)),HI15*(1+$E15),IF(AND(HI$5&gt;0,ISNA(HJ$5)),HI15*(1+$E15),HJ$5))&gt;$C$20,$C$20,IF(AND(ISNA(HJ$5),ISNA(HI$5)),HI15*(1+$E15),IF(AND(HI$5&gt;0,ISNA(HJ$5)),HI15*(1+$E15),HJ$5)))</f>
        <v>27154404.400000002</v>
      </c>
      <c r="HK15" s="21">
        <f>IF(IF(AND(ISNA(HK$5),ISNA(HJ$5)),HJ15*(1+$E15),IF(AND(HJ$5&gt;0,ISNA(HK$5)),HJ15*(1+$E15),HK$5))&gt;$C$20,$C$20,IF(AND(ISNA(HK$5),ISNA(HJ$5)),HJ15*(1+$E15),IF(AND(HJ$5&gt;0,ISNA(HK$5)),HJ15*(1+$E15),HK$5)))</f>
        <v>27154404.400000002</v>
      </c>
      <c r="HL15" s="21">
        <f>IF(IF(AND(ISNA(HL$5),ISNA(HK$5)),HK15*(1+$E15),IF(AND(HK$5&gt;0,ISNA(HL$5)),HK15*(1+$E15),HL$5))&gt;$C$20,$C$20,IF(AND(ISNA(HL$5),ISNA(HK$5)),HK15*(1+$E15),IF(AND(HK$5&gt;0,ISNA(HL$5)),HK15*(1+$E15),HL$5)))</f>
        <v>27154404.400000002</v>
      </c>
      <c r="HM15" s="21">
        <f>IF(IF(AND(ISNA(HM$5),ISNA(HL$5)),HL15*(1+$E15),IF(AND(HL$5&gt;0,ISNA(HM$5)),HL15*(1+$E15),HM$5))&gt;$C$20,$C$20,IF(AND(ISNA(HM$5),ISNA(HL$5)),HL15*(1+$E15),IF(AND(HL$5&gt;0,ISNA(HM$5)),HL15*(1+$E15),HM$5)))</f>
        <v>27154404.400000002</v>
      </c>
      <c r="HN15" s="21">
        <f>IF(IF(AND(ISNA(HN$5),ISNA(HM$5)),HM15*(1+$E15),IF(AND(HM$5&gt;0,ISNA(HN$5)),HM15*(1+$E15),HN$5))&gt;$C$20,$C$20,IF(AND(ISNA(HN$5),ISNA(HM$5)),HM15*(1+$E15),IF(AND(HM$5&gt;0,ISNA(HN$5)),HM15*(1+$E15),HN$5)))</f>
        <v>27154404.400000002</v>
      </c>
      <c r="HO15" s="21">
        <f>IF(IF(AND(ISNA(HO$5),ISNA(HN$5)),HN15*(1+$E15),IF(AND(HN$5&gt;0,ISNA(HO$5)),HN15*(1+$E15),HO$5))&gt;$C$20,$C$20,IF(AND(ISNA(HO$5),ISNA(HN$5)),HN15*(1+$E15),IF(AND(HN$5&gt;0,ISNA(HO$5)),HN15*(1+$E15),HO$5)))</f>
        <v>27154404.400000002</v>
      </c>
      <c r="HP15" s="21">
        <f>IF(IF(AND(ISNA(HP$5),ISNA(HO$5)),HO15*(1+$E15),IF(AND(HO$5&gt;0,ISNA(HP$5)),HO15*(1+$E15),HP$5))&gt;$C$20,$C$20,IF(AND(ISNA(HP$5),ISNA(HO$5)),HO15*(1+$E15),IF(AND(HO$5&gt;0,ISNA(HP$5)),HO15*(1+$E15),HP$5)))</f>
        <v>27154404.400000002</v>
      </c>
      <c r="HQ15" s="21">
        <f>IF(IF(AND(ISNA(HQ$5),ISNA(HP$5)),HP15*(1+$E15),IF(AND(HP$5&gt;0,ISNA(HQ$5)),HP15*(1+$E15),HQ$5))&gt;$C$20,$C$20,IF(AND(ISNA(HQ$5),ISNA(HP$5)),HP15*(1+$E15),IF(AND(HP$5&gt;0,ISNA(HQ$5)),HP15*(1+$E15),HQ$5)))</f>
        <v>27154404.400000002</v>
      </c>
      <c r="HR15" s="21">
        <f>IF(IF(AND(ISNA(HR$5),ISNA(HQ$5)),HQ15*(1+$E15),IF(AND(HQ$5&gt;0,ISNA(HR$5)),HQ15*(1+$E15),HR$5))&gt;$C$20,$C$20,IF(AND(ISNA(HR$5),ISNA(HQ$5)),HQ15*(1+$E15),IF(AND(HQ$5&gt;0,ISNA(HR$5)),HQ15*(1+$E15),HR$5)))</f>
        <v>27154404.400000002</v>
      </c>
      <c r="HS15" s="21">
        <f>IF(IF(AND(ISNA(HS$5),ISNA(HR$5)),HR15*(1+$E15),IF(AND(HR$5&gt;0,ISNA(HS$5)),HR15*(1+$E15),HS$5))&gt;$C$20,$C$20,IF(AND(ISNA(HS$5),ISNA(HR$5)),HR15*(1+$E15),IF(AND(HR$5&gt;0,ISNA(HS$5)),HR15*(1+$E15),HS$5)))</f>
        <v>27154404.400000002</v>
      </c>
      <c r="HT15" s="21">
        <f>IF(IF(AND(ISNA(HT$5),ISNA(HS$5)),HS15*(1+$E15),IF(AND(HS$5&gt;0,ISNA(HT$5)),HS15*(1+$E15),HT$5))&gt;$C$20,$C$20,IF(AND(ISNA(HT$5),ISNA(HS$5)),HS15*(1+$E15),IF(AND(HS$5&gt;0,ISNA(HT$5)),HS15*(1+$E15),HT$5)))</f>
        <v>27154404.400000002</v>
      </c>
      <c r="HU15" s="21">
        <f>IF(IF(AND(ISNA(HU$5),ISNA(HT$5)),HT15*(1+$E15),IF(AND(HT$5&gt;0,ISNA(HU$5)),HT15*(1+$E15),HU$5))&gt;$C$20,$C$20,IF(AND(ISNA(HU$5),ISNA(HT$5)),HT15*(1+$E15),IF(AND(HT$5&gt;0,ISNA(HU$5)),HT15*(1+$E15),HU$5)))</f>
        <v>27154404.400000002</v>
      </c>
      <c r="HV15" s="21">
        <f>IF(IF(AND(ISNA(HV$5),ISNA(HU$5)),HU15*(1+$E15),IF(AND(HU$5&gt;0,ISNA(HV$5)),HU15*(1+$E15),HV$5))&gt;$C$20,$C$20,IF(AND(ISNA(HV$5),ISNA(HU$5)),HU15*(1+$E15),IF(AND(HU$5&gt;0,ISNA(HV$5)),HU15*(1+$E15),HV$5)))</f>
        <v>27154404.400000002</v>
      </c>
      <c r="HW15" s="21">
        <f>IF(IF(AND(ISNA(HW$5),ISNA(HV$5)),HV15*(1+$E15),IF(AND(HV$5&gt;0,ISNA(HW$5)),HV15*(1+$E15),HW$5))&gt;$C$20,$C$20,IF(AND(ISNA(HW$5),ISNA(HV$5)),HV15*(1+$E15),IF(AND(HV$5&gt;0,ISNA(HW$5)),HV15*(1+$E15),HW$5)))</f>
        <v>27154404.400000002</v>
      </c>
      <c r="HX15" s="21">
        <f>IF(IF(AND(ISNA(HX$5),ISNA(HW$5)),HW15*(1+$E15),IF(AND(HW$5&gt;0,ISNA(HX$5)),HW15*(1+$E15),HX$5))&gt;$C$20,$C$20,IF(AND(ISNA(HX$5),ISNA(HW$5)),HW15*(1+$E15),IF(AND(HW$5&gt;0,ISNA(HX$5)),HW15*(1+$E15),HX$5)))</f>
        <v>27154404.400000002</v>
      </c>
      <c r="HY15" s="21">
        <f>IF(IF(AND(ISNA(HY$5),ISNA(HX$5)),HX15*(1+$E15),IF(AND(HX$5&gt;0,ISNA(HY$5)),HX15*(1+$E15),HY$5))&gt;$C$20,$C$20,IF(AND(ISNA(HY$5),ISNA(HX$5)),HX15*(1+$E15),IF(AND(HX$5&gt;0,ISNA(HY$5)),HX15*(1+$E15),HY$5)))</f>
        <v>27154404.400000002</v>
      </c>
      <c r="HZ15" s="21">
        <f>IF(IF(AND(ISNA(HZ$5),ISNA(HY$5)),HY15*(1+$E15),IF(AND(HY$5&gt;0,ISNA(HZ$5)),HY15*(1+$E15),HZ$5))&gt;$C$20,$C$20,IF(AND(ISNA(HZ$5),ISNA(HY$5)),HY15*(1+$E15),IF(AND(HY$5&gt;0,ISNA(HZ$5)),HY15*(1+$E15),HZ$5)))</f>
        <v>27154404.400000002</v>
      </c>
      <c r="IA15" s="21">
        <f>IF(IF(AND(ISNA(IA$5),ISNA(HZ$5)),HZ15*(1+$E15),IF(AND(HZ$5&gt;0,ISNA(IA$5)),HZ15*(1+$E15),IA$5))&gt;$C$20,$C$20,IF(AND(ISNA(IA$5),ISNA(HZ$5)),HZ15*(1+$E15),IF(AND(HZ$5&gt;0,ISNA(IA$5)),HZ15*(1+$E15),IA$5)))</f>
        <v>27154404.400000002</v>
      </c>
      <c r="IB15" s="21">
        <f>IF(IF(AND(ISNA(IB$5),ISNA(IA$5)),IA15*(1+$E15),IF(AND(IA$5&gt;0,ISNA(IB$5)),IA15*(1+$E15),IB$5))&gt;$C$20,$C$20,IF(AND(ISNA(IB$5),ISNA(IA$5)),IA15*(1+$E15),IF(AND(IA$5&gt;0,ISNA(IB$5)),IA15*(1+$E15),IB$5)))</f>
        <v>27154404.400000002</v>
      </c>
      <c r="IC15" s="21">
        <f>IF(IF(AND(ISNA(IC$5),ISNA(IB$5)),IB15*(1+$E15),IF(AND(IB$5&gt;0,ISNA(IC$5)),IB15*(1+$E15),IC$5))&gt;$C$20,$C$20,IF(AND(ISNA(IC$5),ISNA(IB$5)),IB15*(1+$E15),IF(AND(IB$5&gt;0,ISNA(IC$5)),IB15*(1+$E15),IC$5)))</f>
        <v>27154404.400000002</v>
      </c>
      <c r="ID15" s="21">
        <f>IF(IF(AND(ISNA(ID$5),ISNA(IC$5)),IC15*(1+$E15),IF(AND(IC$5&gt;0,ISNA(ID$5)),IC15*(1+$E15),ID$5))&gt;$C$20,$C$20,IF(AND(ISNA(ID$5),ISNA(IC$5)),IC15*(1+$E15),IF(AND(IC$5&gt;0,ISNA(ID$5)),IC15*(1+$E15),ID$5)))</f>
        <v>27154404.400000002</v>
      </c>
      <c r="IE15" s="21">
        <f>IF(IF(AND(ISNA(IE$5),ISNA(ID$5)),ID15*(1+$E15),IF(AND(ID$5&gt;0,ISNA(IE$5)),ID15*(1+$E15),IE$5))&gt;$C$20,$C$20,IF(AND(ISNA(IE$5),ISNA(ID$5)),ID15*(1+$E15),IF(AND(ID$5&gt;0,ISNA(IE$5)),ID15*(1+$E15),IE$5)))</f>
        <v>27154404.400000002</v>
      </c>
      <c r="IF15" s="21">
        <f>IF(IF(AND(ISNA(IF$5),ISNA(IE$5)),IE15*(1+$E15),IF(AND(IE$5&gt;0,ISNA(IF$5)),IE15*(1+$E15),IF$5))&gt;$C$20,$C$20,IF(AND(ISNA(IF$5),ISNA(IE$5)),IE15*(1+$E15),IF(AND(IE$5&gt;0,ISNA(IF$5)),IE15*(1+$E15),IF$5)))</f>
        <v>27154404.400000002</v>
      </c>
      <c r="IG15" s="21">
        <f>IF(IF(AND(ISNA(IG$5),ISNA(IF$5)),IF15*(1+$E15),IF(AND(IF$5&gt;0,ISNA(IG$5)),IF15*(1+$E15),IG$5))&gt;$C$20,$C$20,IF(AND(ISNA(IG$5),ISNA(IF$5)),IF15*(1+$E15),IF(AND(IF$5&gt;0,ISNA(IG$5)),IF15*(1+$E15),IG$5)))</f>
        <v>27154404.400000002</v>
      </c>
      <c r="IH15" s="21">
        <f>IF(IF(AND(ISNA(IH$5),ISNA(IG$5)),IG15*(1+$E15),IF(AND(IG$5&gt;0,ISNA(IH$5)),IG15*(1+$E15),IH$5))&gt;$C$20,$C$20,IF(AND(ISNA(IH$5),ISNA(IG$5)),IG15*(1+$E15),IF(AND(IG$5&gt;0,ISNA(IH$5)),IG15*(1+$E15),IH$5)))</f>
        <v>27154404.400000002</v>
      </c>
      <c r="II15" s="21">
        <f>IF(IF(AND(ISNA(II$5),ISNA(IH$5)),IH15*(1+$E15),IF(AND(IH$5&gt;0,ISNA(II$5)),IH15*(1+$E15),II$5))&gt;$C$20,$C$20,IF(AND(ISNA(II$5),ISNA(IH$5)),IH15*(1+$E15),IF(AND(IH$5&gt;0,ISNA(II$5)),IH15*(1+$E15),II$5)))</f>
        <v>27154404.400000002</v>
      </c>
      <c r="IJ15" s="21">
        <f>IF(IF(AND(ISNA(IJ$5),ISNA(II$5)),II15*(1+$E15),IF(AND(II$5&gt;0,ISNA(IJ$5)),II15*(1+$E15),IJ$5))&gt;$C$20,$C$20,IF(AND(ISNA(IJ$5),ISNA(II$5)),II15*(1+$E15),IF(AND(II$5&gt;0,ISNA(IJ$5)),II15*(1+$E15),IJ$5)))</f>
        <v>27154404.400000002</v>
      </c>
      <c r="IK15" s="21">
        <f>IF(IF(AND(ISNA(IK$5),ISNA(IJ$5)),IJ15*(1+$E15),IF(AND(IJ$5&gt;0,ISNA(IK$5)),IJ15*(1+$E15),IK$5))&gt;$C$20,$C$20,IF(AND(ISNA(IK$5),ISNA(IJ$5)),IJ15*(1+$E15),IF(AND(IJ$5&gt;0,ISNA(IK$5)),IJ15*(1+$E15),IK$5)))</f>
        <v>27154404.400000002</v>
      </c>
      <c r="IL15" s="21">
        <f>IF(IF(AND(ISNA(IL$5),ISNA(IK$5)),IK15*(1+$E15),IF(AND(IK$5&gt;0,ISNA(IL$5)),IK15*(1+$E15),IL$5))&gt;$C$20,$C$20,IF(AND(ISNA(IL$5),ISNA(IK$5)),IK15*(1+$E15),IF(AND(IK$5&gt;0,ISNA(IL$5)),IK15*(1+$E15),IL$5)))</f>
        <v>27154404.400000002</v>
      </c>
      <c r="IM15" s="21">
        <f>IF(IF(AND(ISNA(IM$5),ISNA(IL$5)),IL15*(1+$E15),IF(AND(IL$5&gt;0,ISNA(IM$5)),IL15*(1+$E15),IM$5))&gt;$C$20,$C$20,IF(AND(ISNA(IM$5),ISNA(IL$5)),IL15*(1+$E15),IF(AND(IL$5&gt;0,ISNA(IM$5)),IL15*(1+$E15),IM$5)))</f>
        <v>27154404.400000002</v>
      </c>
      <c r="IN15" s="21">
        <f>IF(IF(AND(ISNA(IN$5),ISNA(IM$5)),IM15*(1+$E15),IF(AND(IM$5&gt;0,ISNA(IN$5)),IM15*(1+$E15),IN$5))&gt;$C$20,$C$20,IF(AND(ISNA(IN$5),ISNA(IM$5)),IM15*(1+$E15),IF(AND(IM$5&gt;0,ISNA(IN$5)),IM15*(1+$E15),IN$5)))</f>
        <v>27154404.400000002</v>
      </c>
    </row>
    <row r="16" spans="2:248" x14ac:dyDescent="0.3">
      <c r="B16" s="19" t="s">
        <v>621</v>
      </c>
      <c r="C16" s="23">
        <v>2.5000000000000001E-2</v>
      </c>
      <c r="F16" s="19" t="s">
        <v>612</v>
      </c>
      <c r="G16" s="21">
        <f t="shared" ref="G16:R16" si="715">G15</f>
        <v>116</v>
      </c>
      <c r="H16" s="21">
        <f t="shared" si="715"/>
        <v>164</v>
      </c>
      <c r="I16" s="21">
        <f t="shared" si="715"/>
        <v>207</v>
      </c>
      <c r="J16" s="21">
        <f t="shared" si="715"/>
        <v>274</v>
      </c>
      <c r="K16" s="21">
        <f t="shared" si="715"/>
        <v>322</v>
      </c>
      <c r="L16" s="21">
        <f t="shared" si="715"/>
        <v>384</v>
      </c>
      <c r="M16" s="21">
        <f t="shared" si="715"/>
        <v>459</v>
      </c>
      <c r="N16" s="21">
        <f t="shared" si="715"/>
        <v>590</v>
      </c>
      <c r="O16" s="21">
        <f t="shared" si="715"/>
        <v>803</v>
      </c>
      <c r="P16" s="21">
        <f t="shared" si="715"/>
        <v>1145</v>
      </c>
      <c r="Q16" s="21">
        <f t="shared" si="715"/>
        <v>1355</v>
      </c>
      <c r="R16" s="21">
        <f t="shared" si="715"/>
        <v>1552</v>
      </c>
      <c r="S16" s="21">
        <f>S15-G15</f>
        <v>1844</v>
      </c>
      <c r="T16" s="21">
        <f t="shared" ref="T16" si="716">T15-H15</f>
        <v>2462</v>
      </c>
      <c r="U16" s="21">
        <f t="shared" ref="U16" si="717">U15-I15</f>
        <v>3469.3999999999996</v>
      </c>
      <c r="V16" s="21">
        <f t="shared" ref="V16" si="718">V15-J15</f>
        <v>4872.9599999999991</v>
      </c>
      <c r="W16" s="21">
        <f t="shared" ref="W16" si="719">W15-K15</f>
        <v>6883.7439999999979</v>
      </c>
      <c r="X16" s="21">
        <f t="shared" ref="X16" si="720">X15-L15</f>
        <v>9704.0415999999968</v>
      </c>
      <c r="Y16" s="21">
        <f t="shared" ref="Y16" si="721">Y15-M15</f>
        <v>13664.258239999996</v>
      </c>
      <c r="Z16" s="21">
        <f t="shared" ref="Z16" si="722">Z15-N15</f>
        <v>19182.561535999994</v>
      </c>
      <c r="AA16" s="21">
        <f t="shared" ref="AA16" si="723">AA15-O15</f>
        <v>26878.586150399991</v>
      </c>
      <c r="AB16" s="21">
        <f t="shared" ref="AB16" si="724">AB15-P15</f>
        <v>37609.220610559983</v>
      </c>
      <c r="AC16" s="21">
        <f t="shared" ref="AC16" si="725">AC15-Q15</f>
        <v>52900.908854783971</v>
      </c>
      <c r="AD16" s="21">
        <f t="shared" ref="AD16" si="726">AD15-R15</f>
        <v>74406.272396697561</v>
      </c>
      <c r="AE16" s="21">
        <f t="shared" ref="AE16" si="727">AE15-S15</f>
        <v>104381.58135537658</v>
      </c>
      <c r="AF16" s="21">
        <f t="shared" ref="AF16" si="728">AF15-T15</f>
        <v>146252.2138975272</v>
      </c>
      <c r="AG16" s="21">
        <f t="shared" ref="AG16" si="729">AG15-U15</f>
        <v>204753.09945653807</v>
      </c>
      <c r="AH16" s="21">
        <f t="shared" ref="AH16" si="730">AH15-V15</f>
        <v>286654.33923915325</v>
      </c>
      <c r="AI16" s="21">
        <f t="shared" ref="AI16" si="731">AI15-W15</f>
        <v>401316.07493481453</v>
      </c>
      <c r="AJ16" s="21">
        <f t="shared" ref="AJ16" si="732">AJ15-X15</f>
        <v>561842.50490874029</v>
      </c>
      <c r="AK16" s="21">
        <f t="shared" ref="AK16" si="733">AK15-Y15</f>
        <v>786579.50687223638</v>
      </c>
      <c r="AL16" s="21">
        <f t="shared" ref="AL16" si="734">AL15-Z15</f>
        <v>1101211.309621131</v>
      </c>
      <c r="AM16" s="21">
        <f t="shared" ref="AM16" si="735">AM15-AA15</f>
        <v>1541695.8334695832</v>
      </c>
      <c r="AN16" s="21">
        <f t="shared" ref="AN16" si="736">AN15-AB15</f>
        <v>2158374.1668574167</v>
      </c>
      <c r="AO16" s="21">
        <f t="shared" ref="AO16" si="737">AO15-AC15</f>
        <v>3021723.8336003833</v>
      </c>
      <c r="AP16" s="21">
        <f t="shared" ref="AP16" si="738">AP15-AD15</f>
        <v>4230413.3670405364</v>
      </c>
      <c r="AQ16" s="21">
        <f t="shared" ref="AQ16" si="739">AQ15-AE15</f>
        <v>5922578.7138567511</v>
      </c>
      <c r="AR16" s="21">
        <f t="shared" ref="AR16" si="740">AR15-AF15</f>
        <v>8291610.1993994499</v>
      </c>
      <c r="AS16" s="21">
        <f t="shared" ref="AS16" si="741">AS15-AG15</f>
        <v>11608254.279159229</v>
      </c>
      <c r="AT16" s="21">
        <f t="shared" ref="AT16" si="742">AT15-AH15</f>
        <v>16251555.990822921</v>
      </c>
      <c r="AU16" s="21">
        <f t="shared" ref="AU16" si="743">AU15-AI15</f>
        <v>22752178.387152087</v>
      </c>
      <c r="AV16" s="21">
        <f t="shared" ref="AV16" si="744">AV15-AJ15</f>
        <v>26582473.853491262</v>
      </c>
      <c r="AW16" s="21">
        <f t="shared" ref="AW16" si="745">AW15-AK15</f>
        <v>26353701.634887766</v>
      </c>
      <c r="AX16" s="21">
        <f t="shared" ref="AX16" si="746">AX15-AL15</f>
        <v>26033420.52884287</v>
      </c>
      <c r="AY16" s="21">
        <f t="shared" ref="AY16" si="747">AY15-AM15</f>
        <v>25585026.980380017</v>
      </c>
      <c r="AZ16" s="21">
        <f t="shared" ref="AZ16" si="748">AZ15-AN15</f>
        <v>24957276.012532026</v>
      </c>
      <c r="BA16" s="21">
        <f t="shared" ref="BA16" si="749">BA15-AO15</f>
        <v>24078424.657544836</v>
      </c>
      <c r="BB16" s="21">
        <f t="shared" ref="BB16" si="750">BB15-AP15</f>
        <v>22848032.76056277</v>
      </c>
      <c r="BC16" s="21">
        <f t="shared" ref="BC16" si="751">BC15-AQ15</f>
        <v>21125484.104787875</v>
      </c>
      <c r="BD16" s="21">
        <f t="shared" ref="BD16" si="752">BD15-AR15</f>
        <v>18713915.986703023</v>
      </c>
      <c r="BE16" s="21">
        <f t="shared" ref="BE16" si="753">BE15-AS15</f>
        <v>15337720.621384235</v>
      </c>
      <c r="BF16" s="21">
        <f t="shared" ref="BF16" si="754">BF15-AT15</f>
        <v>10611047.109937929</v>
      </c>
      <c r="BG16" s="21">
        <f t="shared" ref="BG16" si="755">BG15-AU15</f>
        <v>3993704.1939131021</v>
      </c>
      <c r="BH16" s="21">
        <f t="shared" ref="BH16" si="756">BH15-AV15</f>
        <v>0</v>
      </c>
      <c r="BI16" s="21">
        <f t="shared" ref="BI16" si="757">BI15-AW15</f>
        <v>0</v>
      </c>
      <c r="BJ16" s="21">
        <f t="shared" ref="BJ16" si="758">BJ15-AX15</f>
        <v>0</v>
      </c>
      <c r="BK16" s="21">
        <f t="shared" ref="BK16" si="759">BK15-AY15</f>
        <v>0</v>
      </c>
      <c r="BL16" s="21">
        <f t="shared" ref="BL16" si="760">BL15-AZ15</f>
        <v>0</v>
      </c>
      <c r="BM16" s="21">
        <f t="shared" ref="BM16" si="761">BM15-BA15</f>
        <v>0</v>
      </c>
      <c r="BN16" s="21">
        <f t="shared" ref="BN16" si="762">BN15-BB15</f>
        <v>0</v>
      </c>
      <c r="BO16" s="21">
        <f t="shared" ref="BO16" si="763">BO15-BC15</f>
        <v>0</v>
      </c>
      <c r="BP16" s="21">
        <f t="shared" ref="BP16" si="764">BP15-BD15</f>
        <v>0</v>
      </c>
      <c r="BQ16" s="21">
        <f t="shared" ref="BQ16" si="765">BQ15-BE15</f>
        <v>0</v>
      </c>
      <c r="BR16" s="21">
        <f t="shared" ref="BR16" si="766">BR15-BF15</f>
        <v>0</v>
      </c>
      <c r="BS16" s="21">
        <f t="shared" ref="BS16" si="767">BS15-BG15</f>
        <v>0</v>
      </c>
      <c r="BT16" s="21">
        <f t="shared" ref="BT16" si="768">BT15-BH15</f>
        <v>0</v>
      </c>
      <c r="BU16" s="21">
        <f t="shared" ref="BU16" si="769">BU15-BI15</f>
        <v>0</v>
      </c>
      <c r="BV16" s="21">
        <f t="shared" ref="BV16" si="770">BV15-BJ15</f>
        <v>0</v>
      </c>
      <c r="BW16" s="21">
        <f t="shared" ref="BW16" si="771">BW15-BK15</f>
        <v>0</v>
      </c>
      <c r="BX16" s="21">
        <f t="shared" ref="BX16" si="772">BX15-BL15</f>
        <v>0</v>
      </c>
      <c r="BY16" s="21">
        <f t="shared" ref="BY16" si="773">BY15-BM15</f>
        <v>0</v>
      </c>
      <c r="BZ16" s="21">
        <f t="shared" ref="BZ16" si="774">BZ15-BN15</f>
        <v>0</v>
      </c>
      <c r="CA16" s="21">
        <f t="shared" ref="CA16" si="775">CA15-BO15</f>
        <v>0</v>
      </c>
      <c r="CB16" s="21">
        <f t="shared" ref="CB16" si="776">CB15-BP15</f>
        <v>0</v>
      </c>
      <c r="CC16" s="21">
        <f t="shared" ref="CC16" si="777">CC15-BQ15</f>
        <v>0</v>
      </c>
      <c r="CD16" s="21">
        <f t="shared" ref="CD16" si="778">CD15-BR15</f>
        <v>0</v>
      </c>
      <c r="CE16" s="21">
        <f t="shared" ref="CE16" si="779">CE15-BS15</f>
        <v>0</v>
      </c>
      <c r="CF16" s="21">
        <f t="shared" ref="CF16" si="780">CF15-BT15</f>
        <v>0</v>
      </c>
      <c r="CG16" s="21">
        <f t="shared" ref="CG16" si="781">CG15-BU15</f>
        <v>0</v>
      </c>
      <c r="CH16" s="21">
        <f t="shared" ref="CH16" si="782">CH15-BV15</f>
        <v>0</v>
      </c>
      <c r="CI16" s="21">
        <f t="shared" ref="CI16" si="783">CI15-BW15</f>
        <v>0</v>
      </c>
      <c r="CJ16" s="21">
        <f t="shared" ref="CJ16" si="784">CJ15-BX15</f>
        <v>0</v>
      </c>
      <c r="CK16" s="21">
        <f t="shared" ref="CK16" si="785">CK15-BY15</f>
        <v>0</v>
      </c>
      <c r="CL16" s="21">
        <f t="shared" ref="CL16" si="786">CL15-BZ15</f>
        <v>0</v>
      </c>
      <c r="CM16" s="21">
        <f t="shared" ref="CM16" si="787">CM15-CA15</f>
        <v>0</v>
      </c>
      <c r="CN16" s="21">
        <f t="shared" ref="CN16" si="788">CN15-CB15</f>
        <v>0</v>
      </c>
      <c r="CO16" s="21">
        <f t="shared" ref="CO16" si="789">CO15-CC15</f>
        <v>0</v>
      </c>
      <c r="CP16" s="21">
        <f t="shared" ref="CP16" si="790">CP15-CD15</f>
        <v>0</v>
      </c>
      <c r="CQ16" s="21">
        <f t="shared" ref="CQ16" si="791">CQ15-CE15</f>
        <v>0</v>
      </c>
      <c r="CR16" s="21">
        <f t="shared" ref="CR16" si="792">CR15-CF15</f>
        <v>0</v>
      </c>
      <c r="CS16" s="21">
        <f t="shared" ref="CS16" si="793">CS15-CG15</f>
        <v>0</v>
      </c>
      <c r="CT16" s="21">
        <f t="shared" ref="CT16" si="794">CT15-CH15</f>
        <v>0</v>
      </c>
      <c r="CU16" s="21">
        <f t="shared" ref="CU16" si="795">CU15-CI15</f>
        <v>0</v>
      </c>
      <c r="CV16" s="21">
        <f t="shared" ref="CV16" si="796">CV15-CJ15</f>
        <v>0</v>
      </c>
      <c r="CW16" s="21">
        <f t="shared" ref="CW16" si="797">CW15-CK15</f>
        <v>0</v>
      </c>
      <c r="CX16" s="21">
        <f t="shared" ref="CX16" si="798">CX15-CL15</f>
        <v>0</v>
      </c>
      <c r="CY16" s="21">
        <f t="shared" ref="CY16" si="799">CY15-CM15</f>
        <v>0</v>
      </c>
      <c r="CZ16" s="21">
        <f t="shared" ref="CZ16" si="800">CZ15-CN15</f>
        <v>0</v>
      </c>
      <c r="DA16" s="21">
        <f t="shared" ref="DA16" si="801">DA15-CO15</f>
        <v>0</v>
      </c>
      <c r="DB16" s="21">
        <f t="shared" ref="DB16" si="802">DB15-CP15</f>
        <v>0</v>
      </c>
      <c r="DC16" s="21">
        <f t="shared" ref="DC16" si="803">DC15-CQ15</f>
        <v>0</v>
      </c>
      <c r="DD16" s="21">
        <f t="shared" ref="DD16" si="804">DD15-CR15</f>
        <v>0</v>
      </c>
      <c r="DE16" s="21">
        <f t="shared" ref="DE16" si="805">DE15-CS15</f>
        <v>0</v>
      </c>
      <c r="DF16" s="21">
        <f t="shared" ref="DF16" si="806">DF15-CT15</f>
        <v>0</v>
      </c>
      <c r="DG16" s="21">
        <f t="shared" ref="DG16" si="807">DG15-CU15</f>
        <v>0</v>
      </c>
      <c r="DH16" s="21">
        <f t="shared" ref="DH16" si="808">DH15-CV15</f>
        <v>0</v>
      </c>
      <c r="DI16" s="21">
        <f t="shared" ref="DI16" si="809">DI15-CW15</f>
        <v>0</v>
      </c>
      <c r="DJ16" s="21">
        <f t="shared" ref="DJ16" si="810">DJ15-CX15</f>
        <v>0</v>
      </c>
      <c r="DK16" s="21">
        <f t="shared" ref="DK16" si="811">DK15-CY15</f>
        <v>0</v>
      </c>
      <c r="DL16" s="21">
        <f t="shared" ref="DL16" si="812">DL15-CZ15</f>
        <v>0</v>
      </c>
      <c r="DM16" s="21">
        <f t="shared" ref="DM16" si="813">DM15-DA15</f>
        <v>0</v>
      </c>
      <c r="DN16" s="21">
        <f t="shared" ref="DN16" si="814">DN15-DB15</f>
        <v>0</v>
      </c>
      <c r="DO16" s="21">
        <f t="shared" ref="DO16" si="815">DO15-DC15</f>
        <v>0</v>
      </c>
      <c r="DP16" s="21">
        <f t="shared" ref="DP16" si="816">DP15-DD15</f>
        <v>0</v>
      </c>
      <c r="DQ16" s="21">
        <f t="shared" ref="DQ16" si="817">DQ15-DE15</f>
        <v>0</v>
      </c>
      <c r="DR16" s="21">
        <f t="shared" ref="DR16" si="818">DR15-DF15</f>
        <v>0</v>
      </c>
      <c r="DS16" s="21">
        <f t="shared" ref="DS16" si="819">DS15-DG15</f>
        <v>0</v>
      </c>
      <c r="DT16" s="21">
        <f t="shared" ref="DT16" si="820">DT15-DH15</f>
        <v>0</v>
      </c>
      <c r="DU16" s="21">
        <f t="shared" ref="DU16" si="821">DU15-DI15</f>
        <v>0</v>
      </c>
      <c r="DV16" s="21">
        <f t="shared" ref="DV16" si="822">DV15-DJ15</f>
        <v>0</v>
      </c>
      <c r="DW16" s="21">
        <f t="shared" ref="DW16" si="823">DW15-DK15</f>
        <v>0</v>
      </c>
      <c r="DX16" s="21">
        <f t="shared" ref="DX16" si="824">DX15-DL15</f>
        <v>0</v>
      </c>
      <c r="DY16" s="21">
        <f t="shared" ref="DY16" si="825">DY15-DM15</f>
        <v>0</v>
      </c>
      <c r="DZ16" s="21">
        <f t="shared" ref="DZ16" si="826">DZ15-DN15</f>
        <v>0</v>
      </c>
      <c r="EA16" s="21">
        <f t="shared" ref="EA16" si="827">EA15-DO15</f>
        <v>0</v>
      </c>
      <c r="EB16" s="21">
        <f t="shared" ref="EB16" si="828">EB15-DP15</f>
        <v>0</v>
      </c>
      <c r="EC16" s="21">
        <f t="shared" ref="EC16" si="829">EC15-DQ15</f>
        <v>0</v>
      </c>
      <c r="ED16" s="21">
        <f t="shared" ref="ED16" si="830">ED15-DR15</f>
        <v>0</v>
      </c>
      <c r="EE16" s="21">
        <f t="shared" ref="EE16" si="831">EE15-DS15</f>
        <v>0</v>
      </c>
      <c r="EF16" s="21">
        <f t="shared" ref="EF16" si="832">EF15-DT15</f>
        <v>0</v>
      </c>
      <c r="EG16" s="21">
        <f t="shared" ref="EG16" si="833">EG15-DU15</f>
        <v>0</v>
      </c>
      <c r="EH16" s="21">
        <f t="shared" ref="EH16" si="834">EH15-DV15</f>
        <v>0</v>
      </c>
      <c r="EI16" s="21">
        <f t="shared" ref="EI16" si="835">EI15-DW15</f>
        <v>0</v>
      </c>
      <c r="EJ16" s="21">
        <f t="shared" ref="EJ16" si="836">EJ15-DX15</f>
        <v>0</v>
      </c>
      <c r="EK16" s="21">
        <f t="shared" ref="EK16" si="837">EK15-DY15</f>
        <v>0</v>
      </c>
      <c r="EL16" s="21">
        <f t="shared" ref="EL16" si="838">EL15-DZ15</f>
        <v>0</v>
      </c>
      <c r="EM16" s="21">
        <f t="shared" ref="EM16" si="839">EM15-EA15</f>
        <v>0</v>
      </c>
      <c r="EN16" s="21">
        <f t="shared" ref="EN16" si="840">EN15-EB15</f>
        <v>0</v>
      </c>
      <c r="EO16" s="21">
        <f t="shared" ref="EO16" si="841">EO15-EC15</f>
        <v>0</v>
      </c>
      <c r="EP16" s="21">
        <f t="shared" ref="EP16" si="842">EP15-ED15</f>
        <v>0</v>
      </c>
      <c r="EQ16" s="21">
        <f t="shared" ref="EQ16" si="843">EQ15-EE15</f>
        <v>0</v>
      </c>
      <c r="ER16" s="21">
        <f t="shared" ref="ER16" si="844">ER15-EF15</f>
        <v>0</v>
      </c>
      <c r="ES16" s="21">
        <f t="shared" ref="ES16" si="845">ES15-EG15</f>
        <v>0</v>
      </c>
      <c r="ET16" s="21">
        <f t="shared" ref="ET16" si="846">ET15-EH15</f>
        <v>0</v>
      </c>
      <c r="EU16" s="21">
        <f t="shared" ref="EU16" si="847">EU15-EI15</f>
        <v>0</v>
      </c>
      <c r="EV16" s="21">
        <f t="shared" ref="EV16" si="848">EV15-EJ15</f>
        <v>0</v>
      </c>
      <c r="EW16" s="21">
        <f t="shared" ref="EW16" si="849">EW15-EK15</f>
        <v>0</v>
      </c>
      <c r="EX16" s="21">
        <f t="shared" ref="EX16" si="850">EX15-EL15</f>
        <v>0</v>
      </c>
      <c r="EY16" s="21">
        <f t="shared" ref="EY16" si="851">EY15-EM15</f>
        <v>0</v>
      </c>
      <c r="EZ16" s="21">
        <f t="shared" ref="EZ16" si="852">EZ15-EN15</f>
        <v>0</v>
      </c>
      <c r="FA16" s="21">
        <f t="shared" ref="FA16" si="853">FA15-EO15</f>
        <v>0</v>
      </c>
      <c r="FB16" s="21">
        <f t="shared" ref="FB16" si="854">FB15-EP15</f>
        <v>0</v>
      </c>
      <c r="FC16" s="21">
        <f t="shared" ref="FC16" si="855">FC15-EQ15</f>
        <v>0</v>
      </c>
      <c r="FD16" s="21">
        <f t="shared" ref="FD16" si="856">FD15-ER15</f>
        <v>0</v>
      </c>
      <c r="FE16" s="21">
        <f t="shared" ref="FE16" si="857">FE15-ES15</f>
        <v>0</v>
      </c>
      <c r="FF16" s="21">
        <f t="shared" ref="FF16" si="858">FF15-ET15</f>
        <v>0</v>
      </c>
      <c r="FG16" s="21">
        <f t="shared" ref="FG16" si="859">FG15-EU15</f>
        <v>0</v>
      </c>
      <c r="FH16" s="21">
        <f t="shared" ref="FH16" si="860">FH15-EV15</f>
        <v>0</v>
      </c>
      <c r="FI16" s="21">
        <f t="shared" ref="FI16" si="861">FI15-EW15</f>
        <v>0</v>
      </c>
      <c r="FJ16" s="21">
        <f t="shared" ref="FJ16" si="862">FJ15-EX15</f>
        <v>0</v>
      </c>
      <c r="FK16" s="21">
        <f t="shared" ref="FK16" si="863">FK15-EY15</f>
        <v>0</v>
      </c>
      <c r="FL16" s="21">
        <f t="shared" ref="FL16" si="864">FL15-EZ15</f>
        <v>0</v>
      </c>
      <c r="FM16" s="21">
        <f t="shared" ref="FM16" si="865">FM15-FA15</f>
        <v>0</v>
      </c>
      <c r="FN16" s="21">
        <f t="shared" ref="FN16" si="866">FN15-FB15</f>
        <v>0</v>
      </c>
      <c r="FO16" s="21">
        <f t="shared" ref="FO16" si="867">FO15-FC15</f>
        <v>0</v>
      </c>
      <c r="FP16" s="21">
        <f t="shared" ref="FP16" si="868">FP15-FD15</f>
        <v>0</v>
      </c>
      <c r="FQ16" s="21">
        <f t="shared" ref="FQ16" si="869">FQ15-FE15</f>
        <v>0</v>
      </c>
      <c r="FR16" s="21">
        <f t="shared" ref="FR16" si="870">FR15-FF15</f>
        <v>0</v>
      </c>
      <c r="FS16" s="21">
        <f t="shared" ref="FS16" si="871">FS15-FG15</f>
        <v>0</v>
      </c>
      <c r="FT16" s="21">
        <f t="shared" ref="FT16" si="872">FT15-FH15</f>
        <v>0</v>
      </c>
      <c r="FU16" s="21">
        <f t="shared" ref="FU16" si="873">FU15-FI15</f>
        <v>0</v>
      </c>
      <c r="FV16" s="21">
        <f t="shared" ref="FV16" si="874">FV15-FJ15</f>
        <v>0</v>
      </c>
      <c r="FW16" s="21">
        <f t="shared" ref="FW16" si="875">FW15-FK15</f>
        <v>0</v>
      </c>
      <c r="FX16" s="21">
        <f t="shared" ref="FX16" si="876">FX15-FL15</f>
        <v>0</v>
      </c>
      <c r="FY16" s="21">
        <f t="shared" ref="FY16" si="877">FY15-FM15</f>
        <v>0</v>
      </c>
      <c r="FZ16" s="21">
        <f t="shared" ref="FZ16" si="878">FZ15-FN15</f>
        <v>0</v>
      </c>
      <c r="GA16" s="21">
        <f t="shared" ref="GA16" si="879">GA15-FO15</f>
        <v>0</v>
      </c>
      <c r="GB16" s="21">
        <f t="shared" ref="GB16" si="880">GB15-FP15</f>
        <v>0</v>
      </c>
      <c r="GC16" s="21">
        <f t="shared" ref="GC16" si="881">GC15-FQ15</f>
        <v>0</v>
      </c>
      <c r="GD16" s="21">
        <f t="shared" ref="GD16" si="882">GD15-FR15</f>
        <v>0</v>
      </c>
      <c r="GE16" s="21">
        <f t="shared" ref="GE16" si="883">GE15-FS15</f>
        <v>0</v>
      </c>
      <c r="GF16" s="21">
        <f t="shared" ref="GF16" si="884">GF15-FT15</f>
        <v>0</v>
      </c>
      <c r="GG16" s="21">
        <f t="shared" ref="GG16" si="885">GG15-FU15</f>
        <v>0</v>
      </c>
      <c r="GH16" s="21">
        <f t="shared" ref="GH16" si="886">GH15-FV15</f>
        <v>0</v>
      </c>
      <c r="GI16" s="21">
        <f t="shared" ref="GI16" si="887">GI15-FW15</f>
        <v>0</v>
      </c>
      <c r="GJ16" s="21">
        <f t="shared" ref="GJ16" si="888">GJ15-FX15</f>
        <v>0</v>
      </c>
      <c r="GK16" s="21">
        <f t="shared" ref="GK16" si="889">GK15-FY15</f>
        <v>0</v>
      </c>
      <c r="GL16" s="21">
        <f t="shared" ref="GL16" si="890">GL15-FZ15</f>
        <v>0</v>
      </c>
      <c r="GM16" s="21">
        <f t="shared" ref="GM16" si="891">GM15-GA15</f>
        <v>0</v>
      </c>
      <c r="GN16" s="21">
        <f t="shared" ref="GN16" si="892">GN15-GB15</f>
        <v>0</v>
      </c>
      <c r="GO16" s="21">
        <f t="shared" ref="GO16" si="893">GO15-GC15</f>
        <v>0</v>
      </c>
      <c r="GP16" s="21">
        <f t="shared" ref="GP16" si="894">GP15-GD15</f>
        <v>0</v>
      </c>
      <c r="GQ16" s="21">
        <f t="shared" ref="GQ16" si="895">GQ15-GE15</f>
        <v>0</v>
      </c>
      <c r="GR16" s="21">
        <f t="shared" ref="GR16" si="896">GR15-GF15</f>
        <v>0</v>
      </c>
      <c r="GS16" s="21">
        <f t="shared" ref="GS16" si="897">GS15-GG15</f>
        <v>0</v>
      </c>
      <c r="GT16" s="21">
        <f t="shared" ref="GT16" si="898">GT15-GH15</f>
        <v>0</v>
      </c>
      <c r="GU16" s="21">
        <f t="shared" ref="GU16" si="899">GU15-GI15</f>
        <v>0</v>
      </c>
      <c r="GV16" s="21">
        <f t="shared" ref="GV16" si="900">GV15-GJ15</f>
        <v>0</v>
      </c>
      <c r="GW16" s="21">
        <f t="shared" ref="GW16" si="901">GW15-GK15</f>
        <v>0</v>
      </c>
      <c r="GX16" s="21">
        <f t="shared" ref="GX16" si="902">GX15-GL15</f>
        <v>0</v>
      </c>
      <c r="GY16" s="21">
        <f t="shared" ref="GY16" si="903">GY15-GM15</f>
        <v>0</v>
      </c>
      <c r="GZ16" s="21">
        <f t="shared" ref="GZ16" si="904">GZ15-GN15</f>
        <v>0</v>
      </c>
      <c r="HA16" s="21">
        <f t="shared" ref="HA16" si="905">HA15-GO15</f>
        <v>0</v>
      </c>
      <c r="HB16" s="21">
        <f t="shared" ref="HB16" si="906">HB15-GP15</f>
        <v>0</v>
      </c>
      <c r="HC16" s="21">
        <f t="shared" ref="HC16" si="907">HC15-GQ15</f>
        <v>0</v>
      </c>
      <c r="HD16" s="21">
        <f t="shared" ref="HD16" si="908">HD15-GR15</f>
        <v>0</v>
      </c>
      <c r="HE16" s="21">
        <f t="shared" ref="HE16" si="909">HE15-GS15</f>
        <v>0</v>
      </c>
      <c r="HF16" s="21">
        <f t="shared" ref="HF16" si="910">HF15-GT15</f>
        <v>0</v>
      </c>
      <c r="HG16" s="21">
        <f t="shared" ref="HG16" si="911">HG15-GU15</f>
        <v>0</v>
      </c>
      <c r="HH16" s="21">
        <f t="shared" ref="HH16" si="912">HH15-GV15</f>
        <v>0</v>
      </c>
      <c r="HI16" s="21">
        <f t="shared" ref="HI16" si="913">HI15-GW15</f>
        <v>0</v>
      </c>
      <c r="HJ16" s="21">
        <f t="shared" ref="HJ16" si="914">HJ15-GX15</f>
        <v>0</v>
      </c>
      <c r="HK16" s="21">
        <f t="shared" ref="HK16" si="915">HK15-GY15</f>
        <v>0</v>
      </c>
      <c r="HL16" s="21">
        <f t="shared" ref="HL16" si="916">HL15-GZ15</f>
        <v>0</v>
      </c>
      <c r="HM16" s="21">
        <f t="shared" ref="HM16" si="917">HM15-HA15</f>
        <v>0</v>
      </c>
      <c r="HN16" s="21">
        <f t="shared" ref="HN16" si="918">HN15-HB15</f>
        <v>0</v>
      </c>
      <c r="HO16" s="21">
        <f t="shared" ref="HO16" si="919">HO15-HC15</f>
        <v>0</v>
      </c>
      <c r="HP16" s="21">
        <f t="shared" ref="HP16" si="920">HP15-HD15</f>
        <v>0</v>
      </c>
      <c r="HQ16" s="21">
        <f t="shared" ref="HQ16" si="921">HQ15-HE15</f>
        <v>0</v>
      </c>
      <c r="HR16" s="21">
        <f t="shared" ref="HR16" si="922">HR15-HF15</f>
        <v>0</v>
      </c>
      <c r="HS16" s="21">
        <f t="shared" ref="HS16" si="923">HS15-HG15</f>
        <v>0</v>
      </c>
      <c r="HT16" s="21">
        <f t="shared" ref="HT16" si="924">HT15-HH15</f>
        <v>0</v>
      </c>
      <c r="HU16" s="21">
        <f t="shared" ref="HU16" si="925">HU15-HI15</f>
        <v>0</v>
      </c>
      <c r="HV16" s="21">
        <f t="shared" ref="HV16" si="926">HV15-HJ15</f>
        <v>0</v>
      </c>
      <c r="HW16" s="21">
        <f t="shared" ref="HW16" si="927">HW15-HK15</f>
        <v>0</v>
      </c>
      <c r="HX16" s="21">
        <f t="shared" ref="HX16" si="928">HX15-HL15</f>
        <v>0</v>
      </c>
      <c r="HY16" s="21">
        <f t="shared" ref="HY16" si="929">HY15-HM15</f>
        <v>0</v>
      </c>
      <c r="HZ16" s="21">
        <f t="shared" ref="HZ16" si="930">HZ15-HN15</f>
        <v>0</v>
      </c>
      <c r="IA16" s="21">
        <f t="shared" ref="IA16" si="931">IA15-HO15</f>
        <v>0</v>
      </c>
      <c r="IB16" s="21">
        <f t="shared" ref="IB16" si="932">IB15-HP15</f>
        <v>0</v>
      </c>
      <c r="IC16" s="21">
        <f t="shared" ref="IC16" si="933">IC15-HQ15</f>
        <v>0</v>
      </c>
      <c r="ID16" s="21">
        <f t="shared" ref="ID16" si="934">ID15-HR15</f>
        <v>0</v>
      </c>
      <c r="IE16" s="21">
        <f t="shared" ref="IE16" si="935">IE15-HS15</f>
        <v>0</v>
      </c>
      <c r="IF16" s="21">
        <f t="shared" ref="IF16" si="936">IF15-HT15</f>
        <v>0</v>
      </c>
      <c r="IG16" s="21">
        <f t="shared" ref="IG16" si="937">IG15-HU15</f>
        <v>0</v>
      </c>
      <c r="IH16" s="21">
        <f t="shared" ref="IH16" si="938">IH15-HV15</f>
        <v>0</v>
      </c>
      <c r="II16" s="21">
        <f t="shared" ref="II16" si="939">II15-HW15</f>
        <v>0</v>
      </c>
      <c r="IJ16" s="21">
        <f t="shared" ref="IJ16" si="940">IJ15-HX15</f>
        <v>0</v>
      </c>
      <c r="IK16" s="21">
        <f t="shared" ref="IK16" si="941">IK15-HY15</f>
        <v>0</v>
      </c>
      <c r="IL16" s="21">
        <f t="shared" ref="IL16" si="942">IL15-HZ15</f>
        <v>0</v>
      </c>
      <c r="IM16" s="21">
        <f t="shared" ref="IM16" si="943">IM15-IA15</f>
        <v>0</v>
      </c>
      <c r="IN16" s="21">
        <f t="shared" ref="IN16" si="944">IN15-IB15</f>
        <v>0</v>
      </c>
    </row>
    <row r="17" spans="2:248" x14ac:dyDescent="0.3">
      <c r="F17" s="22" t="s">
        <v>500</v>
      </c>
      <c r="G17" s="24">
        <f>$C$15</f>
        <v>4480.4767259999999</v>
      </c>
      <c r="H17" s="24">
        <f>$C$15</f>
        <v>4480.4767259999999</v>
      </c>
      <c r="I17" s="24">
        <f>$C$15</f>
        <v>4480.4767259999999</v>
      </c>
      <c r="J17" s="24">
        <f>$C$15</f>
        <v>4480.4767259999999</v>
      </c>
      <c r="K17" s="24">
        <f>$C$15</f>
        <v>4480.4767259999999</v>
      </c>
      <c r="L17" s="24">
        <f>$C$15</f>
        <v>4480.4767259999999</v>
      </c>
      <c r="M17" s="24">
        <f>$C$15</f>
        <v>4480.4767259999999</v>
      </c>
      <c r="N17" s="24">
        <f>$C$15</f>
        <v>4480.4767259999999</v>
      </c>
      <c r="O17" s="24">
        <f>$C$15</f>
        <v>4480.4767259999999</v>
      </c>
      <c r="P17" s="24">
        <f>$C$15</f>
        <v>4480.4767259999999</v>
      </c>
      <c r="Q17" s="24">
        <f>$C$15</f>
        <v>4480.4767259999999</v>
      </c>
      <c r="R17" s="24">
        <f>$C$15</f>
        <v>4480.4767259999999</v>
      </c>
      <c r="S17" s="24">
        <f>$C$15</f>
        <v>4480.4767259999999</v>
      </c>
      <c r="T17" s="24">
        <f>$C$15</f>
        <v>4480.4767259999999</v>
      </c>
      <c r="U17" s="24">
        <f>$C$15</f>
        <v>4480.4767259999999</v>
      </c>
      <c r="V17" s="24">
        <f>$C$15</f>
        <v>4480.4767259999999</v>
      </c>
      <c r="W17" s="24">
        <f>$C$15</f>
        <v>4480.4767259999999</v>
      </c>
      <c r="X17" s="24">
        <f>$C$15</f>
        <v>4480.4767259999999</v>
      </c>
      <c r="Y17" s="24">
        <f>$C$15</f>
        <v>4480.4767259999999</v>
      </c>
      <c r="Z17" s="24">
        <f>$C$15</f>
        <v>4480.4767259999999</v>
      </c>
      <c r="AA17" s="24">
        <f>$C$15</f>
        <v>4480.4767259999999</v>
      </c>
      <c r="AB17" s="24">
        <f>$C$15</f>
        <v>4480.4767259999999</v>
      </c>
      <c r="AC17" s="24">
        <f>$C$15</f>
        <v>4480.4767259999999</v>
      </c>
      <c r="AD17" s="24">
        <f>$C$15</f>
        <v>4480.4767259999999</v>
      </c>
      <c r="AE17" s="24">
        <f>$C$15</f>
        <v>4480.4767259999999</v>
      </c>
      <c r="AF17" s="24">
        <f>$C$15</f>
        <v>4480.4767259999999</v>
      </c>
      <c r="AG17" s="24">
        <f>$C$15</f>
        <v>4480.4767259999999</v>
      </c>
      <c r="AH17" s="24">
        <f>$C$15</f>
        <v>4480.4767259999999</v>
      </c>
      <c r="AI17" s="24">
        <f>$C$15</f>
        <v>4480.4767259999999</v>
      </c>
      <c r="AJ17" s="24">
        <f>$C$15</f>
        <v>4480.4767259999999</v>
      </c>
      <c r="AK17" s="24">
        <f>$C$15</f>
        <v>4480.4767259999999</v>
      </c>
      <c r="AL17" s="24">
        <f>$C$15</f>
        <v>4480.4767259999999</v>
      </c>
      <c r="AM17" s="24">
        <f>$C$15</f>
        <v>4480.4767259999999</v>
      </c>
      <c r="AN17" s="24">
        <f>$C$15</f>
        <v>4480.4767259999999</v>
      </c>
      <c r="AO17" s="24">
        <f>$C$15</f>
        <v>4480.4767259999999</v>
      </c>
      <c r="AP17" s="24">
        <f>$C$15</f>
        <v>4480.4767259999999</v>
      </c>
      <c r="AQ17" s="24">
        <f>$C$15</f>
        <v>4480.4767259999999</v>
      </c>
      <c r="AR17" s="24">
        <f>$C$15</f>
        <v>4480.4767259999999</v>
      </c>
      <c r="AS17" s="24">
        <f>$C$15</f>
        <v>4480.4767259999999</v>
      </c>
      <c r="AT17" s="24">
        <f>$C$15</f>
        <v>4480.4767259999999</v>
      </c>
      <c r="AU17" s="24">
        <f>$C$15</f>
        <v>4480.4767259999999</v>
      </c>
      <c r="AV17" s="24">
        <f>$C$15</f>
        <v>4480.4767259999999</v>
      </c>
      <c r="AW17" s="24">
        <f>$C$15</f>
        <v>4480.4767259999999</v>
      </c>
      <c r="AX17" s="24">
        <f>$C$15</f>
        <v>4480.4767259999999</v>
      </c>
      <c r="AY17" s="24">
        <f>$C$15</f>
        <v>4480.4767259999999</v>
      </c>
      <c r="AZ17" s="24">
        <f>$C$15</f>
        <v>4480.4767259999999</v>
      </c>
      <c r="BA17" s="24">
        <f>$C$15</f>
        <v>4480.4767259999999</v>
      </c>
      <c r="BB17" s="24">
        <f>$C$15</f>
        <v>4480.4767259999999</v>
      </c>
      <c r="BC17" s="24">
        <f>$C$15</f>
        <v>4480.4767259999999</v>
      </c>
      <c r="BD17" s="24">
        <f>$C$15</f>
        <v>4480.4767259999999</v>
      </c>
      <c r="BE17" s="24">
        <f>$C$15</f>
        <v>4480.4767259999999</v>
      </c>
      <c r="BF17" s="24">
        <f>$C$15</f>
        <v>4480.4767259999999</v>
      </c>
      <c r="BG17" s="24">
        <f>$C$15</f>
        <v>4480.4767259999999</v>
      </c>
      <c r="BH17" s="24">
        <f>$C$15</f>
        <v>4480.4767259999999</v>
      </c>
      <c r="BI17" s="24">
        <f>$C$15</f>
        <v>4480.4767259999999</v>
      </c>
      <c r="BJ17" s="24">
        <f>$C$15</f>
        <v>4480.4767259999999</v>
      </c>
      <c r="BK17" s="24">
        <f>$C$15</f>
        <v>4480.4767259999999</v>
      </c>
      <c r="BL17" s="24">
        <f>$C$15</f>
        <v>4480.4767259999999</v>
      </c>
      <c r="BM17" s="24">
        <f>$C$15</f>
        <v>4480.4767259999999</v>
      </c>
      <c r="BN17" s="24">
        <f>$C$15</f>
        <v>4480.4767259999999</v>
      </c>
      <c r="BO17" s="24">
        <f>$C$15</f>
        <v>4480.4767259999999</v>
      </c>
      <c r="BP17" s="24">
        <f>$C$15</f>
        <v>4480.4767259999999</v>
      </c>
      <c r="BQ17" s="24">
        <f>$C$15</f>
        <v>4480.4767259999999</v>
      </c>
      <c r="BR17" s="24">
        <f>$C$15</f>
        <v>4480.4767259999999</v>
      </c>
      <c r="BS17" s="24">
        <f>$C$15</f>
        <v>4480.4767259999999</v>
      </c>
      <c r="BT17" s="24">
        <f>$C$15</f>
        <v>4480.4767259999999</v>
      </c>
      <c r="BU17" s="24">
        <f>$C$15</f>
        <v>4480.4767259999999</v>
      </c>
      <c r="BV17" s="24">
        <f>$C$15</f>
        <v>4480.4767259999999</v>
      </c>
      <c r="BW17" s="24">
        <f>$C$15</f>
        <v>4480.4767259999999</v>
      </c>
      <c r="BX17" s="24">
        <f>$C$15</f>
        <v>4480.4767259999999</v>
      </c>
      <c r="BY17" s="24">
        <f>$C$15</f>
        <v>4480.4767259999999</v>
      </c>
      <c r="BZ17" s="24">
        <f>$C$15</f>
        <v>4480.4767259999999</v>
      </c>
      <c r="CA17" s="24">
        <f>$C$15</f>
        <v>4480.4767259999999</v>
      </c>
      <c r="CB17" s="24">
        <f>$C$15</f>
        <v>4480.4767259999999</v>
      </c>
      <c r="CC17" s="24">
        <f>$C$15</f>
        <v>4480.4767259999999</v>
      </c>
      <c r="CD17" s="24">
        <f>$C$15</f>
        <v>4480.4767259999999</v>
      </c>
      <c r="CE17" s="24">
        <f>$C$15</f>
        <v>4480.4767259999999</v>
      </c>
      <c r="CF17" s="24">
        <f>$C$15</f>
        <v>4480.4767259999999</v>
      </c>
      <c r="CG17" s="24">
        <f>$C$15</f>
        <v>4480.4767259999999</v>
      </c>
      <c r="CH17" s="24">
        <f>$C$15</f>
        <v>4480.4767259999999</v>
      </c>
      <c r="CI17" s="24">
        <f>$C$15</f>
        <v>4480.4767259999999</v>
      </c>
      <c r="CJ17" s="24">
        <f>$C$15</f>
        <v>4480.4767259999999</v>
      </c>
      <c r="CK17" s="24">
        <f>$C$15</f>
        <v>4480.4767259999999</v>
      </c>
      <c r="CL17" s="24">
        <f>$C$15</f>
        <v>4480.4767259999999</v>
      </c>
      <c r="CM17" s="24">
        <f>$C$15</f>
        <v>4480.4767259999999</v>
      </c>
      <c r="CN17" s="24">
        <f>$C$15</f>
        <v>4480.4767259999999</v>
      </c>
      <c r="CO17" s="24">
        <f>$C$15</f>
        <v>4480.4767259999999</v>
      </c>
      <c r="CP17" s="24">
        <f>$C$15</f>
        <v>4480.4767259999999</v>
      </c>
      <c r="CQ17" s="24">
        <f>$C$15</f>
        <v>4480.4767259999999</v>
      </c>
      <c r="CR17" s="24">
        <f>$C$15</f>
        <v>4480.4767259999999</v>
      </c>
      <c r="CS17" s="24">
        <f>$C$15</f>
        <v>4480.4767259999999</v>
      </c>
      <c r="CT17" s="24">
        <f>$C$15</f>
        <v>4480.4767259999999</v>
      </c>
      <c r="CU17" s="24">
        <f>$C$15</f>
        <v>4480.4767259999999</v>
      </c>
      <c r="CV17" s="24">
        <f>$C$15</f>
        <v>4480.4767259999999</v>
      </c>
      <c r="CW17" s="24">
        <f>$C$15</f>
        <v>4480.4767259999999</v>
      </c>
      <c r="CX17" s="24">
        <f>$C$15</f>
        <v>4480.4767259999999</v>
      </c>
      <c r="CY17" s="24">
        <f>$C$15</f>
        <v>4480.4767259999999</v>
      </c>
      <c r="CZ17" s="24">
        <f>$C$15</f>
        <v>4480.4767259999999</v>
      </c>
      <c r="DA17" s="24">
        <f>$C$15</f>
        <v>4480.4767259999999</v>
      </c>
      <c r="DB17" s="24">
        <f>$C$15</f>
        <v>4480.4767259999999</v>
      </c>
      <c r="DC17" s="24">
        <f>$C$15</f>
        <v>4480.4767259999999</v>
      </c>
      <c r="DD17" s="24">
        <f>$C$15</f>
        <v>4480.4767259999999</v>
      </c>
      <c r="DE17" s="24">
        <f>$C$15</f>
        <v>4480.4767259999999</v>
      </c>
      <c r="DF17" s="24">
        <f>$C$15</f>
        <v>4480.4767259999999</v>
      </c>
      <c r="DG17" s="24">
        <f>$C$15</f>
        <v>4480.4767259999999</v>
      </c>
      <c r="DH17" s="24">
        <f>$C$15</f>
        <v>4480.4767259999999</v>
      </c>
      <c r="DI17" s="24">
        <f>$C$15</f>
        <v>4480.4767259999999</v>
      </c>
      <c r="DJ17" s="24">
        <f>$C$15</f>
        <v>4480.4767259999999</v>
      </c>
      <c r="DK17" s="24">
        <f>$C$15</f>
        <v>4480.4767259999999</v>
      </c>
      <c r="DL17" s="24">
        <f>$C$15</f>
        <v>4480.4767259999999</v>
      </c>
      <c r="DM17" s="24">
        <f>$C$15</f>
        <v>4480.4767259999999</v>
      </c>
      <c r="DN17" s="24">
        <f>$C$15</f>
        <v>4480.4767259999999</v>
      </c>
      <c r="DO17" s="24">
        <f>$C$15</f>
        <v>4480.4767259999999</v>
      </c>
      <c r="DP17" s="24">
        <f>$C$15</f>
        <v>4480.4767259999999</v>
      </c>
      <c r="DQ17" s="24">
        <f>$C$15</f>
        <v>4480.4767259999999</v>
      </c>
      <c r="DR17" s="24">
        <f>$C$15</f>
        <v>4480.4767259999999</v>
      </c>
      <c r="DS17" s="24">
        <f>$C$15</f>
        <v>4480.4767259999999</v>
      </c>
      <c r="DT17" s="24">
        <f>$C$15</f>
        <v>4480.4767259999999</v>
      </c>
      <c r="DU17" s="24">
        <f>$C$15</f>
        <v>4480.4767259999999</v>
      </c>
      <c r="DV17" s="24">
        <f>$C$15</f>
        <v>4480.4767259999999</v>
      </c>
      <c r="DW17" s="24">
        <f>$C$15</f>
        <v>4480.4767259999999</v>
      </c>
      <c r="DX17" s="24">
        <f>$C$15</f>
        <v>4480.4767259999999</v>
      </c>
      <c r="DY17" s="24">
        <f>$C$15</f>
        <v>4480.4767259999999</v>
      </c>
      <c r="DZ17" s="24">
        <f>$C$15</f>
        <v>4480.4767259999999</v>
      </c>
      <c r="EA17" s="24">
        <f>$C$15</f>
        <v>4480.4767259999999</v>
      </c>
      <c r="EB17" s="24">
        <f>$C$15</f>
        <v>4480.4767259999999</v>
      </c>
      <c r="EC17" s="24">
        <f>$C$15</f>
        <v>4480.4767259999999</v>
      </c>
      <c r="ED17" s="24">
        <f>$C$15</f>
        <v>4480.4767259999999</v>
      </c>
      <c r="EE17" s="24">
        <f>$C$15</f>
        <v>4480.4767259999999</v>
      </c>
      <c r="EF17" s="24">
        <f>$C$15</f>
        <v>4480.4767259999999</v>
      </c>
      <c r="EG17" s="24">
        <f>$C$15</f>
        <v>4480.4767259999999</v>
      </c>
      <c r="EH17" s="24">
        <f>$C$15</f>
        <v>4480.4767259999999</v>
      </c>
      <c r="EI17" s="24">
        <f>$C$15</f>
        <v>4480.4767259999999</v>
      </c>
      <c r="EJ17" s="24">
        <f>$C$15</f>
        <v>4480.4767259999999</v>
      </c>
      <c r="EK17" s="24">
        <f>$C$15</f>
        <v>4480.4767259999999</v>
      </c>
      <c r="EL17" s="24">
        <f>$C$15</f>
        <v>4480.4767259999999</v>
      </c>
      <c r="EM17" s="24">
        <f>$C$15</f>
        <v>4480.4767259999999</v>
      </c>
      <c r="EN17" s="24">
        <f>$C$15</f>
        <v>4480.4767259999999</v>
      </c>
      <c r="EO17" s="24">
        <f>$C$15</f>
        <v>4480.4767259999999</v>
      </c>
      <c r="EP17" s="24">
        <f>$C$15</f>
        <v>4480.4767259999999</v>
      </c>
      <c r="EQ17" s="24">
        <f>$C$15</f>
        <v>4480.4767259999999</v>
      </c>
      <c r="ER17" s="24">
        <f>$C$15</f>
        <v>4480.4767259999999</v>
      </c>
      <c r="ES17" s="24">
        <f>$C$15</f>
        <v>4480.4767259999999</v>
      </c>
      <c r="ET17" s="24">
        <f>$C$15</f>
        <v>4480.4767259999999</v>
      </c>
      <c r="EU17" s="24">
        <f>$C$15</f>
        <v>4480.4767259999999</v>
      </c>
      <c r="EV17" s="24">
        <f>$C$15</f>
        <v>4480.4767259999999</v>
      </c>
      <c r="EW17" s="24">
        <f>$C$15</f>
        <v>4480.4767259999999</v>
      </c>
      <c r="EX17" s="24">
        <f>$C$15</f>
        <v>4480.4767259999999</v>
      </c>
      <c r="EY17" s="24">
        <f>$C$15</f>
        <v>4480.4767259999999</v>
      </c>
      <c r="EZ17" s="24">
        <f>$C$15</f>
        <v>4480.4767259999999</v>
      </c>
      <c r="FA17" s="24">
        <f>$C$15</f>
        <v>4480.4767259999999</v>
      </c>
      <c r="FB17" s="24">
        <f>$C$15</f>
        <v>4480.4767259999999</v>
      </c>
      <c r="FC17" s="24">
        <f>$C$15</f>
        <v>4480.4767259999999</v>
      </c>
      <c r="FD17" s="24">
        <f>$C$15</f>
        <v>4480.4767259999999</v>
      </c>
      <c r="FE17" s="24">
        <f>$C$15</f>
        <v>4480.4767259999999</v>
      </c>
      <c r="FF17" s="24">
        <f>$C$15</f>
        <v>4480.4767259999999</v>
      </c>
      <c r="FG17" s="24">
        <f>$C$15</f>
        <v>4480.4767259999999</v>
      </c>
      <c r="FH17" s="24">
        <f>$C$15</f>
        <v>4480.4767259999999</v>
      </c>
      <c r="FI17" s="24">
        <f>$C$15</f>
        <v>4480.4767259999999</v>
      </c>
      <c r="FJ17" s="24">
        <f>$C$15</f>
        <v>4480.4767259999999</v>
      </c>
      <c r="FK17" s="24">
        <f>$C$15</f>
        <v>4480.4767259999999</v>
      </c>
      <c r="FL17" s="24">
        <f>$C$15</f>
        <v>4480.4767259999999</v>
      </c>
      <c r="FM17" s="24">
        <f>$C$15</f>
        <v>4480.4767259999999</v>
      </c>
      <c r="FN17" s="24">
        <f>$C$15</f>
        <v>4480.4767259999999</v>
      </c>
      <c r="FO17" s="24">
        <f>$C$15</f>
        <v>4480.4767259999999</v>
      </c>
      <c r="FP17" s="24">
        <f>$C$15</f>
        <v>4480.4767259999999</v>
      </c>
      <c r="FQ17" s="24">
        <f>$C$15</f>
        <v>4480.4767259999999</v>
      </c>
      <c r="FR17" s="24">
        <f>$C$15</f>
        <v>4480.4767259999999</v>
      </c>
      <c r="FS17" s="24">
        <f>$C$15</f>
        <v>4480.4767259999999</v>
      </c>
      <c r="FT17" s="24">
        <f>$C$15</f>
        <v>4480.4767259999999</v>
      </c>
      <c r="FU17" s="24">
        <f>$C$15</f>
        <v>4480.4767259999999</v>
      </c>
      <c r="FV17" s="24">
        <f>$C$15</f>
        <v>4480.4767259999999</v>
      </c>
      <c r="FW17" s="24">
        <f>$C$15</f>
        <v>4480.4767259999999</v>
      </c>
      <c r="FX17" s="24">
        <f>$C$15</f>
        <v>4480.4767259999999</v>
      </c>
      <c r="FY17" s="24">
        <f>$C$15</f>
        <v>4480.4767259999999</v>
      </c>
      <c r="FZ17" s="24">
        <f>$C$15</f>
        <v>4480.4767259999999</v>
      </c>
      <c r="GA17" s="24">
        <f>$C$15</f>
        <v>4480.4767259999999</v>
      </c>
      <c r="GB17" s="24">
        <f>$C$15</f>
        <v>4480.4767259999999</v>
      </c>
      <c r="GC17" s="24">
        <f>$C$15</f>
        <v>4480.4767259999999</v>
      </c>
      <c r="GD17" s="24">
        <f>$C$15</f>
        <v>4480.4767259999999</v>
      </c>
      <c r="GE17" s="24">
        <f>$C$15</f>
        <v>4480.4767259999999</v>
      </c>
      <c r="GF17" s="24">
        <f>$C$15</f>
        <v>4480.4767259999999</v>
      </c>
      <c r="GG17" s="24">
        <f>$C$15</f>
        <v>4480.4767259999999</v>
      </c>
      <c r="GH17" s="24">
        <f>$C$15</f>
        <v>4480.4767259999999</v>
      </c>
      <c r="GI17" s="24">
        <f>$C$15</f>
        <v>4480.4767259999999</v>
      </c>
      <c r="GJ17" s="24">
        <f>$C$15</f>
        <v>4480.4767259999999</v>
      </c>
      <c r="GK17" s="24">
        <f>$C$15</f>
        <v>4480.4767259999999</v>
      </c>
      <c r="GL17" s="24">
        <f>$C$15</f>
        <v>4480.4767259999999</v>
      </c>
      <c r="GM17" s="24">
        <f>$C$15</f>
        <v>4480.4767259999999</v>
      </c>
      <c r="GN17" s="24">
        <f>$C$15</f>
        <v>4480.4767259999999</v>
      </c>
      <c r="GO17" s="24">
        <f>$C$15</f>
        <v>4480.4767259999999</v>
      </c>
      <c r="GP17" s="24">
        <f>$C$15</f>
        <v>4480.4767259999999</v>
      </c>
      <c r="GQ17" s="24">
        <f>$C$15</f>
        <v>4480.4767259999999</v>
      </c>
      <c r="GR17" s="24">
        <f>$C$15</f>
        <v>4480.4767259999999</v>
      </c>
      <c r="GS17" s="24">
        <f>$C$15</f>
        <v>4480.4767259999999</v>
      </c>
      <c r="GT17" s="24">
        <f>$C$15</f>
        <v>4480.4767259999999</v>
      </c>
      <c r="GU17" s="24">
        <f>$C$15</f>
        <v>4480.4767259999999</v>
      </c>
      <c r="GV17" s="24">
        <f>$C$15</f>
        <v>4480.4767259999999</v>
      </c>
      <c r="GW17" s="24">
        <f>$C$15</f>
        <v>4480.4767259999999</v>
      </c>
      <c r="GX17" s="24">
        <f>$C$15</f>
        <v>4480.4767259999999</v>
      </c>
      <c r="GY17" s="24">
        <f>$C$15</f>
        <v>4480.4767259999999</v>
      </c>
      <c r="GZ17" s="24">
        <f>$C$15</f>
        <v>4480.4767259999999</v>
      </c>
      <c r="HA17" s="24">
        <f>$C$15</f>
        <v>4480.4767259999999</v>
      </c>
      <c r="HB17" s="24">
        <f>$C$15</f>
        <v>4480.4767259999999</v>
      </c>
      <c r="HC17" s="24">
        <f>$C$15</f>
        <v>4480.4767259999999</v>
      </c>
      <c r="HD17" s="24">
        <f>$C$15</f>
        <v>4480.4767259999999</v>
      </c>
      <c r="HE17" s="24">
        <f>$C$15</f>
        <v>4480.4767259999999</v>
      </c>
      <c r="HF17" s="24">
        <f>$C$15</f>
        <v>4480.4767259999999</v>
      </c>
      <c r="HG17" s="24">
        <f>$C$15</f>
        <v>4480.4767259999999</v>
      </c>
      <c r="HH17" s="24">
        <f>$C$15</f>
        <v>4480.4767259999999</v>
      </c>
      <c r="HI17" s="24">
        <f>$C$15</f>
        <v>4480.4767259999999</v>
      </c>
      <c r="HJ17" s="24">
        <f>$C$15</f>
        <v>4480.4767259999999</v>
      </c>
      <c r="HK17" s="24">
        <f>$C$15</f>
        <v>4480.4767259999999</v>
      </c>
      <c r="HL17" s="24">
        <f>$C$15</f>
        <v>4480.4767259999999</v>
      </c>
      <c r="HM17" s="24">
        <f>$C$15</f>
        <v>4480.4767259999999</v>
      </c>
      <c r="HN17" s="24">
        <f>$C$15</f>
        <v>4480.4767259999999</v>
      </c>
      <c r="HO17" s="24">
        <f>$C$15</f>
        <v>4480.4767259999999</v>
      </c>
      <c r="HP17" s="24">
        <f>$C$15</f>
        <v>4480.4767259999999</v>
      </c>
      <c r="HQ17" s="24">
        <f>$C$15</f>
        <v>4480.4767259999999</v>
      </c>
      <c r="HR17" s="24">
        <f>$C$15</f>
        <v>4480.4767259999999</v>
      </c>
      <c r="HS17" s="24">
        <f>$C$15</f>
        <v>4480.4767259999999</v>
      </c>
      <c r="HT17" s="24">
        <f>$C$15</f>
        <v>4480.4767259999999</v>
      </c>
      <c r="HU17" s="24">
        <f>$C$15</f>
        <v>4480.4767259999999</v>
      </c>
      <c r="HV17" s="24">
        <f>$C$15</f>
        <v>4480.4767259999999</v>
      </c>
      <c r="HW17" s="24">
        <f>$C$15</f>
        <v>4480.4767259999999</v>
      </c>
      <c r="HX17" s="24">
        <f>$C$15</f>
        <v>4480.4767259999999</v>
      </c>
      <c r="HY17" s="24">
        <f>$C$15</f>
        <v>4480.4767259999999</v>
      </c>
      <c r="HZ17" s="24">
        <f>$C$15</f>
        <v>4480.4767259999999</v>
      </c>
      <c r="IA17" s="24">
        <f>$C$15</f>
        <v>4480.4767259999999</v>
      </c>
      <c r="IB17" s="24">
        <f>$C$15</f>
        <v>4480.4767259999999</v>
      </c>
      <c r="IC17" s="24">
        <f>$C$15</f>
        <v>4480.4767259999999</v>
      </c>
      <c r="ID17" s="24">
        <f>$C$15</f>
        <v>4480.4767259999999</v>
      </c>
      <c r="IE17" s="24">
        <f>$C$15</f>
        <v>4480.4767259999999</v>
      </c>
      <c r="IF17" s="24">
        <f>$C$15</f>
        <v>4480.4767259999999</v>
      </c>
      <c r="IG17" s="24">
        <f>$C$15</f>
        <v>4480.4767259999999</v>
      </c>
      <c r="IH17" s="24">
        <f>$C$15</f>
        <v>4480.4767259999999</v>
      </c>
      <c r="II17" s="24">
        <f>$C$15</f>
        <v>4480.4767259999999</v>
      </c>
      <c r="IJ17" s="24">
        <f>$C$15</f>
        <v>4480.4767259999999</v>
      </c>
      <c r="IK17" s="24">
        <f>$C$15</f>
        <v>4480.4767259999999</v>
      </c>
      <c r="IL17" s="24">
        <f>$C$15</f>
        <v>4480.4767259999999</v>
      </c>
      <c r="IM17" s="24">
        <f>$C$15</f>
        <v>4480.4767259999999</v>
      </c>
      <c r="IN17" s="24">
        <f>$C$15</f>
        <v>4480.4767259999999</v>
      </c>
    </row>
    <row r="18" spans="2:248" x14ac:dyDescent="0.3">
      <c r="B18" s="19" t="s">
        <v>517</v>
      </c>
      <c r="C18" s="42">
        <f>VLOOKUP(B2,S30:T264,2,FALSE)</f>
        <v>67886011</v>
      </c>
      <c r="F18" s="22" t="str">
        <f>"Critically Ill ("&amp;TEXT(C11,"0%")&amp;" inc)"</f>
        <v>Critically Ill (27% inc)</v>
      </c>
      <c r="G18" s="24">
        <f>G7*$C$14</f>
        <v>5.452</v>
      </c>
      <c r="H18" s="24">
        <f>H7*$C$14</f>
        <v>7.7080000000000002</v>
      </c>
      <c r="I18" s="24">
        <f>I7*$C$14</f>
        <v>9.7289999999999992</v>
      </c>
      <c r="J18" s="24">
        <f>J7*$C$14</f>
        <v>12.878</v>
      </c>
      <c r="K18" s="24">
        <f>K7*$C$14</f>
        <v>15.134</v>
      </c>
      <c r="L18" s="24">
        <f>L7*$C$14</f>
        <v>18.048000000000002</v>
      </c>
      <c r="M18" s="24">
        <f>M7*$C$14</f>
        <v>21.573</v>
      </c>
      <c r="N18" s="24">
        <f>N7*$C$14</f>
        <v>27.73</v>
      </c>
      <c r="O18" s="24">
        <f>O7*$C$14</f>
        <v>37.741</v>
      </c>
      <c r="P18" s="24">
        <f>P7*$C$14</f>
        <v>53.814999999999998</v>
      </c>
      <c r="Q18" s="24">
        <f>Q7*$C$14</f>
        <v>63.685000000000002</v>
      </c>
      <c r="R18" s="24">
        <f>R7*$C$14</f>
        <v>72.944000000000003</v>
      </c>
      <c r="S18" s="24">
        <f>S7*$C$14</f>
        <v>86.668000000000006</v>
      </c>
      <c r="T18" s="24">
        <f>T7*$C$14</f>
        <v>115.714</v>
      </c>
      <c r="U18" s="24">
        <f>U7*$C$14</f>
        <v>146.69681089200617</v>
      </c>
      <c r="V18" s="24">
        <f>V7*$C$14</f>
        <v>185.37704620911731</v>
      </c>
      <c r="W18" s="24">
        <f>W7*$C$14</f>
        <v>236.13567936586122</v>
      </c>
      <c r="X18" s="24">
        <f>X7*$C$14</f>
        <v>300.41275535463069</v>
      </c>
      <c r="Y18" s="24">
        <f>Y7*$C$14</f>
        <v>382.04614321295151</v>
      </c>
      <c r="Z18" s="24">
        <f>Z7*$C$14</f>
        <v>483.81941395069526</v>
      </c>
      <c r="AA18" s="24">
        <f>AA7*$C$14</f>
        <v>610.5999107660549</v>
      </c>
      <c r="AB18" s="24">
        <f>AB7*$C$14</f>
        <v>767.89630512422366</v>
      </c>
      <c r="AC18" s="24">
        <f>AC7*$C$14</f>
        <v>977.7570218695646</v>
      </c>
      <c r="AD18" s="24">
        <f>AD7*$C$14</f>
        <v>1246.9860997225539</v>
      </c>
      <c r="AE18" s="24">
        <f>AE7*$C$14</f>
        <v>1580.7676227080024</v>
      </c>
      <c r="AF18" s="24">
        <f>AF7*$C$14</f>
        <v>1996.8061838999508</v>
      </c>
      <c r="AG18" s="24">
        <f>AG7*$C$14</f>
        <v>2530.7645841966764</v>
      </c>
      <c r="AH18" s="24">
        <f>AH7*$C$14</f>
        <v>3207.5067837155116</v>
      </c>
      <c r="AI18" s="24">
        <f>AI7*$C$14</f>
        <v>4065.2140589547212</v>
      </c>
      <c r="AJ18" s="24">
        <f>AJ7*$C$14</f>
        <v>5152.2775973617026</v>
      </c>
      <c r="AK18" s="24">
        <f>AK7*$C$14</f>
        <v>6530.0286910601153</v>
      </c>
      <c r="AL18" s="24">
        <f>AL7*$C$14</f>
        <v>8276.1990013704544</v>
      </c>
      <c r="AM18" s="24">
        <f>AM7*$C$14</f>
        <v>10489.306119597679</v>
      </c>
      <c r="AN18" s="24">
        <f>AN7*$C$14</f>
        <v>13294.211854066129</v>
      </c>
      <c r="AO18" s="24">
        <f>AO7*$C$14</f>
        <v>16849.166837698423</v>
      </c>
      <c r="AP18" s="24">
        <f>AP7*$C$14</f>
        <v>21354.738907501702</v>
      </c>
      <c r="AQ18" s="24">
        <f>AQ7*$C$14</f>
        <v>27065.128988292425</v>
      </c>
      <c r="AR18" s="24">
        <f>AR7*$C$14</f>
        <v>34302.512914151324</v>
      </c>
      <c r="AS18" s="24">
        <f>AS7*$C$14</f>
        <v>43475.218342188862</v>
      </c>
      <c r="AT18" s="24">
        <f>AT7*$C$14</f>
        <v>55100.762286171943</v>
      </c>
      <c r="AU18" s="24">
        <f>AU7*$C$14</f>
        <v>69835.049030011796</v>
      </c>
      <c r="AV18" s="24">
        <f>AV7*$C$14</f>
        <v>88509.375745026045</v>
      </c>
      <c r="AW18" s="24">
        <f>AW7*$C$14</f>
        <v>112177.33363955343</v>
      </c>
      <c r="AX18" s="24">
        <f>AX7*$C$14</f>
        <v>142174.25076785553</v>
      </c>
      <c r="AY18" s="24">
        <f>AY7*$C$14</f>
        <v>180192.53021604926</v>
      </c>
      <c r="AZ18" s="24">
        <f>AZ7*$C$14</f>
        <v>228377.13418780951</v>
      </c>
      <c r="BA18" s="24">
        <f>BA7*$C$14</f>
        <v>289446.60112881497</v>
      </c>
      <c r="BB18" s="24">
        <f>BB7*$C$14</f>
        <v>366846.42358339642</v>
      </c>
      <c r="BC18" s="24">
        <f>BC7*$C$14</f>
        <v>464943.44024456874</v>
      </c>
      <c r="BD18" s="24">
        <f>BD7*$C$14</f>
        <v>589272.20964800182</v>
      </c>
      <c r="BE18" s="24">
        <f>BE7*$C$14</f>
        <v>746847.26572501613</v>
      </c>
      <c r="BF18" s="24">
        <f>BF7*$C$14</f>
        <v>946558.8724337091</v>
      </c>
      <c r="BG18" s="24">
        <f>BG7*$C$14</f>
        <v>1199674.6056413441</v>
      </c>
      <c r="BH18" s="24">
        <f>BH7*$C$14</f>
        <v>1182276.8927022577</v>
      </c>
      <c r="BI18" s="24">
        <f>BI7*$C$14</f>
        <v>1157146.0253261738</v>
      </c>
      <c r="BJ18" s="24">
        <f>BJ7*$C$14</f>
        <v>1125295.0076168235</v>
      </c>
      <c r="BK18" s="24">
        <f>BK7*$C$14</f>
        <v>1084926.8295535871</v>
      </c>
      <c r="BL18" s="24">
        <f>BL7*$C$14</f>
        <v>1033763.9494530003</v>
      </c>
      <c r="BM18" s="24">
        <f>BM7*$C$14</f>
        <v>968919.7968116171</v>
      </c>
      <c r="BN18" s="24">
        <f>BN7*$C$14</f>
        <v>886735.91420937935</v>
      </c>
      <c r="BO18" s="24">
        <f>BO7*$C$14</f>
        <v>782575.54994443094</v>
      </c>
      <c r="BP18" s="24">
        <f>BP7*$C$14</f>
        <v>650562.05605394696</v>
      </c>
      <c r="BQ18" s="24">
        <f>BQ7*$C$14</f>
        <v>483247.33233770641</v>
      </c>
      <c r="BR18" s="24">
        <f>BR7*$C$14</f>
        <v>271191.61025019444</v>
      </c>
      <c r="BS18" s="24">
        <f>BS7*$C$14</f>
        <v>2430.8683903237024</v>
      </c>
      <c r="BT18" s="24">
        <f>BT7*$C$14</f>
        <v>0</v>
      </c>
      <c r="BU18" s="24">
        <f>BU7*$C$14</f>
        <v>0</v>
      </c>
      <c r="BV18" s="24">
        <f>BV7*$C$14</f>
        <v>0</v>
      </c>
      <c r="BW18" s="24">
        <f>BW7*$C$14</f>
        <v>0</v>
      </c>
      <c r="BX18" s="24">
        <f>BX7*$C$14</f>
        <v>0</v>
      </c>
      <c r="BY18" s="24">
        <f>BY7*$C$14</f>
        <v>0</v>
      </c>
      <c r="BZ18" s="24">
        <f>BZ7*$C$14</f>
        <v>0</v>
      </c>
      <c r="CA18" s="24">
        <f>CA7*$C$14</f>
        <v>0</v>
      </c>
      <c r="CB18" s="24">
        <f>CB7*$C$14</f>
        <v>0</v>
      </c>
      <c r="CC18" s="24">
        <f>CC7*$C$14</f>
        <v>0</v>
      </c>
      <c r="CD18" s="24">
        <f>CD7*$C$14</f>
        <v>0</v>
      </c>
      <c r="CE18" s="24">
        <f>CE7*$C$14</f>
        <v>0</v>
      </c>
      <c r="CF18" s="24">
        <f>CF7*$C$14</f>
        <v>0</v>
      </c>
      <c r="CG18" s="24">
        <f>CG7*$C$14</f>
        <v>0</v>
      </c>
      <c r="CH18" s="24">
        <f>CH7*$C$14</f>
        <v>0</v>
      </c>
      <c r="CI18" s="24">
        <f>CI7*$C$14</f>
        <v>0</v>
      </c>
      <c r="CJ18" s="24">
        <f>CJ7*$C$14</f>
        <v>0</v>
      </c>
      <c r="CK18" s="24">
        <f>CK7*$C$14</f>
        <v>0</v>
      </c>
      <c r="CL18" s="24">
        <f>CL7*$C$14</f>
        <v>0</v>
      </c>
      <c r="CM18" s="24">
        <f>CM7*$C$14</f>
        <v>0</v>
      </c>
      <c r="CN18" s="24">
        <f>CN7*$C$14</f>
        <v>0</v>
      </c>
      <c r="CO18" s="24">
        <f>CO7*$C$14</f>
        <v>0</v>
      </c>
      <c r="CP18" s="24">
        <f>CP7*$C$14</f>
        <v>0</v>
      </c>
      <c r="CQ18" s="24">
        <f>CQ7*$C$14</f>
        <v>0</v>
      </c>
      <c r="CR18" s="24">
        <f>CR7*$C$14</f>
        <v>0</v>
      </c>
      <c r="CS18" s="24">
        <f>CS7*$C$14</f>
        <v>0</v>
      </c>
      <c r="CT18" s="24">
        <f>CT7*$C$14</f>
        <v>0</v>
      </c>
      <c r="CU18" s="24">
        <f>CU7*$C$14</f>
        <v>0</v>
      </c>
      <c r="CV18" s="24">
        <f>CV7*$C$14</f>
        <v>0</v>
      </c>
      <c r="CW18" s="24">
        <f>CW7*$C$14</f>
        <v>0</v>
      </c>
      <c r="CX18" s="24">
        <f>CX7*$C$14</f>
        <v>0</v>
      </c>
      <c r="CY18" s="24">
        <f>CY7*$C$14</f>
        <v>0</v>
      </c>
      <c r="CZ18" s="24">
        <f>CZ7*$C$14</f>
        <v>0</v>
      </c>
      <c r="DA18" s="24">
        <f>DA7*$C$14</f>
        <v>0</v>
      </c>
      <c r="DB18" s="24">
        <f>DB7*$C$14</f>
        <v>0</v>
      </c>
      <c r="DC18" s="24">
        <f>DC7*$C$14</f>
        <v>0</v>
      </c>
      <c r="DD18" s="24">
        <f>DD7*$C$14</f>
        <v>0</v>
      </c>
      <c r="DE18" s="24">
        <f>DE7*$C$14</f>
        <v>0</v>
      </c>
      <c r="DF18" s="24">
        <f>DF7*$C$14</f>
        <v>0</v>
      </c>
      <c r="DG18" s="24">
        <f>DG7*$C$14</f>
        <v>0</v>
      </c>
      <c r="DH18" s="24">
        <f>DH7*$C$14</f>
        <v>0</v>
      </c>
      <c r="DI18" s="24">
        <f>DI7*$C$14</f>
        <v>0</v>
      </c>
      <c r="DJ18" s="24">
        <f>DJ7*$C$14</f>
        <v>0</v>
      </c>
      <c r="DK18" s="24">
        <f>DK7*$C$14</f>
        <v>0</v>
      </c>
      <c r="DL18" s="24">
        <f>DL7*$C$14</f>
        <v>0</v>
      </c>
      <c r="DM18" s="24">
        <f>DM7*$C$14</f>
        <v>0</v>
      </c>
      <c r="DN18" s="24">
        <f>DN7*$C$14</f>
        <v>0</v>
      </c>
      <c r="DO18" s="24">
        <f>DO7*$C$14</f>
        <v>0</v>
      </c>
      <c r="DP18" s="24">
        <f>DP7*$C$14</f>
        <v>0</v>
      </c>
      <c r="DQ18" s="24">
        <f>DQ7*$C$14</f>
        <v>0</v>
      </c>
      <c r="DR18" s="24">
        <f>DR7*$C$14</f>
        <v>0</v>
      </c>
      <c r="DS18" s="24">
        <f>DS7*$C$14</f>
        <v>0</v>
      </c>
      <c r="DT18" s="24">
        <f>DT7*$C$14</f>
        <v>0</v>
      </c>
      <c r="DU18" s="24">
        <f>DU7*$C$14</f>
        <v>0</v>
      </c>
      <c r="DV18" s="24">
        <f>DV7*$C$14</f>
        <v>0</v>
      </c>
      <c r="DW18" s="24">
        <f>DW7*$C$14</f>
        <v>0</v>
      </c>
      <c r="DX18" s="24">
        <f>DX7*$C$14</f>
        <v>0</v>
      </c>
      <c r="DY18" s="24">
        <f>DY7*$C$14</f>
        <v>0</v>
      </c>
      <c r="DZ18" s="24">
        <f>DZ7*$C$14</f>
        <v>0</v>
      </c>
      <c r="EA18" s="24">
        <f>EA7*$C$14</f>
        <v>0</v>
      </c>
      <c r="EB18" s="24">
        <f>EB7*$C$14</f>
        <v>0</v>
      </c>
      <c r="EC18" s="24">
        <f>EC7*$C$14</f>
        <v>0</v>
      </c>
      <c r="ED18" s="24">
        <f>ED7*$C$14</f>
        <v>0</v>
      </c>
      <c r="EE18" s="24">
        <f>EE7*$C$14</f>
        <v>0</v>
      </c>
      <c r="EF18" s="24">
        <f>EF7*$C$14</f>
        <v>0</v>
      </c>
      <c r="EG18" s="24">
        <f>EG7*$C$14</f>
        <v>0</v>
      </c>
      <c r="EH18" s="24">
        <f>EH7*$C$14</f>
        <v>0</v>
      </c>
      <c r="EI18" s="24">
        <f>EI7*$C$14</f>
        <v>0</v>
      </c>
      <c r="EJ18" s="24">
        <f>EJ7*$C$14</f>
        <v>0</v>
      </c>
      <c r="EK18" s="24">
        <f>EK7*$C$14</f>
        <v>0</v>
      </c>
      <c r="EL18" s="24">
        <f>EL7*$C$14</f>
        <v>0</v>
      </c>
      <c r="EM18" s="24">
        <f>EM7*$C$14</f>
        <v>0</v>
      </c>
      <c r="EN18" s="24">
        <f>EN7*$C$14</f>
        <v>0</v>
      </c>
      <c r="EO18" s="24">
        <f>EO7*$C$14</f>
        <v>0</v>
      </c>
      <c r="EP18" s="24">
        <f>EP7*$C$14</f>
        <v>0</v>
      </c>
      <c r="EQ18" s="24">
        <f>EQ7*$C$14</f>
        <v>0</v>
      </c>
      <c r="ER18" s="24">
        <f>ER7*$C$14</f>
        <v>0</v>
      </c>
      <c r="ES18" s="24">
        <f>ES7*$C$14</f>
        <v>0</v>
      </c>
      <c r="ET18" s="24">
        <f>ET7*$C$14</f>
        <v>0</v>
      </c>
      <c r="EU18" s="24">
        <f>EU7*$C$14</f>
        <v>0</v>
      </c>
      <c r="EV18" s="24">
        <f>EV7*$C$14</f>
        <v>0</v>
      </c>
      <c r="EW18" s="24">
        <f>EW7*$C$14</f>
        <v>0</v>
      </c>
      <c r="EX18" s="24">
        <f>EX7*$C$14</f>
        <v>0</v>
      </c>
      <c r="EY18" s="24">
        <f>EY7*$C$14</f>
        <v>0</v>
      </c>
      <c r="EZ18" s="24">
        <f>EZ7*$C$14</f>
        <v>0</v>
      </c>
      <c r="FA18" s="24">
        <f>FA7*$C$14</f>
        <v>0</v>
      </c>
      <c r="FB18" s="24">
        <f>FB7*$C$14</f>
        <v>0</v>
      </c>
      <c r="FC18" s="24">
        <f>FC7*$C$14</f>
        <v>0</v>
      </c>
      <c r="FD18" s="24">
        <f>FD7*$C$14</f>
        <v>0</v>
      </c>
      <c r="FE18" s="24">
        <f>FE7*$C$14</f>
        <v>0</v>
      </c>
      <c r="FF18" s="24">
        <f>FF7*$C$14</f>
        <v>0</v>
      </c>
      <c r="FG18" s="24">
        <f>FG7*$C$14</f>
        <v>0</v>
      </c>
      <c r="FH18" s="24">
        <f>FH7*$C$14</f>
        <v>0</v>
      </c>
      <c r="FI18" s="24">
        <f>FI7*$C$14</f>
        <v>0</v>
      </c>
      <c r="FJ18" s="24">
        <f>FJ7*$C$14</f>
        <v>0</v>
      </c>
      <c r="FK18" s="24">
        <f>FK7*$C$14</f>
        <v>0</v>
      </c>
      <c r="FL18" s="24">
        <f>FL7*$C$14</f>
        <v>0</v>
      </c>
      <c r="FM18" s="24">
        <f>FM7*$C$14</f>
        <v>0</v>
      </c>
      <c r="FN18" s="24">
        <f>FN7*$C$14</f>
        <v>0</v>
      </c>
      <c r="FO18" s="24">
        <f>FO7*$C$14</f>
        <v>0</v>
      </c>
      <c r="FP18" s="24">
        <f>FP7*$C$14</f>
        <v>0</v>
      </c>
      <c r="FQ18" s="24">
        <f>FQ7*$C$14</f>
        <v>0</v>
      </c>
      <c r="FR18" s="24">
        <f>FR7*$C$14</f>
        <v>0</v>
      </c>
      <c r="FS18" s="24">
        <f>FS7*$C$14</f>
        <v>0</v>
      </c>
      <c r="FT18" s="24">
        <f>FT7*$C$14</f>
        <v>0</v>
      </c>
      <c r="FU18" s="24">
        <f>FU7*$C$14</f>
        <v>0</v>
      </c>
      <c r="FV18" s="24">
        <f>FV7*$C$14</f>
        <v>0</v>
      </c>
      <c r="FW18" s="24">
        <f>FW7*$C$14</f>
        <v>0</v>
      </c>
      <c r="FX18" s="24">
        <f>FX7*$C$14</f>
        <v>0</v>
      </c>
      <c r="FY18" s="24">
        <f>FY7*$C$14</f>
        <v>0</v>
      </c>
      <c r="FZ18" s="24">
        <f>FZ7*$C$14</f>
        <v>0</v>
      </c>
      <c r="GA18" s="24">
        <f>GA7*$C$14</f>
        <v>0</v>
      </c>
      <c r="GB18" s="24">
        <f>GB7*$C$14</f>
        <v>0</v>
      </c>
      <c r="GC18" s="24">
        <f>GC7*$C$14</f>
        <v>0</v>
      </c>
      <c r="GD18" s="24">
        <f>GD7*$C$14</f>
        <v>0</v>
      </c>
      <c r="GE18" s="24">
        <f>GE7*$C$14</f>
        <v>0</v>
      </c>
      <c r="GF18" s="24">
        <f>GF7*$C$14</f>
        <v>0</v>
      </c>
      <c r="GG18" s="24">
        <f>GG7*$C$14</f>
        <v>0</v>
      </c>
      <c r="GH18" s="24">
        <f>GH7*$C$14</f>
        <v>0</v>
      </c>
      <c r="GI18" s="24">
        <f>GI7*$C$14</f>
        <v>0</v>
      </c>
      <c r="GJ18" s="24">
        <f>GJ7*$C$14</f>
        <v>0</v>
      </c>
      <c r="GK18" s="24">
        <f>GK7*$C$14</f>
        <v>0</v>
      </c>
      <c r="GL18" s="24">
        <f>GL7*$C$14</f>
        <v>0</v>
      </c>
      <c r="GM18" s="24">
        <f>GM7*$C$14</f>
        <v>0</v>
      </c>
      <c r="GN18" s="24">
        <f>GN7*$C$14</f>
        <v>0</v>
      </c>
      <c r="GO18" s="24">
        <f>GO7*$C$14</f>
        <v>0</v>
      </c>
      <c r="GP18" s="24">
        <f>GP7*$C$14</f>
        <v>0</v>
      </c>
      <c r="GQ18" s="24">
        <f>GQ7*$C$14</f>
        <v>0</v>
      </c>
      <c r="GR18" s="24">
        <f>GR7*$C$14</f>
        <v>0</v>
      </c>
      <c r="GS18" s="24">
        <f>GS7*$C$14</f>
        <v>0</v>
      </c>
      <c r="GT18" s="24">
        <f>GT7*$C$14</f>
        <v>0</v>
      </c>
      <c r="GU18" s="24">
        <f>GU7*$C$14</f>
        <v>0</v>
      </c>
      <c r="GV18" s="24">
        <f>GV7*$C$14</f>
        <v>0</v>
      </c>
      <c r="GW18" s="24">
        <f>GW7*$C$14</f>
        <v>0</v>
      </c>
      <c r="GX18" s="24">
        <f>GX7*$C$14</f>
        <v>0</v>
      </c>
      <c r="GY18" s="24">
        <f>GY7*$C$14</f>
        <v>0</v>
      </c>
      <c r="GZ18" s="24">
        <f>GZ7*$C$14</f>
        <v>0</v>
      </c>
      <c r="HA18" s="24">
        <f>HA7*$C$14</f>
        <v>0</v>
      </c>
      <c r="HB18" s="24">
        <f>HB7*$C$14</f>
        <v>0</v>
      </c>
      <c r="HC18" s="24">
        <f>HC7*$C$14</f>
        <v>0</v>
      </c>
      <c r="HD18" s="24">
        <f>HD7*$C$14</f>
        <v>0</v>
      </c>
      <c r="HE18" s="24">
        <f>HE7*$C$14</f>
        <v>0</v>
      </c>
      <c r="HF18" s="24">
        <f>HF7*$C$14</f>
        <v>0</v>
      </c>
      <c r="HG18" s="24">
        <f>HG7*$C$14</f>
        <v>0</v>
      </c>
      <c r="HH18" s="24">
        <f>HH7*$C$14</f>
        <v>0</v>
      </c>
      <c r="HI18" s="24">
        <f>HI7*$C$14</f>
        <v>0</v>
      </c>
      <c r="HJ18" s="24">
        <f>HJ7*$C$14</f>
        <v>0</v>
      </c>
      <c r="HK18" s="24">
        <f>HK7*$C$14</f>
        <v>0</v>
      </c>
      <c r="HL18" s="24">
        <f>HL7*$C$14</f>
        <v>0</v>
      </c>
      <c r="HM18" s="24">
        <f>HM7*$C$14</f>
        <v>0</v>
      </c>
      <c r="HN18" s="24">
        <f>HN7*$C$14</f>
        <v>0</v>
      </c>
      <c r="HO18" s="24">
        <f>HO7*$C$14</f>
        <v>0</v>
      </c>
      <c r="HP18" s="24">
        <f>HP7*$C$14</f>
        <v>0</v>
      </c>
      <c r="HQ18" s="24">
        <f>HQ7*$C$14</f>
        <v>0</v>
      </c>
      <c r="HR18" s="24">
        <f>HR7*$C$14</f>
        <v>0</v>
      </c>
      <c r="HS18" s="24">
        <f>HS7*$C$14</f>
        <v>0</v>
      </c>
      <c r="HT18" s="24">
        <f>HT7*$C$14</f>
        <v>0</v>
      </c>
      <c r="HU18" s="24">
        <f>HU7*$C$14</f>
        <v>0</v>
      </c>
      <c r="HV18" s="24">
        <f>HV7*$C$14</f>
        <v>0</v>
      </c>
      <c r="HW18" s="24">
        <f>HW7*$C$14</f>
        <v>0</v>
      </c>
      <c r="HX18" s="24">
        <f>HX7*$C$14</f>
        <v>0</v>
      </c>
      <c r="HY18" s="24">
        <f>HY7*$C$14</f>
        <v>0</v>
      </c>
      <c r="HZ18" s="24">
        <f>HZ7*$C$14</f>
        <v>0</v>
      </c>
      <c r="IA18" s="24">
        <f>IA7*$C$14</f>
        <v>0</v>
      </c>
      <c r="IB18" s="24">
        <f>IB7*$C$14</f>
        <v>0</v>
      </c>
      <c r="IC18" s="24">
        <f>IC7*$C$14</f>
        <v>0</v>
      </c>
      <c r="ID18" s="24">
        <f>ID7*$C$14</f>
        <v>0</v>
      </c>
      <c r="IE18" s="24">
        <f>IE7*$C$14</f>
        <v>0</v>
      </c>
      <c r="IF18" s="24">
        <f>IF7*$C$14</f>
        <v>0</v>
      </c>
      <c r="IG18" s="24">
        <f>IG7*$C$14</f>
        <v>0</v>
      </c>
      <c r="IH18" s="24">
        <f>IH7*$C$14</f>
        <v>0</v>
      </c>
      <c r="II18" s="24">
        <f>II7*$C$14</f>
        <v>0</v>
      </c>
      <c r="IJ18" s="24">
        <f>IJ7*$C$14</f>
        <v>0</v>
      </c>
      <c r="IK18" s="24">
        <f>IK7*$C$14</f>
        <v>0</v>
      </c>
      <c r="IL18" s="24">
        <f>IL7*$C$14</f>
        <v>0</v>
      </c>
      <c r="IM18" s="24">
        <f>IM7*$C$14</f>
        <v>0</v>
      </c>
      <c r="IN18" s="24">
        <f>IN7*$C$14</f>
        <v>0</v>
      </c>
    </row>
    <row r="19" spans="2:248" x14ac:dyDescent="0.3">
      <c r="B19" s="19" t="s">
        <v>611</v>
      </c>
      <c r="C19" s="53">
        <v>0.4</v>
      </c>
      <c r="F19" s="22" t="s">
        <v>616</v>
      </c>
      <c r="G19" s="24">
        <f>G10*$C$14</f>
        <v>5.452</v>
      </c>
      <c r="H19" s="24">
        <f>H10*$C$14</f>
        <v>7.7080000000000002</v>
      </c>
      <c r="I19" s="24">
        <f>I10*$C$14</f>
        <v>9.7289999999999992</v>
      </c>
      <c r="J19" s="24">
        <f>J10*$C$14</f>
        <v>12.878</v>
      </c>
      <c r="K19" s="24">
        <f>K10*$C$14</f>
        <v>15.134</v>
      </c>
      <c r="L19" s="24">
        <f>L10*$C$14</f>
        <v>18.048000000000002</v>
      </c>
      <c r="M19" s="24">
        <f>M10*$C$14</f>
        <v>21.573</v>
      </c>
      <c r="N19" s="24">
        <f>N10*$C$14</f>
        <v>27.73</v>
      </c>
      <c r="O19" s="24">
        <f>O10*$C$14</f>
        <v>37.741</v>
      </c>
      <c r="P19" s="24">
        <f>P10*$C$14</f>
        <v>53.814999999999998</v>
      </c>
      <c r="Q19" s="24">
        <f>Q10*$C$14</f>
        <v>63.685000000000002</v>
      </c>
      <c r="R19" s="24">
        <f>R10*$C$14</f>
        <v>72.944000000000003</v>
      </c>
      <c r="S19" s="24">
        <f>S10*$C$14</f>
        <v>86.668000000000006</v>
      </c>
      <c r="T19" s="24">
        <f>T10*$C$14</f>
        <v>115.714</v>
      </c>
      <c r="U19" s="24">
        <f>U10*$C$14</f>
        <v>126.03520000000002</v>
      </c>
      <c r="V19" s="24">
        <f>V10*$C$14</f>
        <v>136.46262000000002</v>
      </c>
      <c r="W19" s="24">
        <f>W10*$C$14</f>
        <v>149.14068200000006</v>
      </c>
      <c r="X19" s="24">
        <f>X10*$C$14</f>
        <v>162.65415020000006</v>
      </c>
      <c r="Y19" s="24">
        <f>Y10*$C$14</f>
        <v>177.19936522000009</v>
      </c>
      <c r="Z19" s="24">
        <f>Z10*$C$14</f>
        <v>190.91960174200011</v>
      </c>
      <c r="AA19" s="24">
        <f>AA10*$C$14</f>
        <v>202.77356191620018</v>
      </c>
      <c r="AB19" s="24">
        <f>AB10*$C$14</f>
        <v>210.75101810782019</v>
      </c>
      <c r="AC19" s="24">
        <f>AC10*$C$14</f>
        <v>227.33761991860223</v>
      </c>
      <c r="AD19" s="24">
        <f>AD10*$C$14</f>
        <v>247.18088191046249</v>
      </c>
      <c r="AE19" s="24">
        <f>AE10*$C$14</f>
        <v>260.01737010150879</v>
      </c>
      <c r="AF19" s="24">
        <f>AF10*$C$14</f>
        <v>263.92910711165962</v>
      </c>
      <c r="AG19" s="24">
        <f>AG10*$C$14</f>
        <v>290.32201782282561</v>
      </c>
      <c r="AH19" s="24">
        <f>AH10*$C$14</f>
        <v>319.35421960510814</v>
      </c>
      <c r="AI19" s="24">
        <f>AI10*$C$14</f>
        <v>351.28964156561904</v>
      </c>
      <c r="AJ19" s="24">
        <f>AJ10*$C$14</f>
        <v>386.41860572218098</v>
      </c>
      <c r="AK19" s="24">
        <f>AK10*$C$14</f>
        <v>425.06046629439913</v>
      </c>
      <c r="AL19" s="24">
        <f>AL10*$C$14</f>
        <v>467.56651292383901</v>
      </c>
      <c r="AM19" s="24">
        <f>AM10*$C$14</f>
        <v>514.32316421622295</v>
      </c>
      <c r="AN19" s="24">
        <f>AN10*$C$14</f>
        <v>565.75548063784549</v>
      </c>
      <c r="AO19" s="24">
        <f>AO10*$C$14</f>
        <v>622.33102870162998</v>
      </c>
      <c r="AP19" s="24">
        <f>AP10*$C$14</f>
        <v>684.56413157179304</v>
      </c>
      <c r="AQ19" s="24">
        <f>AQ10*$C$14</f>
        <v>753.02054472897237</v>
      </c>
      <c r="AR19" s="24">
        <f>AR10*$C$14</f>
        <v>828.32259920186971</v>
      </c>
      <c r="AS19" s="24">
        <f>AS10*$C$14</f>
        <v>911.15485912205691</v>
      </c>
      <c r="AT19" s="24">
        <f>AT10*$C$14</f>
        <v>1002.2703450342627</v>
      </c>
      <c r="AU19" s="24">
        <f>AU10*$C$14</f>
        <v>1102.4973795376889</v>
      </c>
      <c r="AV19" s="24">
        <f>AV10*$C$14</f>
        <v>1212.7471174914579</v>
      </c>
      <c r="AW19" s="24">
        <f>AW10*$C$14</f>
        <v>1334.0218292406039</v>
      </c>
      <c r="AX19" s="24">
        <f>AX10*$C$14</f>
        <v>1467.4240121646644</v>
      </c>
      <c r="AY19" s="24">
        <f>AY10*$C$14</f>
        <v>1614.1664133811312</v>
      </c>
      <c r="AZ19" s="24">
        <f>AZ10*$C$14</f>
        <v>1775.583054719244</v>
      </c>
      <c r="BA19" s="24">
        <f>BA10*$C$14</f>
        <v>1953.1413601911686</v>
      </c>
      <c r="BB19" s="24">
        <f>BB10*$C$14</f>
        <v>2148.4554962102852</v>
      </c>
      <c r="BC19" s="24">
        <f>BC10*$C$14</f>
        <v>2363.3010458313142</v>
      </c>
      <c r="BD19" s="24">
        <f>BD10*$C$14</f>
        <v>2599.631150414446</v>
      </c>
      <c r="BE19" s="24">
        <f>BE10*$C$14</f>
        <v>2859.5942654558903</v>
      </c>
      <c r="BF19" s="24">
        <f>BF10*$C$14</f>
        <v>3145.5536920014806</v>
      </c>
      <c r="BG19" s="24">
        <f>BG10*$C$14</f>
        <v>3460.1090612016283</v>
      </c>
      <c r="BH19" s="24">
        <f>BH10*$C$14</f>
        <v>3806.1199673217916</v>
      </c>
      <c r="BI19" s="24">
        <f>BI10*$C$14</f>
        <v>4186.7319640539708</v>
      </c>
      <c r="BJ19" s="24">
        <f>BJ10*$C$14</f>
        <v>4605.4051604593687</v>
      </c>
      <c r="BK19" s="24">
        <f>BK10*$C$14</f>
        <v>5065.9456765053055</v>
      </c>
      <c r="BL19" s="24">
        <f>BL10*$C$14</f>
        <v>5572.5402441558354</v>
      </c>
      <c r="BM19" s="24">
        <f>BM10*$C$14</f>
        <v>6129.7942685714206</v>
      </c>
      <c r="BN19" s="24">
        <f>BN10*$C$14</f>
        <v>6742.7736954285629</v>
      </c>
      <c r="BO19" s="24">
        <f>BO10*$C$14</f>
        <v>7417.0510649714206</v>
      </c>
      <c r="BP19" s="24">
        <f>BP10*$C$14</f>
        <v>8158.7561714685635</v>
      </c>
      <c r="BQ19" s="24">
        <f>BQ10*$C$14</f>
        <v>8974.6317886154211</v>
      </c>
      <c r="BR19" s="24">
        <f>BR10*$C$14</f>
        <v>9872.0949674769636</v>
      </c>
      <c r="BS19" s="24">
        <f>BS10*$C$14</f>
        <v>10859.304464224659</v>
      </c>
      <c r="BT19" s="24">
        <f>BT10*$C$14</f>
        <v>11945.234910647127</v>
      </c>
      <c r="BU19" s="24">
        <f>BU10*$C$14</f>
        <v>13139.758401711841</v>
      </c>
      <c r="BV19" s="24">
        <f>BV10*$C$14</f>
        <v>14453.734241883025</v>
      </c>
      <c r="BW19" s="24">
        <f>BW10*$C$14</f>
        <v>15899.10766607133</v>
      </c>
      <c r="BX19" s="24">
        <f>BX10*$C$14</f>
        <v>17489.018432678466</v>
      </c>
      <c r="BY19" s="24">
        <f>BY10*$C$14</f>
        <v>19237.920275946315</v>
      </c>
      <c r="BZ19" s="24">
        <f>BZ10*$C$14</f>
        <v>21161.71230354095</v>
      </c>
      <c r="CA19" s="24">
        <f>CA10*$C$14</f>
        <v>23277.883533895048</v>
      </c>
      <c r="CB19" s="24">
        <f>CB10*$C$14</f>
        <v>25605.671887284559</v>
      </c>
      <c r="CC19" s="24">
        <f>CC10*$C$14</f>
        <v>28166.239076013015</v>
      </c>
      <c r="CD19" s="24">
        <f>CD10*$C$14</f>
        <v>30982.862983614323</v>
      </c>
      <c r="CE19" s="24">
        <f>CE10*$C$14</f>
        <v>34081.149281975755</v>
      </c>
      <c r="CF19" s="24">
        <f>CF10*$C$14</f>
        <v>37489.264210173329</v>
      </c>
      <c r="CG19" s="24">
        <f>CG10*$C$14</f>
        <v>41238.190631190664</v>
      </c>
      <c r="CH19" s="24">
        <f>CH10*$C$14</f>
        <v>45362.009694309738</v>
      </c>
      <c r="CI19" s="24">
        <f>CI10*$C$14</f>
        <v>49898.21066374072</v>
      </c>
      <c r="CJ19" s="24">
        <f>CJ10*$C$14</f>
        <v>54888.031730114781</v>
      </c>
      <c r="CK19" s="24">
        <f>CK10*$C$14</f>
        <v>60376.834903126262</v>
      </c>
      <c r="CL19" s="24">
        <f>CL10*$C$14</f>
        <v>66414.518393438892</v>
      </c>
      <c r="CM19" s="24">
        <f>CM10*$C$14</f>
        <v>73055.970232782784</v>
      </c>
      <c r="CN19" s="24">
        <f>CN10*$C$14</f>
        <v>80361.567256061084</v>
      </c>
      <c r="CO19" s="24">
        <f>CO10*$C$14</f>
        <v>88397.723981667179</v>
      </c>
      <c r="CP19" s="24">
        <f>CP10*$C$14</f>
        <v>97237.496379833901</v>
      </c>
      <c r="CQ19" s="24">
        <f>CQ10*$C$14</f>
        <v>106961.24601781731</v>
      </c>
      <c r="CR19" s="24">
        <f>CR10*$C$14</f>
        <v>117657.37061959905</v>
      </c>
      <c r="CS19" s="24">
        <f>CS10*$C$14</f>
        <v>129423.10768155895</v>
      </c>
      <c r="CT19" s="24">
        <f>CT10*$C$14</f>
        <v>142365.41844971487</v>
      </c>
      <c r="CU19" s="24">
        <f>CU10*$C$14</f>
        <v>156601.96029468637</v>
      </c>
      <c r="CV19" s="24">
        <f>CV10*$C$14</f>
        <v>172262.15632415502</v>
      </c>
      <c r="CW19" s="24">
        <f>CW10*$C$14</f>
        <v>189488.37195657054</v>
      </c>
      <c r="CX19" s="24">
        <f>CX10*$C$14</f>
        <v>208437.20915222759</v>
      </c>
      <c r="CY19" s="24">
        <f>CY10*$C$14</f>
        <v>229280.93006745033</v>
      </c>
      <c r="CZ19" s="24">
        <f>CZ10*$C$14</f>
        <v>252209.0230741954</v>
      </c>
      <c r="DA19" s="24">
        <f>DA10*$C$14</f>
        <v>277429.925381615</v>
      </c>
      <c r="DB19" s="24">
        <f>DB10*$C$14</f>
        <v>305172.91791977658</v>
      </c>
      <c r="DC19" s="24">
        <f>DC10*$C$14</f>
        <v>335690.20971175429</v>
      </c>
      <c r="DD19" s="24">
        <f>DD10*$C$14</f>
        <v>369259.23068292974</v>
      </c>
      <c r="DE19" s="24">
        <f>DE10*$C$14</f>
        <v>406185.15375122282</v>
      </c>
      <c r="DF19" s="24">
        <f>DF10*$C$14</f>
        <v>446803.66912634502</v>
      </c>
      <c r="DG19" s="24">
        <f>DG10*$C$14</f>
        <v>491484.03603897948</v>
      </c>
      <c r="DH19" s="24">
        <f>DH10*$C$14</f>
        <v>540632.43964287743</v>
      </c>
      <c r="DI19" s="24">
        <f>DI10*$C$14</f>
        <v>594695.68360716524</v>
      </c>
      <c r="DJ19" s="24">
        <f>DJ10*$C$14</f>
        <v>654165.25196788192</v>
      </c>
      <c r="DK19" s="24">
        <f>DK10*$C$14</f>
        <v>719581.77716467017</v>
      </c>
      <c r="DL19" s="24">
        <f>DL10*$C$14</f>
        <v>791539.95488113735</v>
      </c>
      <c r="DM19" s="24">
        <f>DM10*$C$14</f>
        <v>869091.65122968878</v>
      </c>
      <c r="DN19" s="24">
        <f>DN10*$C$14</f>
        <v>828375.11567265762</v>
      </c>
      <c r="DO19" s="24">
        <f>DO10*$C$14</f>
        <v>783586.92655992322</v>
      </c>
      <c r="DP19" s="24">
        <f>DP10*$C$14</f>
        <v>734319.91853591544</v>
      </c>
      <c r="DQ19" s="24">
        <f>DQ10*$C$14</f>
        <v>680126.20970950695</v>
      </c>
      <c r="DR19" s="24">
        <f>DR10*$C$14</f>
        <v>620513.13000045752</v>
      </c>
      <c r="DS19" s="24">
        <f>DS10*$C$14</f>
        <v>554938.74232050334</v>
      </c>
      <c r="DT19" s="24">
        <f>DT10*$C$14</f>
        <v>482806.9158725536</v>
      </c>
      <c r="DU19" s="24">
        <f>DU10*$C$14</f>
        <v>403461.90677980892</v>
      </c>
      <c r="DV19" s="24">
        <f>DV10*$C$14</f>
        <v>316182.39677778969</v>
      </c>
      <c r="DW19" s="24">
        <f>DW10*$C$14</f>
        <v>220174.93577556851</v>
      </c>
      <c r="DX19" s="24">
        <f>DX10*$C$14</f>
        <v>114566.72867312521</v>
      </c>
      <c r="DY19" s="24">
        <f>DY10*$C$14</f>
        <v>0</v>
      </c>
      <c r="DZ19" s="24">
        <f>DZ10*$C$14</f>
        <v>0</v>
      </c>
      <c r="EA19" s="24">
        <f>EA10*$C$14</f>
        <v>0</v>
      </c>
      <c r="EB19" s="24">
        <f>EB10*$C$14</f>
        <v>0</v>
      </c>
      <c r="EC19" s="24">
        <f>EC10*$C$14</f>
        <v>0</v>
      </c>
      <c r="ED19" s="24">
        <f>ED10*$C$14</f>
        <v>0</v>
      </c>
      <c r="EE19" s="24">
        <f>EE10*$C$14</f>
        <v>0</v>
      </c>
      <c r="EF19" s="24">
        <f>EF10*$C$14</f>
        <v>0</v>
      </c>
      <c r="EG19" s="24">
        <f>EG10*$C$14</f>
        <v>0</v>
      </c>
      <c r="EH19" s="24">
        <f>EH10*$C$14</f>
        <v>0</v>
      </c>
      <c r="EI19" s="24">
        <f>EI10*$C$14</f>
        <v>0</v>
      </c>
      <c r="EJ19" s="24">
        <f>EJ10*$C$14</f>
        <v>0</v>
      </c>
      <c r="EK19" s="24">
        <f>EK10*$C$14</f>
        <v>0</v>
      </c>
      <c r="EL19" s="24">
        <f>EL10*$C$14</f>
        <v>0</v>
      </c>
      <c r="EM19" s="24">
        <f>EM10*$C$14</f>
        <v>0</v>
      </c>
      <c r="EN19" s="24">
        <f>EN10*$C$14</f>
        <v>0</v>
      </c>
      <c r="EO19" s="24">
        <f>EO10*$C$14</f>
        <v>0</v>
      </c>
      <c r="EP19" s="24">
        <f>EP10*$C$14</f>
        <v>0</v>
      </c>
      <c r="EQ19" s="24">
        <f>EQ10*$C$14</f>
        <v>0</v>
      </c>
      <c r="ER19" s="24">
        <f>ER10*$C$14</f>
        <v>0</v>
      </c>
      <c r="ES19" s="24">
        <f>ES10*$C$14</f>
        <v>0</v>
      </c>
      <c r="ET19" s="24">
        <f>ET10*$C$14</f>
        <v>0</v>
      </c>
      <c r="EU19" s="24">
        <f>EU10*$C$14</f>
        <v>0</v>
      </c>
      <c r="EV19" s="24">
        <f>EV10*$C$14</f>
        <v>0</v>
      </c>
      <c r="EW19" s="24">
        <f>EW10*$C$14</f>
        <v>0</v>
      </c>
      <c r="EX19" s="24">
        <f>EX10*$C$14</f>
        <v>0</v>
      </c>
      <c r="EY19" s="24">
        <f>EY10*$C$14</f>
        <v>0</v>
      </c>
      <c r="EZ19" s="24">
        <f>EZ10*$C$14</f>
        <v>0</v>
      </c>
      <c r="FA19" s="24">
        <f>FA10*$C$14</f>
        <v>0</v>
      </c>
      <c r="FB19" s="24">
        <f>FB10*$C$14</f>
        <v>0</v>
      </c>
      <c r="FC19" s="24">
        <f>FC10*$C$14</f>
        <v>0</v>
      </c>
      <c r="FD19" s="24">
        <f>FD10*$C$14</f>
        <v>0</v>
      </c>
      <c r="FE19" s="24">
        <f>FE10*$C$14</f>
        <v>0</v>
      </c>
      <c r="FF19" s="24">
        <f>FF10*$C$14</f>
        <v>0</v>
      </c>
      <c r="FG19" s="24">
        <f>FG10*$C$14</f>
        <v>0</v>
      </c>
      <c r="FH19" s="24">
        <f>FH10*$C$14</f>
        <v>0</v>
      </c>
      <c r="FI19" s="24">
        <f>FI10*$C$14</f>
        <v>0</v>
      </c>
      <c r="FJ19" s="24">
        <f>FJ10*$C$14</f>
        <v>0</v>
      </c>
      <c r="FK19" s="24">
        <f>FK10*$C$14</f>
        <v>0</v>
      </c>
      <c r="FL19" s="24">
        <f>FL10*$C$14</f>
        <v>0</v>
      </c>
      <c r="FM19" s="24">
        <f>FM10*$C$14</f>
        <v>0</v>
      </c>
      <c r="FN19" s="24">
        <f>FN10*$C$14</f>
        <v>0</v>
      </c>
      <c r="FO19" s="24">
        <f>FO10*$C$14</f>
        <v>0</v>
      </c>
      <c r="FP19" s="24">
        <f>FP10*$C$14</f>
        <v>0</v>
      </c>
      <c r="FQ19" s="24">
        <f>FQ10*$C$14</f>
        <v>0</v>
      </c>
      <c r="FR19" s="24">
        <f>FR10*$C$14</f>
        <v>0</v>
      </c>
      <c r="FS19" s="24">
        <f>FS10*$C$14</f>
        <v>0</v>
      </c>
      <c r="FT19" s="24">
        <f>FT10*$C$14</f>
        <v>0</v>
      </c>
      <c r="FU19" s="24">
        <f>FU10*$C$14</f>
        <v>0</v>
      </c>
      <c r="FV19" s="24">
        <f>FV10*$C$14</f>
        <v>0</v>
      </c>
      <c r="FW19" s="24">
        <f>FW10*$C$14</f>
        <v>0</v>
      </c>
      <c r="FX19" s="24">
        <f>FX10*$C$14</f>
        <v>0</v>
      </c>
      <c r="FY19" s="24">
        <f>FY10*$C$14</f>
        <v>0</v>
      </c>
      <c r="FZ19" s="24">
        <f>FZ10*$C$14</f>
        <v>0</v>
      </c>
      <c r="GA19" s="24">
        <f>GA10*$C$14</f>
        <v>0</v>
      </c>
      <c r="GB19" s="24">
        <f>GB10*$C$14</f>
        <v>0</v>
      </c>
      <c r="GC19" s="24">
        <f>GC10*$C$14</f>
        <v>0</v>
      </c>
      <c r="GD19" s="24">
        <f>GD10*$C$14</f>
        <v>0</v>
      </c>
      <c r="GE19" s="24">
        <f>GE10*$C$14</f>
        <v>0</v>
      </c>
      <c r="GF19" s="24">
        <f>GF10*$C$14</f>
        <v>0</v>
      </c>
      <c r="GG19" s="24">
        <f>GG10*$C$14</f>
        <v>0</v>
      </c>
      <c r="GH19" s="24">
        <f>GH10*$C$14</f>
        <v>0</v>
      </c>
      <c r="GI19" s="24">
        <f>GI10*$C$14</f>
        <v>0</v>
      </c>
      <c r="GJ19" s="24">
        <f>GJ10*$C$14</f>
        <v>0</v>
      </c>
      <c r="GK19" s="24">
        <f>GK10*$C$14</f>
        <v>0</v>
      </c>
      <c r="GL19" s="24">
        <f>GL10*$C$14</f>
        <v>0</v>
      </c>
      <c r="GM19" s="24">
        <f>GM10*$C$14</f>
        <v>0</v>
      </c>
      <c r="GN19" s="24">
        <f>GN10*$C$14</f>
        <v>0</v>
      </c>
      <c r="GO19" s="24">
        <f>GO10*$C$14</f>
        <v>0</v>
      </c>
      <c r="GP19" s="24">
        <f>GP10*$C$14</f>
        <v>0</v>
      </c>
      <c r="GQ19" s="24">
        <f>GQ10*$C$14</f>
        <v>0</v>
      </c>
      <c r="GR19" s="24">
        <f>GR10*$C$14</f>
        <v>0</v>
      </c>
      <c r="GS19" s="24">
        <f>GS10*$C$14</f>
        <v>0</v>
      </c>
      <c r="GT19" s="24">
        <f>GT10*$C$14</f>
        <v>0</v>
      </c>
      <c r="GU19" s="24">
        <f>GU10*$C$14</f>
        <v>0</v>
      </c>
      <c r="GV19" s="24">
        <f>GV10*$C$14</f>
        <v>0</v>
      </c>
      <c r="GW19" s="24">
        <f>GW10*$C$14</f>
        <v>0</v>
      </c>
      <c r="GX19" s="24">
        <f>GX10*$C$14</f>
        <v>0</v>
      </c>
      <c r="GY19" s="24">
        <f>GY10*$C$14</f>
        <v>0</v>
      </c>
      <c r="GZ19" s="24">
        <f>GZ10*$C$14</f>
        <v>0</v>
      </c>
      <c r="HA19" s="24">
        <f>HA10*$C$14</f>
        <v>0</v>
      </c>
      <c r="HB19" s="24">
        <f>HB10*$C$14</f>
        <v>0</v>
      </c>
      <c r="HC19" s="24">
        <f>HC10*$C$14</f>
        <v>0</v>
      </c>
      <c r="HD19" s="24">
        <f>HD10*$C$14</f>
        <v>0</v>
      </c>
      <c r="HE19" s="24">
        <f>HE10*$C$14</f>
        <v>0</v>
      </c>
      <c r="HF19" s="24">
        <f>HF10*$C$14</f>
        <v>0</v>
      </c>
      <c r="HG19" s="24">
        <f>HG10*$C$14</f>
        <v>0</v>
      </c>
      <c r="HH19" s="24">
        <f>HH10*$C$14</f>
        <v>0</v>
      </c>
      <c r="HI19" s="24">
        <f>HI10*$C$14</f>
        <v>0</v>
      </c>
      <c r="HJ19" s="24">
        <f>HJ10*$C$14</f>
        <v>0</v>
      </c>
      <c r="HK19" s="24">
        <f>HK10*$C$14</f>
        <v>0</v>
      </c>
      <c r="HL19" s="24">
        <f>HL10*$C$14</f>
        <v>0</v>
      </c>
      <c r="HM19" s="24">
        <f>HM10*$C$14</f>
        <v>0</v>
      </c>
      <c r="HN19" s="24">
        <f>HN10*$C$14</f>
        <v>0</v>
      </c>
      <c r="HO19" s="24">
        <f>HO10*$C$14</f>
        <v>0</v>
      </c>
      <c r="HP19" s="24">
        <f>HP10*$C$14</f>
        <v>0</v>
      </c>
      <c r="HQ19" s="24">
        <f>HQ10*$C$14</f>
        <v>0</v>
      </c>
      <c r="HR19" s="24">
        <f>HR10*$C$14</f>
        <v>0</v>
      </c>
      <c r="HS19" s="24">
        <f>HS10*$C$14</f>
        <v>0</v>
      </c>
      <c r="HT19" s="24">
        <f>HT10*$C$14</f>
        <v>0</v>
      </c>
      <c r="HU19" s="24">
        <f>HU10*$C$14</f>
        <v>0</v>
      </c>
      <c r="HV19" s="24">
        <f>HV10*$C$14</f>
        <v>0</v>
      </c>
      <c r="HW19" s="24">
        <f>HW10*$C$14</f>
        <v>0</v>
      </c>
      <c r="HX19" s="24">
        <f>HX10*$C$14</f>
        <v>0</v>
      </c>
      <c r="HY19" s="24">
        <f>HY10*$C$14</f>
        <v>0</v>
      </c>
      <c r="HZ19" s="24">
        <f>HZ10*$C$14</f>
        <v>0</v>
      </c>
      <c r="IA19" s="24">
        <f>IA10*$C$14</f>
        <v>0</v>
      </c>
      <c r="IB19" s="24">
        <f>IB10*$C$14</f>
        <v>0</v>
      </c>
      <c r="IC19" s="24">
        <f>IC10*$C$14</f>
        <v>0</v>
      </c>
      <c r="ID19" s="24">
        <f>ID10*$C$14</f>
        <v>0</v>
      </c>
      <c r="IE19" s="24">
        <f>IE10*$C$14</f>
        <v>0</v>
      </c>
      <c r="IF19" s="24">
        <f>IF10*$C$14</f>
        <v>0</v>
      </c>
      <c r="IG19" s="24">
        <f>IG10*$C$14</f>
        <v>0</v>
      </c>
      <c r="IH19" s="24">
        <f>IH10*$C$14</f>
        <v>0</v>
      </c>
      <c r="II19" s="24">
        <f>II10*$C$14</f>
        <v>0</v>
      </c>
      <c r="IJ19" s="24">
        <f>IJ10*$C$14</f>
        <v>0</v>
      </c>
      <c r="IK19" s="24">
        <f>IK10*$C$14</f>
        <v>0</v>
      </c>
      <c r="IL19" s="24">
        <f>IL10*$C$14</f>
        <v>0</v>
      </c>
      <c r="IM19" s="24">
        <f>IM10*$C$14</f>
        <v>0</v>
      </c>
      <c r="IN19" s="24">
        <f>IN10*$C$14</f>
        <v>0</v>
      </c>
    </row>
    <row r="20" spans="2:248" x14ac:dyDescent="0.3">
      <c r="B20" s="19" t="s">
        <v>613</v>
      </c>
      <c r="C20" s="42">
        <f>C19*C18</f>
        <v>27154404.400000002</v>
      </c>
      <c r="F20" s="22" t="s">
        <v>620</v>
      </c>
      <c r="G20" s="24">
        <f>G12*$C$14</f>
        <v>5.452</v>
      </c>
      <c r="H20" s="24">
        <f>H12*$C$14</f>
        <v>7.7080000000000002</v>
      </c>
      <c r="I20" s="24">
        <f>I12*$C$14</f>
        <v>9.7289999999999992</v>
      </c>
      <c r="J20" s="24">
        <f>J12*$C$14</f>
        <v>12.878</v>
      </c>
      <c r="K20" s="24">
        <f>K12*$C$14</f>
        <v>15.134</v>
      </c>
      <c r="L20" s="24">
        <f>L12*$C$14</f>
        <v>18.048000000000002</v>
      </c>
      <c r="M20" s="24">
        <f>M12*$C$14</f>
        <v>21.573</v>
      </c>
      <c r="N20" s="24">
        <f>N12*$C$14</f>
        <v>27.73</v>
      </c>
      <c r="O20" s="24">
        <f>O12*$C$14</f>
        <v>37.741</v>
      </c>
      <c r="P20" s="24">
        <f>P12*$C$14</f>
        <v>53.814999999999998</v>
      </c>
      <c r="Q20" s="24">
        <f>Q12*$C$14</f>
        <v>63.685000000000002</v>
      </c>
      <c r="R20" s="24">
        <f>R12*$C$14</f>
        <v>72.944000000000003</v>
      </c>
      <c r="S20" s="24">
        <f>S12*$C$14</f>
        <v>86.668000000000006</v>
      </c>
      <c r="T20" s="24">
        <f>T12*$C$14</f>
        <v>115.714</v>
      </c>
      <c r="U20" s="24">
        <f>U12*$C$14</f>
        <v>144.54849999999999</v>
      </c>
      <c r="V20" s="24">
        <f>V12*$C$14</f>
        <v>179.968875</v>
      </c>
      <c r="W20" s="24">
        <f>W12*$C$14</f>
        <v>225.92459375000001</v>
      </c>
      <c r="X20" s="24">
        <f>X12*$C$14</f>
        <v>283.2752421875</v>
      </c>
      <c r="Y20" s="24">
        <f>Y12*$C$14</f>
        <v>355.08105273437502</v>
      </c>
      <c r="Z20" s="24">
        <f>Z12*$C$14</f>
        <v>443.08756591796873</v>
      </c>
      <c r="AA20" s="24">
        <f>AA12*$C$14</f>
        <v>550.78095739746095</v>
      </c>
      <c r="AB20" s="24">
        <f>AB12*$C$14</f>
        <v>681.83744674682612</v>
      </c>
      <c r="AC20" s="24">
        <f>AC12*$C$14</f>
        <v>855.88055843353277</v>
      </c>
      <c r="AD20" s="24">
        <f>AD12*$C$14</f>
        <v>1076.5129480419159</v>
      </c>
      <c r="AE20" s="24">
        <f>AE12*$C$14</f>
        <v>1344.701185052395</v>
      </c>
      <c r="AF20" s="24">
        <f>AF12*$C$14</f>
        <v>1672.6044813154936</v>
      </c>
      <c r="AG20" s="24">
        <f>AG12*$C$14</f>
        <v>2090.7556016443668</v>
      </c>
      <c r="AH20" s="24">
        <f>AH12*$C$14</f>
        <v>2613.4445020554585</v>
      </c>
      <c r="AI20" s="24">
        <f>AI12*$C$14</f>
        <v>3266.8056275693234</v>
      </c>
      <c r="AJ20" s="24">
        <f>AJ12*$C$14</f>
        <v>4083.5070344616543</v>
      </c>
      <c r="AK20" s="24">
        <f>AK12*$C$14</f>
        <v>5104.3837930770678</v>
      </c>
      <c r="AL20" s="24">
        <f>AL12*$C$14</f>
        <v>6380.4797413463348</v>
      </c>
      <c r="AM20" s="24">
        <f>AM12*$C$14</f>
        <v>7975.5996766829185</v>
      </c>
      <c r="AN20" s="24">
        <f>AN12*$C$14</f>
        <v>9969.4995958536474</v>
      </c>
      <c r="AO20" s="24">
        <f>AO12*$C$14</f>
        <v>12461.874494817059</v>
      </c>
      <c r="AP20" s="24">
        <f>AP12*$C$14</f>
        <v>15577.343118521323</v>
      </c>
      <c r="AQ20" s="24">
        <f>AQ12*$C$14</f>
        <v>19471.678898151655</v>
      </c>
      <c r="AR20" s="24">
        <f>AR12*$C$14</f>
        <v>24339.598622689569</v>
      </c>
      <c r="AS20" s="24">
        <f>AS12*$C$14</f>
        <v>30424.498278361963</v>
      </c>
      <c r="AT20" s="24">
        <f>AT12*$C$14</f>
        <v>38030.622847952451</v>
      </c>
      <c r="AU20" s="24">
        <f>AU12*$C$14</f>
        <v>47538.278559940569</v>
      </c>
      <c r="AV20" s="24">
        <f>AV12*$C$14</f>
        <v>59422.848199925706</v>
      </c>
      <c r="AW20" s="24">
        <f>AW12*$C$14</f>
        <v>74278.560249907139</v>
      </c>
      <c r="AX20" s="24">
        <f>AX12*$C$14</f>
        <v>92848.200312383909</v>
      </c>
      <c r="AY20" s="24">
        <f>AY12*$C$14</f>
        <v>116060.25039047991</v>
      </c>
      <c r="AZ20" s="24">
        <f>AZ12*$C$14</f>
        <v>145075.31298809987</v>
      </c>
      <c r="BA20" s="24">
        <f>BA12*$C$14</f>
        <v>181344.14123512481</v>
      </c>
      <c r="BB20" s="24">
        <f>BB12*$C$14</f>
        <v>226680.17654390604</v>
      </c>
      <c r="BC20" s="24">
        <f>BC12*$C$14</f>
        <v>283350.22067988251</v>
      </c>
      <c r="BD20" s="24">
        <f>BD12*$C$14</f>
        <v>354187.77584985318</v>
      </c>
      <c r="BE20" s="24">
        <f>BE12*$C$14</f>
        <v>442734.71981231641</v>
      </c>
      <c r="BF20" s="24">
        <f>BF12*$C$14</f>
        <v>553418.39976539556</v>
      </c>
      <c r="BG20" s="24">
        <f>BG12*$C$14</f>
        <v>691772.99970674433</v>
      </c>
      <c r="BH20" s="24">
        <f>BH12*$C$14</f>
        <v>864716.24963343039</v>
      </c>
      <c r="BI20" s="24">
        <f>BI12*$C$14</f>
        <v>1080895.3120417881</v>
      </c>
      <c r="BJ20" s="24">
        <f>BJ12*$C$14</f>
        <v>1176557.5091803519</v>
      </c>
      <c r="BK20" s="24">
        <f>BK12*$C$14</f>
        <v>1151632.6347754397</v>
      </c>
      <c r="BL20" s="24">
        <f>BL12*$C$14</f>
        <v>1120476.5417692997</v>
      </c>
      <c r="BM20" s="24">
        <f>BM12*$C$14</f>
        <v>1081531.4255116247</v>
      </c>
      <c r="BN20" s="24">
        <f>BN12*$C$14</f>
        <v>1032850.0301895309</v>
      </c>
      <c r="BO20" s="24">
        <f>BO12*$C$14</f>
        <v>971998.28603691363</v>
      </c>
      <c r="BP20" s="24">
        <f>BP12*$C$14</f>
        <v>895933.60584614193</v>
      </c>
      <c r="BQ20" s="24">
        <f>BQ12*$C$14</f>
        <v>800852.75560767727</v>
      </c>
      <c r="BR20" s="24">
        <f>BR12*$C$14</f>
        <v>682001.69280959666</v>
      </c>
      <c r="BS20" s="24">
        <f>BS12*$C$14</f>
        <v>533437.8643119958</v>
      </c>
      <c r="BT20" s="24">
        <f>BT12*$C$14</f>
        <v>347733.07868999476</v>
      </c>
      <c r="BU20" s="24">
        <f>BU12*$C$14</f>
        <v>115602.09666249339</v>
      </c>
      <c r="BV20" s="24">
        <f>BV12*$C$14</f>
        <v>0</v>
      </c>
      <c r="BW20" s="24">
        <f>BW12*$C$14</f>
        <v>0</v>
      </c>
      <c r="BX20" s="24">
        <f>BX12*$C$14</f>
        <v>0</v>
      </c>
      <c r="BY20" s="24">
        <f>BY12*$C$14</f>
        <v>0</v>
      </c>
      <c r="BZ20" s="24">
        <f>BZ12*$C$14</f>
        <v>0</v>
      </c>
      <c r="CA20" s="24">
        <f>CA12*$C$14</f>
        <v>0</v>
      </c>
      <c r="CB20" s="24">
        <f>CB12*$C$14</f>
        <v>0</v>
      </c>
      <c r="CC20" s="24">
        <f>CC12*$C$14</f>
        <v>0</v>
      </c>
      <c r="CD20" s="24">
        <f>CD12*$C$14</f>
        <v>0</v>
      </c>
      <c r="CE20" s="24">
        <f>CE12*$C$14</f>
        <v>0</v>
      </c>
      <c r="CF20" s="24">
        <f>CF12*$C$14</f>
        <v>0</v>
      </c>
      <c r="CG20" s="24">
        <f>CG12*$C$14</f>
        <v>0</v>
      </c>
      <c r="CH20" s="24">
        <f>CH12*$C$14</f>
        <v>0</v>
      </c>
      <c r="CI20" s="24">
        <f>CI12*$C$14</f>
        <v>0</v>
      </c>
      <c r="CJ20" s="24">
        <f>CJ12*$C$14</f>
        <v>0</v>
      </c>
      <c r="CK20" s="24">
        <f>CK12*$C$14</f>
        <v>0</v>
      </c>
      <c r="CL20" s="24">
        <f>CL12*$C$14</f>
        <v>0</v>
      </c>
      <c r="CM20" s="24">
        <f>CM12*$C$14</f>
        <v>0</v>
      </c>
      <c r="CN20" s="24">
        <f>CN12*$C$14</f>
        <v>0</v>
      </c>
      <c r="CO20" s="24">
        <f>CO12*$C$14</f>
        <v>0</v>
      </c>
      <c r="CP20" s="24">
        <f>CP12*$C$14</f>
        <v>0</v>
      </c>
      <c r="CQ20" s="24">
        <f>CQ12*$C$14</f>
        <v>0</v>
      </c>
      <c r="CR20" s="24">
        <f>CR12*$C$14</f>
        <v>0</v>
      </c>
      <c r="CS20" s="24">
        <f>CS12*$C$14</f>
        <v>0</v>
      </c>
      <c r="CT20" s="24">
        <f>CT12*$C$14</f>
        <v>0</v>
      </c>
      <c r="CU20" s="24">
        <f>CU12*$C$14</f>
        <v>0</v>
      </c>
      <c r="CV20" s="24">
        <f>CV12*$C$14</f>
        <v>0</v>
      </c>
      <c r="CW20" s="24">
        <f>CW12*$C$14</f>
        <v>0</v>
      </c>
      <c r="CX20" s="24">
        <f>CX12*$C$14</f>
        <v>0</v>
      </c>
      <c r="CY20" s="24">
        <f>CY12*$C$14</f>
        <v>0</v>
      </c>
      <c r="CZ20" s="24">
        <f>CZ12*$C$14</f>
        <v>0</v>
      </c>
      <c r="DA20" s="24">
        <f>DA12*$C$14</f>
        <v>0</v>
      </c>
      <c r="DB20" s="24">
        <f>DB12*$C$14</f>
        <v>0</v>
      </c>
      <c r="DC20" s="24">
        <f>DC12*$C$14</f>
        <v>0</v>
      </c>
      <c r="DD20" s="24">
        <f>DD12*$C$14</f>
        <v>0</v>
      </c>
      <c r="DE20" s="24">
        <f>DE12*$C$14</f>
        <v>0</v>
      </c>
      <c r="DF20" s="24">
        <f>DF12*$C$14</f>
        <v>0</v>
      </c>
      <c r="DG20" s="24">
        <f>DG12*$C$14</f>
        <v>0</v>
      </c>
      <c r="DH20" s="24">
        <f>DH12*$C$14</f>
        <v>0</v>
      </c>
      <c r="DI20" s="24">
        <f>DI12*$C$14</f>
        <v>0</v>
      </c>
      <c r="DJ20" s="24">
        <f>DJ12*$C$14</f>
        <v>0</v>
      </c>
      <c r="DK20" s="24">
        <f>DK12*$C$14</f>
        <v>0</v>
      </c>
      <c r="DL20" s="24">
        <f>DL12*$C$14</f>
        <v>0</v>
      </c>
      <c r="DM20" s="24">
        <f>DM12*$C$14</f>
        <v>0</v>
      </c>
      <c r="DN20" s="24">
        <f>DN12*$C$14</f>
        <v>0</v>
      </c>
      <c r="DO20" s="24">
        <f>DO12*$C$14</f>
        <v>0</v>
      </c>
      <c r="DP20" s="24">
        <f>DP12*$C$14</f>
        <v>0</v>
      </c>
      <c r="DQ20" s="24">
        <f>DQ12*$C$14</f>
        <v>0</v>
      </c>
      <c r="DR20" s="24">
        <f>DR12*$C$14</f>
        <v>0</v>
      </c>
      <c r="DS20" s="24">
        <f>DS12*$C$14</f>
        <v>0</v>
      </c>
      <c r="DT20" s="24">
        <f>DT12*$C$14</f>
        <v>0</v>
      </c>
      <c r="DU20" s="24">
        <f>DU12*$C$14</f>
        <v>0</v>
      </c>
      <c r="DV20" s="24">
        <f>DV12*$C$14</f>
        <v>0</v>
      </c>
      <c r="DW20" s="24">
        <f>DW12*$C$14</f>
        <v>0</v>
      </c>
      <c r="DX20" s="24">
        <f>DX12*$C$14</f>
        <v>0</v>
      </c>
      <c r="DY20" s="24">
        <f>DY12*$C$14</f>
        <v>0</v>
      </c>
      <c r="DZ20" s="24">
        <f>DZ12*$C$14</f>
        <v>0</v>
      </c>
      <c r="EA20" s="24">
        <f>EA12*$C$14</f>
        <v>0</v>
      </c>
      <c r="EB20" s="24">
        <f>EB12*$C$14</f>
        <v>0</v>
      </c>
      <c r="EC20" s="24">
        <f>EC12*$C$14</f>
        <v>0</v>
      </c>
      <c r="ED20" s="24">
        <f>ED12*$C$14</f>
        <v>0</v>
      </c>
      <c r="EE20" s="24">
        <f>EE12*$C$14</f>
        <v>0</v>
      </c>
      <c r="EF20" s="24">
        <f>EF12*$C$14</f>
        <v>0</v>
      </c>
      <c r="EG20" s="24">
        <f>EG12*$C$14</f>
        <v>0</v>
      </c>
      <c r="EH20" s="24">
        <f>EH12*$C$14</f>
        <v>0</v>
      </c>
      <c r="EI20" s="24">
        <f>EI12*$C$14</f>
        <v>0</v>
      </c>
      <c r="EJ20" s="24">
        <f>EJ12*$C$14</f>
        <v>0</v>
      </c>
      <c r="EK20" s="24">
        <f>EK12*$C$14</f>
        <v>0</v>
      </c>
      <c r="EL20" s="24">
        <f>EL12*$C$14</f>
        <v>0</v>
      </c>
      <c r="EM20" s="24">
        <f>EM12*$C$14</f>
        <v>0</v>
      </c>
      <c r="EN20" s="24">
        <f>EN12*$C$14</f>
        <v>0</v>
      </c>
      <c r="EO20" s="24">
        <f>EO12*$C$14</f>
        <v>0</v>
      </c>
      <c r="EP20" s="24">
        <f>EP12*$C$14</f>
        <v>0</v>
      </c>
      <c r="EQ20" s="24">
        <f>EQ12*$C$14</f>
        <v>0</v>
      </c>
      <c r="ER20" s="24">
        <f>ER12*$C$14</f>
        <v>0</v>
      </c>
      <c r="ES20" s="24">
        <f>ES12*$C$14</f>
        <v>0</v>
      </c>
      <c r="ET20" s="24">
        <f>ET12*$C$14</f>
        <v>0</v>
      </c>
      <c r="EU20" s="24">
        <f>EU12*$C$14</f>
        <v>0</v>
      </c>
      <c r="EV20" s="24">
        <f>EV12*$C$14</f>
        <v>0</v>
      </c>
      <c r="EW20" s="24">
        <f>EW12*$C$14</f>
        <v>0</v>
      </c>
      <c r="EX20" s="24">
        <f>EX12*$C$14</f>
        <v>0</v>
      </c>
      <c r="EY20" s="24">
        <f>EY12*$C$14</f>
        <v>0</v>
      </c>
      <c r="EZ20" s="24">
        <f>EZ12*$C$14</f>
        <v>0</v>
      </c>
      <c r="FA20" s="24">
        <f>FA12*$C$14</f>
        <v>0</v>
      </c>
      <c r="FB20" s="24">
        <f>FB12*$C$14</f>
        <v>0</v>
      </c>
      <c r="FC20" s="24">
        <f>FC12*$C$14</f>
        <v>0</v>
      </c>
      <c r="FD20" s="24">
        <f>FD12*$C$14</f>
        <v>0</v>
      </c>
      <c r="FE20" s="24">
        <f>FE12*$C$14</f>
        <v>0</v>
      </c>
      <c r="FF20" s="24">
        <f>FF12*$C$14</f>
        <v>0</v>
      </c>
      <c r="FG20" s="24">
        <f>FG12*$C$14</f>
        <v>0</v>
      </c>
      <c r="FH20" s="24">
        <f>FH12*$C$14</f>
        <v>0</v>
      </c>
      <c r="FI20" s="24">
        <f>FI12*$C$14</f>
        <v>0</v>
      </c>
      <c r="FJ20" s="24">
        <f>FJ12*$C$14</f>
        <v>0</v>
      </c>
      <c r="FK20" s="24">
        <f>FK12*$C$14</f>
        <v>0</v>
      </c>
      <c r="FL20" s="24">
        <f>FL12*$C$14</f>
        <v>0</v>
      </c>
      <c r="FM20" s="24">
        <f>FM12*$C$14</f>
        <v>0</v>
      </c>
      <c r="FN20" s="24">
        <f>FN12*$C$14</f>
        <v>0</v>
      </c>
      <c r="FO20" s="24">
        <f>FO12*$C$14</f>
        <v>0</v>
      </c>
      <c r="FP20" s="24">
        <f>FP12*$C$14</f>
        <v>0</v>
      </c>
      <c r="FQ20" s="24">
        <f>FQ12*$C$14</f>
        <v>0</v>
      </c>
      <c r="FR20" s="24">
        <f>FR12*$C$14</f>
        <v>0</v>
      </c>
      <c r="FS20" s="24">
        <f>FS12*$C$14</f>
        <v>0</v>
      </c>
      <c r="FT20" s="24">
        <f>FT12*$C$14</f>
        <v>0</v>
      </c>
      <c r="FU20" s="24">
        <f>FU12*$C$14</f>
        <v>0</v>
      </c>
      <c r="FV20" s="24">
        <f>FV12*$C$14</f>
        <v>0</v>
      </c>
      <c r="FW20" s="24">
        <f>FW12*$C$14</f>
        <v>0</v>
      </c>
      <c r="FX20" s="24">
        <f>FX12*$C$14</f>
        <v>0</v>
      </c>
      <c r="FY20" s="24">
        <f>FY12*$C$14</f>
        <v>0</v>
      </c>
      <c r="FZ20" s="24">
        <f>FZ12*$C$14</f>
        <v>0</v>
      </c>
      <c r="GA20" s="24">
        <f>GA12*$C$14</f>
        <v>0</v>
      </c>
      <c r="GB20" s="24">
        <f>GB12*$C$14</f>
        <v>0</v>
      </c>
      <c r="GC20" s="24">
        <f>GC12*$C$14</f>
        <v>0</v>
      </c>
      <c r="GD20" s="24">
        <f>GD12*$C$14</f>
        <v>0</v>
      </c>
      <c r="GE20" s="24">
        <f>GE12*$C$14</f>
        <v>0</v>
      </c>
      <c r="GF20" s="24">
        <f>GF12*$C$14</f>
        <v>0</v>
      </c>
      <c r="GG20" s="24">
        <f>GG12*$C$14</f>
        <v>0</v>
      </c>
      <c r="GH20" s="24">
        <f>GH12*$C$14</f>
        <v>0</v>
      </c>
      <c r="GI20" s="24">
        <f>GI12*$C$14</f>
        <v>0</v>
      </c>
      <c r="GJ20" s="24">
        <f>GJ12*$C$14</f>
        <v>0</v>
      </c>
      <c r="GK20" s="24">
        <f>GK12*$C$14</f>
        <v>0</v>
      </c>
      <c r="GL20" s="24">
        <f>GL12*$C$14</f>
        <v>0</v>
      </c>
      <c r="GM20" s="24">
        <f>GM12*$C$14</f>
        <v>0</v>
      </c>
      <c r="GN20" s="24">
        <f>GN12*$C$14</f>
        <v>0</v>
      </c>
      <c r="GO20" s="24">
        <f>GO12*$C$14</f>
        <v>0</v>
      </c>
      <c r="GP20" s="24">
        <f>GP12*$C$14</f>
        <v>0</v>
      </c>
      <c r="GQ20" s="24">
        <f>GQ12*$C$14</f>
        <v>0</v>
      </c>
      <c r="GR20" s="24">
        <f>GR12*$C$14</f>
        <v>0</v>
      </c>
      <c r="GS20" s="24">
        <f>GS12*$C$14</f>
        <v>0</v>
      </c>
      <c r="GT20" s="24">
        <f>GT12*$C$14</f>
        <v>0</v>
      </c>
      <c r="GU20" s="24">
        <f>GU12*$C$14</f>
        <v>0</v>
      </c>
      <c r="GV20" s="24">
        <f>GV12*$C$14</f>
        <v>0</v>
      </c>
      <c r="GW20" s="24">
        <f>GW12*$C$14</f>
        <v>0</v>
      </c>
      <c r="GX20" s="24">
        <f>GX12*$C$14</f>
        <v>0</v>
      </c>
      <c r="GY20" s="24">
        <f>GY12*$C$14</f>
        <v>0</v>
      </c>
      <c r="GZ20" s="24">
        <f>GZ12*$C$14</f>
        <v>0</v>
      </c>
      <c r="HA20" s="24">
        <f>HA12*$C$14</f>
        <v>0</v>
      </c>
      <c r="HB20" s="24">
        <f>HB12*$C$14</f>
        <v>0</v>
      </c>
      <c r="HC20" s="24">
        <f>HC12*$C$14</f>
        <v>0</v>
      </c>
      <c r="HD20" s="24">
        <f>HD12*$C$14</f>
        <v>0</v>
      </c>
      <c r="HE20" s="24">
        <f>HE12*$C$14</f>
        <v>0</v>
      </c>
      <c r="HF20" s="24">
        <f>HF12*$C$14</f>
        <v>0</v>
      </c>
      <c r="HG20" s="24">
        <f>HG12*$C$14</f>
        <v>0</v>
      </c>
      <c r="HH20" s="24">
        <f>HH12*$C$14</f>
        <v>0</v>
      </c>
      <c r="HI20" s="24">
        <f>HI12*$C$14</f>
        <v>0</v>
      </c>
      <c r="HJ20" s="24">
        <f>HJ12*$C$14</f>
        <v>0</v>
      </c>
      <c r="HK20" s="24">
        <f>HK12*$C$14</f>
        <v>0</v>
      </c>
      <c r="HL20" s="24">
        <f>HL12*$C$14</f>
        <v>0</v>
      </c>
      <c r="HM20" s="24">
        <f>HM12*$C$14</f>
        <v>0</v>
      </c>
      <c r="HN20" s="24">
        <f>HN12*$C$14</f>
        <v>0</v>
      </c>
      <c r="HO20" s="24">
        <f>HO12*$C$14</f>
        <v>0</v>
      </c>
      <c r="HP20" s="24">
        <f>HP12*$C$14</f>
        <v>0</v>
      </c>
      <c r="HQ20" s="24">
        <f>HQ12*$C$14</f>
        <v>0</v>
      </c>
      <c r="HR20" s="24">
        <f>HR12*$C$14</f>
        <v>0</v>
      </c>
      <c r="HS20" s="24">
        <f>HS12*$C$14</f>
        <v>0</v>
      </c>
      <c r="HT20" s="24">
        <f>HT12*$C$14</f>
        <v>0</v>
      </c>
      <c r="HU20" s="24">
        <f>HU12*$C$14</f>
        <v>0</v>
      </c>
      <c r="HV20" s="24">
        <f>HV12*$C$14</f>
        <v>0</v>
      </c>
      <c r="HW20" s="24">
        <f>HW12*$C$14</f>
        <v>0</v>
      </c>
      <c r="HX20" s="24">
        <f>HX12*$C$14</f>
        <v>0</v>
      </c>
      <c r="HY20" s="24">
        <f>HY12*$C$14</f>
        <v>0</v>
      </c>
      <c r="HZ20" s="24">
        <f>HZ12*$C$14</f>
        <v>0</v>
      </c>
      <c r="IA20" s="24">
        <f>IA12*$C$14</f>
        <v>0</v>
      </c>
      <c r="IB20" s="24">
        <f>IB12*$C$14</f>
        <v>0</v>
      </c>
      <c r="IC20" s="24">
        <f>IC12*$C$14</f>
        <v>0</v>
      </c>
      <c r="ID20" s="24">
        <f>ID12*$C$14</f>
        <v>0</v>
      </c>
      <c r="IE20" s="24">
        <f>IE12*$C$14</f>
        <v>0</v>
      </c>
      <c r="IF20" s="24">
        <f>IF12*$C$14</f>
        <v>0</v>
      </c>
      <c r="IG20" s="24">
        <f>IG12*$C$14</f>
        <v>0</v>
      </c>
      <c r="IH20" s="24">
        <f>IH12*$C$14</f>
        <v>0</v>
      </c>
      <c r="II20" s="24">
        <f>II12*$C$14</f>
        <v>0</v>
      </c>
      <c r="IJ20" s="24">
        <f>IJ12*$C$14</f>
        <v>0</v>
      </c>
      <c r="IK20" s="24">
        <f>IK12*$C$14</f>
        <v>0</v>
      </c>
      <c r="IL20" s="24">
        <f>IL12*$C$14</f>
        <v>0</v>
      </c>
      <c r="IM20" s="24">
        <f>IM12*$C$14</f>
        <v>0</v>
      </c>
      <c r="IN20" s="24">
        <f>IN12*$C$14</f>
        <v>0</v>
      </c>
    </row>
    <row r="21" spans="2:248" x14ac:dyDescent="0.3">
      <c r="C21" s="42"/>
      <c r="F21" s="22" t="s">
        <v>617</v>
      </c>
      <c r="G21" s="24">
        <f>G14*$C$14</f>
        <v>5.452</v>
      </c>
      <c r="H21" s="24">
        <f>H14*$C$14</f>
        <v>7.7080000000000002</v>
      </c>
      <c r="I21" s="24">
        <f>I14*$C$14</f>
        <v>9.7289999999999992</v>
      </c>
      <c r="J21" s="24">
        <f>J14*$C$14</f>
        <v>12.878</v>
      </c>
      <c r="K21" s="24">
        <f>K14*$C$14</f>
        <v>15.134</v>
      </c>
      <c r="L21" s="24">
        <f>L14*$C$14</f>
        <v>18.048000000000002</v>
      </c>
      <c r="M21" s="24">
        <f>M14*$C$14</f>
        <v>21.573</v>
      </c>
      <c r="N21" s="24">
        <f>N14*$C$14</f>
        <v>27.73</v>
      </c>
      <c r="O21" s="24">
        <f>O14*$C$14</f>
        <v>37.741</v>
      </c>
      <c r="P21" s="24">
        <f>P14*$C$14</f>
        <v>53.814999999999998</v>
      </c>
      <c r="Q21" s="24">
        <f>Q14*$C$14</f>
        <v>63.685000000000002</v>
      </c>
      <c r="R21" s="24">
        <f>R14*$C$14</f>
        <v>72.944000000000003</v>
      </c>
      <c r="S21" s="24">
        <f>S14*$C$14</f>
        <v>86.668000000000006</v>
      </c>
      <c r="T21" s="24">
        <f>T14*$C$14</f>
        <v>115.714</v>
      </c>
      <c r="U21" s="24">
        <f>U14*$C$14</f>
        <v>150.71960000000001</v>
      </c>
      <c r="V21" s="24">
        <f>V14*$C$14</f>
        <v>195.70518000000001</v>
      </c>
      <c r="W21" s="24">
        <f>W14*$C$14</f>
        <v>256.02413400000006</v>
      </c>
      <c r="X21" s="24">
        <f>X14*$C$14</f>
        <v>334.45757420000007</v>
      </c>
      <c r="Y21" s="24">
        <f>Y14*$C$14</f>
        <v>436.68424646000017</v>
      </c>
      <c r="Z21" s="24">
        <f>Z14*$C$14</f>
        <v>568.00442039800021</v>
      </c>
      <c r="AA21" s="24">
        <f>AA14*$C$14</f>
        <v>736.7137465174003</v>
      </c>
      <c r="AB21" s="24">
        <f>AB14*$C$14</f>
        <v>952.97617047262042</v>
      </c>
      <c r="AC21" s="24">
        <f>AC14*$C$14</f>
        <v>1245.1435216144066</v>
      </c>
      <c r="AD21" s="24">
        <f>AD14*$C$14</f>
        <v>1628.5330780987285</v>
      </c>
      <c r="AE21" s="24">
        <f>AE14*$C$14</f>
        <v>2119.8002015283469</v>
      </c>
      <c r="AF21" s="24">
        <f>AF14*$C$14</f>
        <v>2752.0742619868511</v>
      </c>
      <c r="AG21" s="24">
        <f>AG14*$C$14</f>
        <v>3577.6965405829064</v>
      </c>
      <c r="AH21" s="24">
        <f>AH14*$C$14</f>
        <v>4651.0055027577791</v>
      </c>
      <c r="AI21" s="24">
        <f>AI14*$C$14</f>
        <v>6046.3071535851122</v>
      </c>
      <c r="AJ21" s="24">
        <f>AJ14*$C$14</f>
        <v>7860.1992996606459</v>
      </c>
      <c r="AK21" s="24">
        <f>AK14*$C$14</f>
        <v>10218.25908955884</v>
      </c>
      <c r="AL21" s="24">
        <f>AL14*$C$14</f>
        <v>13283.736816426492</v>
      </c>
      <c r="AM21" s="24">
        <f>AM14*$C$14</f>
        <v>17268.857861354441</v>
      </c>
      <c r="AN21" s="24">
        <f>AN14*$C$14</f>
        <v>22449.515219760775</v>
      </c>
      <c r="AO21" s="24">
        <f>AO14*$C$14</f>
        <v>29184.369785689014</v>
      </c>
      <c r="AP21" s="24">
        <f>AP14*$C$14</f>
        <v>37939.680721395714</v>
      </c>
      <c r="AQ21" s="24">
        <f>AQ14*$C$14</f>
        <v>49321.584937814427</v>
      </c>
      <c r="AR21" s="24">
        <f>AR14*$C$14</f>
        <v>64118.060419158755</v>
      </c>
      <c r="AS21" s="24">
        <f>AS14*$C$14</f>
        <v>83353.478544906393</v>
      </c>
      <c r="AT21" s="24">
        <f>AT14*$C$14</f>
        <v>108359.5221083783</v>
      </c>
      <c r="AU21" s="24">
        <f>AU14*$C$14</f>
        <v>140867.37874089181</v>
      </c>
      <c r="AV21" s="24">
        <f>AV14*$C$14</f>
        <v>183127.59236315938</v>
      </c>
      <c r="AW21" s="24">
        <f>AW14*$C$14</f>
        <v>238065.87007210718</v>
      </c>
      <c r="AX21" s="24">
        <f>AX14*$C$14</f>
        <v>309485.63109373936</v>
      </c>
      <c r="AY21" s="24">
        <f>AY14*$C$14</f>
        <v>402331.32042186119</v>
      </c>
      <c r="AZ21" s="24">
        <f>AZ14*$C$14</f>
        <v>523030.71654841956</v>
      </c>
      <c r="BA21" s="24">
        <f>BA14*$C$14</f>
        <v>679939.93151294545</v>
      </c>
      <c r="BB21" s="24">
        <f>BB14*$C$14</f>
        <v>883921.91096682905</v>
      </c>
      <c r="BC21" s="24">
        <f>BC14*$C$14</f>
        <v>1149098.484256878</v>
      </c>
      <c r="BD21" s="24">
        <f>BD14*$C$14</f>
        <v>1209263.4501188544</v>
      </c>
      <c r="BE21" s="24">
        <f>BE14*$C$14</f>
        <v>1189165.3831145107</v>
      </c>
      <c r="BF21" s="24">
        <f>BF14*$C$14</f>
        <v>1163037.896008864</v>
      </c>
      <c r="BG21" s="24">
        <f>BG14*$C$14</f>
        <v>1129072.162771523</v>
      </c>
      <c r="BH21" s="24">
        <f>BH14*$C$14</f>
        <v>1084916.7095629801</v>
      </c>
      <c r="BI21" s="24">
        <f>BI14*$C$14</f>
        <v>1027514.6203918741</v>
      </c>
      <c r="BJ21" s="24">
        <f>BJ14*$C$14</f>
        <v>952891.90446943638</v>
      </c>
      <c r="BK21" s="24">
        <f>BK14*$C$14</f>
        <v>855882.37377026712</v>
      </c>
      <c r="BL21" s="24">
        <f>BL14*$C$14</f>
        <v>729769.98386134719</v>
      </c>
      <c r="BM21" s="24">
        <f>BM14*$C$14</f>
        <v>565823.87697975128</v>
      </c>
      <c r="BN21" s="24">
        <f>BN14*$C$14</f>
        <v>352693.93803367659</v>
      </c>
      <c r="BO21" s="24">
        <f>BO14*$C$14</f>
        <v>75625.017403779406</v>
      </c>
      <c r="BP21" s="24">
        <f>BP14*$C$14</f>
        <v>0</v>
      </c>
      <c r="BQ21" s="24">
        <f>BQ14*$C$14</f>
        <v>0</v>
      </c>
      <c r="BR21" s="24">
        <f>BR14*$C$14</f>
        <v>0</v>
      </c>
      <c r="BS21" s="24">
        <f>BS14*$C$14</f>
        <v>0</v>
      </c>
      <c r="BT21" s="24">
        <f>BT14*$C$14</f>
        <v>0</v>
      </c>
      <c r="BU21" s="24">
        <f>BU14*$C$14</f>
        <v>0</v>
      </c>
      <c r="BV21" s="24">
        <f>BV14*$C$14</f>
        <v>0</v>
      </c>
      <c r="BW21" s="24">
        <f>BW14*$C$14</f>
        <v>0</v>
      </c>
      <c r="BX21" s="24">
        <f>BX14*$C$14</f>
        <v>0</v>
      </c>
      <c r="BY21" s="24">
        <f>BY14*$C$14</f>
        <v>0</v>
      </c>
      <c r="BZ21" s="24">
        <f>BZ14*$C$14</f>
        <v>0</v>
      </c>
      <c r="CA21" s="24">
        <f>CA14*$C$14</f>
        <v>0</v>
      </c>
      <c r="CB21" s="24">
        <f>CB14*$C$14</f>
        <v>0</v>
      </c>
      <c r="CC21" s="24">
        <f>CC14*$C$14</f>
        <v>0</v>
      </c>
      <c r="CD21" s="24">
        <f>CD14*$C$14</f>
        <v>0</v>
      </c>
      <c r="CE21" s="24">
        <f>CE14*$C$14</f>
        <v>0</v>
      </c>
      <c r="CF21" s="24">
        <f>CF14*$C$14</f>
        <v>0</v>
      </c>
      <c r="CG21" s="24">
        <f>CG14*$C$14</f>
        <v>0</v>
      </c>
      <c r="CH21" s="24">
        <f>CH14*$C$14</f>
        <v>0</v>
      </c>
      <c r="CI21" s="24">
        <f>CI14*$C$14</f>
        <v>0</v>
      </c>
      <c r="CJ21" s="24">
        <f>CJ14*$C$14</f>
        <v>0</v>
      </c>
      <c r="CK21" s="24">
        <f>CK14*$C$14</f>
        <v>0</v>
      </c>
      <c r="CL21" s="24">
        <f>CL14*$C$14</f>
        <v>0</v>
      </c>
      <c r="CM21" s="24">
        <f>CM14*$C$14</f>
        <v>0</v>
      </c>
      <c r="CN21" s="24">
        <f>CN14*$C$14</f>
        <v>0</v>
      </c>
      <c r="CO21" s="24">
        <f>CO14*$C$14</f>
        <v>0</v>
      </c>
      <c r="CP21" s="24">
        <f>CP14*$C$14</f>
        <v>0</v>
      </c>
      <c r="CQ21" s="24">
        <f>CQ14*$C$14</f>
        <v>0</v>
      </c>
      <c r="CR21" s="24">
        <f>CR14*$C$14</f>
        <v>0</v>
      </c>
      <c r="CS21" s="24">
        <f>CS14*$C$14</f>
        <v>0</v>
      </c>
      <c r="CT21" s="24">
        <f>CT14*$C$14</f>
        <v>0</v>
      </c>
      <c r="CU21" s="24">
        <f>CU14*$C$14</f>
        <v>0</v>
      </c>
      <c r="CV21" s="24">
        <f>CV14*$C$14</f>
        <v>0</v>
      </c>
      <c r="CW21" s="24">
        <f>CW14*$C$14</f>
        <v>0</v>
      </c>
      <c r="CX21" s="24">
        <f>CX14*$C$14</f>
        <v>0</v>
      </c>
      <c r="CY21" s="24">
        <f>CY14*$C$14</f>
        <v>0</v>
      </c>
      <c r="CZ21" s="24">
        <f>CZ14*$C$14</f>
        <v>0</v>
      </c>
      <c r="DA21" s="24">
        <f>DA14*$C$14</f>
        <v>0</v>
      </c>
      <c r="DB21" s="24">
        <f>DB14*$C$14</f>
        <v>0</v>
      </c>
      <c r="DC21" s="24">
        <f>DC14*$C$14</f>
        <v>0</v>
      </c>
      <c r="DD21" s="24">
        <f>DD14*$C$14</f>
        <v>0</v>
      </c>
      <c r="DE21" s="24">
        <f>DE14*$C$14</f>
        <v>0</v>
      </c>
      <c r="DF21" s="24">
        <f>DF14*$C$14</f>
        <v>0</v>
      </c>
      <c r="DG21" s="24">
        <f>DG14*$C$14</f>
        <v>0</v>
      </c>
      <c r="DH21" s="24">
        <f>DH14*$C$14</f>
        <v>0</v>
      </c>
      <c r="DI21" s="24">
        <f>DI14*$C$14</f>
        <v>0</v>
      </c>
      <c r="DJ21" s="24">
        <f>DJ14*$C$14</f>
        <v>0</v>
      </c>
      <c r="DK21" s="24">
        <f>DK14*$C$14</f>
        <v>0</v>
      </c>
      <c r="DL21" s="24">
        <f>DL14*$C$14</f>
        <v>0</v>
      </c>
      <c r="DM21" s="24">
        <f>DM14*$C$14</f>
        <v>0</v>
      </c>
      <c r="DN21" s="24">
        <f>DN14*$C$14</f>
        <v>0</v>
      </c>
      <c r="DO21" s="24">
        <f>DO14*$C$14</f>
        <v>0</v>
      </c>
      <c r="DP21" s="24">
        <f>DP14*$C$14</f>
        <v>0</v>
      </c>
      <c r="DQ21" s="24">
        <f>DQ14*$C$14</f>
        <v>0</v>
      </c>
      <c r="DR21" s="24">
        <f>DR14*$C$14</f>
        <v>0</v>
      </c>
      <c r="DS21" s="24">
        <f>DS14*$C$14</f>
        <v>0</v>
      </c>
      <c r="DT21" s="24">
        <f>DT14*$C$14</f>
        <v>0</v>
      </c>
      <c r="DU21" s="24">
        <f>DU14*$C$14</f>
        <v>0</v>
      </c>
      <c r="DV21" s="24">
        <f>DV14*$C$14</f>
        <v>0</v>
      </c>
      <c r="DW21" s="24">
        <f>DW14*$C$14</f>
        <v>0</v>
      </c>
      <c r="DX21" s="24">
        <f>DX14*$C$14</f>
        <v>0</v>
      </c>
      <c r="DY21" s="24">
        <f>DY14*$C$14</f>
        <v>0</v>
      </c>
      <c r="DZ21" s="24">
        <f>DZ14*$C$14</f>
        <v>0</v>
      </c>
      <c r="EA21" s="24">
        <f>EA14*$C$14</f>
        <v>0</v>
      </c>
      <c r="EB21" s="24">
        <f>EB14*$C$14</f>
        <v>0</v>
      </c>
      <c r="EC21" s="24">
        <f>EC14*$C$14</f>
        <v>0</v>
      </c>
      <c r="ED21" s="24">
        <f>ED14*$C$14</f>
        <v>0</v>
      </c>
      <c r="EE21" s="24">
        <f>EE14*$C$14</f>
        <v>0</v>
      </c>
      <c r="EF21" s="24">
        <f>EF14*$C$14</f>
        <v>0</v>
      </c>
      <c r="EG21" s="24">
        <f>EG14*$C$14</f>
        <v>0</v>
      </c>
      <c r="EH21" s="24">
        <f>EH14*$C$14</f>
        <v>0</v>
      </c>
      <c r="EI21" s="24">
        <f>EI14*$C$14</f>
        <v>0</v>
      </c>
      <c r="EJ21" s="24">
        <f>EJ14*$C$14</f>
        <v>0</v>
      </c>
      <c r="EK21" s="24">
        <f>EK14*$C$14</f>
        <v>0</v>
      </c>
      <c r="EL21" s="24">
        <f>EL14*$C$14</f>
        <v>0</v>
      </c>
      <c r="EM21" s="24">
        <f>EM14*$C$14</f>
        <v>0</v>
      </c>
      <c r="EN21" s="24">
        <f>EN14*$C$14</f>
        <v>0</v>
      </c>
      <c r="EO21" s="24">
        <f>EO14*$C$14</f>
        <v>0</v>
      </c>
      <c r="EP21" s="24">
        <f>EP14*$C$14</f>
        <v>0</v>
      </c>
      <c r="EQ21" s="24">
        <f>EQ14*$C$14</f>
        <v>0</v>
      </c>
      <c r="ER21" s="24">
        <f>ER14*$C$14</f>
        <v>0</v>
      </c>
      <c r="ES21" s="24">
        <f>ES14*$C$14</f>
        <v>0</v>
      </c>
      <c r="ET21" s="24">
        <f>ET14*$C$14</f>
        <v>0</v>
      </c>
      <c r="EU21" s="24">
        <f>EU14*$C$14</f>
        <v>0</v>
      </c>
      <c r="EV21" s="24">
        <f>EV14*$C$14</f>
        <v>0</v>
      </c>
      <c r="EW21" s="24">
        <f>EW14*$C$14</f>
        <v>0</v>
      </c>
      <c r="EX21" s="24">
        <f>EX14*$C$14</f>
        <v>0</v>
      </c>
      <c r="EY21" s="24">
        <f>EY14*$C$14</f>
        <v>0</v>
      </c>
      <c r="EZ21" s="24">
        <f>EZ14*$C$14</f>
        <v>0</v>
      </c>
      <c r="FA21" s="24">
        <f>FA14*$C$14</f>
        <v>0</v>
      </c>
      <c r="FB21" s="24">
        <f>FB14*$C$14</f>
        <v>0</v>
      </c>
      <c r="FC21" s="24">
        <f>FC14*$C$14</f>
        <v>0</v>
      </c>
      <c r="FD21" s="24">
        <f>FD14*$C$14</f>
        <v>0</v>
      </c>
      <c r="FE21" s="24">
        <f>FE14*$C$14</f>
        <v>0</v>
      </c>
      <c r="FF21" s="24">
        <f>FF14*$C$14</f>
        <v>0</v>
      </c>
      <c r="FG21" s="24">
        <f>FG14*$C$14</f>
        <v>0</v>
      </c>
      <c r="FH21" s="24">
        <f>FH14*$C$14</f>
        <v>0</v>
      </c>
      <c r="FI21" s="24">
        <f>FI14*$C$14</f>
        <v>0</v>
      </c>
      <c r="FJ21" s="24">
        <f>FJ14*$C$14</f>
        <v>0</v>
      </c>
      <c r="FK21" s="24">
        <f>FK14*$C$14</f>
        <v>0</v>
      </c>
      <c r="FL21" s="24">
        <f>FL14*$C$14</f>
        <v>0</v>
      </c>
      <c r="FM21" s="24">
        <f>FM14*$C$14</f>
        <v>0</v>
      </c>
      <c r="FN21" s="24">
        <f>FN14*$C$14</f>
        <v>0</v>
      </c>
      <c r="FO21" s="24">
        <f>FO14*$C$14</f>
        <v>0</v>
      </c>
      <c r="FP21" s="24">
        <f>FP14*$C$14</f>
        <v>0</v>
      </c>
      <c r="FQ21" s="24">
        <f>FQ14*$C$14</f>
        <v>0</v>
      </c>
      <c r="FR21" s="24">
        <f>FR14*$C$14</f>
        <v>0</v>
      </c>
      <c r="FS21" s="24">
        <f>FS14*$C$14</f>
        <v>0</v>
      </c>
      <c r="FT21" s="24">
        <f>FT14*$C$14</f>
        <v>0</v>
      </c>
      <c r="FU21" s="24">
        <f>FU14*$C$14</f>
        <v>0</v>
      </c>
      <c r="FV21" s="24">
        <f>FV14*$C$14</f>
        <v>0</v>
      </c>
      <c r="FW21" s="24">
        <f>FW14*$C$14</f>
        <v>0</v>
      </c>
      <c r="FX21" s="24">
        <f>FX14*$C$14</f>
        <v>0</v>
      </c>
      <c r="FY21" s="24">
        <f>FY14*$C$14</f>
        <v>0</v>
      </c>
      <c r="FZ21" s="24">
        <f>FZ14*$C$14</f>
        <v>0</v>
      </c>
      <c r="GA21" s="24">
        <f>GA14*$C$14</f>
        <v>0</v>
      </c>
      <c r="GB21" s="24">
        <f>GB14*$C$14</f>
        <v>0</v>
      </c>
      <c r="GC21" s="24">
        <f>GC14*$C$14</f>
        <v>0</v>
      </c>
      <c r="GD21" s="24">
        <f>GD14*$C$14</f>
        <v>0</v>
      </c>
      <c r="GE21" s="24">
        <f>GE14*$C$14</f>
        <v>0</v>
      </c>
      <c r="GF21" s="24">
        <f>GF14*$C$14</f>
        <v>0</v>
      </c>
      <c r="GG21" s="24">
        <f>GG14*$C$14</f>
        <v>0</v>
      </c>
      <c r="GH21" s="24">
        <f>GH14*$C$14</f>
        <v>0</v>
      </c>
      <c r="GI21" s="24">
        <f>GI14*$C$14</f>
        <v>0</v>
      </c>
      <c r="GJ21" s="24">
        <f>GJ14*$C$14</f>
        <v>0</v>
      </c>
      <c r="GK21" s="24">
        <f>GK14*$C$14</f>
        <v>0</v>
      </c>
      <c r="GL21" s="24">
        <f>GL14*$C$14</f>
        <v>0</v>
      </c>
      <c r="GM21" s="24">
        <f>GM14*$C$14</f>
        <v>0</v>
      </c>
      <c r="GN21" s="24">
        <f>GN14*$C$14</f>
        <v>0</v>
      </c>
      <c r="GO21" s="24">
        <f>GO14*$C$14</f>
        <v>0</v>
      </c>
      <c r="GP21" s="24">
        <f>GP14*$C$14</f>
        <v>0</v>
      </c>
      <c r="GQ21" s="24">
        <f>GQ14*$C$14</f>
        <v>0</v>
      </c>
      <c r="GR21" s="24">
        <f>GR14*$C$14</f>
        <v>0</v>
      </c>
      <c r="GS21" s="24">
        <f>GS14*$C$14</f>
        <v>0</v>
      </c>
      <c r="GT21" s="24">
        <f>GT14*$C$14</f>
        <v>0</v>
      </c>
      <c r="GU21" s="24">
        <f>GU14*$C$14</f>
        <v>0</v>
      </c>
      <c r="GV21" s="24">
        <f>GV14*$C$14</f>
        <v>0</v>
      </c>
      <c r="GW21" s="24">
        <f>GW14*$C$14</f>
        <v>0</v>
      </c>
      <c r="GX21" s="24">
        <f>GX14*$C$14</f>
        <v>0</v>
      </c>
      <c r="GY21" s="24">
        <f>GY14*$C$14</f>
        <v>0</v>
      </c>
      <c r="GZ21" s="24">
        <f>GZ14*$C$14</f>
        <v>0</v>
      </c>
      <c r="HA21" s="24">
        <f>HA14*$C$14</f>
        <v>0</v>
      </c>
      <c r="HB21" s="24">
        <f>HB14*$C$14</f>
        <v>0</v>
      </c>
      <c r="HC21" s="24">
        <f>HC14*$C$14</f>
        <v>0</v>
      </c>
      <c r="HD21" s="24">
        <f>HD14*$C$14</f>
        <v>0</v>
      </c>
      <c r="HE21" s="24">
        <f>HE14*$C$14</f>
        <v>0</v>
      </c>
      <c r="HF21" s="24">
        <f>HF14*$C$14</f>
        <v>0</v>
      </c>
      <c r="HG21" s="24">
        <f>HG14*$C$14</f>
        <v>0</v>
      </c>
      <c r="HH21" s="24">
        <f>HH14*$C$14</f>
        <v>0</v>
      </c>
      <c r="HI21" s="24">
        <f>HI14*$C$14</f>
        <v>0</v>
      </c>
      <c r="HJ21" s="24">
        <f>HJ14*$C$14</f>
        <v>0</v>
      </c>
      <c r="HK21" s="24">
        <f>HK14*$C$14</f>
        <v>0</v>
      </c>
      <c r="HL21" s="24">
        <f>HL14*$C$14</f>
        <v>0</v>
      </c>
      <c r="HM21" s="24">
        <f>HM14*$C$14</f>
        <v>0</v>
      </c>
      <c r="HN21" s="24">
        <f>HN14*$C$14</f>
        <v>0</v>
      </c>
      <c r="HO21" s="24">
        <f>HO14*$C$14</f>
        <v>0</v>
      </c>
      <c r="HP21" s="24">
        <f>HP14*$C$14</f>
        <v>0</v>
      </c>
      <c r="HQ21" s="24">
        <f>HQ14*$C$14</f>
        <v>0</v>
      </c>
      <c r="HR21" s="24">
        <f>HR14*$C$14</f>
        <v>0</v>
      </c>
      <c r="HS21" s="24">
        <f>HS14*$C$14</f>
        <v>0</v>
      </c>
      <c r="HT21" s="24">
        <f>HT14*$C$14</f>
        <v>0</v>
      </c>
      <c r="HU21" s="24">
        <f>HU14*$C$14</f>
        <v>0</v>
      </c>
      <c r="HV21" s="24">
        <f>HV14*$C$14</f>
        <v>0</v>
      </c>
      <c r="HW21" s="24">
        <f>HW14*$C$14</f>
        <v>0</v>
      </c>
      <c r="HX21" s="24">
        <f>HX14*$C$14</f>
        <v>0</v>
      </c>
      <c r="HY21" s="24">
        <f>HY14*$C$14</f>
        <v>0</v>
      </c>
      <c r="HZ21" s="24">
        <f>HZ14*$C$14</f>
        <v>0</v>
      </c>
      <c r="IA21" s="24">
        <f>IA14*$C$14</f>
        <v>0</v>
      </c>
      <c r="IB21" s="24">
        <f>IB14*$C$14</f>
        <v>0</v>
      </c>
      <c r="IC21" s="24">
        <f>IC14*$C$14</f>
        <v>0</v>
      </c>
      <c r="ID21" s="24">
        <f>ID14*$C$14</f>
        <v>0</v>
      </c>
      <c r="IE21" s="24">
        <f>IE14*$C$14</f>
        <v>0</v>
      </c>
      <c r="IF21" s="24">
        <f>IF14*$C$14</f>
        <v>0</v>
      </c>
      <c r="IG21" s="24">
        <f>IG14*$C$14</f>
        <v>0</v>
      </c>
      <c r="IH21" s="24">
        <f>IH14*$C$14</f>
        <v>0</v>
      </c>
      <c r="II21" s="24">
        <f>II14*$C$14</f>
        <v>0</v>
      </c>
      <c r="IJ21" s="24">
        <f>IJ14*$C$14</f>
        <v>0</v>
      </c>
      <c r="IK21" s="24">
        <f>IK14*$C$14</f>
        <v>0</v>
      </c>
      <c r="IL21" s="24">
        <f>IL14*$C$14</f>
        <v>0</v>
      </c>
      <c r="IM21" s="24">
        <f>IM14*$C$14</f>
        <v>0</v>
      </c>
      <c r="IN21" s="24">
        <f>IN14*$C$14</f>
        <v>0</v>
      </c>
    </row>
    <row r="22" spans="2:248" x14ac:dyDescent="0.3">
      <c r="B22" s="19" t="s">
        <v>629</v>
      </c>
      <c r="C22" s="70">
        <f>IF(VLOOKUP(B2,'Country Summary'!C:J,8,FALSE)="","Not initiated",VLOOKUP(B2,'Country Summary'!C:J,8,FALSE))</f>
        <v>43904</v>
      </c>
      <c r="F22" s="22" t="s">
        <v>618</v>
      </c>
      <c r="G22" s="24">
        <f>G16*$C$14</f>
        <v>5.452</v>
      </c>
      <c r="H22" s="24">
        <f>H16*$C$14</f>
        <v>7.7080000000000002</v>
      </c>
      <c r="I22" s="24">
        <f>I16*$C$14</f>
        <v>9.7289999999999992</v>
      </c>
      <c r="J22" s="24">
        <f>J16*$C$14</f>
        <v>12.878</v>
      </c>
      <c r="K22" s="24">
        <f>K16*$C$14</f>
        <v>15.134</v>
      </c>
      <c r="L22" s="24">
        <f>L16*$C$14</f>
        <v>18.048000000000002</v>
      </c>
      <c r="M22" s="24">
        <f>M16*$C$14</f>
        <v>21.573</v>
      </c>
      <c r="N22" s="24">
        <f>N16*$C$14</f>
        <v>27.73</v>
      </c>
      <c r="O22" s="24">
        <f>O16*$C$14</f>
        <v>37.741</v>
      </c>
      <c r="P22" s="24">
        <f>P16*$C$14</f>
        <v>53.814999999999998</v>
      </c>
      <c r="Q22" s="24">
        <f>Q16*$C$14</f>
        <v>63.685000000000002</v>
      </c>
      <c r="R22" s="24">
        <f>R16*$C$14</f>
        <v>72.944000000000003</v>
      </c>
      <c r="S22" s="24">
        <f>S16*$C$14</f>
        <v>86.668000000000006</v>
      </c>
      <c r="T22" s="24">
        <f>T16*$C$14</f>
        <v>115.714</v>
      </c>
      <c r="U22" s="24">
        <f>U16*$C$14</f>
        <v>163.06179999999998</v>
      </c>
      <c r="V22" s="24">
        <f>V16*$C$14</f>
        <v>229.02911999999995</v>
      </c>
      <c r="W22" s="24">
        <f>W16*$C$14</f>
        <v>323.53596799999991</v>
      </c>
      <c r="X22" s="24">
        <f>X16*$C$14</f>
        <v>456.08995519999985</v>
      </c>
      <c r="Y22" s="24">
        <f>Y16*$C$14</f>
        <v>642.22013727999979</v>
      </c>
      <c r="Z22" s="24">
        <f>Z16*$C$14</f>
        <v>901.58039219199975</v>
      </c>
      <c r="AA22" s="24">
        <f>AA16*$C$14</f>
        <v>1263.2935490687996</v>
      </c>
      <c r="AB22" s="24">
        <f>AB16*$C$14</f>
        <v>1767.6333686963192</v>
      </c>
      <c r="AC22" s="24">
        <f>AC16*$C$14</f>
        <v>2486.3427161748468</v>
      </c>
      <c r="AD22" s="24">
        <f>AD16*$C$14</f>
        <v>3497.0948026447854</v>
      </c>
      <c r="AE22" s="24">
        <f>AE16*$C$14</f>
        <v>4905.9343237026987</v>
      </c>
      <c r="AF22" s="24">
        <f>AF16*$C$14</f>
        <v>6873.854053183778</v>
      </c>
      <c r="AG22" s="24">
        <f>AG16*$C$14</f>
        <v>9623.3956744572897</v>
      </c>
      <c r="AH22" s="24">
        <f>AH16*$C$14</f>
        <v>13472.753944240203</v>
      </c>
      <c r="AI22" s="24">
        <f>AI16*$C$14</f>
        <v>18861.855521936282</v>
      </c>
      <c r="AJ22" s="24">
        <f>AJ16*$C$14</f>
        <v>26406.597730710793</v>
      </c>
      <c r="AK22" s="24">
        <f>AK16*$C$14</f>
        <v>36969.23682299511</v>
      </c>
      <c r="AL22" s="24">
        <f>AL16*$C$14</f>
        <v>51756.931552193157</v>
      </c>
      <c r="AM22" s="24">
        <f>AM16*$C$14</f>
        <v>72459.704173070408</v>
      </c>
      <c r="AN22" s="24">
        <f>AN16*$C$14</f>
        <v>101443.58584229859</v>
      </c>
      <c r="AO22" s="24">
        <f>AO16*$C$14</f>
        <v>142021.020179218</v>
      </c>
      <c r="AP22" s="24">
        <f>AP16*$C$14</f>
        <v>198829.42825090521</v>
      </c>
      <c r="AQ22" s="24">
        <f>AQ16*$C$14</f>
        <v>278361.19955126732</v>
      </c>
      <c r="AR22" s="24">
        <f>AR16*$C$14</f>
        <v>389705.67937177414</v>
      </c>
      <c r="AS22" s="24">
        <f>AS16*$C$14</f>
        <v>545587.95112048381</v>
      </c>
      <c r="AT22" s="24">
        <f>AT16*$C$14</f>
        <v>763823.13156867726</v>
      </c>
      <c r="AU22" s="24">
        <f>AU16*$C$14</f>
        <v>1069352.384196148</v>
      </c>
      <c r="AV22" s="24">
        <f>AV16*$C$14</f>
        <v>1249376.2711140893</v>
      </c>
      <c r="AW22" s="24">
        <f>AW16*$C$14</f>
        <v>1238623.9768397249</v>
      </c>
      <c r="AX22" s="24">
        <f>AX16*$C$14</f>
        <v>1223570.7648556149</v>
      </c>
      <c r="AY22" s="24">
        <f>AY16*$C$14</f>
        <v>1202496.2680778608</v>
      </c>
      <c r="AZ22" s="24">
        <f>AZ16*$C$14</f>
        <v>1172991.9725890053</v>
      </c>
      <c r="BA22" s="24">
        <f>BA16*$C$14</f>
        <v>1131685.9589046072</v>
      </c>
      <c r="BB22" s="24">
        <f>BB16*$C$14</f>
        <v>1073857.5397464503</v>
      </c>
      <c r="BC22" s="24">
        <f>BC16*$C$14</f>
        <v>992897.75292503007</v>
      </c>
      <c r="BD22" s="24">
        <f>BD16*$C$14</f>
        <v>879554.05137504207</v>
      </c>
      <c r="BE22" s="24">
        <f>BE16*$C$14</f>
        <v>720872.86920505902</v>
      </c>
      <c r="BF22" s="24">
        <f>BF16*$C$14</f>
        <v>498719.21416708262</v>
      </c>
      <c r="BG22" s="24">
        <f>BG16*$C$14</f>
        <v>187704.09711391581</v>
      </c>
      <c r="BH22" s="24">
        <f>BH16*$C$14</f>
        <v>0</v>
      </c>
      <c r="BI22" s="24">
        <f>BI16*$C$14</f>
        <v>0</v>
      </c>
      <c r="BJ22" s="24">
        <f>BJ16*$C$14</f>
        <v>0</v>
      </c>
      <c r="BK22" s="24">
        <f>BK16*$C$14</f>
        <v>0</v>
      </c>
      <c r="BL22" s="24">
        <f>BL16*$C$14</f>
        <v>0</v>
      </c>
      <c r="BM22" s="24">
        <f>BM16*$C$14</f>
        <v>0</v>
      </c>
      <c r="BN22" s="24">
        <f>BN16*$C$14</f>
        <v>0</v>
      </c>
      <c r="BO22" s="24">
        <f>BO16*$C$14</f>
        <v>0</v>
      </c>
      <c r="BP22" s="24">
        <f>BP16*$C$14</f>
        <v>0</v>
      </c>
      <c r="BQ22" s="24">
        <f>BQ16*$C$14</f>
        <v>0</v>
      </c>
      <c r="BR22" s="24">
        <f>BR16*$C$14</f>
        <v>0</v>
      </c>
      <c r="BS22" s="24">
        <f>BS16*$C$14</f>
        <v>0</v>
      </c>
      <c r="BT22" s="24">
        <f>BT16*$C$14</f>
        <v>0</v>
      </c>
      <c r="BU22" s="24">
        <f>BU16*$C$14</f>
        <v>0</v>
      </c>
      <c r="BV22" s="24">
        <f>BV16*$C$14</f>
        <v>0</v>
      </c>
      <c r="BW22" s="24">
        <f>BW16*$C$14</f>
        <v>0</v>
      </c>
      <c r="BX22" s="24">
        <f>BX16*$C$14</f>
        <v>0</v>
      </c>
      <c r="BY22" s="24">
        <f>BY16*$C$14</f>
        <v>0</v>
      </c>
      <c r="BZ22" s="24">
        <f>BZ16*$C$14</f>
        <v>0</v>
      </c>
      <c r="CA22" s="24">
        <f>CA16*$C$14</f>
        <v>0</v>
      </c>
      <c r="CB22" s="24">
        <f>CB16*$C$14</f>
        <v>0</v>
      </c>
      <c r="CC22" s="24">
        <f>CC16*$C$14</f>
        <v>0</v>
      </c>
      <c r="CD22" s="24">
        <f>CD16*$C$14</f>
        <v>0</v>
      </c>
      <c r="CE22" s="24">
        <f>CE16*$C$14</f>
        <v>0</v>
      </c>
      <c r="CF22" s="24">
        <f>CF16*$C$14</f>
        <v>0</v>
      </c>
      <c r="CG22" s="24">
        <f>CG16*$C$14</f>
        <v>0</v>
      </c>
      <c r="CH22" s="24">
        <f>CH16*$C$14</f>
        <v>0</v>
      </c>
      <c r="CI22" s="24">
        <f>CI16*$C$14</f>
        <v>0</v>
      </c>
      <c r="CJ22" s="24">
        <f>CJ16*$C$14</f>
        <v>0</v>
      </c>
      <c r="CK22" s="24">
        <f>CK16*$C$14</f>
        <v>0</v>
      </c>
      <c r="CL22" s="24">
        <f>CL16*$C$14</f>
        <v>0</v>
      </c>
      <c r="CM22" s="24">
        <f>CM16*$C$14</f>
        <v>0</v>
      </c>
      <c r="CN22" s="24">
        <f>CN16*$C$14</f>
        <v>0</v>
      </c>
      <c r="CO22" s="24">
        <f>CO16*$C$14</f>
        <v>0</v>
      </c>
      <c r="CP22" s="24">
        <f>CP16*$C$14</f>
        <v>0</v>
      </c>
      <c r="CQ22" s="24">
        <f>CQ16*$C$14</f>
        <v>0</v>
      </c>
      <c r="CR22" s="24">
        <f>CR16*$C$14</f>
        <v>0</v>
      </c>
      <c r="CS22" s="24">
        <f>CS16*$C$14</f>
        <v>0</v>
      </c>
      <c r="CT22" s="24">
        <f>CT16*$C$14</f>
        <v>0</v>
      </c>
      <c r="CU22" s="24">
        <f>CU16*$C$14</f>
        <v>0</v>
      </c>
      <c r="CV22" s="24">
        <f>CV16*$C$14</f>
        <v>0</v>
      </c>
      <c r="CW22" s="24">
        <f>CW16*$C$14</f>
        <v>0</v>
      </c>
      <c r="CX22" s="24">
        <f>CX16*$C$14</f>
        <v>0</v>
      </c>
      <c r="CY22" s="24">
        <f>CY16*$C$14</f>
        <v>0</v>
      </c>
      <c r="CZ22" s="24">
        <f>CZ16*$C$14</f>
        <v>0</v>
      </c>
      <c r="DA22" s="24">
        <f>DA16*$C$14</f>
        <v>0</v>
      </c>
      <c r="DB22" s="24">
        <f>DB16*$C$14</f>
        <v>0</v>
      </c>
      <c r="DC22" s="24">
        <f>DC16*$C$14</f>
        <v>0</v>
      </c>
      <c r="DD22" s="24">
        <f>DD16*$C$14</f>
        <v>0</v>
      </c>
      <c r="DE22" s="24">
        <f>DE16*$C$14</f>
        <v>0</v>
      </c>
      <c r="DF22" s="24">
        <f>DF16*$C$14</f>
        <v>0</v>
      </c>
      <c r="DG22" s="24">
        <f>DG16*$C$14</f>
        <v>0</v>
      </c>
      <c r="DH22" s="24">
        <f>DH16*$C$14</f>
        <v>0</v>
      </c>
      <c r="DI22" s="24">
        <f>DI16*$C$14</f>
        <v>0</v>
      </c>
      <c r="DJ22" s="24">
        <f>DJ16*$C$14</f>
        <v>0</v>
      </c>
      <c r="DK22" s="24">
        <f>DK16*$C$14</f>
        <v>0</v>
      </c>
      <c r="DL22" s="24">
        <f>DL16*$C$14</f>
        <v>0</v>
      </c>
      <c r="DM22" s="24">
        <f>DM16*$C$14</f>
        <v>0</v>
      </c>
      <c r="DN22" s="24">
        <f>DN16*$C$14</f>
        <v>0</v>
      </c>
      <c r="DO22" s="24">
        <f>DO16*$C$14</f>
        <v>0</v>
      </c>
      <c r="DP22" s="24">
        <f>DP16*$C$14</f>
        <v>0</v>
      </c>
      <c r="DQ22" s="24">
        <f>DQ16*$C$14</f>
        <v>0</v>
      </c>
      <c r="DR22" s="24">
        <f>DR16*$C$14</f>
        <v>0</v>
      </c>
      <c r="DS22" s="24">
        <f>DS16*$C$14</f>
        <v>0</v>
      </c>
      <c r="DT22" s="24">
        <f>DT16*$C$14</f>
        <v>0</v>
      </c>
      <c r="DU22" s="24">
        <f>DU16*$C$14</f>
        <v>0</v>
      </c>
      <c r="DV22" s="24">
        <f>DV16*$C$14</f>
        <v>0</v>
      </c>
      <c r="DW22" s="24">
        <f>DW16*$C$14</f>
        <v>0</v>
      </c>
      <c r="DX22" s="24">
        <f>DX16*$C$14</f>
        <v>0</v>
      </c>
      <c r="DY22" s="24">
        <f>DY16*$C$14</f>
        <v>0</v>
      </c>
      <c r="DZ22" s="24">
        <f>DZ16*$C$14</f>
        <v>0</v>
      </c>
      <c r="EA22" s="24">
        <f>EA16*$C$14</f>
        <v>0</v>
      </c>
      <c r="EB22" s="24">
        <f>EB16*$C$14</f>
        <v>0</v>
      </c>
      <c r="EC22" s="24">
        <f>EC16*$C$14</f>
        <v>0</v>
      </c>
      <c r="ED22" s="24">
        <f>ED16*$C$14</f>
        <v>0</v>
      </c>
      <c r="EE22" s="24">
        <f>EE16*$C$14</f>
        <v>0</v>
      </c>
      <c r="EF22" s="24">
        <f>EF16*$C$14</f>
        <v>0</v>
      </c>
      <c r="EG22" s="24">
        <f>EG16*$C$14</f>
        <v>0</v>
      </c>
      <c r="EH22" s="24">
        <f>EH16*$C$14</f>
        <v>0</v>
      </c>
      <c r="EI22" s="24">
        <f>EI16*$C$14</f>
        <v>0</v>
      </c>
      <c r="EJ22" s="24">
        <f>EJ16*$C$14</f>
        <v>0</v>
      </c>
      <c r="EK22" s="24">
        <f>EK16*$C$14</f>
        <v>0</v>
      </c>
      <c r="EL22" s="24">
        <f>EL16*$C$14</f>
        <v>0</v>
      </c>
      <c r="EM22" s="24">
        <f>EM16*$C$14</f>
        <v>0</v>
      </c>
      <c r="EN22" s="24">
        <f>EN16*$C$14</f>
        <v>0</v>
      </c>
      <c r="EO22" s="24">
        <f>EO16*$C$14</f>
        <v>0</v>
      </c>
      <c r="EP22" s="24">
        <f>EP16*$C$14</f>
        <v>0</v>
      </c>
      <c r="EQ22" s="24">
        <f>EQ16*$C$14</f>
        <v>0</v>
      </c>
      <c r="ER22" s="24">
        <f>ER16*$C$14</f>
        <v>0</v>
      </c>
      <c r="ES22" s="24">
        <f>ES16*$C$14</f>
        <v>0</v>
      </c>
      <c r="ET22" s="24">
        <f>ET16*$C$14</f>
        <v>0</v>
      </c>
      <c r="EU22" s="24">
        <f>EU16*$C$14</f>
        <v>0</v>
      </c>
      <c r="EV22" s="24">
        <f>EV16*$C$14</f>
        <v>0</v>
      </c>
      <c r="EW22" s="24">
        <f>EW16*$C$14</f>
        <v>0</v>
      </c>
      <c r="EX22" s="24">
        <f>EX16*$C$14</f>
        <v>0</v>
      </c>
      <c r="EY22" s="24">
        <f>EY16*$C$14</f>
        <v>0</v>
      </c>
      <c r="EZ22" s="24">
        <f>EZ16*$C$14</f>
        <v>0</v>
      </c>
      <c r="FA22" s="24">
        <f>FA16*$C$14</f>
        <v>0</v>
      </c>
      <c r="FB22" s="24">
        <f>FB16*$C$14</f>
        <v>0</v>
      </c>
      <c r="FC22" s="24">
        <f>FC16*$C$14</f>
        <v>0</v>
      </c>
      <c r="FD22" s="24">
        <f>FD16*$C$14</f>
        <v>0</v>
      </c>
      <c r="FE22" s="24">
        <f>FE16*$C$14</f>
        <v>0</v>
      </c>
      <c r="FF22" s="24">
        <f>FF16*$C$14</f>
        <v>0</v>
      </c>
      <c r="FG22" s="24">
        <f>FG16*$C$14</f>
        <v>0</v>
      </c>
      <c r="FH22" s="24">
        <f>FH16*$C$14</f>
        <v>0</v>
      </c>
      <c r="FI22" s="24">
        <f>FI16*$C$14</f>
        <v>0</v>
      </c>
      <c r="FJ22" s="24">
        <f>FJ16*$C$14</f>
        <v>0</v>
      </c>
      <c r="FK22" s="24">
        <f>FK16*$C$14</f>
        <v>0</v>
      </c>
      <c r="FL22" s="24">
        <f>FL16*$C$14</f>
        <v>0</v>
      </c>
      <c r="FM22" s="24">
        <f>FM16*$C$14</f>
        <v>0</v>
      </c>
      <c r="FN22" s="24">
        <f>FN16*$C$14</f>
        <v>0</v>
      </c>
      <c r="FO22" s="24">
        <f>FO16*$C$14</f>
        <v>0</v>
      </c>
      <c r="FP22" s="24">
        <f>FP16*$C$14</f>
        <v>0</v>
      </c>
      <c r="FQ22" s="24">
        <f>FQ16*$C$14</f>
        <v>0</v>
      </c>
      <c r="FR22" s="24">
        <f>FR16*$C$14</f>
        <v>0</v>
      </c>
      <c r="FS22" s="24">
        <f>FS16*$C$14</f>
        <v>0</v>
      </c>
      <c r="FT22" s="24">
        <f>FT16*$C$14</f>
        <v>0</v>
      </c>
      <c r="FU22" s="24">
        <f>FU16*$C$14</f>
        <v>0</v>
      </c>
      <c r="FV22" s="24">
        <f>FV16*$C$14</f>
        <v>0</v>
      </c>
      <c r="FW22" s="24">
        <f>FW16*$C$14</f>
        <v>0</v>
      </c>
      <c r="FX22" s="24">
        <f>FX16*$C$14</f>
        <v>0</v>
      </c>
      <c r="FY22" s="24">
        <f>FY16*$C$14</f>
        <v>0</v>
      </c>
      <c r="FZ22" s="24">
        <f>FZ16*$C$14</f>
        <v>0</v>
      </c>
      <c r="GA22" s="24">
        <f>GA16*$C$14</f>
        <v>0</v>
      </c>
      <c r="GB22" s="24">
        <f>GB16*$C$14</f>
        <v>0</v>
      </c>
      <c r="GC22" s="24">
        <f>GC16*$C$14</f>
        <v>0</v>
      </c>
      <c r="GD22" s="24">
        <f>GD16*$C$14</f>
        <v>0</v>
      </c>
      <c r="GE22" s="24">
        <f>GE16*$C$14</f>
        <v>0</v>
      </c>
      <c r="GF22" s="24">
        <f>GF16*$C$14</f>
        <v>0</v>
      </c>
      <c r="GG22" s="24">
        <f>GG16*$C$14</f>
        <v>0</v>
      </c>
      <c r="GH22" s="24">
        <f>GH16*$C$14</f>
        <v>0</v>
      </c>
      <c r="GI22" s="24">
        <f>GI16*$C$14</f>
        <v>0</v>
      </c>
      <c r="GJ22" s="24">
        <f>GJ16*$C$14</f>
        <v>0</v>
      </c>
      <c r="GK22" s="24">
        <f>GK16*$C$14</f>
        <v>0</v>
      </c>
      <c r="GL22" s="24">
        <f>GL16*$C$14</f>
        <v>0</v>
      </c>
      <c r="GM22" s="24">
        <f>GM16*$C$14</f>
        <v>0</v>
      </c>
      <c r="GN22" s="24">
        <f>GN16*$C$14</f>
        <v>0</v>
      </c>
      <c r="GO22" s="24">
        <f>GO16*$C$14</f>
        <v>0</v>
      </c>
      <c r="GP22" s="24">
        <f>GP16*$C$14</f>
        <v>0</v>
      </c>
      <c r="GQ22" s="24">
        <f>GQ16*$C$14</f>
        <v>0</v>
      </c>
      <c r="GR22" s="24">
        <f>GR16*$C$14</f>
        <v>0</v>
      </c>
      <c r="GS22" s="24">
        <f>GS16*$C$14</f>
        <v>0</v>
      </c>
      <c r="GT22" s="24">
        <f>GT16*$C$14</f>
        <v>0</v>
      </c>
      <c r="GU22" s="24">
        <f>GU16*$C$14</f>
        <v>0</v>
      </c>
      <c r="GV22" s="24">
        <f>GV16*$C$14</f>
        <v>0</v>
      </c>
      <c r="GW22" s="24">
        <f>GW16*$C$14</f>
        <v>0</v>
      </c>
      <c r="GX22" s="24">
        <f>GX16*$C$14</f>
        <v>0</v>
      </c>
      <c r="GY22" s="24">
        <f>GY16*$C$14</f>
        <v>0</v>
      </c>
      <c r="GZ22" s="24">
        <f>GZ16*$C$14</f>
        <v>0</v>
      </c>
      <c r="HA22" s="24">
        <f>HA16*$C$14</f>
        <v>0</v>
      </c>
      <c r="HB22" s="24">
        <f>HB16*$C$14</f>
        <v>0</v>
      </c>
      <c r="HC22" s="24">
        <f>HC16*$C$14</f>
        <v>0</v>
      </c>
      <c r="HD22" s="24">
        <f>HD16*$C$14</f>
        <v>0</v>
      </c>
      <c r="HE22" s="24">
        <f>HE16*$C$14</f>
        <v>0</v>
      </c>
      <c r="HF22" s="24">
        <f>HF16*$C$14</f>
        <v>0</v>
      </c>
      <c r="HG22" s="24">
        <f>HG16*$C$14</f>
        <v>0</v>
      </c>
      <c r="HH22" s="24">
        <f>HH16*$C$14</f>
        <v>0</v>
      </c>
      <c r="HI22" s="24">
        <f>HI16*$C$14</f>
        <v>0</v>
      </c>
      <c r="HJ22" s="24">
        <f>HJ16*$C$14</f>
        <v>0</v>
      </c>
      <c r="HK22" s="24">
        <f>HK16*$C$14</f>
        <v>0</v>
      </c>
      <c r="HL22" s="24">
        <f>HL16*$C$14</f>
        <v>0</v>
      </c>
      <c r="HM22" s="24">
        <f>HM16*$C$14</f>
        <v>0</v>
      </c>
      <c r="HN22" s="24">
        <f>HN16*$C$14</f>
        <v>0</v>
      </c>
      <c r="HO22" s="24">
        <f>HO16*$C$14</f>
        <v>0</v>
      </c>
      <c r="HP22" s="24">
        <f>HP16*$C$14</f>
        <v>0</v>
      </c>
      <c r="HQ22" s="24">
        <f>HQ16*$C$14</f>
        <v>0</v>
      </c>
      <c r="HR22" s="24">
        <f>HR16*$C$14</f>
        <v>0</v>
      </c>
      <c r="HS22" s="24">
        <f>HS16*$C$14</f>
        <v>0</v>
      </c>
      <c r="HT22" s="24">
        <f>HT16*$C$14</f>
        <v>0</v>
      </c>
      <c r="HU22" s="24">
        <f>HU16*$C$14</f>
        <v>0</v>
      </c>
      <c r="HV22" s="24">
        <f>HV16*$C$14</f>
        <v>0</v>
      </c>
      <c r="HW22" s="24">
        <f>HW16*$C$14</f>
        <v>0</v>
      </c>
      <c r="HX22" s="24">
        <f>HX16*$C$14</f>
        <v>0</v>
      </c>
      <c r="HY22" s="24">
        <f>HY16*$C$14</f>
        <v>0</v>
      </c>
      <c r="HZ22" s="24">
        <f>HZ16*$C$14</f>
        <v>0</v>
      </c>
      <c r="IA22" s="24">
        <f>IA16*$C$14</f>
        <v>0</v>
      </c>
      <c r="IB22" s="24">
        <f>IB16*$C$14</f>
        <v>0</v>
      </c>
      <c r="IC22" s="24">
        <f>IC16*$C$14</f>
        <v>0</v>
      </c>
      <c r="ID22" s="24">
        <f>ID16*$C$14</f>
        <v>0</v>
      </c>
      <c r="IE22" s="24">
        <f>IE16*$C$14</f>
        <v>0</v>
      </c>
      <c r="IF22" s="24">
        <f>IF16*$C$14</f>
        <v>0</v>
      </c>
      <c r="IG22" s="24">
        <f>IG16*$C$14</f>
        <v>0</v>
      </c>
      <c r="IH22" s="24">
        <f>IH16*$C$14</f>
        <v>0</v>
      </c>
      <c r="II22" s="24">
        <f>II16*$C$14</f>
        <v>0</v>
      </c>
      <c r="IJ22" s="24">
        <f>IJ16*$C$14</f>
        <v>0</v>
      </c>
      <c r="IK22" s="24">
        <f>IK16*$C$14</f>
        <v>0</v>
      </c>
      <c r="IL22" s="24">
        <f>IL16*$C$14</f>
        <v>0</v>
      </c>
      <c r="IM22" s="24">
        <f>IM16*$C$14</f>
        <v>0</v>
      </c>
      <c r="IN22" s="24">
        <f>IN16*$C$14</f>
        <v>0</v>
      </c>
    </row>
    <row r="23" spans="2:248" x14ac:dyDescent="0.3">
      <c r="B23" s="19" t="s">
        <v>628</v>
      </c>
      <c r="C23" s="70">
        <f>IF(VLOOKUP(B2,'Country Summary'!C:I,7,FALSE)="","Not initiated",VLOOKUP(B2,'Country Summary'!C:I,7,FALSE))</f>
        <v>43910</v>
      </c>
      <c r="F23" s="22" t="s">
        <v>512</v>
      </c>
      <c r="G23" s="26" t="str">
        <f ca="1">IF(G3=TODAY(),1,"")</f>
        <v/>
      </c>
      <c r="H23" s="26" t="str">
        <f t="shared" ref="H23:BS23" ca="1" si="945">IF(H3=TODAY(),1,"")</f>
        <v/>
      </c>
      <c r="I23" s="26" t="str">
        <f t="shared" ca="1" si="945"/>
        <v/>
      </c>
      <c r="J23" s="26" t="str">
        <f t="shared" ca="1" si="945"/>
        <v/>
      </c>
      <c r="K23" s="26" t="str">
        <f t="shared" ca="1" si="945"/>
        <v/>
      </c>
      <c r="L23" s="26" t="str">
        <f t="shared" ca="1" si="945"/>
        <v/>
      </c>
      <c r="M23" s="26" t="str">
        <f t="shared" ca="1" si="945"/>
        <v/>
      </c>
      <c r="N23" s="26" t="str">
        <f t="shared" ca="1" si="945"/>
        <v/>
      </c>
      <c r="O23" s="26" t="str">
        <f t="shared" ca="1" si="945"/>
        <v/>
      </c>
      <c r="P23" s="26" t="str">
        <f t="shared" ca="1" si="945"/>
        <v/>
      </c>
      <c r="Q23" s="26" t="str">
        <f t="shared" ca="1" si="945"/>
        <v/>
      </c>
      <c r="R23" s="26" t="str">
        <f t="shared" ca="1" si="945"/>
        <v/>
      </c>
      <c r="S23" s="26" t="str">
        <f t="shared" ca="1" si="945"/>
        <v/>
      </c>
      <c r="T23" s="26">
        <f t="shared" ca="1" si="945"/>
        <v>1</v>
      </c>
      <c r="U23" s="26" t="str">
        <f t="shared" ca="1" si="945"/>
        <v/>
      </c>
      <c r="V23" s="26" t="str">
        <f t="shared" ca="1" si="945"/>
        <v/>
      </c>
      <c r="W23" s="26" t="str">
        <f t="shared" ca="1" si="945"/>
        <v/>
      </c>
      <c r="X23" s="26" t="str">
        <f t="shared" ca="1" si="945"/>
        <v/>
      </c>
      <c r="Y23" s="26" t="str">
        <f t="shared" ca="1" si="945"/>
        <v/>
      </c>
      <c r="Z23" s="26" t="str">
        <f t="shared" ca="1" si="945"/>
        <v/>
      </c>
      <c r="AA23" s="26" t="str">
        <f t="shared" ca="1" si="945"/>
        <v/>
      </c>
      <c r="AB23" s="26" t="str">
        <f t="shared" ca="1" si="945"/>
        <v/>
      </c>
      <c r="AC23" s="26" t="str">
        <f t="shared" ca="1" si="945"/>
        <v/>
      </c>
      <c r="AD23" s="26" t="str">
        <f t="shared" ca="1" si="945"/>
        <v/>
      </c>
      <c r="AE23" s="26" t="str">
        <f t="shared" ca="1" si="945"/>
        <v/>
      </c>
      <c r="AF23" s="26" t="str">
        <f t="shared" ca="1" si="945"/>
        <v/>
      </c>
      <c r="AG23" s="26" t="str">
        <f t="shared" ca="1" si="945"/>
        <v/>
      </c>
      <c r="AH23" s="26" t="str">
        <f t="shared" ca="1" si="945"/>
        <v/>
      </c>
      <c r="AI23" s="26" t="str">
        <f t="shared" ca="1" si="945"/>
        <v/>
      </c>
      <c r="AJ23" s="26" t="str">
        <f t="shared" ca="1" si="945"/>
        <v/>
      </c>
      <c r="AK23" s="26" t="str">
        <f t="shared" ca="1" si="945"/>
        <v/>
      </c>
      <c r="AL23" s="26" t="str">
        <f t="shared" ca="1" si="945"/>
        <v/>
      </c>
      <c r="AM23" s="26" t="str">
        <f t="shared" ca="1" si="945"/>
        <v/>
      </c>
      <c r="AN23" s="26" t="str">
        <f t="shared" ca="1" si="945"/>
        <v/>
      </c>
      <c r="AO23" s="26" t="str">
        <f t="shared" ca="1" si="945"/>
        <v/>
      </c>
      <c r="AP23" s="26" t="str">
        <f t="shared" ca="1" si="945"/>
        <v/>
      </c>
      <c r="AQ23" s="26" t="str">
        <f t="shared" ca="1" si="945"/>
        <v/>
      </c>
      <c r="AR23" s="26" t="str">
        <f t="shared" ca="1" si="945"/>
        <v/>
      </c>
      <c r="AS23" s="26" t="str">
        <f t="shared" ca="1" si="945"/>
        <v/>
      </c>
      <c r="AT23" s="26" t="str">
        <f t="shared" ca="1" si="945"/>
        <v/>
      </c>
      <c r="AU23" s="26" t="str">
        <f t="shared" ca="1" si="945"/>
        <v/>
      </c>
      <c r="AV23" s="26" t="str">
        <f t="shared" ca="1" si="945"/>
        <v/>
      </c>
      <c r="AW23" s="26" t="str">
        <f t="shared" ca="1" si="945"/>
        <v/>
      </c>
      <c r="AX23" s="26" t="str">
        <f t="shared" ca="1" si="945"/>
        <v/>
      </c>
      <c r="AY23" s="26" t="str">
        <f t="shared" ca="1" si="945"/>
        <v/>
      </c>
      <c r="AZ23" s="26" t="str">
        <f t="shared" ca="1" si="945"/>
        <v/>
      </c>
      <c r="BA23" s="26" t="str">
        <f t="shared" ca="1" si="945"/>
        <v/>
      </c>
      <c r="BB23" s="26" t="str">
        <f t="shared" ca="1" si="945"/>
        <v/>
      </c>
      <c r="BC23" s="26" t="str">
        <f t="shared" ca="1" si="945"/>
        <v/>
      </c>
      <c r="BD23" s="26" t="str">
        <f t="shared" ca="1" si="945"/>
        <v/>
      </c>
      <c r="BE23" s="26" t="str">
        <f t="shared" ca="1" si="945"/>
        <v/>
      </c>
      <c r="BF23" s="26" t="str">
        <f t="shared" ca="1" si="945"/>
        <v/>
      </c>
      <c r="BG23" s="26" t="str">
        <f t="shared" ca="1" si="945"/>
        <v/>
      </c>
      <c r="BH23" s="26" t="str">
        <f t="shared" ca="1" si="945"/>
        <v/>
      </c>
      <c r="BI23" s="26" t="str">
        <f t="shared" ca="1" si="945"/>
        <v/>
      </c>
      <c r="BJ23" s="26" t="str">
        <f t="shared" ca="1" si="945"/>
        <v/>
      </c>
      <c r="BK23" s="26" t="str">
        <f t="shared" ca="1" si="945"/>
        <v/>
      </c>
      <c r="BL23" s="26" t="str">
        <f t="shared" ca="1" si="945"/>
        <v/>
      </c>
      <c r="BM23" s="26" t="str">
        <f t="shared" ca="1" si="945"/>
        <v/>
      </c>
      <c r="BN23" s="26" t="str">
        <f t="shared" ca="1" si="945"/>
        <v/>
      </c>
      <c r="BO23" s="26" t="str">
        <f t="shared" ca="1" si="945"/>
        <v/>
      </c>
      <c r="BP23" s="26" t="str">
        <f t="shared" ca="1" si="945"/>
        <v/>
      </c>
      <c r="BQ23" s="26" t="str">
        <f t="shared" ca="1" si="945"/>
        <v/>
      </c>
      <c r="BR23" s="26" t="str">
        <f t="shared" ca="1" si="945"/>
        <v/>
      </c>
      <c r="BS23" s="26" t="str">
        <f t="shared" ca="1" si="945"/>
        <v/>
      </c>
      <c r="BT23" s="26" t="str">
        <f t="shared" ref="BT23:EE23" ca="1" si="946">IF(BT3=TODAY(),1,"")</f>
        <v/>
      </c>
      <c r="BU23" s="26" t="str">
        <f t="shared" ca="1" si="946"/>
        <v/>
      </c>
      <c r="BV23" s="26" t="str">
        <f t="shared" ca="1" si="946"/>
        <v/>
      </c>
      <c r="BW23" s="26" t="str">
        <f t="shared" ca="1" si="946"/>
        <v/>
      </c>
      <c r="BX23" s="26" t="str">
        <f t="shared" ca="1" si="946"/>
        <v/>
      </c>
      <c r="BY23" s="26" t="str">
        <f t="shared" ca="1" si="946"/>
        <v/>
      </c>
      <c r="BZ23" s="26" t="str">
        <f t="shared" ca="1" si="946"/>
        <v/>
      </c>
      <c r="CA23" s="26" t="str">
        <f t="shared" ca="1" si="946"/>
        <v/>
      </c>
      <c r="CB23" s="26" t="str">
        <f t="shared" ca="1" si="946"/>
        <v/>
      </c>
      <c r="CC23" s="26" t="str">
        <f t="shared" ca="1" si="946"/>
        <v/>
      </c>
      <c r="CD23" s="26" t="str">
        <f t="shared" ca="1" si="946"/>
        <v/>
      </c>
      <c r="CE23" s="26" t="str">
        <f t="shared" ca="1" si="946"/>
        <v/>
      </c>
      <c r="CF23" s="26" t="str">
        <f t="shared" ca="1" si="946"/>
        <v/>
      </c>
      <c r="CG23" s="26" t="str">
        <f t="shared" ca="1" si="946"/>
        <v/>
      </c>
      <c r="CH23" s="26" t="str">
        <f t="shared" ca="1" si="946"/>
        <v/>
      </c>
      <c r="CI23" s="26" t="str">
        <f t="shared" ca="1" si="946"/>
        <v/>
      </c>
      <c r="CJ23" s="26" t="str">
        <f t="shared" ca="1" si="946"/>
        <v/>
      </c>
      <c r="CK23" s="26" t="str">
        <f t="shared" ca="1" si="946"/>
        <v/>
      </c>
      <c r="CL23" s="26" t="str">
        <f t="shared" ca="1" si="946"/>
        <v/>
      </c>
      <c r="CM23" s="26" t="str">
        <f t="shared" ca="1" si="946"/>
        <v/>
      </c>
      <c r="CN23" s="26" t="str">
        <f t="shared" ca="1" si="946"/>
        <v/>
      </c>
      <c r="CO23" s="26" t="str">
        <f t="shared" ca="1" si="946"/>
        <v/>
      </c>
      <c r="CP23" s="26" t="str">
        <f t="shared" ca="1" si="946"/>
        <v/>
      </c>
      <c r="CQ23" s="26" t="str">
        <f t="shared" ca="1" si="946"/>
        <v/>
      </c>
      <c r="CR23" s="26" t="str">
        <f t="shared" ca="1" si="946"/>
        <v/>
      </c>
      <c r="CS23" s="26" t="str">
        <f t="shared" ca="1" si="946"/>
        <v/>
      </c>
      <c r="CT23" s="26" t="str">
        <f t="shared" ca="1" si="946"/>
        <v/>
      </c>
      <c r="CU23" s="26" t="str">
        <f t="shared" ca="1" si="946"/>
        <v/>
      </c>
      <c r="CV23" s="26" t="str">
        <f t="shared" ca="1" si="946"/>
        <v/>
      </c>
      <c r="CW23" s="26" t="str">
        <f t="shared" ca="1" si="946"/>
        <v/>
      </c>
      <c r="CX23" s="26" t="str">
        <f t="shared" ca="1" si="946"/>
        <v/>
      </c>
      <c r="CY23" s="26" t="str">
        <f t="shared" ca="1" si="946"/>
        <v/>
      </c>
      <c r="CZ23" s="26" t="str">
        <f t="shared" ca="1" si="946"/>
        <v/>
      </c>
      <c r="DA23" s="26" t="str">
        <f t="shared" ca="1" si="946"/>
        <v/>
      </c>
      <c r="DB23" s="26" t="str">
        <f t="shared" ca="1" si="946"/>
        <v/>
      </c>
      <c r="DC23" s="26" t="str">
        <f t="shared" ca="1" si="946"/>
        <v/>
      </c>
      <c r="DD23" s="26" t="str">
        <f t="shared" ca="1" si="946"/>
        <v/>
      </c>
      <c r="DE23" s="26" t="str">
        <f t="shared" ca="1" si="946"/>
        <v/>
      </c>
      <c r="DF23" s="26" t="str">
        <f t="shared" ca="1" si="946"/>
        <v/>
      </c>
      <c r="DG23" s="26" t="str">
        <f t="shared" ca="1" si="946"/>
        <v/>
      </c>
      <c r="DH23" s="26" t="str">
        <f t="shared" ca="1" si="946"/>
        <v/>
      </c>
      <c r="DI23" s="26" t="str">
        <f t="shared" ca="1" si="946"/>
        <v/>
      </c>
      <c r="DJ23" s="26" t="str">
        <f t="shared" ca="1" si="946"/>
        <v/>
      </c>
      <c r="DK23" s="26" t="str">
        <f t="shared" ca="1" si="946"/>
        <v/>
      </c>
      <c r="DL23" s="26" t="str">
        <f t="shared" ca="1" si="946"/>
        <v/>
      </c>
      <c r="DM23" s="26" t="str">
        <f t="shared" ca="1" si="946"/>
        <v/>
      </c>
      <c r="DN23" s="26" t="str">
        <f t="shared" ca="1" si="946"/>
        <v/>
      </c>
      <c r="DO23" s="26" t="str">
        <f t="shared" ca="1" si="946"/>
        <v/>
      </c>
      <c r="DP23" s="26" t="str">
        <f t="shared" ca="1" si="946"/>
        <v/>
      </c>
      <c r="DQ23" s="26" t="str">
        <f t="shared" ca="1" si="946"/>
        <v/>
      </c>
      <c r="DR23" s="26" t="str">
        <f t="shared" ca="1" si="946"/>
        <v/>
      </c>
      <c r="DS23" s="26" t="str">
        <f t="shared" ca="1" si="946"/>
        <v/>
      </c>
      <c r="DT23" s="26" t="str">
        <f t="shared" ca="1" si="946"/>
        <v/>
      </c>
      <c r="DU23" s="26" t="str">
        <f t="shared" ca="1" si="946"/>
        <v/>
      </c>
      <c r="DV23" s="26" t="str">
        <f t="shared" ca="1" si="946"/>
        <v/>
      </c>
      <c r="DW23" s="26" t="str">
        <f t="shared" ca="1" si="946"/>
        <v/>
      </c>
      <c r="DX23" s="26" t="str">
        <f t="shared" ca="1" si="946"/>
        <v/>
      </c>
      <c r="DY23" s="26" t="str">
        <f t="shared" ca="1" si="946"/>
        <v/>
      </c>
      <c r="DZ23" s="26" t="str">
        <f t="shared" ca="1" si="946"/>
        <v/>
      </c>
      <c r="EA23" s="26" t="str">
        <f t="shared" ca="1" si="946"/>
        <v/>
      </c>
      <c r="EB23" s="26" t="str">
        <f t="shared" ca="1" si="946"/>
        <v/>
      </c>
      <c r="EC23" s="26" t="str">
        <f t="shared" ca="1" si="946"/>
        <v/>
      </c>
      <c r="ED23" s="26" t="str">
        <f t="shared" ca="1" si="946"/>
        <v/>
      </c>
      <c r="EE23" s="26" t="str">
        <f t="shared" ca="1" si="946"/>
        <v/>
      </c>
      <c r="EF23" s="26" t="str">
        <f t="shared" ref="EF23:GQ23" ca="1" si="947">IF(EF3=TODAY(),1,"")</f>
        <v/>
      </c>
      <c r="EG23" s="26" t="str">
        <f t="shared" ca="1" si="947"/>
        <v/>
      </c>
      <c r="EH23" s="26" t="str">
        <f t="shared" ca="1" si="947"/>
        <v/>
      </c>
      <c r="EI23" s="26" t="str">
        <f t="shared" ca="1" si="947"/>
        <v/>
      </c>
      <c r="EJ23" s="26" t="str">
        <f t="shared" ca="1" si="947"/>
        <v/>
      </c>
      <c r="EK23" s="26" t="str">
        <f t="shared" ca="1" si="947"/>
        <v/>
      </c>
      <c r="EL23" s="26" t="str">
        <f t="shared" ca="1" si="947"/>
        <v/>
      </c>
      <c r="EM23" s="26" t="str">
        <f t="shared" ca="1" si="947"/>
        <v/>
      </c>
      <c r="EN23" s="26" t="str">
        <f t="shared" ca="1" si="947"/>
        <v/>
      </c>
      <c r="EO23" s="26" t="str">
        <f t="shared" ca="1" si="947"/>
        <v/>
      </c>
      <c r="EP23" s="26" t="str">
        <f t="shared" ca="1" si="947"/>
        <v/>
      </c>
      <c r="EQ23" s="26" t="str">
        <f t="shared" ca="1" si="947"/>
        <v/>
      </c>
      <c r="ER23" s="26" t="str">
        <f t="shared" ca="1" si="947"/>
        <v/>
      </c>
      <c r="ES23" s="26" t="str">
        <f t="shared" ca="1" si="947"/>
        <v/>
      </c>
      <c r="ET23" s="26" t="str">
        <f t="shared" ca="1" si="947"/>
        <v/>
      </c>
      <c r="EU23" s="26" t="str">
        <f t="shared" ca="1" si="947"/>
        <v/>
      </c>
      <c r="EV23" s="26" t="str">
        <f t="shared" ca="1" si="947"/>
        <v/>
      </c>
      <c r="EW23" s="26" t="str">
        <f t="shared" ca="1" si="947"/>
        <v/>
      </c>
      <c r="EX23" s="26" t="str">
        <f t="shared" ca="1" si="947"/>
        <v/>
      </c>
      <c r="EY23" s="26" t="str">
        <f t="shared" ca="1" si="947"/>
        <v/>
      </c>
      <c r="EZ23" s="26" t="str">
        <f t="shared" ca="1" si="947"/>
        <v/>
      </c>
      <c r="FA23" s="26" t="str">
        <f t="shared" ca="1" si="947"/>
        <v/>
      </c>
      <c r="FB23" s="26" t="str">
        <f t="shared" ca="1" si="947"/>
        <v/>
      </c>
      <c r="FC23" s="26" t="str">
        <f t="shared" ca="1" si="947"/>
        <v/>
      </c>
      <c r="FD23" s="26" t="str">
        <f t="shared" ca="1" si="947"/>
        <v/>
      </c>
      <c r="FE23" s="26" t="str">
        <f t="shared" ca="1" si="947"/>
        <v/>
      </c>
      <c r="FF23" s="26" t="str">
        <f t="shared" ca="1" si="947"/>
        <v/>
      </c>
      <c r="FG23" s="26" t="str">
        <f t="shared" ca="1" si="947"/>
        <v/>
      </c>
      <c r="FH23" s="26" t="str">
        <f t="shared" ca="1" si="947"/>
        <v/>
      </c>
      <c r="FI23" s="26" t="str">
        <f t="shared" ca="1" si="947"/>
        <v/>
      </c>
      <c r="FJ23" s="26" t="str">
        <f t="shared" ca="1" si="947"/>
        <v/>
      </c>
      <c r="FK23" s="26" t="str">
        <f t="shared" ca="1" si="947"/>
        <v/>
      </c>
      <c r="FL23" s="26" t="str">
        <f t="shared" ca="1" si="947"/>
        <v/>
      </c>
      <c r="FM23" s="26" t="str">
        <f t="shared" ca="1" si="947"/>
        <v/>
      </c>
      <c r="FN23" s="26" t="str">
        <f t="shared" ca="1" si="947"/>
        <v/>
      </c>
      <c r="FO23" s="26" t="str">
        <f t="shared" ca="1" si="947"/>
        <v/>
      </c>
      <c r="FP23" s="26" t="str">
        <f t="shared" ca="1" si="947"/>
        <v/>
      </c>
      <c r="FQ23" s="26" t="str">
        <f t="shared" ca="1" si="947"/>
        <v/>
      </c>
      <c r="FR23" s="26" t="str">
        <f t="shared" ca="1" si="947"/>
        <v/>
      </c>
      <c r="FS23" s="26" t="str">
        <f t="shared" ca="1" si="947"/>
        <v/>
      </c>
      <c r="FT23" s="26" t="str">
        <f t="shared" ca="1" si="947"/>
        <v/>
      </c>
      <c r="FU23" s="26" t="str">
        <f t="shared" ca="1" si="947"/>
        <v/>
      </c>
      <c r="FV23" s="26" t="str">
        <f t="shared" ca="1" si="947"/>
        <v/>
      </c>
      <c r="FW23" s="26" t="str">
        <f t="shared" ca="1" si="947"/>
        <v/>
      </c>
      <c r="FX23" s="26" t="str">
        <f t="shared" ca="1" si="947"/>
        <v/>
      </c>
      <c r="FY23" s="26" t="str">
        <f t="shared" ca="1" si="947"/>
        <v/>
      </c>
      <c r="FZ23" s="26" t="str">
        <f t="shared" ca="1" si="947"/>
        <v/>
      </c>
      <c r="GA23" s="26" t="str">
        <f t="shared" ca="1" si="947"/>
        <v/>
      </c>
      <c r="GB23" s="26" t="str">
        <f t="shared" ca="1" si="947"/>
        <v/>
      </c>
      <c r="GC23" s="26" t="str">
        <f t="shared" ca="1" si="947"/>
        <v/>
      </c>
      <c r="GD23" s="26" t="str">
        <f t="shared" ca="1" si="947"/>
        <v/>
      </c>
      <c r="GE23" s="26" t="str">
        <f t="shared" ca="1" si="947"/>
        <v/>
      </c>
      <c r="GF23" s="26" t="str">
        <f t="shared" ca="1" si="947"/>
        <v/>
      </c>
      <c r="GG23" s="26" t="str">
        <f t="shared" ca="1" si="947"/>
        <v/>
      </c>
      <c r="GH23" s="26" t="str">
        <f t="shared" ca="1" si="947"/>
        <v/>
      </c>
      <c r="GI23" s="26" t="str">
        <f t="shared" ca="1" si="947"/>
        <v/>
      </c>
      <c r="GJ23" s="26" t="str">
        <f t="shared" ca="1" si="947"/>
        <v/>
      </c>
      <c r="GK23" s="26" t="str">
        <f t="shared" ca="1" si="947"/>
        <v/>
      </c>
      <c r="GL23" s="26" t="str">
        <f t="shared" ca="1" si="947"/>
        <v/>
      </c>
      <c r="GM23" s="26" t="str">
        <f t="shared" ca="1" si="947"/>
        <v/>
      </c>
      <c r="GN23" s="26" t="str">
        <f t="shared" ca="1" si="947"/>
        <v/>
      </c>
      <c r="GO23" s="26" t="str">
        <f t="shared" ca="1" si="947"/>
        <v/>
      </c>
      <c r="GP23" s="26" t="str">
        <f t="shared" ca="1" si="947"/>
        <v/>
      </c>
      <c r="GQ23" s="26" t="str">
        <f t="shared" ca="1" si="947"/>
        <v/>
      </c>
      <c r="GR23" s="26" t="str">
        <f t="shared" ref="GR23:IN23" ca="1" si="948">IF(GR3=TODAY(),1,"")</f>
        <v/>
      </c>
      <c r="GS23" s="26" t="str">
        <f t="shared" ca="1" si="948"/>
        <v/>
      </c>
      <c r="GT23" s="26" t="str">
        <f t="shared" ca="1" si="948"/>
        <v/>
      </c>
      <c r="GU23" s="26" t="str">
        <f t="shared" ca="1" si="948"/>
        <v/>
      </c>
      <c r="GV23" s="26" t="str">
        <f t="shared" ca="1" si="948"/>
        <v/>
      </c>
      <c r="GW23" s="26" t="str">
        <f t="shared" ca="1" si="948"/>
        <v/>
      </c>
      <c r="GX23" s="26" t="str">
        <f t="shared" ca="1" si="948"/>
        <v/>
      </c>
      <c r="GY23" s="26" t="str">
        <f t="shared" ca="1" si="948"/>
        <v/>
      </c>
      <c r="GZ23" s="26" t="str">
        <f t="shared" ca="1" si="948"/>
        <v/>
      </c>
      <c r="HA23" s="26" t="str">
        <f t="shared" ca="1" si="948"/>
        <v/>
      </c>
      <c r="HB23" s="26" t="str">
        <f t="shared" ca="1" si="948"/>
        <v/>
      </c>
      <c r="HC23" s="26" t="str">
        <f t="shared" ca="1" si="948"/>
        <v/>
      </c>
      <c r="HD23" s="26" t="str">
        <f t="shared" ca="1" si="948"/>
        <v/>
      </c>
      <c r="HE23" s="26" t="str">
        <f t="shared" ca="1" si="948"/>
        <v/>
      </c>
      <c r="HF23" s="26" t="str">
        <f t="shared" ca="1" si="948"/>
        <v/>
      </c>
      <c r="HG23" s="26" t="str">
        <f t="shared" ca="1" si="948"/>
        <v/>
      </c>
      <c r="HH23" s="26" t="str">
        <f t="shared" ca="1" si="948"/>
        <v/>
      </c>
      <c r="HI23" s="26" t="str">
        <f t="shared" ca="1" si="948"/>
        <v/>
      </c>
      <c r="HJ23" s="26" t="str">
        <f t="shared" ca="1" si="948"/>
        <v/>
      </c>
      <c r="HK23" s="26" t="str">
        <f t="shared" ca="1" si="948"/>
        <v/>
      </c>
      <c r="HL23" s="26" t="str">
        <f t="shared" ca="1" si="948"/>
        <v/>
      </c>
      <c r="HM23" s="26" t="str">
        <f t="shared" ca="1" si="948"/>
        <v/>
      </c>
      <c r="HN23" s="26" t="str">
        <f t="shared" ca="1" si="948"/>
        <v/>
      </c>
      <c r="HO23" s="26" t="str">
        <f t="shared" ca="1" si="948"/>
        <v/>
      </c>
      <c r="HP23" s="26" t="str">
        <f t="shared" ca="1" si="948"/>
        <v/>
      </c>
      <c r="HQ23" s="26" t="str">
        <f t="shared" ca="1" si="948"/>
        <v/>
      </c>
      <c r="HR23" s="26" t="str">
        <f t="shared" ca="1" si="948"/>
        <v/>
      </c>
      <c r="HS23" s="26" t="str">
        <f t="shared" ca="1" si="948"/>
        <v/>
      </c>
      <c r="HT23" s="26" t="str">
        <f t="shared" ca="1" si="948"/>
        <v/>
      </c>
      <c r="HU23" s="26" t="str">
        <f t="shared" ca="1" si="948"/>
        <v/>
      </c>
      <c r="HV23" s="26" t="str">
        <f t="shared" ca="1" si="948"/>
        <v/>
      </c>
      <c r="HW23" s="26" t="str">
        <f t="shared" ca="1" si="948"/>
        <v/>
      </c>
      <c r="HX23" s="26" t="str">
        <f t="shared" ca="1" si="948"/>
        <v/>
      </c>
      <c r="HY23" s="26" t="str">
        <f t="shared" ca="1" si="948"/>
        <v/>
      </c>
      <c r="HZ23" s="26" t="str">
        <f t="shared" ca="1" si="948"/>
        <v/>
      </c>
      <c r="IA23" s="26" t="str">
        <f t="shared" ca="1" si="948"/>
        <v/>
      </c>
      <c r="IB23" s="26" t="str">
        <f t="shared" ca="1" si="948"/>
        <v/>
      </c>
      <c r="IC23" s="26" t="str">
        <f t="shared" ca="1" si="948"/>
        <v/>
      </c>
      <c r="ID23" s="26" t="str">
        <f t="shared" ca="1" si="948"/>
        <v/>
      </c>
      <c r="IE23" s="26" t="str">
        <f t="shared" ca="1" si="948"/>
        <v/>
      </c>
      <c r="IF23" s="26" t="str">
        <f t="shared" ca="1" si="948"/>
        <v/>
      </c>
      <c r="IG23" s="26" t="str">
        <f t="shared" ca="1" si="948"/>
        <v/>
      </c>
      <c r="IH23" s="26" t="str">
        <f t="shared" ca="1" si="948"/>
        <v/>
      </c>
      <c r="II23" s="26" t="str">
        <f t="shared" ca="1" si="948"/>
        <v/>
      </c>
      <c r="IJ23" s="26" t="str">
        <f t="shared" ca="1" si="948"/>
        <v/>
      </c>
      <c r="IK23" s="26" t="str">
        <f t="shared" ca="1" si="948"/>
        <v/>
      </c>
      <c r="IL23" s="26" t="str">
        <f t="shared" ca="1" si="948"/>
        <v/>
      </c>
      <c r="IM23" s="26" t="str">
        <f t="shared" ca="1" si="948"/>
        <v/>
      </c>
      <c r="IN23" s="26" t="str">
        <f t="shared" ca="1" si="948"/>
        <v/>
      </c>
    </row>
    <row r="24" spans="2:248" x14ac:dyDescent="0.3">
      <c r="F24" s="22" t="s">
        <v>513</v>
      </c>
      <c r="G24" s="26">
        <f>IF(AND(G18&gt;G17,F18&lt;F17),1,0)</f>
        <v>0</v>
      </c>
      <c r="H24" s="26">
        <f>IF(AND(H18&gt;H17,G18&lt;G17),1,0)</f>
        <v>0</v>
      </c>
      <c r="I24" s="26">
        <f t="shared" ref="I24:BS24" si="949">IF(AND(I18&gt;I17,H18&lt;H17),1,0)</f>
        <v>0</v>
      </c>
      <c r="J24" s="26">
        <f t="shared" si="949"/>
        <v>0</v>
      </c>
      <c r="K24" s="26">
        <f t="shared" si="949"/>
        <v>0</v>
      </c>
      <c r="L24" s="26">
        <f t="shared" si="949"/>
        <v>0</v>
      </c>
      <c r="M24" s="26">
        <f t="shared" si="949"/>
        <v>0</v>
      </c>
      <c r="N24" s="26">
        <f t="shared" si="949"/>
        <v>0</v>
      </c>
      <c r="O24" s="26">
        <f t="shared" si="949"/>
        <v>0</v>
      </c>
      <c r="P24" s="26">
        <f t="shared" si="949"/>
        <v>0</v>
      </c>
      <c r="Q24" s="26">
        <f t="shared" si="949"/>
        <v>0</v>
      </c>
      <c r="R24" s="26">
        <f t="shared" si="949"/>
        <v>0</v>
      </c>
      <c r="S24" s="26">
        <f t="shared" si="949"/>
        <v>0</v>
      </c>
      <c r="T24" s="26">
        <f t="shared" si="949"/>
        <v>0</v>
      </c>
      <c r="U24" s="26">
        <f t="shared" si="949"/>
        <v>0</v>
      </c>
      <c r="V24" s="26">
        <f t="shared" si="949"/>
        <v>0</v>
      </c>
      <c r="W24" s="26">
        <f t="shared" si="949"/>
        <v>0</v>
      </c>
      <c r="X24" s="26">
        <f t="shared" si="949"/>
        <v>0</v>
      </c>
      <c r="Y24" s="26">
        <f t="shared" si="949"/>
        <v>0</v>
      </c>
      <c r="Z24" s="26">
        <f t="shared" si="949"/>
        <v>0</v>
      </c>
      <c r="AA24" s="26">
        <f t="shared" si="949"/>
        <v>0</v>
      </c>
      <c r="AB24" s="26">
        <f t="shared" si="949"/>
        <v>0</v>
      </c>
      <c r="AC24" s="26">
        <f t="shared" si="949"/>
        <v>0</v>
      </c>
      <c r="AD24" s="26">
        <f t="shared" si="949"/>
        <v>0</v>
      </c>
      <c r="AE24" s="26">
        <f t="shared" si="949"/>
        <v>0</v>
      </c>
      <c r="AF24" s="26">
        <f t="shared" si="949"/>
        <v>0</v>
      </c>
      <c r="AG24" s="26">
        <f t="shared" si="949"/>
        <v>0</v>
      </c>
      <c r="AH24" s="26">
        <f t="shared" si="949"/>
        <v>0</v>
      </c>
      <c r="AI24" s="26">
        <f t="shared" si="949"/>
        <v>0</v>
      </c>
      <c r="AJ24" s="26">
        <f>IF(AND(AJ18&gt;AJ17,AI18&lt;AI17),1,0)</f>
        <v>1</v>
      </c>
      <c r="AK24" s="26">
        <f t="shared" si="949"/>
        <v>0</v>
      </c>
      <c r="AL24" s="26">
        <f t="shared" si="949"/>
        <v>0</v>
      </c>
      <c r="AM24" s="26">
        <f t="shared" si="949"/>
        <v>0</v>
      </c>
      <c r="AN24" s="26">
        <f t="shared" si="949"/>
        <v>0</v>
      </c>
      <c r="AO24" s="26">
        <f t="shared" si="949"/>
        <v>0</v>
      </c>
      <c r="AP24" s="26">
        <f t="shared" si="949"/>
        <v>0</v>
      </c>
      <c r="AQ24" s="26">
        <f t="shared" si="949"/>
        <v>0</v>
      </c>
      <c r="AR24" s="26">
        <f t="shared" si="949"/>
        <v>0</v>
      </c>
      <c r="AS24" s="26">
        <f t="shared" si="949"/>
        <v>0</v>
      </c>
      <c r="AT24" s="26">
        <f t="shared" si="949"/>
        <v>0</v>
      </c>
      <c r="AU24" s="26">
        <f t="shared" si="949"/>
        <v>0</v>
      </c>
      <c r="AV24" s="26">
        <f t="shared" si="949"/>
        <v>0</v>
      </c>
      <c r="AW24" s="26">
        <f t="shared" si="949"/>
        <v>0</v>
      </c>
      <c r="AX24" s="26">
        <f t="shared" si="949"/>
        <v>0</v>
      </c>
      <c r="AY24" s="26">
        <f t="shared" si="949"/>
        <v>0</v>
      </c>
      <c r="AZ24" s="26">
        <f t="shared" si="949"/>
        <v>0</v>
      </c>
      <c r="BA24" s="26">
        <f t="shared" si="949"/>
        <v>0</v>
      </c>
      <c r="BB24" s="26">
        <f t="shared" si="949"/>
        <v>0</v>
      </c>
      <c r="BC24" s="26">
        <f t="shared" si="949"/>
        <v>0</v>
      </c>
      <c r="BD24" s="26">
        <f t="shared" si="949"/>
        <v>0</v>
      </c>
      <c r="BE24" s="26">
        <f t="shared" si="949"/>
        <v>0</v>
      </c>
      <c r="BF24" s="26">
        <f t="shared" si="949"/>
        <v>0</v>
      </c>
      <c r="BG24" s="26">
        <f t="shared" si="949"/>
        <v>0</v>
      </c>
      <c r="BH24" s="26">
        <f t="shared" si="949"/>
        <v>0</v>
      </c>
      <c r="BI24" s="26">
        <f t="shared" si="949"/>
        <v>0</v>
      </c>
      <c r="BJ24" s="26">
        <f t="shared" si="949"/>
        <v>0</v>
      </c>
      <c r="BK24" s="26">
        <f t="shared" si="949"/>
        <v>0</v>
      </c>
      <c r="BL24" s="26">
        <f t="shared" si="949"/>
        <v>0</v>
      </c>
      <c r="BM24" s="26">
        <f t="shared" si="949"/>
        <v>0</v>
      </c>
      <c r="BN24" s="26">
        <f t="shared" si="949"/>
        <v>0</v>
      </c>
      <c r="BO24" s="26">
        <f t="shared" si="949"/>
        <v>0</v>
      </c>
      <c r="BP24" s="26">
        <f t="shared" si="949"/>
        <v>0</v>
      </c>
      <c r="BQ24" s="26">
        <f t="shared" si="949"/>
        <v>0</v>
      </c>
      <c r="BR24" s="26">
        <f t="shared" si="949"/>
        <v>0</v>
      </c>
      <c r="BS24" s="26">
        <f t="shared" si="949"/>
        <v>0</v>
      </c>
      <c r="BT24" s="26">
        <f t="shared" ref="BT24:EE24" si="950">IF(AND(BT18&gt;BT17,BS18&lt;BS17),1,0)</f>
        <v>0</v>
      </c>
      <c r="BU24" s="26">
        <f t="shared" si="950"/>
        <v>0</v>
      </c>
      <c r="BV24" s="26">
        <f t="shared" si="950"/>
        <v>0</v>
      </c>
      <c r="BW24" s="26">
        <f t="shared" si="950"/>
        <v>0</v>
      </c>
      <c r="BX24" s="26">
        <f t="shared" si="950"/>
        <v>0</v>
      </c>
      <c r="BY24" s="26">
        <f t="shared" si="950"/>
        <v>0</v>
      </c>
      <c r="BZ24" s="26">
        <f t="shared" si="950"/>
        <v>0</v>
      </c>
      <c r="CA24" s="26">
        <f t="shared" si="950"/>
        <v>0</v>
      </c>
      <c r="CB24" s="26">
        <f t="shared" si="950"/>
        <v>0</v>
      </c>
      <c r="CC24" s="26">
        <f t="shared" si="950"/>
        <v>0</v>
      </c>
      <c r="CD24" s="26">
        <f t="shared" si="950"/>
        <v>0</v>
      </c>
      <c r="CE24" s="26">
        <f t="shared" si="950"/>
        <v>0</v>
      </c>
      <c r="CF24" s="26">
        <f t="shared" si="950"/>
        <v>0</v>
      </c>
      <c r="CG24" s="26">
        <f t="shared" si="950"/>
        <v>0</v>
      </c>
      <c r="CH24" s="26">
        <f t="shared" si="950"/>
        <v>0</v>
      </c>
      <c r="CI24" s="26">
        <f t="shared" si="950"/>
        <v>0</v>
      </c>
      <c r="CJ24" s="26">
        <f t="shared" si="950"/>
        <v>0</v>
      </c>
      <c r="CK24" s="26">
        <f t="shared" si="950"/>
        <v>0</v>
      </c>
      <c r="CL24" s="26">
        <f t="shared" si="950"/>
        <v>0</v>
      </c>
      <c r="CM24" s="26">
        <f t="shared" si="950"/>
        <v>0</v>
      </c>
      <c r="CN24" s="26">
        <f t="shared" si="950"/>
        <v>0</v>
      </c>
      <c r="CO24" s="26">
        <f t="shared" si="950"/>
        <v>0</v>
      </c>
      <c r="CP24" s="26">
        <f t="shared" si="950"/>
        <v>0</v>
      </c>
      <c r="CQ24" s="26">
        <f t="shared" si="950"/>
        <v>0</v>
      </c>
      <c r="CR24" s="26">
        <f t="shared" si="950"/>
        <v>0</v>
      </c>
      <c r="CS24" s="26">
        <f t="shared" si="950"/>
        <v>0</v>
      </c>
      <c r="CT24" s="26">
        <f t="shared" si="950"/>
        <v>0</v>
      </c>
      <c r="CU24" s="26">
        <f t="shared" si="950"/>
        <v>0</v>
      </c>
      <c r="CV24" s="26">
        <f t="shared" si="950"/>
        <v>0</v>
      </c>
      <c r="CW24" s="26">
        <f t="shared" si="950"/>
        <v>0</v>
      </c>
      <c r="CX24" s="26">
        <f t="shared" si="950"/>
        <v>0</v>
      </c>
      <c r="CY24" s="26">
        <f t="shared" si="950"/>
        <v>0</v>
      </c>
      <c r="CZ24" s="26">
        <f t="shared" si="950"/>
        <v>0</v>
      </c>
      <c r="DA24" s="26">
        <f t="shared" si="950"/>
        <v>0</v>
      </c>
      <c r="DB24" s="26">
        <f t="shared" si="950"/>
        <v>0</v>
      </c>
      <c r="DC24" s="26">
        <f t="shared" si="950"/>
        <v>0</v>
      </c>
      <c r="DD24" s="26">
        <f t="shared" si="950"/>
        <v>0</v>
      </c>
      <c r="DE24" s="26">
        <f t="shared" si="950"/>
        <v>0</v>
      </c>
      <c r="DF24" s="26">
        <f t="shared" si="950"/>
        <v>0</v>
      </c>
      <c r="DG24" s="26">
        <f t="shared" si="950"/>
        <v>0</v>
      </c>
      <c r="DH24" s="26">
        <f t="shared" si="950"/>
        <v>0</v>
      </c>
      <c r="DI24" s="26">
        <f t="shared" si="950"/>
        <v>0</v>
      </c>
      <c r="DJ24" s="26">
        <f t="shared" si="950"/>
        <v>0</v>
      </c>
      <c r="DK24" s="26">
        <f t="shared" si="950"/>
        <v>0</v>
      </c>
      <c r="DL24" s="26">
        <f t="shared" si="950"/>
        <v>0</v>
      </c>
      <c r="DM24" s="26">
        <f t="shared" si="950"/>
        <v>0</v>
      </c>
      <c r="DN24" s="26">
        <f t="shared" si="950"/>
        <v>0</v>
      </c>
      <c r="DO24" s="26">
        <f t="shared" si="950"/>
        <v>0</v>
      </c>
      <c r="DP24" s="26">
        <f t="shared" si="950"/>
        <v>0</v>
      </c>
      <c r="DQ24" s="26">
        <f t="shared" si="950"/>
        <v>0</v>
      </c>
      <c r="DR24" s="26">
        <f t="shared" si="950"/>
        <v>0</v>
      </c>
      <c r="DS24" s="26">
        <f t="shared" si="950"/>
        <v>0</v>
      </c>
      <c r="DT24" s="26">
        <f t="shared" si="950"/>
        <v>0</v>
      </c>
      <c r="DU24" s="26">
        <f t="shared" si="950"/>
        <v>0</v>
      </c>
      <c r="DV24" s="26">
        <f t="shared" si="950"/>
        <v>0</v>
      </c>
      <c r="DW24" s="26">
        <f t="shared" si="950"/>
        <v>0</v>
      </c>
      <c r="DX24" s="26">
        <f t="shared" si="950"/>
        <v>0</v>
      </c>
      <c r="DY24" s="26">
        <f t="shared" si="950"/>
        <v>0</v>
      </c>
      <c r="DZ24" s="26">
        <f t="shared" si="950"/>
        <v>0</v>
      </c>
      <c r="EA24" s="26">
        <f t="shared" si="950"/>
        <v>0</v>
      </c>
      <c r="EB24" s="26">
        <f t="shared" si="950"/>
        <v>0</v>
      </c>
      <c r="EC24" s="26">
        <f t="shared" si="950"/>
        <v>0</v>
      </c>
      <c r="ED24" s="26">
        <f t="shared" si="950"/>
        <v>0</v>
      </c>
      <c r="EE24" s="26">
        <f t="shared" si="950"/>
        <v>0</v>
      </c>
      <c r="EF24" s="26">
        <f t="shared" ref="EF24:GQ24" si="951">IF(AND(EF18&gt;EF17,EE18&lt;EE17),1,0)</f>
        <v>0</v>
      </c>
      <c r="EG24" s="26">
        <f t="shared" si="951"/>
        <v>0</v>
      </c>
      <c r="EH24" s="26">
        <f t="shared" si="951"/>
        <v>0</v>
      </c>
      <c r="EI24" s="26">
        <f t="shared" si="951"/>
        <v>0</v>
      </c>
      <c r="EJ24" s="26">
        <f t="shared" si="951"/>
        <v>0</v>
      </c>
      <c r="EK24" s="26">
        <f t="shared" si="951"/>
        <v>0</v>
      </c>
      <c r="EL24" s="26">
        <f t="shared" si="951"/>
        <v>0</v>
      </c>
      <c r="EM24" s="26">
        <f t="shared" si="951"/>
        <v>0</v>
      </c>
      <c r="EN24" s="26">
        <f t="shared" si="951"/>
        <v>0</v>
      </c>
      <c r="EO24" s="26">
        <f t="shared" si="951"/>
        <v>0</v>
      </c>
      <c r="EP24" s="26">
        <f t="shared" si="951"/>
        <v>0</v>
      </c>
      <c r="EQ24" s="26">
        <f t="shared" si="951"/>
        <v>0</v>
      </c>
      <c r="ER24" s="26">
        <f t="shared" si="951"/>
        <v>0</v>
      </c>
      <c r="ES24" s="26">
        <f t="shared" si="951"/>
        <v>0</v>
      </c>
      <c r="ET24" s="26">
        <f t="shared" si="951"/>
        <v>0</v>
      </c>
      <c r="EU24" s="26">
        <f t="shared" si="951"/>
        <v>0</v>
      </c>
      <c r="EV24" s="26">
        <f t="shared" si="951"/>
        <v>0</v>
      </c>
      <c r="EW24" s="26">
        <f t="shared" si="951"/>
        <v>0</v>
      </c>
      <c r="EX24" s="26">
        <f t="shared" si="951"/>
        <v>0</v>
      </c>
      <c r="EY24" s="26">
        <f t="shared" si="951"/>
        <v>0</v>
      </c>
      <c r="EZ24" s="26">
        <f t="shared" si="951"/>
        <v>0</v>
      </c>
      <c r="FA24" s="26">
        <f t="shared" si="951"/>
        <v>0</v>
      </c>
      <c r="FB24" s="26">
        <f t="shared" si="951"/>
        <v>0</v>
      </c>
      <c r="FC24" s="26">
        <f t="shared" si="951"/>
        <v>0</v>
      </c>
      <c r="FD24" s="26">
        <f t="shared" si="951"/>
        <v>0</v>
      </c>
      <c r="FE24" s="26">
        <f t="shared" si="951"/>
        <v>0</v>
      </c>
      <c r="FF24" s="26">
        <f t="shared" si="951"/>
        <v>0</v>
      </c>
      <c r="FG24" s="26">
        <f t="shared" si="951"/>
        <v>0</v>
      </c>
      <c r="FH24" s="26">
        <f t="shared" si="951"/>
        <v>0</v>
      </c>
      <c r="FI24" s="26">
        <f t="shared" si="951"/>
        <v>0</v>
      </c>
      <c r="FJ24" s="26">
        <f t="shared" si="951"/>
        <v>0</v>
      </c>
      <c r="FK24" s="26">
        <f t="shared" si="951"/>
        <v>0</v>
      </c>
      <c r="FL24" s="26">
        <f t="shared" si="951"/>
        <v>0</v>
      </c>
      <c r="FM24" s="26">
        <f t="shared" si="951"/>
        <v>0</v>
      </c>
      <c r="FN24" s="26">
        <f t="shared" si="951"/>
        <v>0</v>
      </c>
      <c r="FO24" s="26">
        <f t="shared" si="951"/>
        <v>0</v>
      </c>
      <c r="FP24" s="26">
        <f t="shared" si="951"/>
        <v>0</v>
      </c>
      <c r="FQ24" s="26">
        <f t="shared" si="951"/>
        <v>0</v>
      </c>
      <c r="FR24" s="26">
        <f t="shared" si="951"/>
        <v>0</v>
      </c>
      <c r="FS24" s="26">
        <f t="shared" si="951"/>
        <v>0</v>
      </c>
      <c r="FT24" s="26">
        <f t="shared" si="951"/>
        <v>0</v>
      </c>
      <c r="FU24" s="26">
        <f t="shared" si="951"/>
        <v>0</v>
      </c>
      <c r="FV24" s="26">
        <f t="shared" si="951"/>
        <v>0</v>
      </c>
      <c r="FW24" s="26">
        <f t="shared" si="951"/>
        <v>0</v>
      </c>
      <c r="FX24" s="26">
        <f t="shared" si="951"/>
        <v>0</v>
      </c>
      <c r="FY24" s="26">
        <f t="shared" si="951"/>
        <v>0</v>
      </c>
      <c r="FZ24" s="26">
        <f t="shared" si="951"/>
        <v>0</v>
      </c>
      <c r="GA24" s="26">
        <f t="shared" si="951"/>
        <v>0</v>
      </c>
      <c r="GB24" s="26">
        <f t="shared" si="951"/>
        <v>0</v>
      </c>
      <c r="GC24" s="26">
        <f t="shared" si="951"/>
        <v>0</v>
      </c>
      <c r="GD24" s="26">
        <f t="shared" si="951"/>
        <v>0</v>
      </c>
      <c r="GE24" s="26">
        <f t="shared" si="951"/>
        <v>0</v>
      </c>
      <c r="GF24" s="26">
        <f t="shared" si="951"/>
        <v>0</v>
      </c>
      <c r="GG24" s="26">
        <f t="shared" si="951"/>
        <v>0</v>
      </c>
      <c r="GH24" s="26">
        <f t="shared" si="951"/>
        <v>0</v>
      </c>
      <c r="GI24" s="26">
        <f t="shared" si="951"/>
        <v>0</v>
      </c>
      <c r="GJ24" s="26">
        <f t="shared" si="951"/>
        <v>0</v>
      </c>
      <c r="GK24" s="26">
        <f t="shared" si="951"/>
        <v>0</v>
      </c>
      <c r="GL24" s="26">
        <f t="shared" si="951"/>
        <v>0</v>
      </c>
      <c r="GM24" s="26">
        <f t="shared" si="951"/>
        <v>0</v>
      </c>
      <c r="GN24" s="26">
        <f t="shared" si="951"/>
        <v>0</v>
      </c>
      <c r="GO24" s="26">
        <f t="shared" si="951"/>
        <v>0</v>
      </c>
      <c r="GP24" s="26">
        <f t="shared" si="951"/>
        <v>0</v>
      </c>
      <c r="GQ24" s="26">
        <f t="shared" si="951"/>
        <v>0</v>
      </c>
      <c r="GR24" s="26">
        <f t="shared" ref="GR24:IN24" si="952">IF(AND(GR18&gt;GR17,GQ18&lt;GQ17),1,0)</f>
        <v>0</v>
      </c>
      <c r="GS24" s="26">
        <f t="shared" si="952"/>
        <v>0</v>
      </c>
      <c r="GT24" s="26">
        <f t="shared" si="952"/>
        <v>0</v>
      </c>
      <c r="GU24" s="26">
        <f t="shared" si="952"/>
        <v>0</v>
      </c>
      <c r="GV24" s="26">
        <f t="shared" si="952"/>
        <v>0</v>
      </c>
      <c r="GW24" s="26">
        <f t="shared" si="952"/>
        <v>0</v>
      </c>
      <c r="GX24" s="26">
        <f t="shared" si="952"/>
        <v>0</v>
      </c>
      <c r="GY24" s="26">
        <f t="shared" si="952"/>
        <v>0</v>
      </c>
      <c r="GZ24" s="26">
        <f t="shared" si="952"/>
        <v>0</v>
      </c>
      <c r="HA24" s="26">
        <f t="shared" si="952"/>
        <v>0</v>
      </c>
      <c r="HB24" s="26">
        <f t="shared" si="952"/>
        <v>0</v>
      </c>
      <c r="HC24" s="26">
        <f t="shared" si="952"/>
        <v>0</v>
      </c>
      <c r="HD24" s="26">
        <f t="shared" si="952"/>
        <v>0</v>
      </c>
      <c r="HE24" s="26">
        <f t="shared" si="952"/>
        <v>0</v>
      </c>
      <c r="HF24" s="26">
        <f t="shared" si="952"/>
        <v>0</v>
      </c>
      <c r="HG24" s="26">
        <f t="shared" si="952"/>
        <v>0</v>
      </c>
      <c r="HH24" s="26">
        <f t="shared" si="952"/>
        <v>0</v>
      </c>
      <c r="HI24" s="26">
        <f t="shared" si="952"/>
        <v>0</v>
      </c>
      <c r="HJ24" s="26">
        <f t="shared" si="952"/>
        <v>0</v>
      </c>
      <c r="HK24" s="26">
        <f t="shared" si="952"/>
        <v>0</v>
      </c>
      <c r="HL24" s="26">
        <f t="shared" si="952"/>
        <v>0</v>
      </c>
      <c r="HM24" s="26">
        <f t="shared" si="952"/>
        <v>0</v>
      </c>
      <c r="HN24" s="26">
        <f t="shared" si="952"/>
        <v>0</v>
      </c>
      <c r="HO24" s="26">
        <f t="shared" si="952"/>
        <v>0</v>
      </c>
      <c r="HP24" s="26">
        <f t="shared" si="952"/>
        <v>0</v>
      </c>
      <c r="HQ24" s="26">
        <f t="shared" si="952"/>
        <v>0</v>
      </c>
      <c r="HR24" s="26">
        <f t="shared" si="952"/>
        <v>0</v>
      </c>
      <c r="HS24" s="26">
        <f t="shared" si="952"/>
        <v>0</v>
      </c>
      <c r="HT24" s="26">
        <f t="shared" si="952"/>
        <v>0</v>
      </c>
      <c r="HU24" s="26">
        <f t="shared" si="952"/>
        <v>0</v>
      </c>
      <c r="HV24" s="26">
        <f t="shared" si="952"/>
        <v>0</v>
      </c>
      <c r="HW24" s="26">
        <f t="shared" si="952"/>
        <v>0</v>
      </c>
      <c r="HX24" s="26">
        <f t="shared" si="952"/>
        <v>0</v>
      </c>
      <c r="HY24" s="26">
        <f t="shared" si="952"/>
        <v>0</v>
      </c>
      <c r="HZ24" s="26">
        <f t="shared" si="952"/>
        <v>0</v>
      </c>
      <c r="IA24" s="26">
        <f t="shared" si="952"/>
        <v>0</v>
      </c>
      <c r="IB24" s="26">
        <f t="shared" si="952"/>
        <v>0</v>
      </c>
      <c r="IC24" s="26">
        <f t="shared" si="952"/>
        <v>0</v>
      </c>
      <c r="ID24" s="26">
        <f t="shared" si="952"/>
        <v>0</v>
      </c>
      <c r="IE24" s="26">
        <f t="shared" si="952"/>
        <v>0</v>
      </c>
      <c r="IF24" s="26">
        <f t="shared" si="952"/>
        <v>0</v>
      </c>
      <c r="IG24" s="26">
        <f t="shared" si="952"/>
        <v>0</v>
      </c>
      <c r="IH24" s="26">
        <f t="shared" si="952"/>
        <v>0</v>
      </c>
      <c r="II24" s="26">
        <f t="shared" si="952"/>
        <v>0</v>
      </c>
      <c r="IJ24" s="26">
        <f t="shared" si="952"/>
        <v>0</v>
      </c>
      <c r="IK24" s="26">
        <f t="shared" si="952"/>
        <v>0</v>
      </c>
      <c r="IL24" s="26">
        <f t="shared" si="952"/>
        <v>0</v>
      </c>
      <c r="IM24" s="26">
        <f t="shared" si="952"/>
        <v>0</v>
      </c>
      <c r="IN24" s="26">
        <f t="shared" si="952"/>
        <v>0</v>
      </c>
    </row>
    <row r="25" spans="2:248" x14ac:dyDescent="0.3">
      <c r="B25" s="19" t="s">
        <v>454</v>
      </c>
      <c r="C25" s="21">
        <v>0</v>
      </c>
      <c r="D25" s="19">
        <v>0</v>
      </c>
      <c r="F25" s="22" t="s">
        <v>482</v>
      </c>
      <c r="G25" s="69">
        <f ca="1">H25</f>
        <v>0.4137931034482758</v>
      </c>
      <c r="H25" s="69">
        <f ca="1">IF(H4&lt;$C$10,(H5/OFFSET(H5,0,-H4))^(1/H4),(H5/OFFSET(H5,0,-$C$10))^(1/$C$10))-1</f>
        <v>0.4137931034482758</v>
      </c>
      <c r="I25" s="69">
        <f ca="1">IF(I4&lt;$C$10,(I5/OFFSET(I5,0,-I4))^(1/I4),(I5/OFFSET(I5,0,-$C$10))^(1/$C$10))-1</f>
        <v>0.33584533484258183</v>
      </c>
      <c r="J25" s="69">
        <f ca="1">IF(J4&lt;$C$10,(J5/OFFSET(J5,0,-J4))^(1/J4),(J5/OFFSET(J5,0,-$C$10))^(1/$C$10))-1</f>
        <v>0.33177499932927024</v>
      </c>
      <c r="K25" s="69">
        <f ca="1">IF(K4&lt;$C$10,(K5/OFFSET(K5,0,-K4))^(1/K4),(K5/OFFSET(K5,0,-$C$10))^(1/$C$10))-1</f>
        <v>0.29077180589770335</v>
      </c>
      <c r="L25" s="69">
        <f ca="1">IF(L4&lt;$C$10,(L5/OFFSET(L5,0,-L4))^(1/L4),(L5/OFFSET(L5,0,-$C$10))^(1/$C$10))-1</f>
        <v>0.27049993459236288</v>
      </c>
      <c r="M25" s="69">
        <f ca="1">IF(M4&lt;$C$10,(M5/OFFSET(M5,0,-M4))^(1/M4),(M5/OFFSET(M5,0,-$C$10))^(1/$C$10))-1</f>
        <v>0.22855263432816053</v>
      </c>
      <c r="N25" s="69">
        <f ca="1">IF(N4&lt;$C$10,(N5/OFFSET(N5,0,-N4))^(1/N4),(N5/OFFSET(N5,0,-$C$10))^(1/$C$10))-1</f>
        <v>0.23303763733800897</v>
      </c>
      <c r="O25" s="69">
        <f ca="1">IF(O4&lt;$C$10,(O5/OFFSET(O5,0,-O4))^(1/O4),(O5/OFFSET(O5,0,-$C$10))^(1/$C$10))-1</f>
        <v>0.23991809065496095</v>
      </c>
      <c r="P25" s="69">
        <f ca="1">IF(P4&lt;$C$10,(P5/OFFSET(P5,0,-P4))^(1/P4),(P5/OFFSET(P5,0,-$C$10))^(1/$C$10))-1</f>
        <v>0.28881304427908683</v>
      </c>
      <c r="Q25" s="69">
        <f ca="1">IF(Q4&lt;$C$10,(Q5/OFFSET(Q5,0,-Q4))^(1/Q4),(Q5/OFFSET(Q5,0,-$C$10))^(1/$C$10))-1</f>
        <v>0.28683129505090266</v>
      </c>
      <c r="R25" s="69">
        <f ca="1">IF(R4&lt;$C$10,(R5/OFFSET(R5,0,-R4))^(1/R4),(R5/OFFSET(R5,0,-$C$10))^(1/$C$10))-1</f>
        <v>0.27589755817338668</v>
      </c>
      <c r="S25" s="69">
        <f ca="1">IF(S4&lt;$C$10,(S5/OFFSET(S5,0,-S4))^(1/S4),(S5/OFFSET(S5,0,-$C$10))^(1/$C$10))-1</f>
        <v>0.27139591569100419</v>
      </c>
      <c r="T25" s="69">
        <f ca="1">IF(T4&lt;$C$10,(T5/OFFSET(T5,0,-T4))^(1/T4),(T5/OFFSET(T5,0,-$C$10))^(1/$C$10))-1</f>
        <v>0.26740622329897556</v>
      </c>
      <c r="U25" s="69" t="e">
        <f ca="1">IF(U4&lt;$C$10,(U5/OFFSET(U5,0,-U4))^(1/U4),(U5/OFFSET(U5,0,-$C$10))^(1/$C$10))-1</f>
        <v>#N/A</v>
      </c>
      <c r="V25" s="69" t="e">
        <f ca="1">IF(V4&lt;$C$10,(V5/OFFSET(V5,0,-V4))^(1/V4),(V5/OFFSET(V5,0,-$C$10))^(1/$C$10))-1</f>
        <v>#N/A</v>
      </c>
      <c r="W25" s="69" t="e">
        <f ca="1">IF(W4&lt;$C$10,(W5/OFFSET(W5,0,-W4))^(1/W4),(W5/OFFSET(W5,0,-$C$10))^(1/$C$10))-1</f>
        <v>#N/A</v>
      </c>
      <c r="X25" s="69" t="e">
        <f ca="1">IF(X4&lt;$C$10,(X5/OFFSET(X5,0,-X4))^(1/X4),(X5/OFFSET(X5,0,-$C$10))^(1/$C$10))-1</f>
        <v>#N/A</v>
      </c>
      <c r="Y25" s="69" t="e">
        <f ca="1">IF(Y4&lt;$C$10,(Y5/OFFSET(Y5,0,-Y4))^(1/Y4),(Y5/OFFSET(Y5,0,-$C$10))^(1/$C$10))-1</f>
        <v>#N/A</v>
      </c>
      <c r="Z25" s="69" t="e">
        <f ca="1">IF(Z4&lt;$C$10,(Z5/OFFSET(Z5,0,-Z4))^(1/Z4),(Z5/OFFSET(Z5,0,-$C$10))^(1/$C$10))-1</f>
        <v>#N/A</v>
      </c>
      <c r="AA25" s="69" t="e">
        <f ca="1">IF(AA4&lt;$C$10,(AA5/OFFSET(AA5,0,-AA4))^(1/AA4),(AA5/OFFSET(AA5,0,-$C$10))^(1/$C$10))-1</f>
        <v>#N/A</v>
      </c>
      <c r="AB25" s="69" t="e">
        <f ca="1">IF(AB4&lt;$C$10,(AB5/OFFSET(AB5,0,-AB4))^(1/AB4),(AB5/OFFSET(AB5,0,-$C$10))^(1/$C$10))-1</f>
        <v>#N/A</v>
      </c>
      <c r="AC25" s="69" t="e">
        <f ca="1">IF(AC4&lt;$C$10,(AC5/OFFSET(AC5,0,-AC4))^(1/AC4),(AC5/OFFSET(AC5,0,-$C$10))^(1/$C$10))-1</f>
        <v>#N/A</v>
      </c>
      <c r="AD25" s="69" t="e">
        <f ca="1">IF(AD4&lt;$C$10,(AD5/OFFSET(AD5,0,-AD4))^(1/AD4),(AD5/OFFSET(AD5,0,-$C$10))^(1/$C$10))-1</f>
        <v>#N/A</v>
      </c>
      <c r="AE25" s="69" t="e">
        <f ca="1">IF(AE4&lt;$C$10,(AE5/OFFSET(AE5,0,-AE4))^(1/AE4),(AE5/OFFSET(AE5,0,-$C$10))^(1/$C$10))-1</f>
        <v>#N/A</v>
      </c>
      <c r="AF25" s="69" t="e">
        <f ca="1">IF(AF4&lt;$C$10,(AF5/OFFSET(AF5,0,-AF4))^(1/AF4),(AF5/OFFSET(AF5,0,-$C$10))^(1/$C$10))-1</f>
        <v>#N/A</v>
      </c>
      <c r="AG25" s="69" t="e">
        <f ca="1">IF(AG4&lt;$C$10,(AG5/OFFSET(AG5,0,-AG4))^(1/AG4),(AG5/OFFSET(AG5,0,-$C$10))^(1/$C$10))-1</f>
        <v>#N/A</v>
      </c>
      <c r="AH25" s="69" t="e">
        <f ca="1">IF(AH4&lt;$C$10,(AH5/OFFSET(AH5,0,-AH4))^(1/AH4),(AH5/OFFSET(AH5,0,-$C$10))^(1/$C$10))-1</f>
        <v>#N/A</v>
      </c>
      <c r="AI25" s="69" t="e">
        <f ca="1">IF(AI4&lt;$C$10,(AI5/OFFSET(AI5,0,-AI4))^(1/AI4),(AI5/OFFSET(AI5,0,-$C$10))^(1/$C$10))-1</f>
        <v>#N/A</v>
      </c>
      <c r="AJ25" s="69" t="e">
        <f ca="1">IF(AJ4&lt;$C$10,(AJ5/OFFSET(AJ5,0,-AJ4))^(1/AJ4),(AJ5/OFFSET(AJ5,0,-$C$10))^(1/$C$10))-1</f>
        <v>#N/A</v>
      </c>
      <c r="AK25" s="69" t="e">
        <f ca="1">IF(AK4&lt;$C$10,(AK5/OFFSET(AK5,0,-AK4))^(1/AK4),(AK5/OFFSET(AK5,0,-$C$10))^(1/$C$10))-1</f>
        <v>#N/A</v>
      </c>
      <c r="AL25" s="69" t="e">
        <f ca="1">IF(AL4&lt;$C$10,(AL5/OFFSET(AL5,0,-AL4))^(1/AL4),(AL5/OFFSET(AL5,0,-$C$10))^(1/$C$10))-1</f>
        <v>#N/A</v>
      </c>
      <c r="AM25" s="69" t="e">
        <f ca="1">IF(AM4&lt;$C$10,(AM5/OFFSET(AM5,0,-AM4))^(1/AM4),(AM5/OFFSET(AM5,0,-$C$10))^(1/$C$10))-1</f>
        <v>#N/A</v>
      </c>
      <c r="AN25" s="69" t="e">
        <f ca="1">IF(AN4&lt;$C$10,(AN5/OFFSET(AN5,0,-AN4))^(1/AN4),(AN5/OFFSET(AN5,0,-$C$10))^(1/$C$10))-1</f>
        <v>#N/A</v>
      </c>
      <c r="AO25" s="69" t="e">
        <f ca="1">IF(AO4&lt;$C$10,(AO5/OFFSET(AO5,0,-AO4))^(1/AO4),(AO5/OFFSET(AO5,0,-$C$10))^(1/$C$10))-1</f>
        <v>#N/A</v>
      </c>
      <c r="AP25" s="69" t="e">
        <f ca="1">IF(AP4&lt;$C$10,(AP5/OFFSET(AP5,0,-AP4))^(1/AP4),(AP5/OFFSET(AP5,0,-$C$10))^(1/$C$10))-1</f>
        <v>#N/A</v>
      </c>
      <c r="AQ25" s="69" t="e">
        <f ca="1">IF(AQ4&lt;$C$10,(AQ5/OFFSET(AQ5,0,-AQ4))^(1/AQ4),(AQ5/OFFSET(AQ5,0,-$C$10))^(1/$C$10))-1</f>
        <v>#N/A</v>
      </c>
      <c r="AR25" s="69" t="e">
        <f ca="1">IF(AR4&lt;$C$10,(AR5/OFFSET(AR5,0,-AR4))^(1/AR4),(AR5/OFFSET(AR5,0,-$C$10))^(1/$C$10))-1</f>
        <v>#N/A</v>
      </c>
      <c r="AS25" s="69" t="e">
        <f ca="1">IF(AS4&lt;$C$10,(AS5/OFFSET(AS5,0,-AS4))^(1/AS4),(AS5/OFFSET(AS5,0,-$C$10))^(1/$C$10))-1</f>
        <v>#N/A</v>
      </c>
      <c r="AT25" s="69" t="e">
        <f ca="1">IF(AT4&lt;$C$10,(AT5/OFFSET(AT5,0,-AT4))^(1/AT4),(AT5/OFFSET(AT5,0,-$C$10))^(1/$C$10))-1</f>
        <v>#N/A</v>
      </c>
      <c r="AU25" s="69" t="e">
        <f ca="1">IF(AU4&lt;$C$10,(AU5/OFFSET(AU5,0,-AU4))^(1/AU4),(AU5/OFFSET(AU5,0,-$C$10))^(1/$C$10))-1</f>
        <v>#N/A</v>
      </c>
      <c r="AV25" s="69" t="e">
        <f ca="1">IF(AV4&lt;$C$10,(AV5/OFFSET(AV5,0,-AV4))^(1/AV4),(AV5/OFFSET(AV5,0,-$C$10))^(1/$C$10))-1</f>
        <v>#N/A</v>
      </c>
      <c r="AW25" s="69" t="e">
        <f ca="1">IF(AW4&lt;$C$10,(AW5/OFFSET(AW5,0,-AW4))^(1/AW4),(AW5/OFFSET(AW5,0,-$C$10))^(1/$C$10))-1</f>
        <v>#N/A</v>
      </c>
      <c r="AX25" s="69" t="e">
        <f ca="1">IF(AX4&lt;$C$10,(AX5/OFFSET(AX5,0,-AX4))^(1/AX4),(AX5/OFFSET(AX5,0,-$C$10))^(1/$C$10))-1</f>
        <v>#N/A</v>
      </c>
      <c r="AY25" s="69" t="e">
        <f ca="1">IF(AY4&lt;$C$10,(AY5/OFFSET(AY5,0,-AY4))^(1/AY4),(AY5/OFFSET(AY5,0,-$C$10))^(1/$C$10))-1</f>
        <v>#N/A</v>
      </c>
      <c r="AZ25" s="69" t="e">
        <f ca="1">IF(AZ4&lt;$C$10,(AZ5/OFFSET(AZ5,0,-AZ4))^(1/AZ4),(AZ5/OFFSET(AZ5,0,-$C$10))^(1/$C$10))-1</f>
        <v>#N/A</v>
      </c>
      <c r="BA25" s="69" t="e">
        <f ca="1">IF(BA4&lt;$C$10,(BA5/OFFSET(BA5,0,-BA4))^(1/BA4),(BA5/OFFSET(BA5,0,-$C$10))^(1/$C$10))-1</f>
        <v>#N/A</v>
      </c>
      <c r="BB25" s="69" t="e">
        <f ca="1">IF(BB4&lt;$C$10,(BB5/OFFSET(BB5,0,-BB4))^(1/BB4),(BB5/OFFSET(BB5,0,-$C$10))^(1/$C$10))-1</f>
        <v>#N/A</v>
      </c>
      <c r="BC25" s="69" t="e">
        <f ca="1">IF(BC4&lt;$C$10,(BC5/OFFSET(BC5,0,-BC4))^(1/BC4),(BC5/OFFSET(BC5,0,-$C$10))^(1/$C$10))-1</f>
        <v>#N/A</v>
      </c>
      <c r="BD25" s="69" t="e">
        <f ca="1">IF(BD4&lt;$C$10,(BD5/OFFSET(BD5,0,-BD4))^(1/BD4),(BD5/OFFSET(BD5,0,-$C$10))^(1/$C$10))-1</f>
        <v>#N/A</v>
      </c>
      <c r="BE25" s="69" t="e">
        <f ca="1">IF(BE4&lt;$C$10,(BE5/OFFSET(BE5,0,-BE4))^(1/BE4),(BE5/OFFSET(BE5,0,-$C$10))^(1/$C$10))-1</f>
        <v>#N/A</v>
      </c>
      <c r="BF25" s="69" t="e">
        <f ca="1">IF(BF4&lt;$C$10,(BF5/OFFSET(BF5,0,-BF4))^(1/BF4),(BF5/OFFSET(BF5,0,-$C$10))^(1/$C$10))-1</f>
        <v>#N/A</v>
      </c>
      <c r="BG25" s="69" t="e">
        <f ca="1">IF(BG4&lt;$C$10,(BG5/OFFSET(BG5,0,-BG4))^(1/BG4),(BG5/OFFSET(BG5,0,-$C$10))^(1/$C$10))-1</f>
        <v>#N/A</v>
      </c>
      <c r="BH25" s="69" t="e">
        <f ca="1">IF(BH4&lt;$C$10,(BH5/OFFSET(BH5,0,-BH4))^(1/BH4),(BH5/OFFSET(BH5,0,-$C$10))^(1/$C$10))-1</f>
        <v>#N/A</v>
      </c>
      <c r="BI25" s="69" t="e">
        <f ca="1">IF(BI4&lt;$C$10,(BI5/OFFSET(BI5,0,-BI4))^(1/BI4),(BI5/OFFSET(BI5,0,-$C$10))^(1/$C$10))-1</f>
        <v>#N/A</v>
      </c>
      <c r="BJ25" s="69" t="e">
        <f ca="1">IF(BJ4&lt;$C$10,(BJ5/OFFSET(BJ5,0,-BJ4))^(1/BJ4),(BJ5/OFFSET(BJ5,0,-$C$10))^(1/$C$10))-1</f>
        <v>#N/A</v>
      </c>
      <c r="BK25" s="69" t="e">
        <f ca="1">IF(BK4&lt;$C$10,(BK5/OFFSET(BK5,0,-BK4))^(1/BK4),(BK5/OFFSET(BK5,0,-$C$10))^(1/$C$10))-1</f>
        <v>#N/A</v>
      </c>
      <c r="BL25" s="69" t="e">
        <f ca="1">IF(BL4&lt;$C$10,(BL5/OFFSET(BL5,0,-BL4))^(1/BL4),(BL5/OFFSET(BL5,0,-$C$10))^(1/$C$10))-1</f>
        <v>#N/A</v>
      </c>
      <c r="BM25" s="69" t="e">
        <f ca="1">IF(BM4&lt;$C$10,(BM5/OFFSET(BM5,0,-BM4))^(1/BM4),(BM5/OFFSET(BM5,0,-$C$10))^(1/$C$10))-1</f>
        <v>#N/A</v>
      </c>
      <c r="BN25" s="69" t="e">
        <f ca="1">IF(BN4&lt;$C$10,(BN5/OFFSET(BN5,0,-BN4))^(1/BN4),(BN5/OFFSET(BN5,0,-$C$10))^(1/$C$10))-1</f>
        <v>#N/A</v>
      </c>
      <c r="BO25" s="69" t="e">
        <f ca="1">IF(BO4&lt;$C$10,(BO5/OFFSET(BO5,0,-BO4))^(1/BO4),(BO5/OFFSET(BO5,0,-$C$10))^(1/$C$10))-1</f>
        <v>#N/A</v>
      </c>
      <c r="BP25" s="69" t="e">
        <f ca="1">IF(BP4&lt;$C$10,(BP5/OFFSET(BP5,0,-BP4))^(1/BP4),(BP5/OFFSET(BP5,0,-$C$10))^(1/$C$10))-1</f>
        <v>#N/A</v>
      </c>
      <c r="BQ25" s="69" t="e">
        <f ca="1">IF(BQ4&lt;$C$10,(BQ5/OFFSET(BQ5,0,-BQ4))^(1/BQ4),(BQ5/OFFSET(BQ5,0,-$C$10))^(1/$C$10))-1</f>
        <v>#N/A</v>
      </c>
      <c r="BR25" s="69" t="e">
        <f ca="1">IF(BR4&lt;$C$10,(BR5/OFFSET(BR5,0,-BR4))^(1/BR4),(BR5/OFFSET(BR5,0,-$C$10))^(1/$C$10))-1</f>
        <v>#N/A</v>
      </c>
      <c r="BS25" s="69" t="e">
        <f ca="1">IF(BS4&lt;$C$10,(BS5/OFFSET(BS5,0,-BS4))^(1/BS4),(BS5/OFFSET(BS5,0,-$C$10))^(1/$C$10))-1</f>
        <v>#N/A</v>
      </c>
      <c r="BT25" s="69" t="e">
        <f ca="1">IF(BT4&lt;$C$10,(BT5/OFFSET(BT5,0,-BT4))^(1/BT4),(BT5/OFFSET(BT5,0,-$C$10))^(1/$C$10))-1</f>
        <v>#N/A</v>
      </c>
      <c r="BU25" s="69" t="e">
        <f ca="1">IF(BU4&lt;$C$10,(BU5/OFFSET(BU5,0,-BU4))^(1/BU4),(BU5/OFFSET(BU5,0,-$C$10))^(1/$C$10))-1</f>
        <v>#N/A</v>
      </c>
      <c r="BV25" s="69" t="e">
        <f ca="1">IF(BV4&lt;$C$10,(BV5/OFFSET(BV5,0,-BV4))^(1/BV4),(BV5/OFFSET(BV5,0,-$C$10))^(1/$C$10))-1</f>
        <v>#N/A</v>
      </c>
      <c r="BW25" s="69" t="e">
        <f ca="1">IF(BW4&lt;$C$10,(BW5/OFFSET(BW5,0,-BW4))^(1/BW4),(BW5/OFFSET(BW5,0,-$C$10))^(1/$C$10))-1</f>
        <v>#N/A</v>
      </c>
      <c r="BX25" s="69" t="e">
        <f ca="1">IF(BX4&lt;$C$10,(BX5/OFFSET(BX5,0,-BX4))^(1/BX4),(BX5/OFFSET(BX5,0,-$C$10))^(1/$C$10))-1</f>
        <v>#N/A</v>
      </c>
      <c r="BY25" s="69" t="e">
        <f ca="1">IF(BY4&lt;$C$10,(BY5/OFFSET(BY5,0,-BY4))^(1/BY4),(BY5/OFFSET(BY5,0,-$C$10))^(1/$C$10))-1</f>
        <v>#N/A</v>
      </c>
      <c r="BZ25" s="69" t="e">
        <f ca="1">IF(BZ4&lt;$C$10,(BZ5/OFFSET(BZ5,0,-BZ4))^(1/BZ4),(BZ5/OFFSET(BZ5,0,-$C$10))^(1/$C$10))-1</f>
        <v>#N/A</v>
      </c>
      <c r="CA25" s="69" t="e">
        <f ca="1">IF(CA4&lt;$C$10,(CA5/OFFSET(CA5,0,-CA4))^(1/CA4),(CA5/OFFSET(CA5,0,-$C$10))^(1/$C$10))-1</f>
        <v>#N/A</v>
      </c>
      <c r="CB25" s="69" t="e">
        <f ca="1">IF(CB4&lt;$C$10,(CB5/OFFSET(CB5,0,-CB4))^(1/CB4),(CB5/OFFSET(CB5,0,-$C$10))^(1/$C$10))-1</f>
        <v>#N/A</v>
      </c>
      <c r="CC25" s="69" t="e">
        <f ca="1">IF(CC4&lt;$C$10,(CC5/OFFSET(CC5,0,-CC4))^(1/CC4),(CC5/OFFSET(CC5,0,-$C$10))^(1/$C$10))-1</f>
        <v>#N/A</v>
      </c>
      <c r="CD25" s="69" t="e">
        <f ca="1">IF(CD4&lt;$C$10,(CD5/OFFSET(CD5,0,-CD4))^(1/CD4),(CD5/OFFSET(CD5,0,-$C$10))^(1/$C$10))-1</f>
        <v>#N/A</v>
      </c>
      <c r="CE25" s="69" t="e">
        <f ca="1">IF(CE4&lt;$C$10,(CE5/OFFSET(CE5,0,-CE4))^(1/CE4),(CE5/OFFSET(CE5,0,-$C$10))^(1/$C$10))-1</f>
        <v>#N/A</v>
      </c>
      <c r="CF25" s="69" t="e">
        <f ca="1">IF(CF4&lt;$C$10,(CF5/OFFSET(CF5,0,-CF4))^(1/CF4),(CF5/OFFSET(CF5,0,-$C$10))^(1/$C$10))-1</f>
        <v>#N/A</v>
      </c>
      <c r="CG25" s="69" t="e">
        <f ca="1">IF(CG4&lt;$C$10,(CG5/OFFSET(CG5,0,-CG4))^(1/CG4),(CG5/OFFSET(CG5,0,-$C$10))^(1/$C$10))-1</f>
        <v>#N/A</v>
      </c>
      <c r="CH25" s="69" t="e">
        <f ca="1">IF(CH4&lt;$C$10,(CH5/OFFSET(CH5,0,-CH4))^(1/CH4),(CH5/OFFSET(CH5,0,-$C$10))^(1/$C$10))-1</f>
        <v>#N/A</v>
      </c>
      <c r="CI25" s="69" t="e">
        <f ca="1">IF(CI4&lt;$C$10,(CI5/OFFSET(CI5,0,-CI4))^(1/CI4),(CI5/OFFSET(CI5,0,-$C$10))^(1/$C$10))-1</f>
        <v>#N/A</v>
      </c>
      <c r="CJ25" s="69" t="e">
        <f ca="1">IF(CJ4&lt;$C$10,(CJ5/OFFSET(CJ5,0,-CJ4))^(1/CJ4),(CJ5/OFFSET(CJ5,0,-$C$10))^(1/$C$10))-1</f>
        <v>#N/A</v>
      </c>
      <c r="CK25" s="69" t="e">
        <f ca="1">IF(CK4&lt;$C$10,(CK5/OFFSET(CK5,0,-CK4))^(1/CK4),(CK5/OFFSET(CK5,0,-$C$10))^(1/$C$10))-1</f>
        <v>#N/A</v>
      </c>
      <c r="CL25" s="69" t="e">
        <f ca="1">IF(CL4&lt;$C$10,(CL5/OFFSET(CL5,0,-CL4))^(1/CL4),(CL5/OFFSET(CL5,0,-$C$10))^(1/$C$10))-1</f>
        <v>#N/A</v>
      </c>
      <c r="CM25" s="69" t="e">
        <f ca="1">IF(CM4&lt;$C$10,(CM5/OFFSET(CM5,0,-CM4))^(1/CM4),(CM5/OFFSET(CM5,0,-$C$10))^(1/$C$10))-1</f>
        <v>#N/A</v>
      </c>
      <c r="CN25" s="69" t="e">
        <f ca="1">IF(CN4&lt;$C$10,(CN5/OFFSET(CN5,0,-CN4))^(1/CN4),(CN5/OFFSET(CN5,0,-$C$10))^(1/$C$10))-1</f>
        <v>#N/A</v>
      </c>
      <c r="CO25" s="69" t="e">
        <f ca="1">IF(CO4&lt;$C$10,(CO5/OFFSET(CO5,0,-CO4))^(1/CO4),(CO5/OFFSET(CO5,0,-$C$10))^(1/$C$10))-1</f>
        <v>#N/A</v>
      </c>
      <c r="CP25" s="69" t="e">
        <f ca="1">IF(CP4&lt;$C$10,(CP5/OFFSET(CP5,0,-CP4))^(1/CP4),(CP5/OFFSET(CP5,0,-$C$10))^(1/$C$10))-1</f>
        <v>#N/A</v>
      </c>
      <c r="CQ25" s="69" t="e">
        <f ca="1">IF(CQ4&lt;$C$10,(CQ5/OFFSET(CQ5,0,-CQ4))^(1/CQ4),(CQ5/OFFSET(CQ5,0,-$C$10))^(1/$C$10))-1</f>
        <v>#N/A</v>
      </c>
      <c r="CR25" s="69" t="e">
        <f ca="1">IF(CR4&lt;$C$10,(CR5/OFFSET(CR5,0,-CR4))^(1/CR4),(CR5/OFFSET(CR5,0,-$C$10))^(1/$C$10))-1</f>
        <v>#N/A</v>
      </c>
      <c r="CS25" s="69" t="e">
        <f ca="1">IF(CS4&lt;$C$10,(CS5/OFFSET(CS5,0,-CS4))^(1/CS4),(CS5/OFFSET(CS5,0,-$C$10))^(1/$C$10))-1</f>
        <v>#N/A</v>
      </c>
      <c r="CT25" s="69" t="e">
        <f ca="1">IF(CT4&lt;$C$10,(CT5/OFFSET(CT5,0,-CT4))^(1/CT4),(CT5/OFFSET(CT5,0,-$C$10))^(1/$C$10))-1</f>
        <v>#N/A</v>
      </c>
      <c r="CU25" s="69" t="e">
        <f ca="1">IF(CU4&lt;$C$10,(CU5/OFFSET(CU5,0,-CU4))^(1/CU4),(CU5/OFFSET(CU5,0,-$C$10))^(1/$C$10))-1</f>
        <v>#N/A</v>
      </c>
      <c r="CV25" s="69" t="e">
        <f ca="1">IF(CV4&lt;$C$10,(CV5/OFFSET(CV5,0,-CV4))^(1/CV4),(CV5/OFFSET(CV5,0,-$C$10))^(1/$C$10))-1</f>
        <v>#N/A</v>
      </c>
      <c r="CW25" s="69" t="e">
        <f ca="1">IF(CW4&lt;$C$10,(CW5/OFFSET(CW5,0,-CW4))^(1/CW4),(CW5/OFFSET(CW5,0,-$C$10))^(1/$C$10))-1</f>
        <v>#N/A</v>
      </c>
      <c r="CX25" s="69" t="e">
        <f ca="1">IF(CX4&lt;$C$10,(CX5/OFFSET(CX5,0,-CX4))^(1/CX4),(CX5/OFFSET(CX5,0,-$C$10))^(1/$C$10))-1</f>
        <v>#N/A</v>
      </c>
      <c r="CY25" s="69" t="e">
        <f ca="1">IF(CY4&lt;$C$10,(CY5/OFFSET(CY5,0,-CY4))^(1/CY4),(CY5/OFFSET(CY5,0,-$C$10))^(1/$C$10))-1</f>
        <v>#N/A</v>
      </c>
      <c r="CZ25" s="69" t="e">
        <f ca="1">IF(CZ4&lt;$C$10,(CZ5/OFFSET(CZ5,0,-CZ4))^(1/CZ4),(CZ5/OFFSET(CZ5,0,-$C$10))^(1/$C$10))-1</f>
        <v>#N/A</v>
      </c>
      <c r="DA25" s="69" t="e">
        <f ca="1">IF(DA4&lt;$C$10,(DA5/OFFSET(DA5,0,-DA4))^(1/DA4),(DA5/OFFSET(DA5,0,-$C$10))^(1/$C$10))-1</f>
        <v>#N/A</v>
      </c>
      <c r="DB25" s="69" t="e">
        <f ca="1">IF(DB4&lt;$C$10,(DB5/OFFSET(DB5,0,-DB4))^(1/DB4),(DB5/OFFSET(DB5,0,-$C$10))^(1/$C$10))-1</f>
        <v>#N/A</v>
      </c>
      <c r="DC25" s="69" t="e">
        <f ca="1">IF(DC4&lt;$C$10,(DC5/OFFSET(DC5,0,-DC4))^(1/DC4),(DC5/OFFSET(DC5,0,-$C$10))^(1/$C$10))-1</f>
        <v>#N/A</v>
      </c>
      <c r="DD25" s="69" t="e">
        <f ca="1">IF(DD4&lt;$C$10,(DD5/OFFSET(DD5,0,-DD4))^(1/DD4),(DD5/OFFSET(DD5,0,-$C$10))^(1/$C$10))-1</f>
        <v>#N/A</v>
      </c>
      <c r="DE25" s="69" t="e">
        <f ca="1">IF(DE4&lt;$C$10,(DE5/OFFSET(DE5,0,-DE4))^(1/DE4),(DE5/OFFSET(DE5,0,-$C$10))^(1/$C$10))-1</f>
        <v>#N/A</v>
      </c>
      <c r="DF25" s="69" t="e">
        <f ca="1">IF(DF4&lt;$C$10,(DF5/OFFSET(DF5,0,-DF4))^(1/DF4),(DF5/OFFSET(DF5,0,-$C$10))^(1/$C$10))-1</f>
        <v>#N/A</v>
      </c>
      <c r="DG25" s="69" t="e">
        <f ca="1">IF(DG4&lt;$C$10,(DG5/OFFSET(DG5,0,-DG4))^(1/DG4),(DG5/OFFSET(DG5,0,-$C$10))^(1/$C$10))-1</f>
        <v>#N/A</v>
      </c>
      <c r="DH25" s="69" t="e">
        <f ca="1">IF(DH4&lt;$C$10,(DH5/OFFSET(DH5,0,-DH4))^(1/DH4),(DH5/OFFSET(DH5,0,-$C$10))^(1/$C$10))-1</f>
        <v>#N/A</v>
      </c>
      <c r="DI25" s="69" t="e">
        <f ca="1">IF(DI4&lt;$C$10,(DI5/OFFSET(DI5,0,-DI4))^(1/DI4),(DI5/OFFSET(DI5,0,-$C$10))^(1/$C$10))-1</f>
        <v>#N/A</v>
      </c>
      <c r="DJ25" s="69" t="e">
        <f ca="1">IF(DJ4&lt;$C$10,(DJ5/OFFSET(DJ5,0,-DJ4))^(1/DJ4),(DJ5/OFFSET(DJ5,0,-$C$10))^(1/$C$10))-1</f>
        <v>#N/A</v>
      </c>
      <c r="DK25" s="69" t="e">
        <f ca="1">IF(DK4&lt;$C$10,(DK5/OFFSET(DK5,0,-DK4))^(1/DK4),(DK5/OFFSET(DK5,0,-$C$10))^(1/$C$10))-1</f>
        <v>#N/A</v>
      </c>
      <c r="DL25" s="69" t="e">
        <f ca="1">IF(DL4&lt;$C$10,(DL5/OFFSET(DL5,0,-DL4))^(1/DL4),(DL5/OFFSET(DL5,0,-$C$10))^(1/$C$10))-1</f>
        <v>#N/A</v>
      </c>
      <c r="DM25" s="69" t="e">
        <f ca="1">IF(DM4&lt;$C$10,(DM5/OFFSET(DM5,0,-DM4))^(1/DM4),(DM5/OFFSET(DM5,0,-$C$10))^(1/$C$10))-1</f>
        <v>#N/A</v>
      </c>
      <c r="DN25" s="69" t="e">
        <f ca="1">IF(DN4&lt;$C$10,(DN5/OFFSET(DN5,0,-DN4))^(1/DN4),(DN5/OFFSET(DN5,0,-$C$10))^(1/$C$10))-1</f>
        <v>#N/A</v>
      </c>
      <c r="DO25" s="69" t="e">
        <f ca="1">IF(DO4&lt;$C$10,(DO5/OFFSET(DO5,0,-DO4))^(1/DO4),(DO5/OFFSET(DO5,0,-$C$10))^(1/$C$10))-1</f>
        <v>#N/A</v>
      </c>
      <c r="DP25" s="69" t="e">
        <f ca="1">IF(DP4&lt;$C$10,(DP5/OFFSET(DP5,0,-DP4))^(1/DP4),(DP5/OFFSET(DP5,0,-$C$10))^(1/$C$10))-1</f>
        <v>#N/A</v>
      </c>
      <c r="DQ25" s="69" t="e">
        <f ca="1">IF(DQ4&lt;$C$10,(DQ5/OFFSET(DQ5,0,-DQ4))^(1/DQ4),(DQ5/OFFSET(DQ5,0,-$C$10))^(1/$C$10))-1</f>
        <v>#N/A</v>
      </c>
      <c r="DR25" s="69" t="e">
        <f ca="1">IF(DR4&lt;$C$10,(DR5/OFFSET(DR5,0,-DR4))^(1/DR4),(DR5/OFFSET(DR5,0,-$C$10))^(1/$C$10))-1</f>
        <v>#N/A</v>
      </c>
      <c r="DS25" s="69" t="e">
        <f ca="1">IF(DS4&lt;$C$10,(DS5/OFFSET(DS5,0,-DS4))^(1/DS4),(DS5/OFFSET(DS5,0,-$C$10))^(1/$C$10))-1</f>
        <v>#N/A</v>
      </c>
      <c r="DT25" s="69" t="e">
        <f ca="1">IF(DT4&lt;$C$10,(DT5/OFFSET(DT5,0,-DT4))^(1/DT4),(DT5/OFFSET(DT5,0,-$C$10))^(1/$C$10))-1</f>
        <v>#N/A</v>
      </c>
      <c r="DU25" s="69" t="e">
        <f ca="1">IF(DU4&lt;$C$10,(DU5/OFFSET(DU5,0,-DU4))^(1/DU4),(DU5/OFFSET(DU5,0,-$C$10))^(1/$C$10))-1</f>
        <v>#N/A</v>
      </c>
      <c r="DV25" s="69" t="e">
        <f ca="1">IF(DV4&lt;$C$10,(DV5/OFFSET(DV5,0,-DV4))^(1/DV4),(DV5/OFFSET(DV5,0,-$C$10))^(1/$C$10))-1</f>
        <v>#N/A</v>
      </c>
      <c r="DW25" s="69" t="e">
        <f ca="1">IF(DW4&lt;$C$10,(DW5/OFFSET(DW5,0,-DW4))^(1/DW4),(DW5/OFFSET(DW5,0,-$C$10))^(1/$C$10))-1</f>
        <v>#N/A</v>
      </c>
      <c r="DX25" s="69" t="e">
        <f ca="1">IF(DX4&lt;$C$10,(DX5/OFFSET(DX5,0,-DX4))^(1/DX4),(DX5/OFFSET(DX5,0,-$C$10))^(1/$C$10))-1</f>
        <v>#N/A</v>
      </c>
      <c r="DY25" s="69" t="e">
        <f ca="1">IF(DY4&lt;$C$10,(DY5/OFFSET(DY5,0,-DY4))^(1/DY4),(DY5/OFFSET(DY5,0,-$C$10))^(1/$C$10))-1</f>
        <v>#N/A</v>
      </c>
      <c r="DZ25" s="69" t="e">
        <f ca="1">IF(DZ4&lt;$C$10,(DZ5/OFFSET(DZ5,0,-DZ4))^(1/DZ4),(DZ5/OFFSET(DZ5,0,-$C$10))^(1/$C$10))-1</f>
        <v>#N/A</v>
      </c>
      <c r="EA25" s="69" t="e">
        <f ca="1">IF(EA4&lt;$C$10,(EA5/OFFSET(EA5,0,-EA4))^(1/EA4),(EA5/OFFSET(EA5,0,-$C$10))^(1/$C$10))-1</f>
        <v>#N/A</v>
      </c>
      <c r="EB25" s="69" t="e">
        <f ca="1">IF(EB4&lt;$C$10,(EB5/OFFSET(EB5,0,-EB4))^(1/EB4),(EB5/OFFSET(EB5,0,-$C$10))^(1/$C$10))-1</f>
        <v>#N/A</v>
      </c>
      <c r="EC25" s="69" t="e">
        <f ca="1">IF(EC4&lt;$C$10,(EC5/OFFSET(EC5,0,-EC4))^(1/EC4),(EC5/OFFSET(EC5,0,-$C$10))^(1/$C$10))-1</f>
        <v>#N/A</v>
      </c>
      <c r="ED25" s="69" t="e">
        <f ca="1">IF(ED4&lt;$C$10,(ED5/OFFSET(ED5,0,-ED4))^(1/ED4),(ED5/OFFSET(ED5,0,-$C$10))^(1/$C$10))-1</f>
        <v>#N/A</v>
      </c>
      <c r="EE25" s="69" t="e">
        <f ca="1">IF(EE4&lt;$C$10,(EE5/OFFSET(EE5,0,-EE4))^(1/EE4),(EE5/OFFSET(EE5,0,-$C$10))^(1/$C$10))-1</f>
        <v>#N/A</v>
      </c>
      <c r="EF25" s="69" t="e">
        <f ca="1">IF(EF4&lt;$C$10,(EF5/OFFSET(EF5,0,-EF4))^(1/EF4),(EF5/OFFSET(EF5,0,-$C$10))^(1/$C$10))-1</f>
        <v>#N/A</v>
      </c>
      <c r="EG25" s="69" t="e">
        <f ca="1">IF(EG4&lt;$C$10,(EG5/OFFSET(EG5,0,-EG4))^(1/EG4),(EG5/OFFSET(EG5,0,-$C$10))^(1/$C$10))-1</f>
        <v>#N/A</v>
      </c>
      <c r="EH25" s="69" t="e">
        <f ca="1">IF(EH4&lt;$C$10,(EH5/OFFSET(EH5,0,-EH4))^(1/EH4),(EH5/OFFSET(EH5,0,-$C$10))^(1/$C$10))-1</f>
        <v>#N/A</v>
      </c>
      <c r="EI25" s="69" t="e">
        <f ca="1">IF(EI4&lt;$C$10,(EI5/OFFSET(EI5,0,-EI4))^(1/EI4),(EI5/OFFSET(EI5,0,-$C$10))^(1/$C$10))-1</f>
        <v>#N/A</v>
      </c>
      <c r="EJ25" s="69" t="e">
        <f ca="1">IF(EJ4&lt;$C$10,(EJ5/OFFSET(EJ5,0,-EJ4))^(1/EJ4),(EJ5/OFFSET(EJ5,0,-$C$10))^(1/$C$10))-1</f>
        <v>#N/A</v>
      </c>
      <c r="EK25" s="69" t="e">
        <f ca="1">IF(EK4&lt;$C$10,(EK5/OFFSET(EK5,0,-EK4))^(1/EK4),(EK5/OFFSET(EK5,0,-$C$10))^(1/$C$10))-1</f>
        <v>#N/A</v>
      </c>
      <c r="EL25" s="69" t="e">
        <f ca="1">IF(EL4&lt;$C$10,(EL5/OFFSET(EL5,0,-EL4))^(1/EL4),(EL5/OFFSET(EL5,0,-$C$10))^(1/$C$10))-1</f>
        <v>#N/A</v>
      </c>
      <c r="EM25" s="69" t="e">
        <f ca="1">IF(EM4&lt;$C$10,(EM5/OFFSET(EM5,0,-EM4))^(1/EM4),(EM5/OFFSET(EM5,0,-$C$10))^(1/$C$10))-1</f>
        <v>#N/A</v>
      </c>
      <c r="EN25" s="69" t="e">
        <f ca="1">IF(EN4&lt;$C$10,(EN5/OFFSET(EN5,0,-EN4))^(1/EN4),(EN5/OFFSET(EN5,0,-$C$10))^(1/$C$10))-1</f>
        <v>#N/A</v>
      </c>
      <c r="EO25" s="69" t="e">
        <f ca="1">IF(EO4&lt;$C$10,(EO5/OFFSET(EO5,0,-EO4))^(1/EO4),(EO5/OFFSET(EO5,0,-$C$10))^(1/$C$10))-1</f>
        <v>#N/A</v>
      </c>
      <c r="EP25" s="69" t="e">
        <f ca="1">IF(EP4&lt;$C$10,(EP5/OFFSET(EP5,0,-EP4))^(1/EP4),(EP5/OFFSET(EP5,0,-$C$10))^(1/$C$10))-1</f>
        <v>#N/A</v>
      </c>
      <c r="EQ25" s="69" t="e">
        <f ca="1">IF(EQ4&lt;$C$10,(EQ5/OFFSET(EQ5,0,-EQ4))^(1/EQ4),(EQ5/OFFSET(EQ5,0,-$C$10))^(1/$C$10))-1</f>
        <v>#N/A</v>
      </c>
      <c r="ER25" s="69" t="e">
        <f ca="1">IF(ER4&lt;$C$10,(ER5/OFFSET(ER5,0,-ER4))^(1/ER4),(ER5/OFFSET(ER5,0,-$C$10))^(1/$C$10))-1</f>
        <v>#N/A</v>
      </c>
      <c r="ES25" s="69" t="e">
        <f ca="1">IF(ES4&lt;$C$10,(ES5/OFFSET(ES5,0,-ES4))^(1/ES4),(ES5/OFFSET(ES5,0,-$C$10))^(1/$C$10))-1</f>
        <v>#N/A</v>
      </c>
      <c r="ET25" s="69" t="e">
        <f ca="1">IF(ET4&lt;$C$10,(ET5/OFFSET(ET5,0,-ET4))^(1/ET4),(ET5/OFFSET(ET5,0,-$C$10))^(1/$C$10))-1</f>
        <v>#N/A</v>
      </c>
      <c r="EU25" s="69" t="e">
        <f ca="1">IF(EU4&lt;$C$10,(EU5/OFFSET(EU5,0,-EU4))^(1/EU4),(EU5/OFFSET(EU5,0,-$C$10))^(1/$C$10))-1</f>
        <v>#N/A</v>
      </c>
      <c r="EV25" s="69" t="e">
        <f ca="1">IF(EV4&lt;$C$10,(EV5/OFFSET(EV5,0,-EV4))^(1/EV4),(EV5/OFFSET(EV5,0,-$C$10))^(1/$C$10))-1</f>
        <v>#N/A</v>
      </c>
      <c r="EW25" s="69" t="e">
        <f ca="1">IF(EW4&lt;$C$10,(EW5/OFFSET(EW5,0,-EW4))^(1/EW4),(EW5/OFFSET(EW5,0,-$C$10))^(1/$C$10))-1</f>
        <v>#N/A</v>
      </c>
      <c r="EX25" s="69" t="e">
        <f ca="1">IF(EX4&lt;$C$10,(EX5/OFFSET(EX5,0,-EX4))^(1/EX4),(EX5/OFFSET(EX5,0,-$C$10))^(1/$C$10))-1</f>
        <v>#N/A</v>
      </c>
      <c r="EY25" s="69" t="e">
        <f ca="1">IF(EY4&lt;$C$10,(EY5/OFFSET(EY5,0,-EY4))^(1/EY4),(EY5/OFFSET(EY5,0,-$C$10))^(1/$C$10))-1</f>
        <v>#N/A</v>
      </c>
      <c r="EZ25" s="69" t="e">
        <f ca="1">IF(EZ4&lt;$C$10,(EZ5/OFFSET(EZ5,0,-EZ4))^(1/EZ4),(EZ5/OFFSET(EZ5,0,-$C$10))^(1/$C$10))-1</f>
        <v>#N/A</v>
      </c>
      <c r="FA25" s="69" t="e">
        <f ca="1">IF(FA4&lt;$C$10,(FA5/OFFSET(FA5,0,-FA4))^(1/FA4),(FA5/OFFSET(FA5,0,-$C$10))^(1/$C$10))-1</f>
        <v>#N/A</v>
      </c>
      <c r="FB25" s="69" t="e">
        <f ca="1">IF(FB4&lt;$C$10,(FB5/OFFSET(FB5,0,-FB4))^(1/FB4),(FB5/OFFSET(FB5,0,-$C$10))^(1/$C$10))-1</f>
        <v>#N/A</v>
      </c>
      <c r="FC25" s="69" t="e">
        <f ca="1">IF(FC4&lt;$C$10,(FC5/OFFSET(FC5,0,-FC4))^(1/FC4),(FC5/OFFSET(FC5,0,-$C$10))^(1/$C$10))-1</f>
        <v>#N/A</v>
      </c>
      <c r="FD25" s="69" t="e">
        <f ca="1">IF(FD4&lt;$C$10,(FD5/OFFSET(FD5,0,-FD4))^(1/FD4),(FD5/OFFSET(FD5,0,-$C$10))^(1/$C$10))-1</f>
        <v>#N/A</v>
      </c>
      <c r="FE25" s="69" t="e">
        <f ca="1">IF(FE4&lt;$C$10,(FE5/OFFSET(FE5,0,-FE4))^(1/FE4),(FE5/OFFSET(FE5,0,-$C$10))^(1/$C$10))-1</f>
        <v>#N/A</v>
      </c>
      <c r="FF25" s="69" t="e">
        <f ca="1">IF(FF4&lt;$C$10,(FF5/OFFSET(FF5,0,-FF4))^(1/FF4),(FF5/OFFSET(FF5,0,-$C$10))^(1/$C$10))-1</f>
        <v>#N/A</v>
      </c>
      <c r="FG25" s="69" t="e">
        <f ca="1">IF(FG4&lt;$C$10,(FG5/OFFSET(FG5,0,-FG4))^(1/FG4),(FG5/OFFSET(FG5,0,-$C$10))^(1/$C$10))-1</f>
        <v>#N/A</v>
      </c>
      <c r="FH25" s="69" t="e">
        <f ca="1">IF(FH4&lt;$C$10,(FH5/OFFSET(FH5,0,-FH4))^(1/FH4),(FH5/OFFSET(FH5,0,-$C$10))^(1/$C$10))-1</f>
        <v>#N/A</v>
      </c>
      <c r="FI25" s="69" t="e">
        <f ca="1">IF(FI4&lt;$C$10,(FI5/OFFSET(FI5,0,-FI4))^(1/FI4),(FI5/OFFSET(FI5,0,-$C$10))^(1/$C$10))-1</f>
        <v>#N/A</v>
      </c>
      <c r="FJ25" s="69" t="e">
        <f ca="1">IF(FJ4&lt;$C$10,(FJ5/OFFSET(FJ5,0,-FJ4))^(1/FJ4),(FJ5/OFFSET(FJ5,0,-$C$10))^(1/$C$10))-1</f>
        <v>#N/A</v>
      </c>
      <c r="FK25" s="69" t="e">
        <f ca="1">IF(FK4&lt;$C$10,(FK5/OFFSET(FK5,0,-FK4))^(1/FK4),(FK5/OFFSET(FK5,0,-$C$10))^(1/$C$10))-1</f>
        <v>#N/A</v>
      </c>
      <c r="FL25" s="69" t="e">
        <f ca="1">IF(FL4&lt;$C$10,(FL5/OFFSET(FL5,0,-FL4))^(1/FL4),(FL5/OFFSET(FL5,0,-$C$10))^(1/$C$10))-1</f>
        <v>#N/A</v>
      </c>
      <c r="FM25" s="69" t="e">
        <f ca="1">IF(FM4&lt;$C$10,(FM5/OFFSET(FM5,0,-FM4))^(1/FM4),(FM5/OFFSET(FM5,0,-$C$10))^(1/$C$10))-1</f>
        <v>#N/A</v>
      </c>
      <c r="FN25" s="69" t="e">
        <f ca="1">IF(FN4&lt;$C$10,(FN5/OFFSET(FN5,0,-FN4))^(1/FN4),(FN5/OFFSET(FN5,0,-$C$10))^(1/$C$10))-1</f>
        <v>#N/A</v>
      </c>
      <c r="FO25" s="69" t="e">
        <f ca="1">IF(FO4&lt;$C$10,(FO5/OFFSET(FO5,0,-FO4))^(1/FO4),(FO5/OFFSET(FO5,0,-$C$10))^(1/$C$10))-1</f>
        <v>#N/A</v>
      </c>
      <c r="FP25" s="69" t="e">
        <f ca="1">IF(FP4&lt;$C$10,(FP5/OFFSET(FP5,0,-FP4))^(1/FP4),(FP5/OFFSET(FP5,0,-$C$10))^(1/$C$10))-1</f>
        <v>#N/A</v>
      </c>
      <c r="FQ25" s="69" t="e">
        <f ca="1">IF(FQ4&lt;$C$10,(FQ5/OFFSET(FQ5,0,-FQ4))^(1/FQ4),(FQ5/OFFSET(FQ5,0,-$C$10))^(1/$C$10))-1</f>
        <v>#N/A</v>
      </c>
      <c r="FR25" s="69" t="e">
        <f ca="1">IF(FR4&lt;$C$10,(FR5/OFFSET(FR5,0,-FR4))^(1/FR4),(FR5/OFFSET(FR5,0,-$C$10))^(1/$C$10))-1</f>
        <v>#N/A</v>
      </c>
      <c r="FS25" s="69" t="e">
        <f ca="1">IF(FS4&lt;$C$10,(FS5/OFFSET(FS5,0,-FS4))^(1/FS4),(FS5/OFFSET(FS5,0,-$C$10))^(1/$C$10))-1</f>
        <v>#N/A</v>
      </c>
      <c r="FT25" s="69" t="e">
        <f ca="1">IF(FT4&lt;$C$10,(FT5/OFFSET(FT5,0,-FT4))^(1/FT4),(FT5/OFFSET(FT5,0,-$C$10))^(1/$C$10))-1</f>
        <v>#N/A</v>
      </c>
      <c r="FU25" s="69" t="e">
        <f ca="1">IF(FU4&lt;$C$10,(FU5/OFFSET(FU5,0,-FU4))^(1/FU4),(FU5/OFFSET(FU5,0,-$C$10))^(1/$C$10))-1</f>
        <v>#N/A</v>
      </c>
      <c r="FV25" s="69" t="e">
        <f ca="1">IF(FV4&lt;$C$10,(FV5/OFFSET(FV5,0,-FV4))^(1/FV4),(FV5/OFFSET(FV5,0,-$C$10))^(1/$C$10))-1</f>
        <v>#N/A</v>
      </c>
      <c r="FW25" s="69" t="e">
        <f ca="1">IF(FW4&lt;$C$10,(FW5/OFFSET(FW5,0,-FW4))^(1/FW4),(FW5/OFFSET(FW5,0,-$C$10))^(1/$C$10))-1</f>
        <v>#N/A</v>
      </c>
      <c r="FX25" s="69" t="e">
        <f ca="1">IF(FX4&lt;$C$10,(FX5/OFFSET(FX5,0,-FX4))^(1/FX4),(FX5/OFFSET(FX5,0,-$C$10))^(1/$C$10))-1</f>
        <v>#N/A</v>
      </c>
      <c r="FY25" s="69" t="e">
        <f ca="1">IF(FY4&lt;$C$10,(FY5/OFFSET(FY5,0,-FY4))^(1/FY4),(FY5/OFFSET(FY5,0,-$C$10))^(1/$C$10))-1</f>
        <v>#N/A</v>
      </c>
      <c r="FZ25" s="69" t="e">
        <f ca="1">IF(FZ4&lt;$C$10,(FZ5/OFFSET(FZ5,0,-FZ4))^(1/FZ4),(FZ5/OFFSET(FZ5,0,-$C$10))^(1/$C$10))-1</f>
        <v>#N/A</v>
      </c>
      <c r="GA25" s="69" t="e">
        <f ca="1">IF(GA4&lt;$C$10,(GA5/OFFSET(GA5,0,-GA4))^(1/GA4),(GA5/OFFSET(GA5,0,-$C$10))^(1/$C$10))-1</f>
        <v>#N/A</v>
      </c>
      <c r="GB25" s="69" t="e">
        <f ca="1">IF(GB4&lt;$C$10,(GB5/OFFSET(GB5,0,-GB4))^(1/GB4),(GB5/OFFSET(GB5,0,-$C$10))^(1/$C$10))-1</f>
        <v>#N/A</v>
      </c>
      <c r="GC25" s="69" t="e">
        <f ca="1">IF(GC4&lt;$C$10,(GC5/OFFSET(GC5,0,-GC4))^(1/GC4),(GC5/OFFSET(GC5,0,-$C$10))^(1/$C$10))-1</f>
        <v>#N/A</v>
      </c>
      <c r="GD25" s="69" t="e">
        <f ca="1">IF(GD4&lt;$C$10,(GD5/OFFSET(GD5,0,-GD4))^(1/GD4),(GD5/OFFSET(GD5,0,-$C$10))^(1/$C$10))-1</f>
        <v>#N/A</v>
      </c>
      <c r="GE25" s="69" t="e">
        <f ca="1">IF(GE4&lt;$C$10,(GE5/OFFSET(GE5,0,-GE4))^(1/GE4),(GE5/OFFSET(GE5,0,-$C$10))^(1/$C$10))-1</f>
        <v>#N/A</v>
      </c>
      <c r="GF25" s="69" t="e">
        <f ca="1">IF(GF4&lt;$C$10,(GF5/OFFSET(GF5,0,-GF4))^(1/GF4),(GF5/OFFSET(GF5,0,-$C$10))^(1/$C$10))-1</f>
        <v>#N/A</v>
      </c>
      <c r="GG25" s="69" t="e">
        <f ca="1">IF(GG4&lt;$C$10,(GG5/OFFSET(GG5,0,-GG4))^(1/GG4),(GG5/OFFSET(GG5,0,-$C$10))^(1/$C$10))-1</f>
        <v>#N/A</v>
      </c>
      <c r="GH25" s="69" t="e">
        <f ca="1">IF(GH4&lt;$C$10,(GH5/OFFSET(GH5,0,-GH4))^(1/GH4),(GH5/OFFSET(GH5,0,-$C$10))^(1/$C$10))-1</f>
        <v>#N/A</v>
      </c>
      <c r="GI25" s="69" t="e">
        <f ca="1">IF(GI4&lt;$C$10,(GI5/OFFSET(GI5,0,-GI4))^(1/GI4),(GI5/OFFSET(GI5,0,-$C$10))^(1/$C$10))-1</f>
        <v>#N/A</v>
      </c>
      <c r="GJ25" s="69" t="e">
        <f ca="1">IF(GJ4&lt;$C$10,(GJ5/OFFSET(GJ5,0,-GJ4))^(1/GJ4),(GJ5/OFFSET(GJ5,0,-$C$10))^(1/$C$10))-1</f>
        <v>#N/A</v>
      </c>
      <c r="GK25" s="69" t="e">
        <f ca="1">IF(GK4&lt;$C$10,(GK5/OFFSET(GK5,0,-GK4))^(1/GK4),(GK5/OFFSET(GK5,0,-$C$10))^(1/$C$10))-1</f>
        <v>#N/A</v>
      </c>
      <c r="GL25" s="69" t="e">
        <f ca="1">IF(GL4&lt;$C$10,(GL5/OFFSET(GL5,0,-GL4))^(1/GL4),(GL5/OFFSET(GL5,0,-$C$10))^(1/$C$10))-1</f>
        <v>#N/A</v>
      </c>
      <c r="GM25" s="69" t="e">
        <f ca="1">IF(GM4&lt;$C$10,(GM5/OFFSET(GM5,0,-GM4))^(1/GM4),(GM5/OFFSET(GM5,0,-$C$10))^(1/$C$10))-1</f>
        <v>#N/A</v>
      </c>
      <c r="GN25" s="69" t="e">
        <f ca="1">IF(GN4&lt;$C$10,(GN5/OFFSET(GN5,0,-GN4))^(1/GN4),(GN5/OFFSET(GN5,0,-$C$10))^(1/$C$10))-1</f>
        <v>#N/A</v>
      </c>
      <c r="GO25" s="69" t="e">
        <f ca="1">IF(GO4&lt;$C$10,(GO5/OFFSET(GO5,0,-GO4))^(1/GO4),(GO5/OFFSET(GO5,0,-$C$10))^(1/$C$10))-1</f>
        <v>#N/A</v>
      </c>
      <c r="GP25" s="69" t="e">
        <f ca="1">IF(GP4&lt;$C$10,(GP5/OFFSET(GP5,0,-GP4))^(1/GP4),(GP5/OFFSET(GP5,0,-$C$10))^(1/$C$10))-1</f>
        <v>#N/A</v>
      </c>
      <c r="GQ25" s="69" t="e">
        <f ca="1">IF(GQ4&lt;$C$10,(GQ5/OFFSET(GQ5,0,-GQ4))^(1/GQ4),(GQ5/OFFSET(GQ5,0,-$C$10))^(1/$C$10))-1</f>
        <v>#N/A</v>
      </c>
      <c r="GR25" s="69" t="e">
        <f ca="1">IF(GR4&lt;$C$10,(GR5/OFFSET(GR5,0,-GR4))^(1/GR4),(GR5/OFFSET(GR5,0,-$C$10))^(1/$C$10))-1</f>
        <v>#N/A</v>
      </c>
      <c r="GS25" s="69" t="e">
        <f ca="1">IF(GS4&lt;$C$10,(GS5/OFFSET(GS5,0,-GS4))^(1/GS4),(GS5/OFFSET(GS5,0,-$C$10))^(1/$C$10))-1</f>
        <v>#N/A</v>
      </c>
      <c r="GT25" s="69" t="e">
        <f ca="1">IF(GT4&lt;$C$10,(GT5/OFFSET(GT5,0,-GT4))^(1/GT4),(GT5/OFFSET(GT5,0,-$C$10))^(1/$C$10))-1</f>
        <v>#N/A</v>
      </c>
      <c r="GU25" s="69" t="e">
        <f ca="1">IF(GU4&lt;$C$10,(GU5/OFFSET(GU5,0,-GU4))^(1/GU4),(GU5/OFFSET(GU5,0,-$C$10))^(1/$C$10))-1</f>
        <v>#N/A</v>
      </c>
      <c r="GV25" s="69" t="e">
        <f ca="1">IF(GV4&lt;$C$10,(GV5/OFFSET(GV5,0,-GV4))^(1/GV4),(GV5/OFFSET(GV5,0,-$C$10))^(1/$C$10))-1</f>
        <v>#N/A</v>
      </c>
      <c r="GW25" s="69" t="e">
        <f ca="1">IF(GW4&lt;$C$10,(GW5/OFFSET(GW5,0,-GW4))^(1/GW4),(GW5/OFFSET(GW5,0,-$C$10))^(1/$C$10))-1</f>
        <v>#N/A</v>
      </c>
      <c r="GX25" s="69" t="e">
        <f ca="1">IF(GX4&lt;$C$10,(GX5/OFFSET(GX5,0,-GX4))^(1/GX4),(GX5/OFFSET(GX5,0,-$C$10))^(1/$C$10))-1</f>
        <v>#N/A</v>
      </c>
      <c r="GY25" s="69" t="e">
        <f ca="1">IF(GY4&lt;$C$10,(GY5/OFFSET(GY5,0,-GY4))^(1/GY4),(GY5/OFFSET(GY5,0,-$C$10))^(1/$C$10))-1</f>
        <v>#N/A</v>
      </c>
      <c r="GZ25" s="69" t="e">
        <f ca="1">IF(GZ4&lt;$C$10,(GZ5/OFFSET(GZ5,0,-GZ4))^(1/GZ4),(GZ5/OFFSET(GZ5,0,-$C$10))^(1/$C$10))-1</f>
        <v>#N/A</v>
      </c>
      <c r="HA25" s="69" t="e">
        <f ca="1">IF(HA4&lt;$C$10,(HA5/OFFSET(HA5,0,-HA4))^(1/HA4),(HA5/OFFSET(HA5,0,-$C$10))^(1/$C$10))-1</f>
        <v>#N/A</v>
      </c>
      <c r="HB25" s="69" t="e">
        <f ca="1">IF(HB4&lt;$C$10,(HB5/OFFSET(HB5,0,-HB4))^(1/HB4),(HB5/OFFSET(HB5,0,-$C$10))^(1/$C$10))-1</f>
        <v>#N/A</v>
      </c>
      <c r="HC25" s="69" t="e">
        <f ca="1">IF(HC4&lt;$C$10,(HC5/OFFSET(HC5,0,-HC4))^(1/HC4),(HC5/OFFSET(HC5,0,-$C$10))^(1/$C$10))-1</f>
        <v>#N/A</v>
      </c>
      <c r="HD25" s="69" t="e">
        <f ca="1">IF(HD4&lt;$C$10,(HD5/OFFSET(HD5,0,-HD4))^(1/HD4),(HD5/OFFSET(HD5,0,-$C$10))^(1/$C$10))-1</f>
        <v>#N/A</v>
      </c>
      <c r="HE25" s="69" t="e">
        <f ca="1">IF(HE4&lt;$C$10,(HE5/OFFSET(HE5,0,-HE4))^(1/HE4),(HE5/OFFSET(HE5,0,-$C$10))^(1/$C$10))-1</f>
        <v>#N/A</v>
      </c>
      <c r="HF25" s="69" t="e">
        <f ca="1">IF(HF4&lt;$C$10,(HF5/OFFSET(HF5,0,-HF4))^(1/HF4),(HF5/OFFSET(HF5,0,-$C$10))^(1/$C$10))-1</f>
        <v>#N/A</v>
      </c>
      <c r="HG25" s="69" t="e">
        <f ca="1">IF(HG4&lt;$C$10,(HG5/OFFSET(HG5,0,-HG4))^(1/HG4),(HG5/OFFSET(HG5,0,-$C$10))^(1/$C$10))-1</f>
        <v>#N/A</v>
      </c>
      <c r="HH25" s="69" t="e">
        <f ca="1">IF(HH4&lt;$C$10,(HH5/OFFSET(HH5,0,-HH4))^(1/HH4),(HH5/OFFSET(HH5,0,-$C$10))^(1/$C$10))-1</f>
        <v>#N/A</v>
      </c>
      <c r="HI25" s="69" t="e">
        <f ca="1">IF(HI4&lt;$C$10,(HI5/OFFSET(HI5,0,-HI4))^(1/HI4),(HI5/OFFSET(HI5,0,-$C$10))^(1/$C$10))-1</f>
        <v>#N/A</v>
      </c>
      <c r="HJ25" s="69" t="e">
        <f ca="1">IF(HJ4&lt;$C$10,(HJ5/OFFSET(HJ5,0,-HJ4))^(1/HJ4),(HJ5/OFFSET(HJ5,0,-$C$10))^(1/$C$10))-1</f>
        <v>#N/A</v>
      </c>
      <c r="HK25" s="69" t="e">
        <f ca="1">IF(HK4&lt;$C$10,(HK5/OFFSET(HK5,0,-HK4))^(1/HK4),(HK5/OFFSET(HK5,0,-$C$10))^(1/$C$10))-1</f>
        <v>#N/A</v>
      </c>
      <c r="HL25" s="69" t="e">
        <f ca="1">IF(HL4&lt;$C$10,(HL5/OFFSET(HL5,0,-HL4))^(1/HL4),(HL5/OFFSET(HL5,0,-$C$10))^(1/$C$10))-1</f>
        <v>#N/A</v>
      </c>
      <c r="HM25" s="69" t="e">
        <f ca="1">IF(HM4&lt;$C$10,(HM5/OFFSET(HM5,0,-HM4))^(1/HM4),(HM5/OFFSET(HM5,0,-$C$10))^(1/$C$10))-1</f>
        <v>#N/A</v>
      </c>
      <c r="HN25" s="69" t="e">
        <f ca="1">IF(HN4&lt;$C$10,(HN5/OFFSET(HN5,0,-HN4))^(1/HN4),(HN5/OFFSET(HN5,0,-$C$10))^(1/$C$10))-1</f>
        <v>#N/A</v>
      </c>
      <c r="HO25" s="69" t="e">
        <f ca="1">IF(HO4&lt;$C$10,(HO5/OFFSET(HO5,0,-HO4))^(1/HO4),(HO5/OFFSET(HO5,0,-$C$10))^(1/$C$10))-1</f>
        <v>#N/A</v>
      </c>
      <c r="HP25" s="69" t="e">
        <f ca="1">IF(HP4&lt;$C$10,(HP5/OFFSET(HP5,0,-HP4))^(1/HP4),(HP5/OFFSET(HP5,0,-$C$10))^(1/$C$10))-1</f>
        <v>#N/A</v>
      </c>
      <c r="HQ25" s="69" t="e">
        <f ca="1">IF(HQ4&lt;$C$10,(HQ5/OFFSET(HQ5,0,-HQ4))^(1/HQ4),(HQ5/OFFSET(HQ5,0,-$C$10))^(1/$C$10))-1</f>
        <v>#N/A</v>
      </c>
      <c r="HR25" s="69" t="e">
        <f ca="1">IF(HR4&lt;$C$10,(HR5/OFFSET(HR5,0,-HR4))^(1/HR4),(HR5/OFFSET(HR5,0,-$C$10))^(1/$C$10))-1</f>
        <v>#N/A</v>
      </c>
      <c r="HS25" s="69" t="e">
        <f ca="1">IF(HS4&lt;$C$10,(HS5/OFFSET(HS5,0,-HS4))^(1/HS4),(HS5/OFFSET(HS5,0,-$C$10))^(1/$C$10))-1</f>
        <v>#N/A</v>
      </c>
      <c r="HT25" s="69" t="e">
        <f ca="1">IF(HT4&lt;$C$10,(HT5/OFFSET(HT5,0,-HT4))^(1/HT4),(HT5/OFFSET(HT5,0,-$C$10))^(1/$C$10))-1</f>
        <v>#N/A</v>
      </c>
      <c r="HU25" s="69" t="e">
        <f ca="1">IF(HU4&lt;$C$10,(HU5/OFFSET(HU5,0,-HU4))^(1/HU4),(HU5/OFFSET(HU5,0,-$C$10))^(1/$C$10))-1</f>
        <v>#N/A</v>
      </c>
      <c r="HV25" s="69" t="e">
        <f ca="1">IF(HV4&lt;$C$10,(HV5/OFFSET(HV5,0,-HV4))^(1/HV4),(HV5/OFFSET(HV5,0,-$C$10))^(1/$C$10))-1</f>
        <v>#N/A</v>
      </c>
      <c r="HW25" s="69" t="e">
        <f ca="1">IF(HW4&lt;$C$10,(HW5/OFFSET(HW5,0,-HW4))^(1/HW4),(HW5/OFFSET(HW5,0,-$C$10))^(1/$C$10))-1</f>
        <v>#N/A</v>
      </c>
      <c r="HX25" s="69" t="e">
        <f ca="1">IF(HX4&lt;$C$10,(HX5/OFFSET(HX5,0,-HX4))^(1/HX4),(HX5/OFFSET(HX5,0,-$C$10))^(1/$C$10))-1</f>
        <v>#N/A</v>
      </c>
      <c r="HY25" s="69" t="e">
        <f ca="1">IF(HY4&lt;$C$10,(HY5/OFFSET(HY5,0,-HY4))^(1/HY4),(HY5/OFFSET(HY5,0,-$C$10))^(1/$C$10))-1</f>
        <v>#N/A</v>
      </c>
      <c r="HZ25" s="69" t="e">
        <f ca="1">IF(HZ4&lt;$C$10,(HZ5/OFFSET(HZ5,0,-HZ4))^(1/HZ4),(HZ5/OFFSET(HZ5,0,-$C$10))^(1/$C$10))-1</f>
        <v>#N/A</v>
      </c>
      <c r="IA25" s="69" t="e">
        <f ca="1">IF(IA4&lt;$C$10,(IA5/OFFSET(IA5,0,-IA4))^(1/IA4),(IA5/OFFSET(IA5,0,-$C$10))^(1/$C$10))-1</f>
        <v>#N/A</v>
      </c>
      <c r="IB25" s="69" t="e">
        <f ca="1">IF(IB4&lt;$C$10,(IB5/OFFSET(IB5,0,-IB4))^(1/IB4),(IB5/OFFSET(IB5,0,-$C$10))^(1/$C$10))-1</f>
        <v>#N/A</v>
      </c>
      <c r="IC25" s="69" t="e">
        <f ca="1">IF(IC4&lt;$C$10,(IC5/OFFSET(IC5,0,-IC4))^(1/IC4),(IC5/OFFSET(IC5,0,-$C$10))^(1/$C$10))-1</f>
        <v>#N/A</v>
      </c>
      <c r="ID25" s="69" t="e">
        <f ca="1">IF(ID4&lt;$C$10,(ID5/OFFSET(ID5,0,-ID4))^(1/ID4),(ID5/OFFSET(ID5,0,-$C$10))^(1/$C$10))-1</f>
        <v>#N/A</v>
      </c>
      <c r="IE25" s="69" t="e">
        <f ca="1">IF(IE4&lt;$C$10,(IE5/OFFSET(IE5,0,-IE4))^(1/IE4),(IE5/OFFSET(IE5,0,-$C$10))^(1/$C$10))-1</f>
        <v>#N/A</v>
      </c>
      <c r="IF25" s="69" t="e">
        <f ca="1">IF(IF4&lt;$C$10,(IF5/OFFSET(IF5,0,-IF4))^(1/IF4),(IF5/OFFSET(IF5,0,-$C$10))^(1/$C$10))-1</f>
        <v>#N/A</v>
      </c>
      <c r="IG25" s="69" t="e">
        <f ca="1">IF(IG4&lt;$C$10,(IG5/OFFSET(IG5,0,-IG4))^(1/IG4),(IG5/OFFSET(IG5,0,-$C$10))^(1/$C$10))-1</f>
        <v>#N/A</v>
      </c>
      <c r="IH25" s="69" t="e">
        <f ca="1">IF(IH4&lt;$C$10,(IH5/OFFSET(IH5,0,-IH4))^(1/IH4),(IH5/OFFSET(IH5,0,-$C$10))^(1/$C$10))-1</f>
        <v>#N/A</v>
      </c>
      <c r="II25" s="69" t="e">
        <f ca="1">IF(II4&lt;$C$10,(II5/OFFSET(II5,0,-II4))^(1/II4),(II5/OFFSET(II5,0,-$C$10))^(1/$C$10))-1</f>
        <v>#N/A</v>
      </c>
      <c r="IJ25" s="69" t="e">
        <f ca="1">IF(IJ4&lt;$C$10,(IJ5/OFFSET(IJ5,0,-IJ4))^(1/IJ4),(IJ5/OFFSET(IJ5,0,-$C$10))^(1/$C$10))-1</f>
        <v>#N/A</v>
      </c>
      <c r="IK25" s="69" t="e">
        <f ca="1">IF(IK4&lt;$C$10,(IK5/OFFSET(IK5,0,-IK4))^(1/IK4),(IK5/OFFSET(IK5,0,-$C$10))^(1/$C$10))-1</f>
        <v>#N/A</v>
      </c>
      <c r="IL25" s="69" t="e">
        <f ca="1">IF(IL4&lt;$C$10,(IL5/OFFSET(IL5,0,-IL4))^(1/IL4),(IL5/OFFSET(IL5,0,-$C$10))^(1/$C$10))-1</f>
        <v>#N/A</v>
      </c>
      <c r="IM25" s="69" t="e">
        <f ca="1">IF(IM4&lt;$C$10,(IM5/OFFSET(IM5,0,-IM4))^(1/IM4),(IM5/OFFSET(IM5,0,-$C$10))^(1/$C$10))-1</f>
        <v>#N/A</v>
      </c>
      <c r="IN25" s="69" t="e">
        <f ca="1">IF(IN4&lt;$C$10,(IN5/OFFSET(IN5,0,-IN4))^(1/IN4),(IN5/OFFSET(IN5,0,-$C$10))^(1/$C$10))-1</f>
        <v>#N/A</v>
      </c>
    </row>
    <row r="26" spans="2:248" x14ac:dyDescent="0.3">
      <c r="B26" s="19" t="s">
        <v>455</v>
      </c>
      <c r="C26" s="21">
        <f ca="1">HLOOKUP(C29,G3:KU15,4,FALSE)</f>
        <v>10884.030084057345</v>
      </c>
      <c r="D26" s="24">
        <f>C15*1.5</f>
        <v>6720.7150889999994</v>
      </c>
      <c r="F26" s="22" t="s">
        <v>634</v>
      </c>
      <c r="G26" s="27">
        <f ca="1">IF(G3=$C$23,1,-1000)</f>
        <v>-1000</v>
      </c>
      <c r="H26" s="27">
        <f ca="1">IF(H3=$C$23,1,-1000)</f>
        <v>-1000</v>
      </c>
      <c r="I26" s="27">
        <f ca="1">IF(I3=$C$23,1,-1000)</f>
        <v>-1000</v>
      </c>
      <c r="J26" s="27">
        <f ca="1">IF(J3=$C$23,1,-1000)</f>
        <v>-1000</v>
      </c>
      <c r="K26" s="27">
        <f ca="1">IF(K3=$C$23,1,-1000)</f>
        <v>-1000</v>
      </c>
      <c r="L26" s="27">
        <f ca="1">IF(L3=$C$23,1,-1000)</f>
        <v>-1000</v>
      </c>
      <c r="M26" s="27">
        <f ca="1">IF(M3=$C$23,1,-1000)</f>
        <v>-1000</v>
      </c>
      <c r="N26" s="27">
        <f ca="1">IF(N3=$C$23,1,-1000)</f>
        <v>-1000</v>
      </c>
      <c r="O26" s="27">
        <f ca="1">IF(O3=$C$23,1,-1000)</f>
        <v>-1000</v>
      </c>
      <c r="P26" s="27">
        <f ca="1">IF(P3=$C$23,1,-1000)</f>
        <v>-1000</v>
      </c>
      <c r="Q26" s="27">
        <f ca="1">IF(Q3=$C$23,1,-1000)</f>
        <v>-1000</v>
      </c>
      <c r="R26" s="27">
        <f ca="1">IF(R3=$C$23,1,-1000)</f>
        <v>-1000</v>
      </c>
      <c r="S26" s="27">
        <f ca="1">IF(S3=$C$23,1,-1000)</f>
        <v>-1000</v>
      </c>
      <c r="T26" s="27">
        <f ca="1">IF(T3=$C$23,1,-1000)</f>
        <v>-1000</v>
      </c>
      <c r="U26" s="27">
        <f ca="1">IF(U3=$C$23,1,-1000)</f>
        <v>-1000</v>
      </c>
      <c r="V26" s="27">
        <f ca="1">IF(V3=$C$23,1,-1000)</f>
        <v>1</v>
      </c>
      <c r="W26" s="27">
        <f ca="1">IF(W3=$C$23,1,-1000)</f>
        <v>-1000</v>
      </c>
      <c r="X26" s="27">
        <f ca="1">IF(X3=$C$23,1,-1000)</f>
        <v>-1000</v>
      </c>
      <c r="Y26" s="27">
        <f ca="1">IF(Y3=$C$23,1,-1000)</f>
        <v>-1000</v>
      </c>
      <c r="Z26" s="27">
        <f ca="1">IF(Z3=$C$23,1,-1000)</f>
        <v>-1000</v>
      </c>
      <c r="AA26" s="27">
        <f ca="1">IF(AA3=$C$23,1,-1000)</f>
        <v>-1000</v>
      </c>
      <c r="AB26" s="27">
        <f ca="1">IF(AB3=$C$23,1,-1000)</f>
        <v>-1000</v>
      </c>
      <c r="AC26" s="27">
        <f ca="1">IF(AC3=$C$23,1,-1000)</f>
        <v>-1000</v>
      </c>
      <c r="AD26" s="27">
        <f ca="1">IF(AD3=$C$23,1,-1000)</f>
        <v>-1000</v>
      </c>
      <c r="AE26" s="27">
        <f ca="1">IF(AE3=$C$23,1,-1000)</f>
        <v>-1000</v>
      </c>
      <c r="AF26" s="27">
        <f ca="1">IF(AF3=$C$23,1,-1000)</f>
        <v>-1000</v>
      </c>
      <c r="AG26" s="27">
        <f ca="1">IF(AG3=$C$23,1,-1000)</f>
        <v>-1000</v>
      </c>
      <c r="AH26" s="27">
        <f ca="1">IF(AH3=$C$23,1,-1000)</f>
        <v>-1000</v>
      </c>
      <c r="AI26" s="27">
        <f ca="1">IF(AI3=$C$23,1,-1000)</f>
        <v>-1000</v>
      </c>
      <c r="AJ26" s="27">
        <f ca="1">IF(AJ3=$C$23,1,-1000)</f>
        <v>-1000</v>
      </c>
      <c r="AK26" s="27">
        <f ca="1">IF(AK3=$C$23,1,-1000)</f>
        <v>-1000</v>
      </c>
      <c r="AL26" s="27">
        <f ca="1">IF(AL3=$C$23,1,-1000)</f>
        <v>-1000</v>
      </c>
      <c r="AM26" s="27">
        <f ca="1">IF(AM3=$C$23,1,-1000)</f>
        <v>-1000</v>
      </c>
      <c r="AN26" s="27">
        <f ca="1">IF(AN3=$C$23,1,-1000)</f>
        <v>-1000</v>
      </c>
      <c r="AO26" s="27">
        <f ca="1">IF(AO3=$C$23,1,-1000)</f>
        <v>-1000</v>
      </c>
      <c r="AP26" s="27">
        <f ca="1">IF(AP3=$C$23,1,-1000)</f>
        <v>-1000</v>
      </c>
      <c r="AQ26" s="27">
        <f ca="1">IF(AQ3=$C$23,1,-1000)</f>
        <v>-1000</v>
      </c>
      <c r="AR26" s="27">
        <f ca="1">IF(AR3=$C$23,1,-1000)</f>
        <v>-1000</v>
      </c>
      <c r="AS26" s="27">
        <f ca="1">IF(AS3=$C$23,1,-1000)</f>
        <v>-1000</v>
      </c>
      <c r="AT26" s="27">
        <f ca="1">IF(AT3=$C$23,1,-1000)</f>
        <v>-1000</v>
      </c>
      <c r="AU26" s="27">
        <f ca="1">IF(AU3=$C$23,1,-1000)</f>
        <v>-1000</v>
      </c>
      <c r="AV26" s="27">
        <f ca="1">IF(AV3=$C$23,1,-1000)</f>
        <v>-1000</v>
      </c>
      <c r="AW26" s="27">
        <f ca="1">IF(AW3=$C$23,1,-1000)</f>
        <v>-1000</v>
      </c>
      <c r="AX26" s="27">
        <f ca="1">IF(AX3=$C$23,1,-1000)</f>
        <v>-1000</v>
      </c>
      <c r="AY26" s="27">
        <f ca="1">IF(AY3=$C$23,1,-1000)</f>
        <v>-1000</v>
      </c>
      <c r="AZ26" s="27">
        <f ca="1">IF(AZ3=$C$23,1,-1000)</f>
        <v>-1000</v>
      </c>
      <c r="BA26" s="27">
        <f ca="1">IF(BA3=$C$23,1,-1000)</f>
        <v>-1000</v>
      </c>
      <c r="BB26" s="27">
        <f ca="1">IF(BB3=$C$23,1,-1000)</f>
        <v>-1000</v>
      </c>
      <c r="BC26" s="27">
        <f ca="1">IF(BC3=$C$23,1,-1000)</f>
        <v>-1000</v>
      </c>
      <c r="BD26" s="27">
        <f ca="1">IF(BD3=$C$23,1,-1000)</f>
        <v>-1000</v>
      </c>
      <c r="BE26" s="27">
        <f ca="1">IF(BE3=$C$23,1,-1000)</f>
        <v>-1000</v>
      </c>
      <c r="BF26" s="27">
        <f ca="1">IF(BF3=$C$23,1,-1000)</f>
        <v>-1000</v>
      </c>
      <c r="BG26" s="27">
        <f ca="1">IF(BG3=$C$23,1,-1000)</f>
        <v>-1000</v>
      </c>
      <c r="BH26" s="27">
        <f ca="1">IF(BH3=$C$23,1,-1000)</f>
        <v>-1000</v>
      </c>
      <c r="BI26" s="27">
        <f ca="1">IF(BI3=$C$23,1,-1000)</f>
        <v>-1000</v>
      </c>
      <c r="BJ26" s="27">
        <f ca="1">IF(BJ3=$C$23,1,-1000)</f>
        <v>-1000</v>
      </c>
      <c r="BK26" s="27">
        <f ca="1">IF(BK3=$C$23,1,-1000)</f>
        <v>-1000</v>
      </c>
      <c r="BL26" s="27">
        <f ca="1">IF(BL3=$C$23,1,-1000)</f>
        <v>-1000</v>
      </c>
      <c r="BM26" s="27">
        <f ca="1">IF(BM3=$C$23,1,-1000)</f>
        <v>-1000</v>
      </c>
      <c r="BN26" s="27">
        <f ca="1">IF(BN3=$C$23,1,-1000)</f>
        <v>-1000</v>
      </c>
      <c r="BO26" s="27">
        <f ca="1">IF(BO3=$C$23,1,-1000)</f>
        <v>-1000</v>
      </c>
      <c r="BP26" s="27">
        <f ca="1">IF(BP3=$C$23,1,-1000)</f>
        <v>-1000</v>
      </c>
      <c r="BQ26" s="27">
        <f ca="1">IF(BQ3=$C$23,1,-1000)</f>
        <v>-1000</v>
      </c>
      <c r="BR26" s="27">
        <f ca="1">IF(BR3=$C$23,1,-1000)</f>
        <v>-1000</v>
      </c>
      <c r="BS26" s="27">
        <f ca="1">IF(BS3=$C$23,1,-1000)</f>
        <v>-1000</v>
      </c>
      <c r="BT26" s="27">
        <f ca="1">IF(BT3=$C$23,1,-1000)</f>
        <v>-1000</v>
      </c>
      <c r="BU26" s="27">
        <f ca="1">IF(BU3=$C$23,1,-1000)</f>
        <v>-1000</v>
      </c>
      <c r="BV26" s="27">
        <f ca="1">IF(BV3=$C$23,1,-1000)</f>
        <v>-1000</v>
      </c>
      <c r="BW26" s="27">
        <f ca="1">IF(BW3=$C$23,1,-1000)</f>
        <v>-1000</v>
      </c>
      <c r="BX26" s="27">
        <f ca="1">IF(BX3=$C$23,1,-1000)</f>
        <v>-1000</v>
      </c>
      <c r="BY26" s="27">
        <f ca="1">IF(BY3=$C$23,1,-1000)</f>
        <v>-1000</v>
      </c>
      <c r="BZ26" s="27">
        <f ca="1">IF(BZ3=$C$23,1,-1000)</f>
        <v>-1000</v>
      </c>
      <c r="CA26" s="27">
        <f ca="1">IF(CA3=$C$23,1,-1000)</f>
        <v>-1000</v>
      </c>
      <c r="CB26" s="27">
        <f ca="1">IF(CB3=$C$23,1,-1000)</f>
        <v>-1000</v>
      </c>
      <c r="CC26" s="27">
        <f ca="1">IF(CC3=$C$23,1,-1000)</f>
        <v>-1000</v>
      </c>
      <c r="CD26" s="27">
        <f ca="1">IF(CD3=$C$23,1,-1000)</f>
        <v>-1000</v>
      </c>
      <c r="CE26" s="27">
        <f ca="1">IF(CE3=$C$23,1,-1000)</f>
        <v>-1000</v>
      </c>
      <c r="CF26" s="27">
        <f ca="1">IF(CF3=$C$23,1,-1000)</f>
        <v>-1000</v>
      </c>
      <c r="CG26" s="27">
        <f ca="1">IF(CG3=$C$23,1,-1000)</f>
        <v>-1000</v>
      </c>
      <c r="CH26" s="27">
        <f ca="1">IF(CH3=$C$23,1,-1000)</f>
        <v>-1000</v>
      </c>
      <c r="CI26" s="27">
        <f ca="1">IF(CI3=$C$23,1,-1000)</f>
        <v>-1000</v>
      </c>
      <c r="CJ26" s="27">
        <f ca="1">IF(CJ3=$C$23,1,-1000)</f>
        <v>-1000</v>
      </c>
      <c r="CK26" s="27">
        <f ca="1">IF(CK3=$C$23,1,-1000)</f>
        <v>-1000</v>
      </c>
      <c r="CL26" s="27">
        <f ca="1">IF(CL3=$C$23,1,-1000)</f>
        <v>-1000</v>
      </c>
      <c r="CM26" s="27">
        <f ca="1">IF(CM3=$C$23,1,-1000)</f>
        <v>-1000</v>
      </c>
      <c r="CN26" s="27">
        <f ca="1">IF(CN3=$C$23,1,-1000)</f>
        <v>-1000</v>
      </c>
      <c r="CO26" s="27">
        <f ca="1">IF(CO3=$C$23,1,-1000)</f>
        <v>-1000</v>
      </c>
      <c r="CP26" s="27">
        <f ca="1">IF(CP3=$C$23,1,-1000)</f>
        <v>-1000</v>
      </c>
      <c r="CQ26" s="27">
        <f ca="1">IF(CQ3=$C$23,1,-1000)</f>
        <v>-1000</v>
      </c>
      <c r="CR26" s="27">
        <f ca="1">IF(CR3=$C$23,1,-1000)</f>
        <v>-1000</v>
      </c>
      <c r="CS26" s="27">
        <f ca="1">IF(CS3=$C$23,1,-1000)</f>
        <v>-1000</v>
      </c>
      <c r="CT26" s="27">
        <f ca="1">IF(CT3=$C$23,1,-1000)</f>
        <v>-1000</v>
      </c>
      <c r="CU26" s="27">
        <f ca="1">IF(CU3=$C$23,1,-1000)</f>
        <v>-1000</v>
      </c>
      <c r="CV26" s="27">
        <f ca="1">IF(CV3=$C$23,1,-1000)</f>
        <v>-1000</v>
      </c>
      <c r="CW26" s="27">
        <f ca="1">IF(CW3=$C$23,1,-1000)</f>
        <v>-1000</v>
      </c>
      <c r="CX26" s="27">
        <f ca="1">IF(CX3=$C$23,1,-1000)</f>
        <v>-1000</v>
      </c>
      <c r="CY26" s="27">
        <f ca="1">IF(CY3=$C$23,1,-1000)</f>
        <v>-1000</v>
      </c>
      <c r="CZ26" s="27">
        <f ca="1">IF(CZ3=$C$23,1,-1000)</f>
        <v>-1000</v>
      </c>
      <c r="DA26" s="27">
        <f ca="1">IF(DA3=$C$23,1,-1000)</f>
        <v>-1000</v>
      </c>
      <c r="DB26" s="27">
        <f ca="1">IF(DB3=$C$23,1,-1000)</f>
        <v>-1000</v>
      </c>
      <c r="DC26" s="27">
        <f ca="1">IF(DC3=$C$23,1,-1000)</f>
        <v>-1000</v>
      </c>
      <c r="DD26" s="27">
        <f ca="1">IF(DD3=$C$23,1,-1000)</f>
        <v>-1000</v>
      </c>
      <c r="DE26" s="27">
        <f ca="1">IF(DE3=$C$23,1,-1000)</f>
        <v>-1000</v>
      </c>
      <c r="DF26" s="27">
        <f ca="1">IF(DF3=$C$23,1,-1000)</f>
        <v>-1000</v>
      </c>
      <c r="DG26" s="27">
        <f ca="1">IF(DG3=$C$23,1,-1000)</f>
        <v>-1000</v>
      </c>
      <c r="DH26" s="27">
        <f ca="1">IF(DH3=$C$23,1,-1000)</f>
        <v>-1000</v>
      </c>
      <c r="DI26" s="27">
        <f ca="1">IF(DI3=$C$23,1,-1000)</f>
        <v>-1000</v>
      </c>
      <c r="DJ26" s="27">
        <f ca="1">IF(DJ3=$C$23,1,-1000)</f>
        <v>-1000</v>
      </c>
      <c r="DK26" s="27">
        <f ca="1">IF(DK3=$C$23,1,-1000)</f>
        <v>-1000</v>
      </c>
      <c r="DL26" s="27">
        <f ca="1">IF(DL3=$C$23,1,-1000)</f>
        <v>-1000</v>
      </c>
      <c r="DM26" s="27">
        <f ca="1">IF(DM3=$C$23,1,-1000)</f>
        <v>-1000</v>
      </c>
      <c r="DN26" s="27">
        <f ca="1">IF(DN3=$C$23,1,-1000)</f>
        <v>-1000</v>
      </c>
      <c r="DO26" s="27">
        <f ca="1">IF(DO3=$C$23,1,-1000)</f>
        <v>-1000</v>
      </c>
      <c r="DP26" s="27">
        <f ca="1">IF(DP3=$C$23,1,-1000)</f>
        <v>-1000</v>
      </c>
      <c r="DQ26" s="27">
        <f ca="1">IF(DQ3=$C$23,1,-1000)</f>
        <v>-1000</v>
      </c>
      <c r="DR26" s="27">
        <f ca="1">IF(DR3=$C$23,1,-1000)</f>
        <v>-1000</v>
      </c>
      <c r="DS26" s="27">
        <f ca="1">IF(DS3=$C$23,1,-1000)</f>
        <v>-1000</v>
      </c>
      <c r="DT26" s="27">
        <f ca="1">IF(DT3=$C$23,1,-1000)</f>
        <v>-1000</v>
      </c>
      <c r="DU26" s="27">
        <f ca="1">IF(DU3=$C$23,1,-1000)</f>
        <v>-1000</v>
      </c>
      <c r="DV26" s="27">
        <f ca="1">IF(DV3=$C$23,1,-1000)</f>
        <v>-1000</v>
      </c>
      <c r="DW26" s="27">
        <f ca="1">IF(DW3=$C$23,1,-1000)</f>
        <v>-1000</v>
      </c>
      <c r="DX26" s="27">
        <f ca="1">IF(DX3=$C$23,1,-1000)</f>
        <v>-1000</v>
      </c>
      <c r="DY26" s="27">
        <f ca="1">IF(DY3=$C$23,1,-1000)</f>
        <v>-1000</v>
      </c>
      <c r="DZ26" s="27">
        <f ca="1">IF(DZ3=$C$23,1,-1000)</f>
        <v>-1000</v>
      </c>
      <c r="EA26" s="27">
        <f ca="1">IF(EA3=$C$23,1,-1000)</f>
        <v>-1000</v>
      </c>
      <c r="EB26" s="27">
        <f ca="1">IF(EB3=$C$23,1,-1000)</f>
        <v>-1000</v>
      </c>
      <c r="EC26" s="27">
        <f ca="1">IF(EC3=$C$23,1,-1000)</f>
        <v>-1000</v>
      </c>
      <c r="ED26" s="27">
        <f ca="1">IF(ED3=$C$23,1,-1000)</f>
        <v>-1000</v>
      </c>
      <c r="EE26" s="27">
        <f ca="1">IF(EE3=$C$23,1,-1000)</f>
        <v>-1000</v>
      </c>
      <c r="EF26" s="27">
        <f ca="1">IF(EF3=$C$23,1,-1000)</f>
        <v>-1000</v>
      </c>
      <c r="EG26" s="27">
        <f ca="1">IF(EG3=$C$23,1,-1000)</f>
        <v>-1000</v>
      </c>
      <c r="EH26" s="27">
        <f ca="1">IF(EH3=$C$23,1,-1000)</f>
        <v>-1000</v>
      </c>
      <c r="EI26" s="27">
        <f ca="1">IF(EI3=$C$23,1,-1000)</f>
        <v>-1000</v>
      </c>
      <c r="EJ26" s="27">
        <f ca="1">IF(EJ3=$C$23,1,-1000)</f>
        <v>-1000</v>
      </c>
      <c r="EK26" s="27">
        <f ca="1">IF(EK3=$C$23,1,-1000)</f>
        <v>-1000</v>
      </c>
      <c r="EL26" s="27">
        <f ca="1">IF(EL3=$C$23,1,-1000)</f>
        <v>-1000</v>
      </c>
      <c r="EM26" s="27">
        <f ca="1">IF(EM3=$C$23,1,-1000)</f>
        <v>-1000</v>
      </c>
      <c r="EN26" s="27">
        <f ca="1">IF(EN3=$C$23,1,-1000)</f>
        <v>-1000</v>
      </c>
      <c r="EO26" s="27">
        <f ca="1">IF(EO3=$C$23,1,-1000)</f>
        <v>-1000</v>
      </c>
      <c r="EP26" s="27">
        <f ca="1">IF(EP3=$C$23,1,-1000)</f>
        <v>-1000</v>
      </c>
      <c r="EQ26" s="27">
        <f ca="1">IF(EQ3=$C$23,1,-1000)</f>
        <v>-1000</v>
      </c>
      <c r="ER26" s="27">
        <f ca="1">IF(ER3=$C$23,1,-1000)</f>
        <v>-1000</v>
      </c>
      <c r="ES26" s="27">
        <f ca="1">IF(ES3=$C$23,1,-1000)</f>
        <v>-1000</v>
      </c>
      <c r="ET26" s="27">
        <f ca="1">IF(ET3=$C$23,1,-1000)</f>
        <v>-1000</v>
      </c>
      <c r="EU26" s="27">
        <f ca="1">IF(EU3=$C$23,1,-1000)</f>
        <v>-1000</v>
      </c>
      <c r="EV26" s="27">
        <f ca="1">IF(EV3=$C$23,1,-1000)</f>
        <v>-1000</v>
      </c>
      <c r="EW26" s="27">
        <f ca="1">IF(EW3=$C$23,1,-1000)</f>
        <v>-1000</v>
      </c>
      <c r="EX26" s="27">
        <f ca="1">IF(EX3=$C$23,1,-1000)</f>
        <v>-1000</v>
      </c>
      <c r="EY26" s="27">
        <f ca="1">IF(EY3=$C$23,1,-1000)</f>
        <v>-1000</v>
      </c>
      <c r="EZ26" s="27">
        <f ca="1">IF(EZ3=$C$23,1,-1000)</f>
        <v>-1000</v>
      </c>
      <c r="FA26" s="27">
        <f ca="1">IF(FA3=$C$23,1,-1000)</f>
        <v>-1000</v>
      </c>
      <c r="FB26" s="27">
        <f ca="1">IF(FB3=$C$23,1,-1000)</f>
        <v>-1000</v>
      </c>
      <c r="FC26" s="27">
        <f ca="1">IF(FC3=$C$23,1,-1000)</f>
        <v>-1000</v>
      </c>
      <c r="FD26" s="27">
        <f ca="1">IF(FD3=$C$23,1,-1000)</f>
        <v>-1000</v>
      </c>
      <c r="FE26" s="27">
        <f ca="1">IF(FE3=$C$23,1,-1000)</f>
        <v>-1000</v>
      </c>
      <c r="FF26" s="27">
        <f ca="1">IF(FF3=$C$23,1,-1000)</f>
        <v>-1000</v>
      </c>
      <c r="FG26" s="27">
        <f ca="1">IF(FG3=$C$23,1,-1000)</f>
        <v>-1000</v>
      </c>
      <c r="FH26" s="27">
        <f ca="1">IF(FH3=$C$23,1,-1000)</f>
        <v>-1000</v>
      </c>
      <c r="FI26" s="27">
        <f ca="1">IF(FI3=$C$23,1,-1000)</f>
        <v>-1000</v>
      </c>
      <c r="FJ26" s="27">
        <f ca="1">IF(FJ3=$C$23,1,-1000)</f>
        <v>-1000</v>
      </c>
      <c r="FK26" s="27">
        <f ca="1">IF(FK3=$C$23,1,-1000)</f>
        <v>-1000</v>
      </c>
      <c r="FL26" s="27">
        <f ca="1">IF(FL3=$C$23,1,-1000)</f>
        <v>-1000</v>
      </c>
      <c r="FM26" s="27">
        <f ca="1">IF(FM3=$C$23,1,-1000)</f>
        <v>-1000</v>
      </c>
      <c r="FN26" s="27">
        <f ca="1">IF(FN3=$C$23,1,-1000)</f>
        <v>-1000</v>
      </c>
      <c r="FO26" s="27">
        <f ca="1">IF(FO3=$C$23,1,-1000)</f>
        <v>-1000</v>
      </c>
      <c r="FP26" s="27">
        <f ca="1">IF(FP3=$C$23,1,-1000)</f>
        <v>-1000</v>
      </c>
      <c r="FQ26" s="27">
        <f ca="1">IF(FQ3=$C$23,1,-1000)</f>
        <v>-1000</v>
      </c>
      <c r="FR26" s="27">
        <f ca="1">IF(FR3=$C$23,1,-1000)</f>
        <v>-1000</v>
      </c>
      <c r="FS26" s="27">
        <f ca="1">IF(FS3=$C$23,1,-1000)</f>
        <v>-1000</v>
      </c>
      <c r="FT26" s="27">
        <f ca="1">IF(FT3=$C$23,1,-1000)</f>
        <v>-1000</v>
      </c>
      <c r="FU26" s="27">
        <f ca="1">IF(FU3=$C$23,1,-1000)</f>
        <v>-1000</v>
      </c>
      <c r="FV26" s="27">
        <f ca="1">IF(FV3=$C$23,1,-1000)</f>
        <v>-1000</v>
      </c>
      <c r="FW26" s="27">
        <f ca="1">IF(FW3=$C$23,1,-1000)</f>
        <v>-1000</v>
      </c>
      <c r="FX26" s="27">
        <f ca="1">IF(FX3=$C$23,1,-1000)</f>
        <v>-1000</v>
      </c>
      <c r="FY26" s="27">
        <f ca="1">IF(FY3=$C$23,1,-1000)</f>
        <v>-1000</v>
      </c>
      <c r="FZ26" s="27">
        <f ca="1">IF(FZ3=$C$23,1,-1000)</f>
        <v>-1000</v>
      </c>
      <c r="GA26" s="27">
        <f ca="1">IF(GA3=$C$23,1,-1000)</f>
        <v>-1000</v>
      </c>
      <c r="GB26" s="27">
        <f ca="1">IF(GB3=$C$23,1,-1000)</f>
        <v>-1000</v>
      </c>
      <c r="GC26" s="27">
        <f ca="1">IF(GC3=$C$23,1,-1000)</f>
        <v>-1000</v>
      </c>
      <c r="GD26" s="27">
        <f ca="1">IF(GD3=$C$23,1,-1000)</f>
        <v>-1000</v>
      </c>
      <c r="GE26" s="27">
        <f ca="1">IF(GE3=$C$23,1,-1000)</f>
        <v>-1000</v>
      </c>
      <c r="GF26" s="27">
        <f ca="1">IF(GF3=$C$23,1,-1000)</f>
        <v>-1000</v>
      </c>
      <c r="GG26" s="27">
        <f ca="1">IF(GG3=$C$23,1,-1000)</f>
        <v>-1000</v>
      </c>
      <c r="GH26" s="27">
        <f ca="1">IF(GH3=$C$23,1,-1000)</f>
        <v>-1000</v>
      </c>
      <c r="GI26" s="27">
        <f ca="1">IF(GI3=$C$23,1,-1000)</f>
        <v>-1000</v>
      </c>
      <c r="GJ26" s="27">
        <f ca="1">IF(GJ3=$C$23,1,-1000)</f>
        <v>-1000</v>
      </c>
      <c r="GK26" s="27">
        <f ca="1">IF(GK3=$C$23,1,-1000)</f>
        <v>-1000</v>
      </c>
      <c r="GL26" s="27">
        <f ca="1">IF(GL3=$C$23,1,-1000)</f>
        <v>-1000</v>
      </c>
      <c r="GM26" s="27">
        <f ca="1">IF(GM3=$C$23,1,-1000)</f>
        <v>-1000</v>
      </c>
      <c r="GN26" s="27">
        <f ca="1">IF(GN3=$C$23,1,-1000)</f>
        <v>-1000</v>
      </c>
      <c r="GO26" s="27">
        <f ca="1">IF(GO3=$C$23,1,-1000)</f>
        <v>-1000</v>
      </c>
      <c r="GP26" s="27">
        <f ca="1">IF(GP3=$C$23,1,-1000)</f>
        <v>-1000</v>
      </c>
      <c r="GQ26" s="27">
        <f ca="1">IF(GQ3=$C$23,1,-1000)</f>
        <v>-1000</v>
      </c>
      <c r="GR26" s="27">
        <f ca="1">IF(GR3=$C$23,1,-1000)</f>
        <v>-1000</v>
      </c>
      <c r="GS26" s="27">
        <f ca="1">IF(GS3=$C$23,1,-1000)</f>
        <v>-1000</v>
      </c>
      <c r="GT26" s="27">
        <f ca="1">IF(GT3=$C$23,1,-1000)</f>
        <v>-1000</v>
      </c>
      <c r="GU26" s="27">
        <f ca="1">IF(GU3=$C$23,1,-1000)</f>
        <v>-1000</v>
      </c>
      <c r="GV26" s="27">
        <f ca="1">IF(GV3=$C$23,1,-1000)</f>
        <v>-1000</v>
      </c>
      <c r="GW26" s="27">
        <f ca="1">IF(GW3=$C$23,1,-1000)</f>
        <v>-1000</v>
      </c>
      <c r="GX26" s="27">
        <f ca="1">IF(GX3=$C$23,1,-1000)</f>
        <v>-1000</v>
      </c>
      <c r="GY26" s="27">
        <f ca="1">IF(GY3=$C$23,1,-1000)</f>
        <v>-1000</v>
      </c>
      <c r="GZ26" s="27">
        <f ca="1">IF(GZ3=$C$23,1,-1000)</f>
        <v>-1000</v>
      </c>
      <c r="HA26" s="27">
        <f ca="1">IF(HA3=$C$23,1,-1000)</f>
        <v>-1000</v>
      </c>
      <c r="HB26" s="27">
        <f ca="1">IF(HB3=$C$23,1,-1000)</f>
        <v>-1000</v>
      </c>
      <c r="HC26" s="27">
        <f ca="1">IF(HC3=$C$23,1,-1000)</f>
        <v>-1000</v>
      </c>
      <c r="HD26" s="27">
        <f ca="1">IF(HD3=$C$23,1,-1000)</f>
        <v>-1000</v>
      </c>
      <c r="HE26" s="27">
        <f ca="1">IF(HE3=$C$23,1,-1000)</f>
        <v>-1000</v>
      </c>
      <c r="HF26" s="27">
        <f ca="1">IF(HF3=$C$23,1,-1000)</f>
        <v>-1000</v>
      </c>
      <c r="HG26" s="27">
        <f ca="1">IF(HG3=$C$23,1,-1000)</f>
        <v>-1000</v>
      </c>
      <c r="HH26" s="27">
        <f ca="1">IF(HH3=$C$23,1,-1000)</f>
        <v>-1000</v>
      </c>
      <c r="HI26" s="27">
        <f ca="1">IF(HI3=$C$23,1,-1000)</f>
        <v>-1000</v>
      </c>
      <c r="HJ26" s="27">
        <f ca="1">IF(HJ3=$C$23,1,-1000)</f>
        <v>-1000</v>
      </c>
      <c r="HK26" s="27">
        <f ca="1">IF(HK3=$C$23,1,-1000)</f>
        <v>-1000</v>
      </c>
      <c r="HL26" s="27">
        <f ca="1">IF(HL3=$C$23,1,-1000)</f>
        <v>-1000</v>
      </c>
      <c r="HM26" s="27">
        <f ca="1">IF(HM3=$C$23,1,-1000)</f>
        <v>-1000</v>
      </c>
      <c r="HN26" s="27">
        <f ca="1">IF(HN3=$C$23,1,-1000)</f>
        <v>-1000</v>
      </c>
      <c r="HO26" s="27">
        <f ca="1">IF(HO3=$C$23,1,-1000)</f>
        <v>-1000</v>
      </c>
      <c r="HP26" s="27">
        <f ca="1">IF(HP3=$C$23,1,-1000)</f>
        <v>-1000</v>
      </c>
      <c r="HQ26" s="27">
        <f ca="1">IF(HQ3=$C$23,1,-1000)</f>
        <v>-1000</v>
      </c>
      <c r="HR26" s="27">
        <f ca="1">IF(HR3=$C$23,1,-1000)</f>
        <v>-1000</v>
      </c>
      <c r="HS26" s="27">
        <f ca="1">IF(HS3=$C$23,1,-1000)</f>
        <v>-1000</v>
      </c>
      <c r="HT26" s="27">
        <f ca="1">IF(HT3=$C$23,1,-1000)</f>
        <v>-1000</v>
      </c>
      <c r="HU26" s="27">
        <f ca="1">IF(HU3=$C$23,1,-1000)</f>
        <v>-1000</v>
      </c>
      <c r="HV26" s="27">
        <f ca="1">IF(HV3=$C$23,1,-1000)</f>
        <v>-1000</v>
      </c>
      <c r="HW26" s="27">
        <f ca="1">IF(HW3=$C$23,1,-1000)</f>
        <v>-1000</v>
      </c>
      <c r="HX26" s="27">
        <f ca="1">IF(HX3=$C$23,1,-1000)</f>
        <v>-1000</v>
      </c>
      <c r="HY26" s="27">
        <f ca="1">IF(HY3=$C$23,1,-1000)</f>
        <v>-1000</v>
      </c>
      <c r="HZ26" s="27">
        <f ca="1">IF(HZ3=$C$23,1,-1000)</f>
        <v>-1000</v>
      </c>
      <c r="IA26" s="27">
        <f ca="1">IF(IA3=$C$23,1,-1000)</f>
        <v>-1000</v>
      </c>
      <c r="IB26" s="27">
        <f ca="1">IF(IB3=$C$23,1,-1000)</f>
        <v>-1000</v>
      </c>
      <c r="IC26" s="27">
        <f ca="1">IF(IC3=$C$23,1,-1000)</f>
        <v>-1000</v>
      </c>
      <c r="ID26" s="27">
        <f ca="1">IF(ID3=$C$23,1,-1000)</f>
        <v>-1000</v>
      </c>
      <c r="IE26" s="27">
        <f ca="1">IF(IE3=$C$23,1,-1000)</f>
        <v>-1000</v>
      </c>
      <c r="IF26" s="27">
        <f ca="1">IF(IF3=$C$23,1,-1000)</f>
        <v>-1000</v>
      </c>
      <c r="IG26" s="27">
        <f ca="1">IF(IG3=$C$23,1,-1000)</f>
        <v>-1000</v>
      </c>
      <c r="IH26" s="27">
        <f ca="1">IF(IH3=$C$23,1,-1000)</f>
        <v>-1000</v>
      </c>
      <c r="II26" s="27">
        <f ca="1">IF(II3=$C$23,1,-1000)</f>
        <v>-1000</v>
      </c>
      <c r="IJ26" s="27">
        <f ca="1">IF(IJ3=$C$23,1,-1000)</f>
        <v>-1000</v>
      </c>
      <c r="IK26" s="27">
        <f ca="1">IF(IK3=$C$23,1,-1000)</f>
        <v>-1000</v>
      </c>
      <c r="IL26" s="27">
        <f ca="1">IF(IL3=$C$23,1,-1000)</f>
        <v>-1000</v>
      </c>
      <c r="IM26" s="27">
        <f ca="1">IF(IM3=$C$23,1,-1000)</f>
        <v>-1000</v>
      </c>
      <c r="IN26" s="27">
        <f ca="1">IF(IN3=$C$23,1,-1000)</f>
        <v>-1000</v>
      </c>
    </row>
    <row r="27" spans="2:248" x14ac:dyDescent="0.3">
      <c r="F27" s="22" t="s">
        <v>631</v>
      </c>
      <c r="G27" s="27">
        <f ca="1">IF(G26=1,-1000,IF(G3=$C$22,1,-1000))</f>
        <v>-1000</v>
      </c>
      <c r="H27" s="27">
        <f ca="1">IF(H26=1,-1000,IF(H3=$C$22,1,-1000))</f>
        <v>-1000</v>
      </c>
      <c r="I27" s="27">
        <f ca="1">IF(I26=1,-1000,IF(I3=$C$22,1,-1000))</f>
        <v>-1000</v>
      </c>
      <c r="J27" s="27">
        <f ca="1">IF(J26=1,-1000,IF(J3=$C$22,1,-1000))</f>
        <v>-1000</v>
      </c>
      <c r="K27" s="27">
        <f ca="1">IF(K26=1,-1000,IF(K3=$C$22,1,-1000))</f>
        <v>-1000</v>
      </c>
      <c r="L27" s="27">
        <f ca="1">IF(L26=1,-1000,IF(L3=$C$22,1,-1000))</f>
        <v>-1000</v>
      </c>
      <c r="M27" s="27">
        <f ca="1">IF(M26=1,-1000,IF(M3=$C$22,1,-1000))</f>
        <v>-1000</v>
      </c>
      <c r="N27" s="27">
        <f ca="1">IF(N26=1,-1000,IF(N3=$C$22,1,-1000))</f>
        <v>-1000</v>
      </c>
      <c r="O27" s="27">
        <f ca="1">IF(O26=1,-1000,IF(O3=$C$22,1,-1000))</f>
        <v>-1000</v>
      </c>
      <c r="P27" s="27">
        <f ca="1">IF(P26=1,-1000,IF(P3=$C$22,1,-1000))</f>
        <v>1</v>
      </c>
      <c r="Q27" s="27">
        <f ca="1">IF(Q26=1,-1000,IF(Q3=$C$22,1,-1000))</f>
        <v>-1000</v>
      </c>
      <c r="R27" s="27">
        <f ca="1">IF(R26=1,-1000,IF(R3=$C$22,1,-1000))</f>
        <v>-1000</v>
      </c>
      <c r="S27" s="27">
        <f ca="1">IF(S26=1,-1000,IF(S3=$C$22,1,-1000))</f>
        <v>-1000</v>
      </c>
      <c r="T27" s="27">
        <f ca="1">IF(T26=1,-1000,IF(T3=$C$22,1,-1000))</f>
        <v>-1000</v>
      </c>
      <c r="U27" s="27">
        <f ca="1">IF(U26=1,-1000,IF(U3=$C$22,1,-1000))</f>
        <v>-1000</v>
      </c>
      <c r="V27" s="27">
        <f ca="1">IF(V26=1,-1000,IF(V3=$C$22,1,-1000))</f>
        <v>-1000</v>
      </c>
      <c r="W27" s="27">
        <f ca="1">IF(W26=1,-1000,IF(W3=$C$22,1,-1000))</f>
        <v>-1000</v>
      </c>
      <c r="X27" s="27">
        <f ca="1">IF(X26=1,-1000,IF(X3=$C$22,1,-1000))</f>
        <v>-1000</v>
      </c>
      <c r="Y27" s="27">
        <f ca="1">IF(Y26=1,-1000,IF(Y3=$C$22,1,-1000))</f>
        <v>-1000</v>
      </c>
      <c r="Z27" s="27">
        <f ca="1">IF(Z26=1,-1000,IF(Z3=$C$22,1,-1000))</f>
        <v>-1000</v>
      </c>
      <c r="AA27" s="27">
        <f ca="1">IF(AA26=1,-1000,IF(AA3=$C$22,1,-1000))</f>
        <v>-1000</v>
      </c>
      <c r="AB27" s="27">
        <f ca="1">IF(AB26=1,-1000,IF(AB3=$C$22,1,-1000))</f>
        <v>-1000</v>
      </c>
      <c r="AC27" s="27">
        <f ca="1">IF(AC26=1,-1000,IF(AC3=$C$22,1,-1000))</f>
        <v>-1000</v>
      </c>
      <c r="AD27" s="27">
        <f ca="1">IF(AD26=1,-1000,IF(AD3=$C$22,1,-1000))</f>
        <v>-1000</v>
      </c>
      <c r="AE27" s="27">
        <f ca="1">IF(AE26=1,-1000,IF(AE3=$C$22,1,-1000))</f>
        <v>-1000</v>
      </c>
      <c r="AF27" s="27">
        <f ca="1">IF(AF26=1,-1000,IF(AF3=$C$22,1,-1000))</f>
        <v>-1000</v>
      </c>
      <c r="AG27" s="27">
        <f ca="1">IF(AG26=1,-1000,IF(AG3=$C$22,1,-1000))</f>
        <v>-1000</v>
      </c>
      <c r="AH27" s="27">
        <f ca="1">IF(AH26=1,-1000,IF(AH3=$C$22,1,-1000))</f>
        <v>-1000</v>
      </c>
      <c r="AI27" s="27">
        <f ca="1">IF(AI26=1,-1000,IF(AI3=$C$22,1,-1000))</f>
        <v>-1000</v>
      </c>
      <c r="AJ27" s="27">
        <f ca="1">IF(AJ26=1,-1000,IF(AJ3=$C$22,1,-1000))</f>
        <v>-1000</v>
      </c>
      <c r="AK27" s="27">
        <f ca="1">IF(AK26=1,-1000,IF(AK3=$C$22,1,-1000))</f>
        <v>-1000</v>
      </c>
      <c r="AL27" s="27">
        <f ca="1">IF(AL26=1,-1000,IF(AL3=$C$22,1,-1000))</f>
        <v>-1000</v>
      </c>
      <c r="AM27" s="27">
        <f ca="1">IF(AM26=1,-1000,IF(AM3=$C$22,1,-1000))</f>
        <v>-1000</v>
      </c>
      <c r="AN27" s="27">
        <f ca="1">IF(AN26=1,-1000,IF(AN3=$C$22,1,-1000))</f>
        <v>-1000</v>
      </c>
      <c r="AO27" s="27">
        <f ca="1">IF(AO26=1,-1000,IF(AO3=$C$22,1,-1000))</f>
        <v>-1000</v>
      </c>
      <c r="AP27" s="27">
        <f ca="1">IF(AP26=1,-1000,IF(AP3=$C$22,1,-1000))</f>
        <v>-1000</v>
      </c>
      <c r="AQ27" s="27">
        <f ca="1">IF(AQ26=1,-1000,IF(AQ3=$C$22,1,-1000))</f>
        <v>-1000</v>
      </c>
      <c r="AR27" s="27">
        <f ca="1">IF(AR26=1,-1000,IF(AR3=$C$22,1,-1000))</f>
        <v>-1000</v>
      </c>
      <c r="AS27" s="27">
        <f ca="1">IF(AS26=1,-1000,IF(AS3=$C$22,1,-1000))</f>
        <v>-1000</v>
      </c>
      <c r="AT27" s="27">
        <f ca="1">IF(AT26=1,-1000,IF(AT3=$C$22,1,-1000))</f>
        <v>-1000</v>
      </c>
      <c r="AU27" s="27">
        <f ca="1">IF(AU26=1,-1000,IF(AU3=$C$22,1,-1000))</f>
        <v>-1000</v>
      </c>
      <c r="AV27" s="27">
        <f ca="1">IF(AV26=1,-1000,IF(AV3=$C$22,1,-1000))</f>
        <v>-1000</v>
      </c>
      <c r="AW27" s="27">
        <f ca="1">IF(AW26=1,-1000,IF(AW3=$C$22,1,-1000))</f>
        <v>-1000</v>
      </c>
      <c r="AX27" s="27">
        <f ca="1">IF(AX26=1,-1000,IF(AX3=$C$22,1,-1000))</f>
        <v>-1000</v>
      </c>
      <c r="AY27" s="27">
        <f ca="1">IF(AY26=1,-1000,IF(AY3=$C$22,1,-1000))</f>
        <v>-1000</v>
      </c>
      <c r="AZ27" s="27">
        <f ca="1">IF(AZ26=1,-1000,IF(AZ3=$C$22,1,-1000))</f>
        <v>-1000</v>
      </c>
      <c r="BA27" s="27">
        <f ca="1">IF(BA26=1,-1000,IF(BA3=$C$22,1,-1000))</f>
        <v>-1000</v>
      </c>
      <c r="BB27" s="27">
        <f ca="1">IF(BB26=1,-1000,IF(BB3=$C$22,1,-1000))</f>
        <v>-1000</v>
      </c>
      <c r="BC27" s="27">
        <f ca="1">IF(BC26=1,-1000,IF(BC3=$C$22,1,-1000))</f>
        <v>-1000</v>
      </c>
      <c r="BD27" s="27">
        <f ca="1">IF(BD26=1,-1000,IF(BD3=$C$22,1,-1000))</f>
        <v>-1000</v>
      </c>
      <c r="BE27" s="27">
        <f ca="1">IF(BE26=1,-1000,IF(BE3=$C$22,1,-1000))</f>
        <v>-1000</v>
      </c>
      <c r="BF27" s="27">
        <f ca="1">IF(BF26=1,-1000,IF(BF3=$C$22,1,-1000))</f>
        <v>-1000</v>
      </c>
      <c r="BG27" s="27">
        <f ca="1">IF(BG26=1,-1000,IF(BG3=$C$22,1,-1000))</f>
        <v>-1000</v>
      </c>
      <c r="BH27" s="27">
        <f ca="1">IF(BH26=1,-1000,IF(BH3=$C$22,1,-1000))</f>
        <v>-1000</v>
      </c>
      <c r="BI27" s="27">
        <f ca="1">IF(BI26=1,-1000,IF(BI3=$C$22,1,-1000))</f>
        <v>-1000</v>
      </c>
      <c r="BJ27" s="27">
        <f ca="1">IF(BJ26=1,-1000,IF(BJ3=$C$22,1,-1000))</f>
        <v>-1000</v>
      </c>
      <c r="BK27" s="27">
        <f ca="1">IF(BK26=1,-1000,IF(BK3=$C$22,1,-1000))</f>
        <v>-1000</v>
      </c>
      <c r="BL27" s="27">
        <f ca="1">IF(BL26=1,-1000,IF(BL3=$C$22,1,-1000))</f>
        <v>-1000</v>
      </c>
      <c r="BM27" s="27">
        <f ca="1">IF(BM26=1,-1000,IF(BM3=$C$22,1,-1000))</f>
        <v>-1000</v>
      </c>
      <c r="BN27" s="27">
        <f ca="1">IF(BN26=1,-1000,IF(BN3=$C$22,1,-1000))</f>
        <v>-1000</v>
      </c>
      <c r="BO27" s="27">
        <f ca="1">IF(BO26=1,-1000,IF(BO3=$C$22,1,-1000))</f>
        <v>-1000</v>
      </c>
      <c r="BP27" s="27">
        <f ca="1">IF(BP26=1,-1000,IF(BP3=$C$22,1,-1000))</f>
        <v>-1000</v>
      </c>
      <c r="BQ27" s="27">
        <f ca="1">IF(BQ26=1,-1000,IF(BQ3=$C$22,1,-1000))</f>
        <v>-1000</v>
      </c>
      <c r="BR27" s="27">
        <f ca="1">IF(BR26=1,-1000,IF(BR3=$C$22,1,-1000))</f>
        <v>-1000</v>
      </c>
      <c r="BS27" s="27">
        <f ca="1">IF(BS26=1,-1000,IF(BS3=$C$22,1,-1000))</f>
        <v>-1000</v>
      </c>
      <c r="BT27" s="27">
        <f ca="1">IF(BT26=1,-1000,IF(BT3=$C$22,1,-1000))</f>
        <v>-1000</v>
      </c>
      <c r="BU27" s="27">
        <f ca="1">IF(BU26=1,-1000,IF(BU3=$C$22,1,-1000))</f>
        <v>-1000</v>
      </c>
      <c r="BV27" s="27">
        <f ca="1">IF(BV26=1,-1000,IF(BV3=$C$22,1,-1000))</f>
        <v>-1000</v>
      </c>
      <c r="BW27" s="27">
        <f ca="1">IF(BW26=1,-1000,IF(BW3=$C$22,1,-1000))</f>
        <v>-1000</v>
      </c>
      <c r="BX27" s="27">
        <f ca="1">IF(BX26=1,-1000,IF(BX3=$C$22,1,-1000))</f>
        <v>-1000</v>
      </c>
      <c r="BY27" s="27">
        <f ca="1">IF(BY26=1,-1000,IF(BY3=$C$22,1,-1000))</f>
        <v>-1000</v>
      </c>
      <c r="BZ27" s="27">
        <f ca="1">IF(BZ26=1,-1000,IF(BZ3=$C$22,1,-1000))</f>
        <v>-1000</v>
      </c>
      <c r="CA27" s="27">
        <f ca="1">IF(CA26=1,-1000,IF(CA3=$C$22,1,-1000))</f>
        <v>-1000</v>
      </c>
      <c r="CB27" s="27">
        <f ca="1">IF(CB26=1,-1000,IF(CB3=$C$22,1,-1000))</f>
        <v>-1000</v>
      </c>
      <c r="CC27" s="27">
        <f ca="1">IF(CC26=1,-1000,IF(CC3=$C$22,1,-1000))</f>
        <v>-1000</v>
      </c>
      <c r="CD27" s="27">
        <f ca="1">IF(CD26=1,-1000,IF(CD3=$C$22,1,-1000))</f>
        <v>-1000</v>
      </c>
      <c r="CE27" s="27">
        <f ca="1">IF(CE26=1,-1000,IF(CE3=$C$22,1,-1000))</f>
        <v>-1000</v>
      </c>
      <c r="CF27" s="27">
        <f ca="1">IF(CF26=1,-1000,IF(CF3=$C$22,1,-1000))</f>
        <v>-1000</v>
      </c>
      <c r="CG27" s="27">
        <f ca="1">IF(CG26=1,-1000,IF(CG3=$C$22,1,-1000))</f>
        <v>-1000</v>
      </c>
      <c r="CH27" s="27">
        <f ca="1">IF(CH26=1,-1000,IF(CH3=$C$22,1,-1000))</f>
        <v>-1000</v>
      </c>
      <c r="CI27" s="27">
        <f ca="1">IF(CI26=1,-1000,IF(CI3=$C$22,1,-1000))</f>
        <v>-1000</v>
      </c>
      <c r="CJ27" s="27">
        <f ca="1">IF(CJ26=1,-1000,IF(CJ3=$C$22,1,-1000))</f>
        <v>-1000</v>
      </c>
      <c r="CK27" s="27">
        <f ca="1">IF(CK26=1,-1000,IF(CK3=$C$22,1,-1000))</f>
        <v>-1000</v>
      </c>
      <c r="CL27" s="27">
        <f ca="1">IF(CL26=1,-1000,IF(CL3=$C$22,1,-1000))</f>
        <v>-1000</v>
      </c>
      <c r="CM27" s="27">
        <f ca="1">IF(CM26=1,-1000,IF(CM3=$C$22,1,-1000))</f>
        <v>-1000</v>
      </c>
      <c r="CN27" s="27">
        <f ca="1">IF(CN26=1,-1000,IF(CN3=$C$22,1,-1000))</f>
        <v>-1000</v>
      </c>
      <c r="CO27" s="27">
        <f ca="1">IF(CO26=1,-1000,IF(CO3=$C$22,1,-1000))</f>
        <v>-1000</v>
      </c>
      <c r="CP27" s="27">
        <f ca="1">IF(CP26=1,-1000,IF(CP3=$C$22,1,-1000))</f>
        <v>-1000</v>
      </c>
      <c r="CQ27" s="27">
        <f ca="1">IF(CQ26=1,-1000,IF(CQ3=$C$22,1,-1000))</f>
        <v>-1000</v>
      </c>
      <c r="CR27" s="27">
        <f ca="1">IF(CR26=1,-1000,IF(CR3=$C$22,1,-1000))</f>
        <v>-1000</v>
      </c>
      <c r="CS27" s="27">
        <f ca="1">IF(CS26=1,-1000,IF(CS3=$C$22,1,-1000))</f>
        <v>-1000</v>
      </c>
      <c r="CT27" s="27">
        <f ca="1">IF(CT26=1,-1000,IF(CT3=$C$22,1,-1000))</f>
        <v>-1000</v>
      </c>
      <c r="CU27" s="27">
        <f ca="1">IF(CU26=1,-1000,IF(CU3=$C$22,1,-1000))</f>
        <v>-1000</v>
      </c>
      <c r="CV27" s="27">
        <f ca="1">IF(CV26=1,-1000,IF(CV3=$C$22,1,-1000))</f>
        <v>-1000</v>
      </c>
      <c r="CW27" s="27">
        <f ca="1">IF(CW26=1,-1000,IF(CW3=$C$22,1,-1000))</f>
        <v>-1000</v>
      </c>
      <c r="CX27" s="27">
        <f ca="1">IF(CX26=1,-1000,IF(CX3=$C$22,1,-1000))</f>
        <v>-1000</v>
      </c>
      <c r="CY27" s="27">
        <f ca="1">IF(CY26=1,-1000,IF(CY3=$C$22,1,-1000))</f>
        <v>-1000</v>
      </c>
      <c r="CZ27" s="27">
        <f ca="1">IF(CZ26=1,-1000,IF(CZ3=$C$22,1,-1000))</f>
        <v>-1000</v>
      </c>
      <c r="DA27" s="27">
        <f ca="1">IF(DA26=1,-1000,IF(DA3=$C$22,1,-1000))</f>
        <v>-1000</v>
      </c>
      <c r="DB27" s="27">
        <f ca="1">IF(DB26=1,-1000,IF(DB3=$C$22,1,-1000))</f>
        <v>-1000</v>
      </c>
      <c r="DC27" s="27">
        <f ca="1">IF(DC26=1,-1000,IF(DC3=$C$22,1,-1000))</f>
        <v>-1000</v>
      </c>
      <c r="DD27" s="27">
        <f ca="1">IF(DD26=1,-1000,IF(DD3=$C$22,1,-1000))</f>
        <v>-1000</v>
      </c>
      <c r="DE27" s="27">
        <f ca="1">IF(DE26=1,-1000,IF(DE3=$C$22,1,-1000))</f>
        <v>-1000</v>
      </c>
      <c r="DF27" s="27">
        <f ca="1">IF(DF26=1,-1000,IF(DF3=$C$22,1,-1000))</f>
        <v>-1000</v>
      </c>
      <c r="DG27" s="27">
        <f ca="1">IF(DG26=1,-1000,IF(DG3=$C$22,1,-1000))</f>
        <v>-1000</v>
      </c>
      <c r="DH27" s="27">
        <f ca="1">IF(DH26=1,-1000,IF(DH3=$C$22,1,-1000))</f>
        <v>-1000</v>
      </c>
      <c r="DI27" s="27">
        <f ca="1">IF(DI26=1,-1000,IF(DI3=$C$22,1,-1000))</f>
        <v>-1000</v>
      </c>
      <c r="DJ27" s="27">
        <f ca="1">IF(DJ26=1,-1000,IF(DJ3=$C$22,1,-1000))</f>
        <v>-1000</v>
      </c>
      <c r="DK27" s="27">
        <f ca="1">IF(DK26=1,-1000,IF(DK3=$C$22,1,-1000))</f>
        <v>-1000</v>
      </c>
      <c r="DL27" s="27">
        <f ca="1">IF(DL26=1,-1000,IF(DL3=$C$22,1,-1000))</f>
        <v>-1000</v>
      </c>
      <c r="DM27" s="27">
        <f ca="1">IF(DM26=1,-1000,IF(DM3=$C$22,1,-1000))</f>
        <v>-1000</v>
      </c>
      <c r="DN27" s="27">
        <f ca="1">IF(DN26=1,-1000,IF(DN3=$C$22,1,-1000))</f>
        <v>-1000</v>
      </c>
      <c r="DO27" s="27">
        <f ca="1">IF(DO26=1,-1000,IF(DO3=$C$22,1,-1000))</f>
        <v>-1000</v>
      </c>
      <c r="DP27" s="27">
        <f ca="1">IF(DP26=1,-1000,IF(DP3=$C$22,1,-1000))</f>
        <v>-1000</v>
      </c>
      <c r="DQ27" s="27">
        <f ca="1">IF(DQ26=1,-1000,IF(DQ3=$C$22,1,-1000))</f>
        <v>-1000</v>
      </c>
      <c r="DR27" s="27">
        <f ca="1">IF(DR26=1,-1000,IF(DR3=$C$22,1,-1000))</f>
        <v>-1000</v>
      </c>
      <c r="DS27" s="27">
        <f ca="1">IF(DS26=1,-1000,IF(DS3=$C$22,1,-1000))</f>
        <v>-1000</v>
      </c>
      <c r="DT27" s="27">
        <f ca="1">IF(DT26=1,-1000,IF(DT3=$C$22,1,-1000))</f>
        <v>-1000</v>
      </c>
      <c r="DU27" s="27">
        <f ca="1">IF(DU26=1,-1000,IF(DU3=$C$22,1,-1000))</f>
        <v>-1000</v>
      </c>
      <c r="DV27" s="27">
        <f ca="1">IF(DV26=1,-1000,IF(DV3=$C$22,1,-1000))</f>
        <v>-1000</v>
      </c>
      <c r="DW27" s="27">
        <f ca="1">IF(DW26=1,-1000,IF(DW3=$C$22,1,-1000))</f>
        <v>-1000</v>
      </c>
      <c r="DX27" s="27">
        <f ca="1">IF(DX26=1,-1000,IF(DX3=$C$22,1,-1000))</f>
        <v>-1000</v>
      </c>
      <c r="DY27" s="27">
        <f ca="1">IF(DY26=1,-1000,IF(DY3=$C$22,1,-1000))</f>
        <v>-1000</v>
      </c>
      <c r="DZ27" s="27">
        <f ca="1">IF(DZ26=1,-1000,IF(DZ3=$C$22,1,-1000))</f>
        <v>-1000</v>
      </c>
      <c r="EA27" s="27">
        <f ca="1">IF(EA26=1,-1000,IF(EA3=$C$22,1,-1000))</f>
        <v>-1000</v>
      </c>
      <c r="EB27" s="27">
        <f ca="1">IF(EB26=1,-1000,IF(EB3=$C$22,1,-1000))</f>
        <v>-1000</v>
      </c>
      <c r="EC27" s="27">
        <f ca="1">IF(EC26=1,-1000,IF(EC3=$C$22,1,-1000))</f>
        <v>-1000</v>
      </c>
      <c r="ED27" s="27">
        <f ca="1">IF(ED26=1,-1000,IF(ED3=$C$22,1,-1000))</f>
        <v>-1000</v>
      </c>
      <c r="EE27" s="27">
        <f ca="1">IF(EE26=1,-1000,IF(EE3=$C$22,1,-1000))</f>
        <v>-1000</v>
      </c>
      <c r="EF27" s="27">
        <f ca="1">IF(EF26=1,-1000,IF(EF3=$C$22,1,-1000))</f>
        <v>-1000</v>
      </c>
      <c r="EG27" s="27">
        <f ca="1">IF(EG26=1,-1000,IF(EG3=$C$22,1,-1000))</f>
        <v>-1000</v>
      </c>
      <c r="EH27" s="27">
        <f ca="1">IF(EH26=1,-1000,IF(EH3=$C$22,1,-1000))</f>
        <v>-1000</v>
      </c>
      <c r="EI27" s="27">
        <f ca="1">IF(EI26=1,-1000,IF(EI3=$C$22,1,-1000))</f>
        <v>-1000</v>
      </c>
      <c r="EJ27" s="27">
        <f ca="1">IF(EJ26=1,-1000,IF(EJ3=$C$22,1,-1000))</f>
        <v>-1000</v>
      </c>
      <c r="EK27" s="27">
        <f ca="1">IF(EK26=1,-1000,IF(EK3=$C$22,1,-1000))</f>
        <v>-1000</v>
      </c>
      <c r="EL27" s="27">
        <f ca="1">IF(EL26=1,-1000,IF(EL3=$C$22,1,-1000))</f>
        <v>-1000</v>
      </c>
      <c r="EM27" s="27">
        <f ca="1">IF(EM26=1,-1000,IF(EM3=$C$22,1,-1000))</f>
        <v>-1000</v>
      </c>
      <c r="EN27" s="27">
        <f ca="1">IF(EN26=1,-1000,IF(EN3=$C$22,1,-1000))</f>
        <v>-1000</v>
      </c>
      <c r="EO27" s="27">
        <f ca="1">IF(EO26=1,-1000,IF(EO3=$C$22,1,-1000))</f>
        <v>-1000</v>
      </c>
      <c r="EP27" s="27">
        <f ca="1">IF(EP26=1,-1000,IF(EP3=$C$22,1,-1000))</f>
        <v>-1000</v>
      </c>
      <c r="EQ27" s="27">
        <f ca="1">IF(EQ26=1,-1000,IF(EQ3=$C$22,1,-1000))</f>
        <v>-1000</v>
      </c>
      <c r="ER27" s="27">
        <f ca="1">IF(ER26=1,-1000,IF(ER3=$C$22,1,-1000))</f>
        <v>-1000</v>
      </c>
      <c r="ES27" s="27">
        <f ca="1">IF(ES26=1,-1000,IF(ES3=$C$22,1,-1000))</f>
        <v>-1000</v>
      </c>
      <c r="ET27" s="27">
        <f ca="1">IF(ET26=1,-1000,IF(ET3=$C$22,1,-1000))</f>
        <v>-1000</v>
      </c>
      <c r="EU27" s="27">
        <f ca="1">IF(EU26=1,-1000,IF(EU3=$C$22,1,-1000))</f>
        <v>-1000</v>
      </c>
      <c r="EV27" s="27">
        <f ca="1">IF(EV26=1,-1000,IF(EV3=$C$22,1,-1000))</f>
        <v>-1000</v>
      </c>
      <c r="EW27" s="27">
        <f ca="1">IF(EW26=1,-1000,IF(EW3=$C$22,1,-1000))</f>
        <v>-1000</v>
      </c>
      <c r="EX27" s="27">
        <f ca="1">IF(EX26=1,-1000,IF(EX3=$C$22,1,-1000))</f>
        <v>-1000</v>
      </c>
      <c r="EY27" s="27">
        <f ca="1">IF(EY26=1,-1000,IF(EY3=$C$22,1,-1000))</f>
        <v>-1000</v>
      </c>
      <c r="EZ27" s="27">
        <f ca="1">IF(EZ26=1,-1000,IF(EZ3=$C$22,1,-1000))</f>
        <v>-1000</v>
      </c>
      <c r="FA27" s="27">
        <f ca="1">IF(FA26=1,-1000,IF(FA3=$C$22,1,-1000))</f>
        <v>-1000</v>
      </c>
      <c r="FB27" s="27">
        <f ca="1">IF(FB26=1,-1000,IF(FB3=$C$22,1,-1000))</f>
        <v>-1000</v>
      </c>
      <c r="FC27" s="27">
        <f ca="1">IF(FC26=1,-1000,IF(FC3=$C$22,1,-1000))</f>
        <v>-1000</v>
      </c>
      <c r="FD27" s="27">
        <f ca="1">IF(FD26=1,-1000,IF(FD3=$C$22,1,-1000))</f>
        <v>-1000</v>
      </c>
      <c r="FE27" s="27">
        <f ca="1">IF(FE26=1,-1000,IF(FE3=$C$22,1,-1000))</f>
        <v>-1000</v>
      </c>
      <c r="FF27" s="27">
        <f ca="1">IF(FF26=1,-1000,IF(FF3=$C$22,1,-1000))</f>
        <v>-1000</v>
      </c>
      <c r="FG27" s="27">
        <f ca="1">IF(FG26=1,-1000,IF(FG3=$C$22,1,-1000))</f>
        <v>-1000</v>
      </c>
      <c r="FH27" s="27">
        <f ca="1">IF(FH26=1,-1000,IF(FH3=$C$22,1,-1000))</f>
        <v>-1000</v>
      </c>
      <c r="FI27" s="27">
        <f ca="1">IF(FI26=1,-1000,IF(FI3=$C$22,1,-1000))</f>
        <v>-1000</v>
      </c>
      <c r="FJ27" s="27">
        <f ca="1">IF(FJ26=1,-1000,IF(FJ3=$C$22,1,-1000))</f>
        <v>-1000</v>
      </c>
      <c r="FK27" s="27">
        <f ca="1">IF(FK26=1,-1000,IF(FK3=$C$22,1,-1000))</f>
        <v>-1000</v>
      </c>
      <c r="FL27" s="27">
        <f ca="1">IF(FL26=1,-1000,IF(FL3=$C$22,1,-1000))</f>
        <v>-1000</v>
      </c>
      <c r="FM27" s="27">
        <f ca="1">IF(FM26=1,-1000,IF(FM3=$C$22,1,-1000))</f>
        <v>-1000</v>
      </c>
      <c r="FN27" s="27">
        <f ca="1">IF(FN26=1,-1000,IF(FN3=$C$22,1,-1000))</f>
        <v>-1000</v>
      </c>
      <c r="FO27" s="27">
        <f ca="1">IF(FO26=1,-1000,IF(FO3=$C$22,1,-1000))</f>
        <v>-1000</v>
      </c>
      <c r="FP27" s="27">
        <f ca="1">IF(FP26=1,-1000,IF(FP3=$C$22,1,-1000))</f>
        <v>-1000</v>
      </c>
      <c r="FQ27" s="27">
        <f ca="1">IF(FQ26=1,-1000,IF(FQ3=$C$22,1,-1000))</f>
        <v>-1000</v>
      </c>
      <c r="FR27" s="27">
        <f ca="1">IF(FR26=1,-1000,IF(FR3=$C$22,1,-1000))</f>
        <v>-1000</v>
      </c>
      <c r="FS27" s="27">
        <f ca="1">IF(FS26=1,-1000,IF(FS3=$C$22,1,-1000))</f>
        <v>-1000</v>
      </c>
      <c r="FT27" s="27">
        <f ca="1">IF(FT26=1,-1000,IF(FT3=$C$22,1,-1000))</f>
        <v>-1000</v>
      </c>
      <c r="FU27" s="27">
        <f ca="1">IF(FU26=1,-1000,IF(FU3=$C$22,1,-1000))</f>
        <v>-1000</v>
      </c>
      <c r="FV27" s="27">
        <f ca="1">IF(FV26=1,-1000,IF(FV3=$C$22,1,-1000))</f>
        <v>-1000</v>
      </c>
      <c r="FW27" s="27">
        <f ca="1">IF(FW26=1,-1000,IF(FW3=$C$22,1,-1000))</f>
        <v>-1000</v>
      </c>
      <c r="FX27" s="27">
        <f ca="1">IF(FX26=1,-1000,IF(FX3=$C$22,1,-1000))</f>
        <v>-1000</v>
      </c>
      <c r="FY27" s="27">
        <f ca="1">IF(FY26=1,-1000,IF(FY3=$C$22,1,-1000))</f>
        <v>-1000</v>
      </c>
      <c r="FZ27" s="27">
        <f ca="1">IF(FZ26=1,-1000,IF(FZ3=$C$22,1,-1000))</f>
        <v>-1000</v>
      </c>
      <c r="GA27" s="27">
        <f ca="1">IF(GA26=1,-1000,IF(GA3=$C$22,1,-1000))</f>
        <v>-1000</v>
      </c>
      <c r="GB27" s="27">
        <f ca="1">IF(GB26=1,-1000,IF(GB3=$C$22,1,-1000))</f>
        <v>-1000</v>
      </c>
      <c r="GC27" s="27">
        <f ca="1">IF(GC26=1,-1000,IF(GC3=$C$22,1,-1000))</f>
        <v>-1000</v>
      </c>
      <c r="GD27" s="27">
        <f ca="1">IF(GD26=1,-1000,IF(GD3=$C$22,1,-1000))</f>
        <v>-1000</v>
      </c>
      <c r="GE27" s="27">
        <f ca="1">IF(GE26=1,-1000,IF(GE3=$C$22,1,-1000))</f>
        <v>-1000</v>
      </c>
      <c r="GF27" s="27">
        <f ca="1">IF(GF26=1,-1000,IF(GF3=$C$22,1,-1000))</f>
        <v>-1000</v>
      </c>
      <c r="GG27" s="27">
        <f ca="1">IF(GG26=1,-1000,IF(GG3=$C$22,1,-1000))</f>
        <v>-1000</v>
      </c>
      <c r="GH27" s="27">
        <f ca="1">IF(GH26=1,-1000,IF(GH3=$C$22,1,-1000))</f>
        <v>-1000</v>
      </c>
      <c r="GI27" s="27">
        <f ca="1">IF(GI26=1,-1000,IF(GI3=$C$22,1,-1000))</f>
        <v>-1000</v>
      </c>
      <c r="GJ27" s="27">
        <f ca="1">IF(GJ26=1,-1000,IF(GJ3=$C$22,1,-1000))</f>
        <v>-1000</v>
      </c>
      <c r="GK27" s="27">
        <f ca="1">IF(GK26=1,-1000,IF(GK3=$C$22,1,-1000))</f>
        <v>-1000</v>
      </c>
      <c r="GL27" s="27">
        <f ca="1">IF(GL26=1,-1000,IF(GL3=$C$22,1,-1000))</f>
        <v>-1000</v>
      </c>
      <c r="GM27" s="27">
        <f ca="1">IF(GM26=1,-1000,IF(GM3=$C$22,1,-1000))</f>
        <v>-1000</v>
      </c>
      <c r="GN27" s="27">
        <f ca="1">IF(GN26=1,-1000,IF(GN3=$C$22,1,-1000))</f>
        <v>-1000</v>
      </c>
      <c r="GO27" s="27">
        <f ca="1">IF(GO26=1,-1000,IF(GO3=$C$22,1,-1000))</f>
        <v>-1000</v>
      </c>
      <c r="GP27" s="27">
        <f ca="1">IF(GP26=1,-1000,IF(GP3=$C$22,1,-1000))</f>
        <v>-1000</v>
      </c>
      <c r="GQ27" s="27">
        <f ca="1">IF(GQ26=1,-1000,IF(GQ3=$C$22,1,-1000))</f>
        <v>-1000</v>
      </c>
      <c r="GR27" s="27">
        <f ca="1">IF(GR26=1,-1000,IF(GR3=$C$22,1,-1000))</f>
        <v>-1000</v>
      </c>
      <c r="GS27" s="27">
        <f ca="1">IF(GS26=1,-1000,IF(GS3=$C$22,1,-1000))</f>
        <v>-1000</v>
      </c>
      <c r="GT27" s="27">
        <f ca="1">IF(GT26=1,-1000,IF(GT3=$C$22,1,-1000))</f>
        <v>-1000</v>
      </c>
      <c r="GU27" s="27">
        <f ca="1">IF(GU26=1,-1000,IF(GU3=$C$22,1,-1000))</f>
        <v>-1000</v>
      </c>
      <c r="GV27" s="27">
        <f ca="1">IF(GV26=1,-1000,IF(GV3=$C$22,1,-1000))</f>
        <v>-1000</v>
      </c>
      <c r="GW27" s="27">
        <f ca="1">IF(GW26=1,-1000,IF(GW3=$C$22,1,-1000))</f>
        <v>-1000</v>
      </c>
      <c r="GX27" s="27">
        <f ca="1">IF(GX26=1,-1000,IF(GX3=$C$22,1,-1000))</f>
        <v>-1000</v>
      </c>
      <c r="GY27" s="27">
        <f ca="1">IF(GY26=1,-1000,IF(GY3=$C$22,1,-1000))</f>
        <v>-1000</v>
      </c>
      <c r="GZ27" s="27">
        <f ca="1">IF(GZ26=1,-1000,IF(GZ3=$C$22,1,-1000))</f>
        <v>-1000</v>
      </c>
      <c r="HA27" s="27">
        <f ca="1">IF(HA26=1,-1000,IF(HA3=$C$22,1,-1000))</f>
        <v>-1000</v>
      </c>
      <c r="HB27" s="27">
        <f ca="1">IF(HB26=1,-1000,IF(HB3=$C$22,1,-1000))</f>
        <v>-1000</v>
      </c>
      <c r="HC27" s="27">
        <f ca="1">IF(HC26=1,-1000,IF(HC3=$C$22,1,-1000))</f>
        <v>-1000</v>
      </c>
      <c r="HD27" s="27">
        <f ca="1">IF(HD26=1,-1000,IF(HD3=$C$22,1,-1000))</f>
        <v>-1000</v>
      </c>
      <c r="HE27" s="27">
        <f ca="1">IF(HE26=1,-1000,IF(HE3=$C$22,1,-1000))</f>
        <v>-1000</v>
      </c>
      <c r="HF27" s="27">
        <f ca="1">IF(HF26=1,-1000,IF(HF3=$C$22,1,-1000))</f>
        <v>-1000</v>
      </c>
      <c r="HG27" s="27">
        <f ca="1">IF(HG26=1,-1000,IF(HG3=$C$22,1,-1000))</f>
        <v>-1000</v>
      </c>
      <c r="HH27" s="27">
        <f ca="1">IF(HH26=1,-1000,IF(HH3=$C$22,1,-1000))</f>
        <v>-1000</v>
      </c>
      <c r="HI27" s="27">
        <f ca="1">IF(HI26=1,-1000,IF(HI3=$C$22,1,-1000))</f>
        <v>-1000</v>
      </c>
      <c r="HJ27" s="27">
        <f ca="1">IF(HJ26=1,-1000,IF(HJ3=$C$22,1,-1000))</f>
        <v>-1000</v>
      </c>
      <c r="HK27" s="27">
        <f ca="1">IF(HK26=1,-1000,IF(HK3=$C$22,1,-1000))</f>
        <v>-1000</v>
      </c>
      <c r="HL27" s="27">
        <f ca="1">IF(HL26=1,-1000,IF(HL3=$C$22,1,-1000))</f>
        <v>-1000</v>
      </c>
      <c r="HM27" s="27">
        <f ca="1">IF(HM26=1,-1000,IF(HM3=$C$22,1,-1000))</f>
        <v>-1000</v>
      </c>
      <c r="HN27" s="27">
        <f ca="1">IF(HN26=1,-1000,IF(HN3=$C$22,1,-1000))</f>
        <v>-1000</v>
      </c>
      <c r="HO27" s="27">
        <f ca="1">IF(HO26=1,-1000,IF(HO3=$C$22,1,-1000))</f>
        <v>-1000</v>
      </c>
      <c r="HP27" s="27">
        <f ca="1">IF(HP26=1,-1000,IF(HP3=$C$22,1,-1000))</f>
        <v>-1000</v>
      </c>
      <c r="HQ27" s="27">
        <f ca="1">IF(HQ26=1,-1000,IF(HQ3=$C$22,1,-1000))</f>
        <v>-1000</v>
      </c>
      <c r="HR27" s="27">
        <f ca="1">IF(HR26=1,-1000,IF(HR3=$C$22,1,-1000))</f>
        <v>-1000</v>
      </c>
      <c r="HS27" s="27">
        <f ca="1">IF(HS26=1,-1000,IF(HS3=$C$22,1,-1000))</f>
        <v>-1000</v>
      </c>
      <c r="HT27" s="27">
        <f ca="1">IF(HT26=1,-1000,IF(HT3=$C$22,1,-1000))</f>
        <v>-1000</v>
      </c>
      <c r="HU27" s="27">
        <f ca="1">IF(HU26=1,-1000,IF(HU3=$C$22,1,-1000))</f>
        <v>-1000</v>
      </c>
      <c r="HV27" s="27">
        <f ca="1">IF(HV26=1,-1000,IF(HV3=$C$22,1,-1000))</f>
        <v>-1000</v>
      </c>
      <c r="HW27" s="27">
        <f ca="1">IF(HW26=1,-1000,IF(HW3=$C$22,1,-1000))</f>
        <v>-1000</v>
      </c>
      <c r="HX27" s="27">
        <f ca="1">IF(HX26=1,-1000,IF(HX3=$C$22,1,-1000))</f>
        <v>-1000</v>
      </c>
      <c r="HY27" s="27">
        <f ca="1">IF(HY26=1,-1000,IF(HY3=$C$22,1,-1000))</f>
        <v>-1000</v>
      </c>
      <c r="HZ27" s="27">
        <f ca="1">IF(HZ26=1,-1000,IF(HZ3=$C$22,1,-1000))</f>
        <v>-1000</v>
      </c>
      <c r="IA27" s="27">
        <f ca="1">IF(IA26=1,-1000,IF(IA3=$C$22,1,-1000))</f>
        <v>-1000</v>
      </c>
      <c r="IB27" s="27">
        <f ca="1">IF(IB26=1,-1000,IF(IB3=$C$22,1,-1000))</f>
        <v>-1000</v>
      </c>
      <c r="IC27" s="27">
        <f ca="1">IF(IC26=1,-1000,IF(IC3=$C$22,1,-1000))</f>
        <v>-1000</v>
      </c>
      <c r="ID27" s="27">
        <f ca="1">IF(ID26=1,-1000,IF(ID3=$C$22,1,-1000))</f>
        <v>-1000</v>
      </c>
      <c r="IE27" s="27">
        <f ca="1">IF(IE26=1,-1000,IF(IE3=$C$22,1,-1000))</f>
        <v>-1000</v>
      </c>
      <c r="IF27" s="27">
        <f ca="1">IF(IF26=1,-1000,IF(IF3=$C$22,1,-1000))</f>
        <v>-1000</v>
      </c>
      <c r="IG27" s="27">
        <f ca="1">IF(IG26=1,-1000,IF(IG3=$C$22,1,-1000))</f>
        <v>-1000</v>
      </c>
      <c r="IH27" s="27">
        <f ca="1">IF(IH26=1,-1000,IF(IH3=$C$22,1,-1000))</f>
        <v>-1000</v>
      </c>
      <c r="II27" s="27">
        <f ca="1">IF(II26=1,-1000,IF(II3=$C$22,1,-1000))</f>
        <v>-1000</v>
      </c>
      <c r="IJ27" s="27">
        <f ca="1">IF(IJ26=1,-1000,IF(IJ3=$C$22,1,-1000))</f>
        <v>-1000</v>
      </c>
      <c r="IK27" s="27">
        <f ca="1">IF(IK26=1,-1000,IF(IK3=$C$22,1,-1000))</f>
        <v>-1000</v>
      </c>
      <c r="IL27" s="27">
        <f ca="1">IF(IL26=1,-1000,IF(IL3=$C$22,1,-1000))</f>
        <v>-1000</v>
      </c>
      <c r="IM27" s="27">
        <f ca="1">IF(IM26=1,-1000,IF(IM3=$C$22,1,-1000))</f>
        <v>-1000</v>
      </c>
      <c r="IN27" s="27">
        <f ca="1">IF(IN26=1,-1000,IF(IN3=$C$22,1,-1000))</f>
        <v>-1000</v>
      </c>
    </row>
    <row r="28" spans="2:248" ht="15" thickBot="1" x14ac:dyDescent="0.35">
      <c r="B28" s="19" t="s">
        <v>456</v>
      </c>
      <c r="C28" s="20">
        <f ca="1">G3</f>
        <v>43895</v>
      </c>
      <c r="D28" s="20">
        <f ca="1">G3</f>
        <v>43895</v>
      </c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/>
      <c r="AF28" s="27"/>
      <c r="AG28" s="27"/>
      <c r="AH28" s="27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</row>
    <row r="29" spans="2:248" ht="43.8" thickBot="1" x14ac:dyDescent="0.35">
      <c r="B29" s="19" t="s">
        <v>489</v>
      </c>
      <c r="C29" s="20">
        <f ca="1">MIN(IF(Projections!$W$14="",xMin2+C5+5,xMin2+Projections!$W$14+C5),MAX(3:3))</f>
        <v>43914</v>
      </c>
      <c r="D29" s="20">
        <f ca="1">OFFSET(G24,-21,MATCH(1,G24:KU24,0))+3</f>
        <v>43928</v>
      </c>
      <c r="H29" s="84" t="s">
        <v>516</v>
      </c>
      <c r="I29" s="85" t="s">
        <v>609</v>
      </c>
      <c r="J29" s="85" t="s">
        <v>632</v>
      </c>
      <c r="K29" s="86" t="s">
        <v>610</v>
      </c>
      <c r="L29" s="52" t="s">
        <v>633</v>
      </c>
      <c r="M29" s="49" t="s">
        <v>515</v>
      </c>
      <c r="N29" s="49" t="s">
        <v>517</v>
      </c>
      <c r="O29" s="50" t="s">
        <v>518</v>
      </c>
      <c r="S29" s="19" t="s">
        <v>516</v>
      </c>
      <c r="T29" s="19" t="s">
        <v>517</v>
      </c>
    </row>
    <row r="30" spans="2:248" ht="15" thickBot="1" x14ac:dyDescent="0.35">
      <c r="C30" s="20"/>
      <c r="D30" s="20"/>
      <c r="H30" s="46" t="s">
        <v>65</v>
      </c>
      <c r="I30" s="43">
        <f>VLOOKUP(H30,'Country Summary'!B:F,5,FALSE)</f>
        <v>6421</v>
      </c>
      <c r="J30" s="43">
        <f>I30*$C$14</f>
        <v>301.78699999999998</v>
      </c>
      <c r="K30" s="87">
        <f>IFERROR(VLOOKUP(H30,DaysSince100!C:G,5,FALSE),0)</f>
        <v>1.2976948964303137</v>
      </c>
      <c r="L30" s="51">
        <f>LOG((O30/J30),K30)</f>
        <v>22.151992963436182</v>
      </c>
      <c r="M30" s="44">
        <v>29.3</v>
      </c>
      <c r="N30" s="45">
        <f>VLOOKUP(H30,$S$30:$T$264,2,FALSE)</f>
        <v>331002651</v>
      </c>
      <c r="O30" s="47">
        <f>(N30/100000)*M30</f>
        <v>96983.776743000009</v>
      </c>
      <c r="S30" s="18" t="s">
        <v>365</v>
      </c>
      <c r="T30" s="30">
        <v>1439323776</v>
      </c>
      <c r="W30" s="28"/>
      <c r="X30" s="21"/>
      <c r="AI30" s="31"/>
      <c r="AJ30" s="32"/>
      <c r="AK30" s="33"/>
      <c r="AL30" s="32"/>
      <c r="AM30" s="32"/>
      <c r="AN30" s="33"/>
      <c r="AO30" s="33"/>
      <c r="AP30" s="34"/>
      <c r="AQ30" s="31"/>
    </row>
    <row r="31" spans="2:248" ht="15" thickBot="1" x14ac:dyDescent="0.35">
      <c r="H31" s="46" t="s">
        <v>80</v>
      </c>
      <c r="I31" s="43">
        <f>VLOOKUP(H31,'Country Summary'!B:F,5,FALSE)</f>
        <v>9257</v>
      </c>
      <c r="J31" s="43">
        <f>I31*$C$14</f>
        <v>435.07900000000001</v>
      </c>
      <c r="K31" s="87">
        <f>IFERROR(VLOOKUP(H31,DaysSince100!C:G,5,FALSE),0)</f>
        <v>1.2665800533814173</v>
      </c>
      <c r="L31" s="51">
        <f>LOG((O31/J31),K31)</f>
        <v>17.050866531041969</v>
      </c>
      <c r="M31" s="44">
        <v>29.2</v>
      </c>
      <c r="N31" s="45">
        <f>VLOOKUP(H31,$S$30:$T$264,2,FALSE)</f>
        <v>83783942</v>
      </c>
      <c r="O31" s="47">
        <f>(N31/100000)*M31</f>
        <v>24464.911064</v>
      </c>
      <c r="S31" s="18" t="s">
        <v>84</v>
      </c>
      <c r="T31" s="30">
        <v>1380004385</v>
      </c>
      <c r="W31" s="28"/>
      <c r="X31" s="21"/>
      <c r="AI31" s="31"/>
      <c r="AJ31" s="32"/>
      <c r="AK31" s="33"/>
      <c r="AL31" s="32"/>
      <c r="AM31" s="32"/>
      <c r="AN31" s="33"/>
      <c r="AO31" s="33"/>
      <c r="AP31" s="34"/>
      <c r="AQ31" s="31"/>
    </row>
    <row r="32" spans="2:248" ht="15" thickBot="1" x14ac:dyDescent="0.35">
      <c r="H32" s="46" t="s">
        <v>126</v>
      </c>
      <c r="I32" s="43">
        <f>VLOOKUP(H32,'Country Summary'!B:F,5,FALSE)</f>
        <v>140</v>
      </c>
      <c r="J32" s="43">
        <f>I32*$C$14</f>
        <v>6.58</v>
      </c>
      <c r="K32" s="87">
        <f>IFERROR(VLOOKUP(H32,DaysSince100!C:G,5,FALSE),0)</f>
        <v>0</v>
      </c>
      <c r="L32" s="51" t="e">
        <f>LOG((O32/J32),K32)</f>
        <v>#NUM!</v>
      </c>
      <c r="M32" s="44">
        <v>24.8</v>
      </c>
      <c r="N32" s="45">
        <f>VLOOKUP(H32,$S$30:$T$264,2,FALSE)</f>
        <v>625978</v>
      </c>
      <c r="O32" s="47">
        <f>(N32/100000)*M32</f>
        <v>155.24254400000001</v>
      </c>
      <c r="S32" s="18" t="s">
        <v>65</v>
      </c>
      <c r="T32" s="30">
        <v>331002651</v>
      </c>
      <c r="W32" s="28"/>
      <c r="X32" s="21"/>
      <c r="AI32" s="31"/>
      <c r="AJ32" s="32"/>
      <c r="AK32" s="33"/>
      <c r="AL32" s="32"/>
      <c r="AM32" s="32"/>
      <c r="AN32" s="33"/>
      <c r="AO32" s="33"/>
      <c r="AP32" s="34"/>
      <c r="AQ32" s="31"/>
    </row>
    <row r="33" spans="2:43" ht="15" thickBot="1" x14ac:dyDescent="0.35">
      <c r="B33" s="19" t="str">
        <f>B2&amp;" Covid-19 projections"</f>
        <v>United Kingdom Covid-19 projections</v>
      </c>
      <c r="H33" s="46" t="s">
        <v>105</v>
      </c>
      <c r="I33" s="43">
        <f>VLOOKUP(H33,'Country Summary'!B:F,5,FALSE)</f>
        <v>1332</v>
      </c>
      <c r="J33" s="43">
        <f>I33*$C$14</f>
        <v>62.603999999999999</v>
      </c>
      <c r="K33" s="87">
        <f>IFERROR(VLOOKUP(H33,DaysSince100!C:G,5,FALSE),0)</f>
        <v>1.3455488096516359</v>
      </c>
      <c r="L33" s="51">
        <f>LOG((O33/J33),K33)</f>
        <v>11.609091207887323</v>
      </c>
      <c r="M33" s="44">
        <v>21.8</v>
      </c>
      <c r="N33" s="45">
        <f>VLOOKUP(H33,$S$30:$T$264,2,FALSE)</f>
        <v>9006398</v>
      </c>
      <c r="O33" s="47">
        <f>(N33/100000)*M33</f>
        <v>1963.3947640000001</v>
      </c>
      <c r="S33" s="18" t="s">
        <v>134</v>
      </c>
      <c r="T33" s="30">
        <v>273523615</v>
      </c>
      <c r="W33" s="28"/>
      <c r="X33" s="21"/>
      <c r="AI33" s="31"/>
      <c r="AJ33" s="32"/>
      <c r="AK33" s="33"/>
      <c r="AL33" s="32"/>
      <c r="AM33" s="32"/>
      <c r="AN33" s="33"/>
      <c r="AO33" s="33"/>
      <c r="AP33" s="34"/>
      <c r="AQ33" s="31"/>
    </row>
    <row r="34" spans="2:43" ht="15" thickBot="1" x14ac:dyDescent="0.35">
      <c r="B34" s="19" t="str">
        <f>B2&amp;" critically ill projections ("&amp;TEXT(C14,"0.0%")&amp;" of infected requiring critical care)"</f>
        <v>United Kingdom critically ill projections (4.7% of infected requiring critical care)</v>
      </c>
      <c r="H34" s="46" t="s">
        <v>90</v>
      </c>
      <c r="I34" s="43">
        <f>VLOOKUP(H34,'Country Summary'!B:F,5,FALSE)</f>
        <v>1243</v>
      </c>
      <c r="J34" s="43">
        <f>I34*$C$14</f>
        <v>58.420999999999999</v>
      </c>
      <c r="K34" s="87">
        <f>IFERROR(VLOOKUP(H34,DaysSince100!C:G,5,FALSE),0)</f>
        <v>1.3167650659961898</v>
      </c>
      <c r="L34" s="51">
        <f>LOG((O34/J34),K34)</f>
        <v>12.542204143737067</v>
      </c>
      <c r="M34" s="44">
        <v>15.9</v>
      </c>
      <c r="N34" s="45">
        <f>VLOOKUP(H34,$S$30:$T$264,2,FALSE)</f>
        <v>11589623</v>
      </c>
      <c r="O34" s="47">
        <f>(N34/100000)*M34</f>
        <v>1842.7500570000002</v>
      </c>
      <c r="S34" s="18" t="s">
        <v>107</v>
      </c>
      <c r="T34" s="30">
        <v>220892340</v>
      </c>
      <c r="W34" s="35"/>
      <c r="X34" s="21"/>
      <c r="AI34" s="31"/>
      <c r="AJ34" s="32"/>
      <c r="AK34" s="33"/>
      <c r="AL34" s="32"/>
      <c r="AM34" s="32"/>
      <c r="AN34" s="33"/>
      <c r="AO34" s="33"/>
      <c r="AP34" s="34"/>
      <c r="AQ34" s="31"/>
    </row>
    <row r="35" spans="2:43" ht="15" thickBot="1" x14ac:dyDescent="0.35">
      <c r="H35" s="46" t="s">
        <v>120</v>
      </c>
      <c r="I35" s="43">
        <f>VLOOKUP(H35,'Country Summary'!B:F,5,FALSE)</f>
        <v>25</v>
      </c>
      <c r="J35" s="43">
        <f>I35*$C$14</f>
        <v>1.175</v>
      </c>
      <c r="K35" s="87">
        <f>IFERROR(VLOOKUP(H35,DaysSince100!C:G,5,FALSE),0)</f>
        <v>0</v>
      </c>
      <c r="L35" s="51" t="e">
        <f>LOG((O35/J35),K35)</f>
        <v>#NUM!</v>
      </c>
      <c r="M35" s="44">
        <v>15.5</v>
      </c>
      <c r="N35" s="45">
        <f>VLOOKUP(H35,$S$30:$T$264,2,FALSE)</f>
        <v>2722289</v>
      </c>
      <c r="O35" s="47">
        <f>(N35/100000)*M35</f>
        <v>421.95479499999999</v>
      </c>
      <c r="S35" s="18" t="s">
        <v>108</v>
      </c>
      <c r="T35" s="30">
        <v>212559417</v>
      </c>
      <c r="W35" s="28"/>
      <c r="X35" s="21"/>
      <c r="AI35" s="31"/>
      <c r="AJ35" s="32"/>
      <c r="AK35" s="33"/>
      <c r="AL35" s="32"/>
      <c r="AM35" s="32"/>
      <c r="AN35" s="33"/>
      <c r="AO35" s="33"/>
      <c r="AP35" s="34"/>
      <c r="AQ35" s="31"/>
    </row>
    <row r="36" spans="2:43" ht="15" thickBot="1" x14ac:dyDescent="0.35">
      <c r="C36" s="20"/>
      <c r="H36" s="46" t="s">
        <v>115</v>
      </c>
      <c r="I36" s="43">
        <f>VLOOKUP(H36,'Country Summary'!B:F,5,FALSE)</f>
        <v>225</v>
      </c>
      <c r="J36" s="43">
        <f>I36*$C$14</f>
        <v>10.574999999999999</v>
      </c>
      <c r="K36" s="87">
        <f>IFERROR(VLOOKUP(H36,DaysSince100!C:G,5,FALSE),0)</f>
        <v>1.2507242180067484</v>
      </c>
      <c r="L36" s="51">
        <f>LOG((O36/J36),K36)</f>
        <v>12.996818933082963</v>
      </c>
      <c r="M36" s="44">
        <v>14.6</v>
      </c>
      <c r="N36" s="45">
        <f>VLOOKUP(H36,$S$30:$T$264,2,FALSE)</f>
        <v>1326535</v>
      </c>
      <c r="O36" s="47">
        <f>(N36/100000)*M36</f>
        <v>193.67410999999998</v>
      </c>
      <c r="S36" s="18" t="s">
        <v>123</v>
      </c>
      <c r="T36" s="30">
        <v>206139589</v>
      </c>
      <c r="W36" s="28"/>
      <c r="X36" s="21"/>
      <c r="AI36" s="31"/>
      <c r="AJ36" s="32"/>
      <c r="AK36" s="33"/>
      <c r="AL36" s="32"/>
      <c r="AM36" s="32"/>
      <c r="AN36" s="33"/>
      <c r="AO36" s="33"/>
      <c r="AP36" s="34"/>
      <c r="AQ36" s="31"/>
    </row>
    <row r="37" spans="2:43" ht="15" thickBot="1" x14ac:dyDescent="0.35">
      <c r="H37" s="46" t="s">
        <v>159</v>
      </c>
      <c r="I37" s="43">
        <f>VLOOKUP(H37,'Country Summary'!B:F,5,FALSE)</f>
        <v>50</v>
      </c>
      <c r="J37" s="43">
        <f>I37*$C$14</f>
        <v>2.35</v>
      </c>
      <c r="K37" s="87">
        <f>IFERROR(VLOOKUP(H37,DaysSince100!C:G,5,FALSE),0)</f>
        <v>0</v>
      </c>
      <c r="L37" s="51" t="e">
        <f>LOG((O37/J37),K37)</f>
        <v>#NUM!</v>
      </c>
      <c r="M37" s="44">
        <v>13.8</v>
      </c>
      <c r="N37" s="45">
        <f>VLOOKUP(H37,$S$30:$T$264,2,FALSE)</f>
        <v>9660351</v>
      </c>
      <c r="O37" s="47">
        <f>(N37/100000)*M37</f>
        <v>1333.128438</v>
      </c>
      <c r="S37" s="18" t="s">
        <v>229</v>
      </c>
      <c r="T37" s="30">
        <v>164689383</v>
      </c>
      <c r="W37" s="28"/>
      <c r="X37" s="21"/>
      <c r="AI37" s="31"/>
      <c r="AJ37" s="32"/>
      <c r="AK37" s="32"/>
      <c r="AL37" s="32"/>
      <c r="AM37" s="32"/>
      <c r="AN37" s="33"/>
      <c r="AO37" s="33"/>
      <c r="AP37" s="34"/>
      <c r="AQ37" s="31"/>
    </row>
    <row r="38" spans="2:43" ht="15" thickBot="1" x14ac:dyDescent="0.35">
      <c r="B38" s="21"/>
      <c r="H38" s="46" t="s">
        <v>85</v>
      </c>
      <c r="I38" s="43">
        <f>VLOOKUP(H38,'Country Summary'!B:F,5,FALSE)</f>
        <v>31506</v>
      </c>
      <c r="J38" s="43">
        <f>I38*$C$14</f>
        <v>1480.7819999999999</v>
      </c>
      <c r="K38" s="87">
        <f>IFERROR(VLOOKUP(H38,DaysSince100!C:G,5,FALSE),0)</f>
        <v>1.1512433296874627</v>
      </c>
      <c r="L38" s="51">
        <f>LOG((O38/J38),K38)</f>
        <v>11.573212300692106</v>
      </c>
      <c r="M38" s="44">
        <v>12.5</v>
      </c>
      <c r="N38" s="45">
        <f>VLOOKUP(H38,$S$30:$T$264,2,FALSE)</f>
        <v>60461826</v>
      </c>
      <c r="O38" s="47">
        <f>(N38/100000)*M38</f>
        <v>7557.7282499999992</v>
      </c>
      <c r="S38" s="18" t="s">
        <v>372</v>
      </c>
      <c r="T38" s="30">
        <v>145934462</v>
      </c>
      <c r="W38" s="28"/>
      <c r="X38" s="21"/>
      <c r="AI38" s="31"/>
      <c r="AJ38" s="32"/>
      <c r="AK38" s="33"/>
      <c r="AL38" s="32"/>
      <c r="AM38" s="32"/>
      <c r="AN38" s="33"/>
      <c r="AO38" s="33"/>
      <c r="AP38" s="34"/>
      <c r="AQ38" s="31"/>
    </row>
    <row r="39" spans="2:43" ht="15" thickBot="1" x14ac:dyDescent="0.35">
      <c r="B39" s="24"/>
      <c r="H39" s="46" t="s">
        <v>68</v>
      </c>
      <c r="I39" s="43">
        <f>VLOOKUP(H39,'Country Summary'!B:F,5,FALSE)</f>
        <v>7699</v>
      </c>
      <c r="J39" s="43">
        <f>I39*$C$14</f>
        <v>361.85300000000001</v>
      </c>
      <c r="K39" s="87">
        <f>IFERROR(VLOOKUP(H39,DaysSince100!C:G,5,FALSE),0)</f>
        <v>1.1995265265383273</v>
      </c>
      <c r="L39" s="51">
        <f>LOG((O39/J39),K39)</f>
        <v>16.715164970731774</v>
      </c>
      <c r="M39" s="44">
        <v>11.6</v>
      </c>
      <c r="N39" s="45">
        <f>VLOOKUP(H39,$S$30:$T$264,2,FALSE)</f>
        <v>65273511</v>
      </c>
      <c r="O39" s="47">
        <f>(N39/100000)*M39</f>
        <v>7571.7272759999996</v>
      </c>
      <c r="S39" s="18" t="s">
        <v>121</v>
      </c>
      <c r="T39" s="30">
        <v>128932753</v>
      </c>
      <c r="W39" s="28"/>
      <c r="X39" s="21"/>
      <c r="AI39" s="31"/>
      <c r="AJ39" s="32"/>
      <c r="AK39" s="33"/>
      <c r="AL39" s="32"/>
      <c r="AM39" s="32"/>
      <c r="AN39" s="33"/>
      <c r="AO39" s="33"/>
      <c r="AP39" s="34"/>
      <c r="AQ39" s="31"/>
    </row>
    <row r="40" spans="2:43" ht="15" thickBot="1" x14ac:dyDescent="0.35">
      <c r="B40" s="24"/>
      <c r="H40" s="46" t="s">
        <v>519</v>
      </c>
      <c r="I40" s="43">
        <f>VLOOKUP(H40,'Country Summary'!B:F,5,FALSE)</f>
        <v>396</v>
      </c>
      <c r="J40" s="43">
        <f>I40*$C$14</f>
        <v>18.611999999999998</v>
      </c>
      <c r="K40" s="87">
        <f>IFERROR(VLOOKUP(H40,DaysSince100!C:G,5,FALSE),0)</f>
        <v>0</v>
      </c>
      <c r="L40" s="51" t="e">
        <f>LOG((O40/J40),K40)</f>
        <v>#NUM!</v>
      </c>
      <c r="M40" s="44">
        <v>11.6</v>
      </c>
      <c r="N40" s="45">
        <f>VLOOKUP(H40,$S$30:$T$264,2,FALSE)</f>
        <v>10708981</v>
      </c>
      <c r="O40" s="47">
        <f>(N40/100000)*M40</f>
        <v>1242.241796</v>
      </c>
      <c r="S40" s="18" t="s">
        <v>63</v>
      </c>
      <c r="T40" s="30">
        <v>126476461</v>
      </c>
      <c r="AI40" s="31"/>
      <c r="AJ40" s="32"/>
      <c r="AK40" s="33"/>
      <c r="AL40" s="32"/>
      <c r="AM40" s="32"/>
      <c r="AN40" s="33"/>
      <c r="AO40" s="33"/>
      <c r="AP40" s="34"/>
      <c r="AQ40" s="31"/>
    </row>
    <row r="41" spans="2:43" ht="15" thickBot="1" x14ac:dyDescent="0.35">
      <c r="H41" s="46" t="s">
        <v>104</v>
      </c>
      <c r="I41" s="43">
        <f>VLOOKUP(H41,'Country Summary'!B:F,5,FALSE)</f>
        <v>2700</v>
      </c>
      <c r="J41" s="43">
        <f>I41*$C$14</f>
        <v>126.9</v>
      </c>
      <c r="K41" s="87">
        <f>IFERROR(VLOOKUP(H41,DaysSince100!C:G,5,FALSE),0)</f>
        <v>1.2193346918253616</v>
      </c>
      <c r="L41" s="51">
        <f>LOG((O41/J41),K41)</f>
        <v>10.161976195715683</v>
      </c>
      <c r="M41" s="44">
        <v>11</v>
      </c>
      <c r="N41" s="45">
        <f>VLOOKUP(H41,$S$30:$T$264,2,FALSE)</f>
        <v>8654622</v>
      </c>
      <c r="O41" s="47">
        <f>(N41/100000)*M41</f>
        <v>952.00842000000011</v>
      </c>
      <c r="S41" s="18" t="s">
        <v>447</v>
      </c>
      <c r="T41" s="30">
        <v>114963588</v>
      </c>
      <c r="AI41" s="31"/>
      <c r="AJ41" s="32"/>
      <c r="AK41" s="33"/>
      <c r="AL41" s="32"/>
      <c r="AM41" s="32"/>
      <c r="AN41" s="33"/>
      <c r="AO41" s="33"/>
      <c r="AP41" s="34"/>
      <c r="AQ41" s="31"/>
    </row>
    <row r="42" spans="2:43" ht="15" thickBot="1" x14ac:dyDescent="0.35">
      <c r="H42" s="48" t="s">
        <v>514</v>
      </c>
      <c r="I42" s="43">
        <f>VLOOKUP(H42,'Country Summary'!B:F,5,FALSE)</f>
        <v>8320</v>
      </c>
      <c r="J42" s="43">
        <f>I42*$C$14</f>
        <v>391.04</v>
      </c>
      <c r="K42" s="87">
        <f>IFERROR(VLOOKUP(H42,DaysSince100!C:G,5,FALSE),0)</f>
        <v>0</v>
      </c>
      <c r="L42" s="51" t="e">
        <f>LOG((O42/J42),K42)</f>
        <v>#NUM!</v>
      </c>
      <c r="M42" s="64">
        <v>10.6</v>
      </c>
      <c r="N42" s="45">
        <f>VLOOKUP(H42,$S$30:$T$264,2,FALSE)</f>
        <v>51269185</v>
      </c>
      <c r="O42" s="47">
        <f>(N42/100000)*M42</f>
        <v>5434.5336100000004</v>
      </c>
      <c r="S42" s="18" t="s">
        <v>83</v>
      </c>
      <c r="T42" s="30">
        <v>109581078</v>
      </c>
      <c r="AI42" s="31"/>
      <c r="AJ42" s="32"/>
      <c r="AK42" s="33"/>
      <c r="AL42" s="32"/>
      <c r="AM42" s="32"/>
      <c r="AN42" s="33"/>
      <c r="AO42" s="33"/>
      <c r="AP42" s="34"/>
      <c r="AQ42" s="31"/>
    </row>
    <row r="43" spans="2:43" ht="15" thickBot="1" x14ac:dyDescent="0.35">
      <c r="H43" s="46" t="s">
        <v>87</v>
      </c>
      <c r="I43" s="43">
        <f>VLOOKUP(H43,'Country Summary'!B:F,5,FALSE)</f>
        <v>11748</v>
      </c>
      <c r="J43" s="43">
        <f>I43*$C$14</f>
        <v>552.15599999999995</v>
      </c>
      <c r="K43" s="87">
        <f>IFERROR(VLOOKUP(H43,DaysSince100!C:G,5,FALSE),0)</f>
        <v>1.2302724501987492</v>
      </c>
      <c r="L43" s="51">
        <f>LOG((O43/J43),K43)</f>
        <v>10.161363773562785</v>
      </c>
      <c r="M43" s="44">
        <v>9.6999999999999993</v>
      </c>
      <c r="N43" s="45">
        <f>VLOOKUP(H43,$S$30:$T$264,2,FALSE)</f>
        <v>46754778</v>
      </c>
      <c r="O43" s="47">
        <f>(N43/100000)*M43</f>
        <v>4535.2134659999992</v>
      </c>
      <c r="S43" s="18" t="s">
        <v>92</v>
      </c>
      <c r="T43" s="30">
        <v>102334404</v>
      </c>
      <c r="AI43" s="31"/>
      <c r="AJ43" s="32"/>
      <c r="AK43" s="33"/>
      <c r="AL43" s="32"/>
      <c r="AM43" s="32"/>
      <c r="AN43" s="33"/>
      <c r="AO43" s="33"/>
      <c r="AP43" s="34"/>
      <c r="AQ43" s="31"/>
    </row>
    <row r="44" spans="2:43" ht="15" thickBot="1" x14ac:dyDescent="0.35">
      <c r="H44" s="46" t="s">
        <v>138</v>
      </c>
      <c r="I44" s="43">
        <f>VLOOKUP(H44,'Country Summary'!B:F,5,FALSE)</f>
        <v>49</v>
      </c>
      <c r="J44" s="43">
        <f>I44*$C$14</f>
        <v>2.3029999999999999</v>
      </c>
      <c r="K44" s="87">
        <f>IFERROR(VLOOKUP(H44,DaysSince100!C:G,5,FALSE),0)</f>
        <v>0</v>
      </c>
      <c r="L44" s="51" t="e">
        <f>LOG((O44/J44),K44)</f>
        <v>#NUM!</v>
      </c>
      <c r="M44" s="44">
        <v>9.6999999999999993</v>
      </c>
      <c r="N44" s="45">
        <f>VLOOKUP(H44,$S$30:$T$264,2,FALSE)</f>
        <v>1886198</v>
      </c>
      <c r="O44" s="47">
        <f>(N44/100000)*M44</f>
        <v>182.96120599999998</v>
      </c>
      <c r="S44" s="18" t="s">
        <v>371</v>
      </c>
      <c r="T44" s="30">
        <v>97338579</v>
      </c>
      <c r="AI44" s="31"/>
      <c r="AJ44" s="32"/>
      <c r="AK44" s="33"/>
      <c r="AL44" s="32"/>
      <c r="AM44" s="32"/>
      <c r="AN44" s="33"/>
      <c r="AO44" s="33"/>
      <c r="AP44" s="34"/>
      <c r="AQ44" s="31"/>
    </row>
    <row r="45" spans="2:43" ht="15" thickBot="1" x14ac:dyDescent="0.35">
      <c r="H45" s="46" t="s">
        <v>189</v>
      </c>
      <c r="I45" s="43">
        <f>VLOOKUP(H45,'Country Summary'!B:F,5,FALSE)</f>
        <v>72</v>
      </c>
      <c r="J45" s="43">
        <f>I45*$C$14</f>
        <v>3.3839999999999999</v>
      </c>
      <c r="K45" s="87">
        <f>IFERROR(VLOOKUP(H45,DaysSince100!C:G,5,FALSE),0)</f>
        <v>0</v>
      </c>
      <c r="L45" s="51" t="e">
        <f>LOG((O45/J45),K45)</f>
        <v>#NUM!</v>
      </c>
      <c r="M45" s="44">
        <v>9.1999999999999993</v>
      </c>
      <c r="N45" s="45">
        <f>VLOOKUP(H45,$S$30:$T$264,2,FALSE)</f>
        <v>5459642</v>
      </c>
      <c r="O45" s="47">
        <f>(N45/100000)*M45</f>
        <v>502.28706399999999</v>
      </c>
      <c r="S45" s="18" t="s">
        <v>520</v>
      </c>
      <c r="T45" s="30">
        <v>89561403</v>
      </c>
      <c r="AI45" s="31"/>
      <c r="AJ45" s="32"/>
      <c r="AK45" s="33"/>
      <c r="AL45" s="32"/>
      <c r="AM45" s="32"/>
      <c r="AN45" s="33"/>
      <c r="AO45" s="33"/>
      <c r="AP45" s="34"/>
      <c r="AQ45" s="31"/>
    </row>
    <row r="46" spans="2:43" ht="15" thickBot="1" x14ac:dyDescent="0.35">
      <c r="H46" s="46" t="s">
        <v>119</v>
      </c>
      <c r="I46" s="43">
        <f>VLOOKUP(H46,'Country Summary'!B:F,5,FALSE)</f>
        <v>220</v>
      </c>
      <c r="J46" s="43">
        <f>I46*$C$14</f>
        <v>10.34</v>
      </c>
      <c r="K46" s="87">
        <f>IFERROR(VLOOKUP(H46,DaysSince100!C:G,5,FALSE),0)</f>
        <v>1.1639038137093691</v>
      </c>
      <c r="L46" s="51">
        <f>LOG((O46/J46),K46)</f>
        <v>7.2452317912090427</v>
      </c>
      <c r="M46" s="44">
        <v>9.1</v>
      </c>
      <c r="N46" s="45">
        <f>VLOOKUP(H46,$S$30:$T$264,2,FALSE)</f>
        <v>341243</v>
      </c>
      <c r="O46" s="47">
        <f>(N46/100000)*M46</f>
        <v>31.053113</v>
      </c>
      <c r="S46" s="18" t="s">
        <v>383</v>
      </c>
      <c r="T46" s="30">
        <v>84339067</v>
      </c>
      <c r="AI46" s="31"/>
      <c r="AJ46" s="32"/>
      <c r="AK46" s="33"/>
      <c r="AL46" s="32"/>
      <c r="AM46" s="32"/>
      <c r="AN46" s="33"/>
      <c r="AO46" s="33"/>
      <c r="AP46" s="34"/>
      <c r="AQ46" s="31"/>
    </row>
    <row r="47" spans="2:43" ht="15" thickBot="1" x14ac:dyDescent="0.35">
      <c r="H47" s="46" t="s">
        <v>112</v>
      </c>
      <c r="I47" s="43">
        <f>VLOOKUP(H47,'Country Summary'!B:F,5,FALSE)</f>
        <v>1463</v>
      </c>
      <c r="J47" s="43">
        <f>I47*$C$14</f>
        <v>68.760999999999996</v>
      </c>
      <c r="K47" s="87">
        <f>IFERROR(VLOOKUP(H47,DaysSince100!C:G,5,FALSE),0)</f>
        <v>1.1581943521549098</v>
      </c>
      <c r="L47" s="51">
        <f>LOG((O47/J47),K47)</f>
        <v>12.540426838878091</v>
      </c>
      <c r="M47" s="44">
        <v>8</v>
      </c>
      <c r="N47" s="45">
        <f>VLOOKUP(H47,$S$30:$T$264,2,FALSE)</f>
        <v>5421241</v>
      </c>
      <c r="O47" s="47">
        <f>(N47/100000)*M47</f>
        <v>433.69927999999999</v>
      </c>
      <c r="S47" s="18" t="s">
        <v>366</v>
      </c>
      <c r="T47" s="30">
        <v>83992949</v>
      </c>
      <c r="AI47" s="31"/>
      <c r="AJ47" s="32"/>
      <c r="AK47" s="33"/>
      <c r="AL47" s="32"/>
      <c r="AM47" s="32"/>
      <c r="AN47" s="33"/>
      <c r="AO47" s="33"/>
      <c r="AP47" s="34"/>
      <c r="AQ47" s="31"/>
    </row>
    <row r="48" spans="2:43" ht="15" thickBot="1" x14ac:dyDescent="0.35">
      <c r="H48" s="48" t="s">
        <v>63</v>
      </c>
      <c r="I48" s="43">
        <f>VLOOKUP(H48,'Country Summary'!B:F,5,FALSE)</f>
        <v>878</v>
      </c>
      <c r="J48" s="43">
        <f>I48*$C$14</f>
        <v>41.265999999999998</v>
      </c>
      <c r="K48" s="87">
        <f>IFERROR(VLOOKUP(H48,DaysSince100!C:G,5,FALSE),0)</f>
        <v>1.0656110898075526</v>
      </c>
      <c r="L48" s="51">
        <f>LOG((O48/J48),K48)</f>
        <v>85.139427040248762</v>
      </c>
      <c r="M48" s="44">
        <v>7.3</v>
      </c>
      <c r="N48" s="45">
        <f>VLOOKUP(H48,$S$30:$T$264,2,FALSE)</f>
        <v>126476461</v>
      </c>
      <c r="O48" s="47">
        <f>(N48/100000)*M48</f>
        <v>9232.781653</v>
      </c>
      <c r="S48" s="18" t="s">
        <v>80</v>
      </c>
      <c r="T48" s="30">
        <v>83783942</v>
      </c>
      <c r="AI48" s="31"/>
      <c r="AJ48" s="32"/>
      <c r="AK48" s="33"/>
      <c r="AL48" s="32"/>
      <c r="AM48" s="32"/>
      <c r="AN48" s="33"/>
      <c r="AO48" s="33"/>
      <c r="AP48" s="34"/>
      <c r="AQ48" s="31"/>
    </row>
    <row r="49" spans="8:43" ht="15" thickBot="1" x14ac:dyDescent="0.35">
      <c r="H49" s="48" t="s">
        <v>164</v>
      </c>
      <c r="I49" s="43">
        <f>VLOOKUP(H49,'Country Summary'!B:F,5,FALSE)</f>
        <v>238</v>
      </c>
      <c r="J49" s="43">
        <f>I49*$C$14</f>
        <v>11.186</v>
      </c>
      <c r="K49" s="87">
        <f>IFERROR(VLOOKUP(H49,DaysSince100!C:G,5,FALSE),0)</f>
        <v>1.32204603334969</v>
      </c>
      <c r="L49" s="51">
        <f>LOG((O49/J49),K49)</f>
        <v>19.532108220550096</v>
      </c>
      <c r="M49" s="44">
        <v>6.9</v>
      </c>
      <c r="N49" s="45">
        <f>VLOOKUP(H49,$S$30:$T$264,2,FALSE)</f>
        <v>37846611</v>
      </c>
      <c r="O49" s="47">
        <f>(N49/100000)*M49</f>
        <v>2611.4161590000003</v>
      </c>
      <c r="S49" s="18" t="s">
        <v>62</v>
      </c>
      <c r="T49" s="30">
        <v>69799978</v>
      </c>
      <c r="AI49" s="31"/>
      <c r="AJ49" s="32"/>
      <c r="AK49" s="33"/>
      <c r="AL49" s="32"/>
      <c r="AM49" s="32"/>
      <c r="AN49" s="33"/>
      <c r="AO49" s="33"/>
      <c r="AP49" s="34"/>
      <c r="AQ49" s="31"/>
    </row>
    <row r="50" spans="8:43" ht="15" thickBot="1" x14ac:dyDescent="0.35">
      <c r="H50" s="48" t="s">
        <v>114</v>
      </c>
      <c r="I50" s="43">
        <f>VLOOKUP(H50,'Country Summary'!B:F,5,FALSE)</f>
        <v>1024</v>
      </c>
      <c r="J50" s="43">
        <f>I50*$C$14</f>
        <v>48.128</v>
      </c>
      <c r="K50" s="87">
        <f>IFERROR(VLOOKUP(H50,DaysSince100!C:G,5,FALSE),0)</f>
        <v>1.1066313225979794</v>
      </c>
      <c r="L50" s="51">
        <f>LOG((O50/J50),K50)</f>
        <v>20.601357677601598</v>
      </c>
      <c r="M50" s="44">
        <v>6.7</v>
      </c>
      <c r="N50" s="45">
        <f>VLOOKUP(H50,$S$30:$T$264,2,FALSE)</f>
        <v>5792202</v>
      </c>
      <c r="O50" s="47">
        <f>(N50/100000)*M50</f>
        <v>388.07753400000001</v>
      </c>
      <c r="S50" s="18" t="s">
        <v>377</v>
      </c>
      <c r="T50" s="30">
        <v>67886011</v>
      </c>
      <c r="AI50" s="31"/>
      <c r="AJ50" s="32"/>
      <c r="AK50" s="33"/>
      <c r="AL50" s="32"/>
      <c r="AM50" s="32"/>
      <c r="AN50" s="33"/>
      <c r="AO50" s="33"/>
      <c r="AP50" s="34"/>
      <c r="AQ50" s="31"/>
    </row>
    <row r="51" spans="8:43" ht="15" thickBot="1" x14ac:dyDescent="0.35">
      <c r="H51" s="48" t="s">
        <v>377</v>
      </c>
      <c r="I51" s="43" t="e">
        <f>VLOOKUP(H51,'Country Summary'!B:F,5,FALSE)</f>
        <v>#N/A</v>
      </c>
      <c r="J51" s="43" t="e">
        <f>I51*$C$14</f>
        <v>#N/A</v>
      </c>
      <c r="K51" s="87">
        <f>IFERROR(VLOOKUP(H51,DaysSince100!C:G,5,FALSE),0)</f>
        <v>1.2674062232989756</v>
      </c>
      <c r="L51" s="51" t="e">
        <f>LOG((O51/J51),K51)</f>
        <v>#N/A</v>
      </c>
      <c r="M51" s="44">
        <v>6.6</v>
      </c>
      <c r="N51" s="45">
        <f>VLOOKUP(H51,$S$30:$T$264,2,FALSE)</f>
        <v>67886011</v>
      </c>
      <c r="O51" s="47">
        <f>(N51/100000)*M51</f>
        <v>4480.4767259999999</v>
      </c>
      <c r="S51" s="18" t="s">
        <v>68</v>
      </c>
      <c r="T51" s="30">
        <v>65273511</v>
      </c>
      <c r="AI51" s="31"/>
      <c r="AJ51" s="32"/>
      <c r="AK51" s="33"/>
      <c r="AL51" s="32"/>
      <c r="AM51" s="32"/>
      <c r="AN51" s="33"/>
      <c r="AO51" s="33"/>
      <c r="AP51" s="34"/>
      <c r="AQ51" s="31"/>
    </row>
    <row r="52" spans="8:43" ht="15" thickBot="1" x14ac:dyDescent="0.35">
      <c r="H52" s="48" t="s">
        <v>125</v>
      </c>
      <c r="I52" s="43">
        <f>VLOOKUP(H52,'Country Summary'!B:F,5,FALSE)</f>
        <v>223</v>
      </c>
      <c r="J52" s="43">
        <f>I52*$C$14</f>
        <v>10.481</v>
      </c>
      <c r="K52" s="87">
        <f>IFERROR(VLOOKUP(H52,DaysSince100!C:G,5,FALSE),0)</f>
        <v>1.2001578890727884</v>
      </c>
      <c r="L52" s="51">
        <f>LOG((O52/J52),K52)</f>
        <v>18.754078767921285</v>
      </c>
      <c r="M52" s="44">
        <v>6.5</v>
      </c>
      <c r="N52" s="45">
        <f>VLOOKUP(H52,$S$30:$T$264,2,FALSE)</f>
        <v>4937786</v>
      </c>
      <c r="O52" s="47">
        <f>(N52/100000)*M52</f>
        <v>320.95609000000002</v>
      </c>
      <c r="S52" s="18" t="s">
        <v>85</v>
      </c>
      <c r="T52" s="30">
        <v>60461826</v>
      </c>
      <c r="AI52" s="31"/>
      <c r="AJ52" s="32"/>
      <c r="AK52" s="33"/>
      <c r="AL52" s="32"/>
      <c r="AM52" s="32"/>
      <c r="AN52" s="33"/>
      <c r="AO52" s="33"/>
      <c r="AP52" s="34"/>
      <c r="AQ52" s="31"/>
    </row>
    <row r="53" spans="8:43" ht="15" thickBot="1" x14ac:dyDescent="0.35">
      <c r="H53" s="48" t="s">
        <v>116</v>
      </c>
      <c r="I53" s="43">
        <f>VLOOKUP(H53,'Country Summary'!B:F,5,FALSE)</f>
        <v>1708</v>
      </c>
      <c r="J53" s="43">
        <f>I53*$C$14</f>
        <v>80.275999999999996</v>
      </c>
      <c r="K53" s="87">
        <f>IFERROR(VLOOKUP(H53,DaysSince100!C:G,5,FALSE),0)</f>
        <v>1.2059850450579939</v>
      </c>
      <c r="L53" s="51">
        <f>LOG((O53/J53),K53)</f>
        <v>13.959285467920409</v>
      </c>
      <c r="M53" s="44">
        <v>6.4</v>
      </c>
      <c r="N53" s="45">
        <f>VLOOKUP(H53,$S$30:$T$264,2,FALSE)</f>
        <v>17134872</v>
      </c>
      <c r="O53" s="47">
        <f>(N53/100000)*M53</f>
        <v>1096.6318079999999</v>
      </c>
      <c r="S53" s="18" t="s">
        <v>509</v>
      </c>
      <c r="T53" s="30">
        <v>59734218</v>
      </c>
      <c r="AI53" s="31"/>
      <c r="AJ53" s="32"/>
      <c r="AK53" s="33"/>
      <c r="AL53" s="32"/>
      <c r="AM53" s="32"/>
      <c r="AN53" s="33"/>
      <c r="AO53" s="33"/>
      <c r="AP53" s="34"/>
      <c r="AQ53" s="31"/>
    </row>
    <row r="54" spans="8:43" ht="15" thickBot="1" x14ac:dyDescent="0.35">
      <c r="H54" s="48" t="s">
        <v>168</v>
      </c>
      <c r="I54" s="43">
        <f>VLOOKUP(H54,'Country Summary'!B:F,5,FALSE)</f>
        <v>275</v>
      </c>
      <c r="J54" s="43">
        <f>I54*$C$14</f>
        <v>12.925000000000001</v>
      </c>
      <c r="K54" s="87">
        <f>IFERROR(VLOOKUP(H54,DaysSince100!C:G,5,FALSE),0)</f>
        <v>1.1817575763782182</v>
      </c>
      <c r="L54" s="51">
        <f>LOG((O54/J54),K54)</f>
        <v>13.961303786090088</v>
      </c>
      <c r="M54" s="44">
        <v>6.4</v>
      </c>
      <c r="N54" s="45">
        <f>VLOOKUP(H54,$S$30:$T$264,2,FALSE)</f>
        <v>2078938</v>
      </c>
      <c r="O54" s="47">
        <f>(N54/100000)*M54</f>
        <v>133.05203200000003</v>
      </c>
      <c r="S54" s="18" t="s">
        <v>172</v>
      </c>
      <c r="T54" s="30">
        <v>59308690</v>
      </c>
      <c r="AI54" s="31"/>
      <c r="AJ54" s="32"/>
      <c r="AK54" s="33"/>
      <c r="AL54" s="32"/>
      <c r="AM54" s="32"/>
      <c r="AN54" s="33"/>
      <c r="AO54" s="33"/>
      <c r="AP54" s="34"/>
      <c r="AQ54" s="31"/>
    </row>
    <row r="55" spans="8:43" ht="15" thickBot="1" x14ac:dyDescent="0.35">
      <c r="H55" s="48" t="s">
        <v>81</v>
      </c>
      <c r="I55" s="43">
        <f>VLOOKUP(H55,'Country Summary'!B:F,5,FALSE)</f>
        <v>321</v>
      </c>
      <c r="J55" s="43">
        <f>I55*$C$14</f>
        <v>15.087</v>
      </c>
      <c r="K55" s="87">
        <f>IFERROR(VLOOKUP(H55,DaysSince100!C:G,5,FALSE),0)</f>
        <v>1.19961899420888</v>
      </c>
      <c r="L55" s="51">
        <f>LOG((O55/J55),K55)</f>
        <v>17.082947891279012</v>
      </c>
      <c r="M55" s="44">
        <v>6.1</v>
      </c>
      <c r="N55" s="45">
        <f>VLOOKUP(H55,$S$30:$T$264,2,FALSE)</f>
        <v>5540720</v>
      </c>
      <c r="O55" s="47">
        <f>(N55/100000)*M55</f>
        <v>337.98392000000001</v>
      </c>
      <c r="S55" s="18" t="s">
        <v>521</v>
      </c>
      <c r="T55" s="30">
        <v>54409800</v>
      </c>
      <c r="AI55" s="31"/>
      <c r="AJ55" s="32"/>
      <c r="AK55" s="33"/>
      <c r="AL55" s="32"/>
      <c r="AM55" s="32"/>
      <c r="AN55" s="33"/>
      <c r="AO55" s="33"/>
      <c r="AP55" s="34"/>
      <c r="AQ55" s="31"/>
    </row>
    <row r="56" spans="8:43" ht="15" thickBot="1" x14ac:dyDescent="0.35">
      <c r="H56" s="48" t="s">
        <v>110</v>
      </c>
      <c r="I56" s="43">
        <f>VLOOKUP(H56,'Country Summary'!B:F,5,FALSE)</f>
        <v>387</v>
      </c>
      <c r="J56" s="43">
        <f>I56*$C$14</f>
        <v>18.189</v>
      </c>
      <c r="K56" s="87">
        <f>IFERROR(VLOOKUP(H56,DaysSince100!C:G,5,FALSE),0)</f>
        <v>1.1946462963075151</v>
      </c>
      <c r="L56" s="51">
        <f>LOG((O56/J56),K56)</f>
        <v>19.890607493344618</v>
      </c>
      <c r="M56" s="44">
        <v>6</v>
      </c>
      <c r="N56" s="45">
        <f>VLOOKUP(H56,$S$30:$T$264,2,FALSE)</f>
        <v>10423054</v>
      </c>
      <c r="O56" s="47">
        <f>(N56/100000)*M56</f>
        <v>625.38324</v>
      </c>
      <c r="S56" s="18" t="s">
        <v>451</v>
      </c>
      <c r="T56" s="30">
        <v>53771296</v>
      </c>
      <c r="AI56" s="31"/>
      <c r="AJ56" s="32"/>
      <c r="AK56" s="33"/>
      <c r="AL56" s="32"/>
      <c r="AM56" s="32"/>
      <c r="AN56" s="33"/>
      <c r="AO56" s="33"/>
      <c r="AP56" s="34"/>
      <c r="AQ56" s="31"/>
    </row>
    <row r="57" spans="8:43" ht="15" thickBot="1" x14ac:dyDescent="0.35">
      <c r="H57" s="48" t="s">
        <v>86</v>
      </c>
      <c r="I57" s="43">
        <f>VLOOKUP(H57,'Country Summary'!B:F,5,FALSE)</f>
        <v>1190</v>
      </c>
      <c r="J57" s="43">
        <f>I57*$C$14</f>
        <v>55.93</v>
      </c>
      <c r="K57" s="87">
        <f>IFERROR(VLOOKUP(H57,DaysSince100!C:G,5,FALSE),0)</f>
        <v>1.1471600858605453</v>
      </c>
      <c r="L57" s="51">
        <f>LOG((O57/J57),K57)</f>
        <v>17.108420546151965</v>
      </c>
      <c r="M57" s="44">
        <v>5.8</v>
      </c>
      <c r="N57" s="45">
        <f>VLOOKUP(H57,$S$30:$T$264,2,FALSE)</f>
        <v>10099265</v>
      </c>
      <c r="O57" s="47">
        <f>(N57/100000)*M57</f>
        <v>585.75736999999992</v>
      </c>
      <c r="S57" s="18" t="s">
        <v>514</v>
      </c>
      <c r="T57" s="30">
        <v>51269185</v>
      </c>
      <c r="AI57" s="31"/>
      <c r="AJ57" s="32"/>
      <c r="AK57" s="33"/>
      <c r="AL57" s="32"/>
      <c r="AM57" s="32"/>
      <c r="AN57" s="33"/>
      <c r="AO57" s="33"/>
      <c r="AP57" s="34"/>
      <c r="AQ57" s="31"/>
    </row>
    <row r="58" spans="8:43" ht="15" thickBot="1" x14ac:dyDescent="0.35">
      <c r="H58" s="48" t="s">
        <v>135</v>
      </c>
      <c r="I58" s="43">
        <f>VLOOKUP(H58,'Country Summary'!B:F,5,FALSE)</f>
        <v>448</v>
      </c>
      <c r="J58" s="43">
        <f>I58*$C$14</f>
        <v>21.056000000000001</v>
      </c>
      <c r="K58" s="87">
        <f>IFERROR(VLOOKUP(H58,DaysSince100!C:G,5,FALSE),0)</f>
        <v>1.4142135623730949</v>
      </c>
      <c r="L58" s="51">
        <f>LOG((O58/J58),K58)</f>
        <v>8.6923792487375469</v>
      </c>
      <c r="M58" s="44">
        <v>4.2</v>
      </c>
      <c r="N58" s="45">
        <f>VLOOKUP(H58,$S$30:$T$264,2,FALSE)</f>
        <v>10196709</v>
      </c>
      <c r="O58" s="47">
        <f>(N58/100000)*M58</f>
        <v>428.26177799999999</v>
      </c>
      <c r="S58" s="18" t="s">
        <v>185</v>
      </c>
      <c r="T58" s="30">
        <v>50882891</v>
      </c>
      <c r="AI58" s="31"/>
      <c r="AJ58" s="32"/>
      <c r="AK58" s="33"/>
      <c r="AL58" s="32"/>
      <c r="AM58" s="32"/>
      <c r="AN58" s="33"/>
      <c r="AO58" s="33"/>
      <c r="AP58" s="34"/>
      <c r="AQ58" s="31"/>
    </row>
    <row r="59" spans="8:43" ht="15" thickBot="1" x14ac:dyDescent="0.35">
      <c r="H59" s="48" t="s">
        <v>365</v>
      </c>
      <c r="I59" s="43">
        <f>VLOOKUP(H59,'Country Summary'!B:F,5,FALSE)</f>
        <v>81058</v>
      </c>
      <c r="J59" s="43">
        <f>I59*$C$14</f>
        <v>3809.7260000000001</v>
      </c>
      <c r="K59" s="87">
        <f>IFERROR(VLOOKUP(H59,DaysSince100!C:G,5,FALSE),0)</f>
        <v>1.0003111787855088</v>
      </c>
      <c r="L59" s="51">
        <f>LOG((O59/J59),K59)</f>
        <v>8389.2002959293277</v>
      </c>
      <c r="M59" s="44">
        <v>3.6</v>
      </c>
      <c r="N59" s="45">
        <f>VLOOKUP(H59,$S$30:$T$264,2,FALSE)</f>
        <v>1439323776</v>
      </c>
      <c r="O59" s="47">
        <f>(N59/100000)*M59</f>
        <v>51815.655936000003</v>
      </c>
      <c r="S59" s="18" t="s">
        <v>87</v>
      </c>
      <c r="T59" s="30">
        <v>46754778</v>
      </c>
      <c r="AI59" s="31"/>
      <c r="AJ59" s="32"/>
      <c r="AK59" s="33"/>
      <c r="AL59" s="32"/>
      <c r="AM59" s="32"/>
      <c r="AN59" s="33"/>
      <c r="AO59" s="33"/>
      <c r="AP59" s="34"/>
      <c r="AQ59" s="31"/>
    </row>
    <row r="60" spans="8:43" ht="15" thickBot="1" x14ac:dyDescent="0.35">
      <c r="H60" s="48" t="s">
        <v>84</v>
      </c>
      <c r="I60" s="43">
        <f>VLOOKUP(H60,'Country Summary'!B:F,5,FALSE)</f>
        <v>142</v>
      </c>
      <c r="J60" s="43">
        <f>I60*$C$14</f>
        <v>6.6740000000000004</v>
      </c>
      <c r="K60" s="87">
        <f>IFERROR(VLOOKUP(H60,DaysSince100!C:G,5,FALSE),0)</f>
        <v>1.1165959737838647</v>
      </c>
      <c r="L60" s="51">
        <f>LOG((O60/J60),K60)</f>
        <v>76.775047653643824</v>
      </c>
      <c r="M60" s="44">
        <v>2.2999999999999998</v>
      </c>
      <c r="N60" s="45">
        <f>VLOOKUP(H60,$S$30:$T$264,2,FALSE)</f>
        <v>1380004385</v>
      </c>
      <c r="O60" s="47">
        <f>(N60/100000)*M60</f>
        <v>31740.100854999997</v>
      </c>
      <c r="S60" s="18" t="s">
        <v>522</v>
      </c>
      <c r="T60" s="30">
        <v>45741007</v>
      </c>
      <c r="AI60" s="31"/>
      <c r="AJ60" s="32"/>
      <c r="AK60" s="33"/>
      <c r="AL60" s="32"/>
      <c r="AM60" s="32"/>
      <c r="AN60" s="33"/>
      <c r="AO60" s="33"/>
      <c r="AP60" s="34"/>
      <c r="AQ60" s="31"/>
    </row>
    <row r="61" spans="8:43" ht="15" thickBot="1" x14ac:dyDescent="0.35">
      <c r="H61" s="48" t="s">
        <v>151</v>
      </c>
      <c r="I61" s="43">
        <f>VLOOKUP(H61,'Country Summary'!B:F,5,FALSE)</f>
        <v>201</v>
      </c>
      <c r="J61" s="43">
        <f>I61*$C$14</f>
        <v>9.4469999999999992</v>
      </c>
      <c r="K61" s="87">
        <f>IFERROR(VLOOKUP(H61,DaysSince100!C:G,5,FALSE),0)</f>
        <v>1.2967741935483872</v>
      </c>
      <c r="L61" s="51">
        <f>LOG((O61/J61),K61)</f>
        <v>19.499489106394989</v>
      </c>
      <c r="M61" s="44"/>
      <c r="N61" s="45">
        <f t="shared" ref="N61:N63" si="953">VLOOKUP(H61,$S$30:$T$264,2,FALSE)</f>
        <v>19116201</v>
      </c>
      <c r="O61" s="47">
        <v>1500</v>
      </c>
      <c r="S61" s="18" t="s">
        <v>150</v>
      </c>
      <c r="T61" s="30">
        <v>45195774</v>
      </c>
      <c r="AI61" s="31"/>
      <c r="AJ61" s="32"/>
      <c r="AK61" s="33"/>
      <c r="AL61" s="32"/>
      <c r="AM61" s="32"/>
      <c r="AN61" s="33"/>
      <c r="AO61" s="33"/>
      <c r="AP61" s="34"/>
      <c r="AQ61" s="31"/>
    </row>
    <row r="62" spans="8:43" ht="15" thickBot="1" x14ac:dyDescent="0.35">
      <c r="H62" s="48" t="s">
        <v>103</v>
      </c>
      <c r="I62" s="43">
        <f>VLOOKUP(H62,'Country Summary'!B:F,5,FALSE)</f>
        <v>65</v>
      </c>
      <c r="J62" s="43">
        <f t="shared" ref="J62:J63" si="954">I62*$C$14</f>
        <v>3.0550000000000002</v>
      </c>
      <c r="K62" s="87">
        <f>IFERROR(VLOOKUP(H62,DaysSince100!C:G,5,FALSE),0)</f>
        <v>0</v>
      </c>
      <c r="L62" s="51" t="e">
        <f>LOG((O62/J62),K62)</f>
        <v>#NUM!</v>
      </c>
      <c r="M62" s="44">
        <v>14.7</v>
      </c>
      <c r="N62" s="45">
        <f t="shared" si="953"/>
        <v>4105267</v>
      </c>
      <c r="O62" s="47">
        <v>1500</v>
      </c>
      <c r="S62" s="18" t="s">
        <v>102</v>
      </c>
      <c r="T62" s="30">
        <v>43851044</v>
      </c>
      <c r="AI62" s="31"/>
      <c r="AJ62" s="32"/>
      <c r="AK62" s="33"/>
      <c r="AL62" s="32"/>
      <c r="AM62" s="32"/>
      <c r="AN62" s="33"/>
      <c r="AO62" s="33"/>
      <c r="AP62" s="34"/>
      <c r="AQ62" s="31"/>
    </row>
    <row r="63" spans="8:43" ht="15" thickBot="1" x14ac:dyDescent="0.35">
      <c r="H63" s="48" t="s">
        <v>226</v>
      </c>
      <c r="I63" s="43">
        <f>VLOOKUP(H63,'Country Summary'!B:F,5,FALSE)</f>
        <v>67</v>
      </c>
      <c r="J63" s="43">
        <f t="shared" si="954"/>
        <v>3.149</v>
      </c>
      <c r="K63" s="87">
        <f>IFERROR(VLOOKUP(H63,DaysSince100!C:G,5,FALSE),0)</f>
        <v>0</v>
      </c>
      <c r="L63" s="51" t="e">
        <f t="shared" ref="L62:L63" si="955">LOG((O63/J63),K63)</f>
        <v>#NUM!</v>
      </c>
      <c r="M63" s="44">
        <v>12.2</v>
      </c>
      <c r="N63" s="45">
        <f t="shared" si="953"/>
        <v>6948445</v>
      </c>
      <c r="O63" s="47">
        <v>1500</v>
      </c>
      <c r="S63" s="18" t="s">
        <v>448</v>
      </c>
      <c r="T63" s="30">
        <v>43849260</v>
      </c>
      <c r="AI63" s="31"/>
      <c r="AJ63" s="32"/>
      <c r="AK63" s="33"/>
      <c r="AL63" s="32"/>
      <c r="AM63" s="32"/>
      <c r="AN63" s="33"/>
      <c r="AO63" s="33"/>
      <c r="AP63" s="34"/>
      <c r="AQ63" s="31"/>
    </row>
    <row r="64" spans="8:43" ht="15" thickBot="1" x14ac:dyDescent="0.35">
      <c r="N64" s="29"/>
      <c r="S64" s="18" t="s">
        <v>156</v>
      </c>
      <c r="T64" s="30">
        <v>43733762</v>
      </c>
      <c r="AI64" s="31"/>
      <c r="AJ64" s="32"/>
      <c r="AK64" s="33"/>
      <c r="AL64" s="32"/>
      <c r="AM64" s="32"/>
      <c r="AN64" s="33"/>
      <c r="AO64" s="33"/>
      <c r="AP64" s="34"/>
      <c r="AQ64" s="31"/>
    </row>
    <row r="65" spans="14:43" ht="15" thickBot="1" x14ac:dyDescent="0.35">
      <c r="N65" s="29"/>
      <c r="S65" s="18" t="s">
        <v>97</v>
      </c>
      <c r="T65" s="30">
        <v>40222493</v>
      </c>
      <c r="AI65" s="31"/>
      <c r="AJ65" s="32"/>
      <c r="AK65" s="33"/>
      <c r="AL65" s="32"/>
      <c r="AM65" s="32"/>
      <c r="AN65" s="33"/>
      <c r="AO65" s="33"/>
      <c r="AP65" s="34"/>
      <c r="AQ65" s="31"/>
    </row>
    <row r="66" spans="14:43" ht="15" thickBot="1" x14ac:dyDescent="0.35">
      <c r="N66" s="29"/>
      <c r="S66" s="18" t="s">
        <v>99</v>
      </c>
      <c r="T66" s="30">
        <v>38928346</v>
      </c>
      <c r="AI66" s="31"/>
      <c r="AJ66" s="32"/>
      <c r="AK66" s="33"/>
      <c r="AL66" s="32"/>
      <c r="AM66" s="32"/>
      <c r="AN66" s="33"/>
      <c r="AO66" s="33"/>
      <c r="AP66" s="34"/>
      <c r="AQ66" s="31"/>
    </row>
    <row r="67" spans="14:43" ht="15" thickBot="1" x14ac:dyDescent="0.35">
      <c r="N67" s="29"/>
      <c r="S67" s="18" t="s">
        <v>164</v>
      </c>
      <c r="T67" s="30">
        <v>37846611</v>
      </c>
      <c r="AI67" s="31"/>
      <c r="AJ67" s="32"/>
      <c r="AK67" s="33"/>
      <c r="AL67" s="32"/>
      <c r="AM67" s="32"/>
      <c r="AN67" s="33"/>
      <c r="AO67" s="33"/>
      <c r="AP67" s="34"/>
      <c r="AQ67" s="31"/>
    </row>
    <row r="68" spans="14:43" ht="15" thickBot="1" x14ac:dyDescent="0.35">
      <c r="N68" s="29"/>
      <c r="S68" s="18" t="s">
        <v>72</v>
      </c>
      <c r="T68" s="30">
        <v>37742154</v>
      </c>
      <c r="AI68" s="31"/>
      <c r="AJ68" s="32"/>
      <c r="AK68" s="33"/>
      <c r="AL68" s="32"/>
      <c r="AM68" s="32"/>
      <c r="AN68" s="33"/>
      <c r="AO68" s="33"/>
      <c r="AP68" s="34"/>
      <c r="AQ68" s="31"/>
    </row>
    <row r="69" spans="14:43" ht="15" thickBot="1" x14ac:dyDescent="0.35">
      <c r="N69" s="29"/>
      <c r="S69" s="18" t="s">
        <v>139</v>
      </c>
      <c r="T69" s="30">
        <v>36910560</v>
      </c>
      <c r="AI69" s="31"/>
      <c r="AJ69" s="32"/>
      <c r="AK69" s="33"/>
      <c r="AL69" s="32"/>
      <c r="AM69" s="32"/>
      <c r="AN69" s="33"/>
      <c r="AO69" s="33"/>
      <c r="AP69" s="34"/>
      <c r="AQ69" s="31"/>
    </row>
    <row r="70" spans="14:43" ht="15" thickBot="1" x14ac:dyDescent="0.35">
      <c r="N70" s="29"/>
      <c r="S70" s="18" t="s">
        <v>140</v>
      </c>
      <c r="T70" s="30">
        <v>34813871</v>
      </c>
      <c r="AI70" s="31"/>
      <c r="AJ70" s="32"/>
      <c r="AK70" s="33"/>
      <c r="AL70" s="32"/>
      <c r="AM70" s="32"/>
      <c r="AN70" s="33"/>
      <c r="AO70" s="33"/>
      <c r="AP70" s="34"/>
      <c r="AQ70" s="31"/>
    </row>
    <row r="71" spans="14:43" ht="15" thickBot="1" x14ac:dyDescent="0.35">
      <c r="N71" s="29"/>
      <c r="S71" s="18" t="s">
        <v>499</v>
      </c>
      <c r="T71" s="30">
        <v>33469203</v>
      </c>
      <c r="AI71" s="31"/>
      <c r="AJ71" s="32"/>
      <c r="AK71" s="33"/>
      <c r="AL71" s="32"/>
      <c r="AM71" s="32"/>
      <c r="AN71" s="33"/>
      <c r="AO71" s="33"/>
      <c r="AP71" s="34"/>
      <c r="AQ71" s="31"/>
    </row>
    <row r="72" spans="14:43" ht="15" thickBot="1" x14ac:dyDescent="0.35">
      <c r="N72" s="29"/>
      <c r="S72" s="18" t="s">
        <v>187</v>
      </c>
      <c r="T72" s="30">
        <v>32971854</v>
      </c>
      <c r="AI72" s="31"/>
      <c r="AJ72" s="32"/>
      <c r="AK72" s="33"/>
      <c r="AL72" s="32"/>
      <c r="AM72" s="32"/>
      <c r="AN72" s="33"/>
      <c r="AO72" s="33"/>
      <c r="AP72" s="34"/>
      <c r="AQ72" s="31"/>
    </row>
    <row r="73" spans="14:43" ht="15" thickBot="1" x14ac:dyDescent="0.35">
      <c r="N73" s="29"/>
      <c r="S73" s="18" t="s">
        <v>523</v>
      </c>
      <c r="T73" s="30">
        <v>32866272</v>
      </c>
      <c r="AI73" s="31"/>
      <c r="AJ73" s="32"/>
      <c r="AK73" s="33"/>
      <c r="AL73" s="32"/>
      <c r="AM73" s="32"/>
      <c r="AN73" s="33"/>
      <c r="AO73" s="33"/>
      <c r="AP73" s="34"/>
      <c r="AQ73" s="31"/>
    </row>
    <row r="74" spans="14:43" ht="15" thickBot="1" x14ac:dyDescent="0.35">
      <c r="N74" s="29"/>
      <c r="S74" s="18" t="s">
        <v>70</v>
      </c>
      <c r="T74" s="30">
        <v>32365999</v>
      </c>
      <c r="AI74" s="31"/>
      <c r="AJ74" s="32"/>
      <c r="AK74" s="33"/>
      <c r="AL74" s="32"/>
      <c r="AM74" s="32"/>
      <c r="AN74" s="33"/>
      <c r="AO74" s="33"/>
      <c r="AP74" s="34"/>
      <c r="AQ74" s="31"/>
    </row>
    <row r="75" spans="14:43" ht="15" thickBot="1" x14ac:dyDescent="0.35">
      <c r="N75" s="29"/>
      <c r="S75" s="18" t="s">
        <v>524</v>
      </c>
      <c r="T75" s="30">
        <v>31255435</v>
      </c>
      <c r="AI75" s="31"/>
      <c r="AJ75" s="32"/>
      <c r="AK75" s="33"/>
      <c r="AL75" s="32"/>
      <c r="AM75" s="32"/>
      <c r="AN75" s="33"/>
      <c r="AO75" s="33"/>
      <c r="AP75" s="34"/>
      <c r="AQ75" s="31"/>
    </row>
    <row r="76" spans="14:43" ht="15" thickBot="1" x14ac:dyDescent="0.35">
      <c r="N76" s="29"/>
      <c r="S76" s="18" t="s">
        <v>464</v>
      </c>
      <c r="T76" s="30">
        <v>31072940</v>
      </c>
      <c r="AI76" s="31"/>
      <c r="AJ76" s="32"/>
      <c r="AK76" s="33"/>
      <c r="AL76" s="32"/>
      <c r="AM76" s="32"/>
      <c r="AN76" s="33"/>
      <c r="AO76" s="33"/>
      <c r="AP76" s="34"/>
      <c r="AQ76" s="31"/>
    </row>
    <row r="77" spans="14:43" ht="15" thickBot="1" x14ac:dyDescent="0.35">
      <c r="N77" s="29"/>
      <c r="S77" s="18" t="s">
        <v>525</v>
      </c>
      <c r="T77" s="30">
        <v>29825964</v>
      </c>
      <c r="AI77" s="31"/>
      <c r="AJ77" s="32"/>
      <c r="AK77" s="33"/>
      <c r="AL77" s="32"/>
      <c r="AM77" s="32"/>
      <c r="AN77" s="33"/>
      <c r="AO77" s="33"/>
      <c r="AP77" s="34"/>
      <c r="AQ77" s="31"/>
    </row>
    <row r="78" spans="14:43" ht="15" thickBot="1" x14ac:dyDescent="0.35">
      <c r="N78" s="29"/>
      <c r="S78" s="18" t="s">
        <v>69</v>
      </c>
      <c r="T78" s="30">
        <v>29136808</v>
      </c>
      <c r="AI78" s="31"/>
      <c r="AJ78" s="32"/>
      <c r="AK78" s="33"/>
      <c r="AL78" s="32"/>
      <c r="AM78" s="32"/>
      <c r="AN78" s="33"/>
      <c r="AO78" s="33"/>
      <c r="AP78" s="34"/>
      <c r="AQ78" s="31"/>
    </row>
    <row r="79" spans="14:43" ht="15" thickBot="1" x14ac:dyDescent="0.35">
      <c r="N79" s="29"/>
      <c r="S79" s="18" t="s">
        <v>470</v>
      </c>
      <c r="T79" s="30">
        <v>28435940</v>
      </c>
      <c r="AI79" s="31"/>
      <c r="AJ79" s="32"/>
      <c r="AK79" s="33"/>
      <c r="AL79" s="32"/>
      <c r="AM79" s="32"/>
      <c r="AN79" s="33"/>
      <c r="AO79" s="33"/>
      <c r="AP79" s="33"/>
      <c r="AQ79" s="31"/>
    </row>
    <row r="80" spans="14:43" ht="15" thickBot="1" x14ac:dyDescent="0.35">
      <c r="N80" s="29"/>
      <c r="S80" s="18" t="s">
        <v>526</v>
      </c>
      <c r="T80" s="30">
        <v>27691018</v>
      </c>
      <c r="AI80" s="31"/>
      <c r="AJ80" s="32"/>
      <c r="AK80" s="33"/>
      <c r="AL80" s="32"/>
      <c r="AM80" s="32"/>
      <c r="AN80" s="33"/>
      <c r="AO80" s="33"/>
      <c r="AP80" s="34"/>
      <c r="AQ80" s="31"/>
    </row>
    <row r="81" spans="14:43" ht="15" thickBot="1" x14ac:dyDescent="0.35">
      <c r="N81" s="29"/>
      <c r="S81" s="18" t="s">
        <v>184</v>
      </c>
      <c r="T81" s="30">
        <v>26545863</v>
      </c>
      <c r="AI81" s="31"/>
      <c r="AJ81" s="32"/>
      <c r="AK81" s="33"/>
      <c r="AL81" s="32"/>
      <c r="AM81" s="32"/>
      <c r="AN81" s="33"/>
      <c r="AO81" s="33"/>
      <c r="AP81" s="34"/>
      <c r="AQ81" s="31"/>
    </row>
    <row r="82" spans="14:43" ht="15" thickBot="1" x14ac:dyDescent="0.35">
      <c r="N82" s="29"/>
      <c r="S82" s="18" t="s">
        <v>527</v>
      </c>
      <c r="T82" s="30">
        <v>26378274</v>
      </c>
      <c r="AI82" s="31"/>
      <c r="AJ82" s="32"/>
      <c r="AK82" s="33"/>
      <c r="AL82" s="32"/>
      <c r="AM82" s="32"/>
      <c r="AN82" s="33"/>
      <c r="AO82" s="33"/>
      <c r="AP82" s="34"/>
      <c r="AQ82" s="31"/>
    </row>
    <row r="83" spans="14:43" ht="15" thickBot="1" x14ac:dyDescent="0.35">
      <c r="N83" s="29"/>
      <c r="S83" s="18" t="s">
        <v>528</v>
      </c>
      <c r="T83" s="30">
        <v>25778816</v>
      </c>
      <c r="AI83" s="31"/>
      <c r="AJ83" s="32"/>
      <c r="AK83" s="33"/>
      <c r="AL83" s="32"/>
      <c r="AM83" s="32"/>
      <c r="AN83" s="33"/>
      <c r="AO83" s="33"/>
      <c r="AP83" s="34"/>
      <c r="AQ83" s="31"/>
    </row>
    <row r="84" spans="14:43" ht="15" thickBot="1" x14ac:dyDescent="0.35">
      <c r="N84" s="29"/>
      <c r="S84" s="18" t="s">
        <v>75</v>
      </c>
      <c r="T84" s="30">
        <v>25499884</v>
      </c>
      <c r="AI84" s="31"/>
      <c r="AJ84" s="32"/>
      <c r="AK84" s="33"/>
      <c r="AL84" s="32"/>
      <c r="AM84" s="32"/>
      <c r="AN84" s="33"/>
      <c r="AO84" s="33"/>
      <c r="AP84" s="34"/>
      <c r="AQ84" s="31"/>
    </row>
    <row r="85" spans="14:43" ht="15" thickBot="1" x14ac:dyDescent="0.35">
      <c r="N85" s="29"/>
      <c r="S85" s="18" t="s">
        <v>529</v>
      </c>
      <c r="T85" s="30">
        <v>24206644</v>
      </c>
      <c r="AI85" s="31"/>
      <c r="AJ85" s="32"/>
      <c r="AK85" s="33"/>
      <c r="AL85" s="32"/>
      <c r="AM85" s="32"/>
      <c r="AN85" s="33"/>
      <c r="AO85" s="33"/>
      <c r="AP85" s="34"/>
      <c r="AQ85" s="31"/>
    </row>
    <row r="86" spans="14:43" ht="15" thickBot="1" x14ac:dyDescent="0.35">
      <c r="N86" s="29"/>
      <c r="S86" s="18" t="s">
        <v>530</v>
      </c>
      <c r="T86" s="30">
        <v>23816775</v>
      </c>
      <c r="AI86" s="31"/>
      <c r="AJ86" s="32"/>
      <c r="AK86" s="33"/>
      <c r="AL86" s="32"/>
      <c r="AM86" s="32"/>
      <c r="AN86" s="33"/>
      <c r="AO86" s="33"/>
      <c r="AP86" s="34"/>
      <c r="AQ86" s="31"/>
    </row>
    <row r="87" spans="14:43" ht="15" thickBot="1" x14ac:dyDescent="0.35">
      <c r="N87" s="29"/>
      <c r="S87" s="18" t="s">
        <v>79</v>
      </c>
      <c r="T87" s="30">
        <v>21413249</v>
      </c>
      <c r="AI87" s="31"/>
      <c r="AJ87" s="32"/>
      <c r="AK87" s="33"/>
      <c r="AL87" s="32"/>
      <c r="AM87" s="32"/>
      <c r="AN87" s="33"/>
      <c r="AO87" s="33"/>
      <c r="AP87" s="34"/>
      <c r="AQ87" s="31"/>
    </row>
    <row r="88" spans="14:43" ht="15" thickBot="1" x14ac:dyDescent="0.35">
      <c r="N88" s="29"/>
      <c r="S88" s="18" t="s">
        <v>306</v>
      </c>
      <c r="T88" s="30">
        <v>20903273</v>
      </c>
      <c r="AI88" s="31"/>
      <c r="AJ88" s="32"/>
      <c r="AK88" s="33"/>
      <c r="AL88" s="32"/>
      <c r="AM88" s="32"/>
      <c r="AN88" s="33"/>
      <c r="AO88" s="33"/>
      <c r="AP88" s="34"/>
      <c r="AQ88" s="31"/>
    </row>
    <row r="89" spans="14:43" ht="15" thickBot="1" x14ac:dyDescent="0.35">
      <c r="N89" s="29"/>
      <c r="S89" s="18" t="s">
        <v>531</v>
      </c>
      <c r="T89" s="30">
        <v>20250833</v>
      </c>
      <c r="AI89" s="31"/>
      <c r="AJ89" s="32"/>
      <c r="AK89" s="33"/>
      <c r="AL89" s="32"/>
      <c r="AM89" s="32"/>
      <c r="AN89" s="33"/>
      <c r="AO89" s="33"/>
      <c r="AP89" s="34"/>
      <c r="AQ89" s="31"/>
    </row>
    <row r="90" spans="14:43" ht="15" thickBot="1" x14ac:dyDescent="0.35">
      <c r="N90" s="29"/>
      <c r="S90" s="18" t="s">
        <v>113</v>
      </c>
      <c r="T90" s="30">
        <v>19237691</v>
      </c>
      <c r="AI90" s="31"/>
      <c r="AJ90" s="32"/>
      <c r="AK90" s="33"/>
      <c r="AL90" s="32"/>
      <c r="AM90" s="32"/>
      <c r="AN90" s="33"/>
      <c r="AO90" s="33"/>
      <c r="AP90" s="34"/>
      <c r="AQ90" s="31"/>
    </row>
    <row r="91" spans="14:43" ht="15" thickBot="1" x14ac:dyDescent="0.35">
      <c r="N91" s="29"/>
      <c r="S91" s="18" t="s">
        <v>532</v>
      </c>
      <c r="T91" s="30">
        <v>19129952</v>
      </c>
      <c r="AI91" s="31"/>
      <c r="AJ91" s="32"/>
      <c r="AK91" s="33"/>
      <c r="AL91" s="32"/>
      <c r="AM91" s="32"/>
      <c r="AN91" s="33"/>
      <c r="AO91" s="33"/>
      <c r="AP91" s="34"/>
      <c r="AQ91" s="31"/>
    </row>
    <row r="92" spans="14:43" ht="15" thickBot="1" x14ac:dyDescent="0.35">
      <c r="N92" s="29"/>
      <c r="S92" s="18" t="s">
        <v>151</v>
      </c>
      <c r="T92" s="30">
        <v>19116201</v>
      </c>
      <c r="AI92" s="31"/>
      <c r="AJ92" s="32"/>
      <c r="AK92" s="33"/>
      <c r="AL92" s="32"/>
      <c r="AM92" s="32"/>
      <c r="AN92" s="33"/>
      <c r="AO92" s="33"/>
      <c r="AP92" s="34"/>
      <c r="AQ92" s="31"/>
    </row>
    <row r="93" spans="14:43" ht="15" thickBot="1" x14ac:dyDescent="0.35">
      <c r="N93" s="29"/>
      <c r="S93" s="18" t="s">
        <v>441</v>
      </c>
      <c r="T93" s="30">
        <v>18776707</v>
      </c>
      <c r="AI93" s="31"/>
      <c r="AJ93" s="32"/>
      <c r="AK93" s="33"/>
      <c r="AL93" s="32"/>
      <c r="AM93" s="32"/>
      <c r="AN93" s="33"/>
      <c r="AO93" s="33"/>
      <c r="AP93" s="34"/>
      <c r="AQ93" s="31"/>
    </row>
    <row r="94" spans="14:43" ht="15" thickBot="1" x14ac:dyDescent="0.35">
      <c r="N94" s="29"/>
      <c r="S94" s="18" t="s">
        <v>533</v>
      </c>
      <c r="T94" s="30">
        <v>18383955</v>
      </c>
      <c r="AI94" s="31"/>
      <c r="AJ94" s="32"/>
      <c r="AK94" s="33"/>
      <c r="AL94" s="32"/>
      <c r="AM94" s="32"/>
      <c r="AN94" s="33"/>
      <c r="AO94" s="33"/>
      <c r="AP94" s="34"/>
      <c r="AQ94" s="31"/>
    </row>
    <row r="95" spans="14:43" ht="15" thickBot="1" x14ac:dyDescent="0.35">
      <c r="N95" s="29"/>
      <c r="S95" s="18" t="s">
        <v>474</v>
      </c>
      <c r="T95" s="30">
        <v>17915568</v>
      </c>
      <c r="AI95" s="31"/>
      <c r="AJ95" s="32"/>
      <c r="AK95" s="33"/>
      <c r="AL95" s="32"/>
      <c r="AM95" s="32"/>
      <c r="AN95" s="33"/>
      <c r="AO95" s="33"/>
      <c r="AP95" s="34"/>
      <c r="AQ95" s="31"/>
    </row>
    <row r="96" spans="14:43" ht="15" thickBot="1" x14ac:dyDescent="0.35">
      <c r="N96" s="29"/>
      <c r="S96" s="18" t="s">
        <v>130</v>
      </c>
      <c r="T96" s="30">
        <v>17643054</v>
      </c>
      <c r="AI96" s="31"/>
      <c r="AJ96" s="32"/>
      <c r="AK96" s="33"/>
      <c r="AL96" s="32"/>
      <c r="AM96" s="32"/>
      <c r="AN96" s="33"/>
      <c r="AO96" s="33"/>
      <c r="AP96" s="34"/>
      <c r="AQ96" s="31"/>
    </row>
    <row r="97" spans="14:43" ht="15" thickBot="1" x14ac:dyDescent="0.35">
      <c r="N97" s="29"/>
      <c r="S97" s="18" t="s">
        <v>534</v>
      </c>
      <c r="T97" s="30">
        <v>17500658</v>
      </c>
      <c r="AI97" s="31"/>
      <c r="AJ97" s="32"/>
      <c r="AK97" s="33"/>
      <c r="AL97" s="32"/>
      <c r="AM97" s="32"/>
      <c r="AN97" s="33"/>
      <c r="AO97" s="33"/>
      <c r="AP97" s="34"/>
      <c r="AQ97" s="31"/>
    </row>
    <row r="98" spans="14:43" ht="15" thickBot="1" x14ac:dyDescent="0.35">
      <c r="N98" s="29"/>
      <c r="S98" s="18" t="s">
        <v>116</v>
      </c>
      <c r="T98" s="30">
        <v>17134872</v>
      </c>
      <c r="AI98" s="31"/>
      <c r="AJ98" s="32"/>
      <c r="AK98" s="33"/>
      <c r="AL98" s="32"/>
      <c r="AM98" s="32"/>
      <c r="AN98" s="33"/>
      <c r="AO98" s="33"/>
      <c r="AP98" s="34"/>
      <c r="AQ98" s="31"/>
    </row>
    <row r="99" spans="14:43" ht="15" thickBot="1" x14ac:dyDescent="0.35">
      <c r="N99" s="29"/>
      <c r="S99" s="18" t="s">
        <v>141</v>
      </c>
      <c r="T99" s="30">
        <v>16743927</v>
      </c>
      <c r="AI99" s="31"/>
      <c r="AJ99" s="32"/>
      <c r="AK99" s="33"/>
      <c r="AL99" s="32"/>
      <c r="AM99" s="32"/>
      <c r="AN99" s="33"/>
      <c r="AO99" s="33"/>
      <c r="AP99" s="34"/>
      <c r="AQ99" s="31"/>
    </row>
    <row r="100" spans="14:43" ht="15" thickBot="1" x14ac:dyDescent="0.35">
      <c r="N100" s="29"/>
      <c r="S100" s="18" t="s">
        <v>78</v>
      </c>
      <c r="T100" s="30">
        <v>16718965</v>
      </c>
      <c r="AI100" s="31"/>
      <c r="AJ100" s="32"/>
      <c r="AK100" s="33"/>
      <c r="AL100" s="32"/>
      <c r="AM100" s="32"/>
      <c r="AN100" s="33"/>
      <c r="AO100" s="33"/>
      <c r="AP100" s="34"/>
      <c r="AQ100" s="31"/>
    </row>
    <row r="101" spans="14:43" ht="15" thickBot="1" x14ac:dyDescent="0.35">
      <c r="N101" s="29"/>
      <c r="S101" s="18" t="s">
        <v>535</v>
      </c>
      <c r="T101" s="30">
        <v>16425864</v>
      </c>
      <c r="AI101" s="31"/>
      <c r="AJ101" s="32"/>
      <c r="AK101" s="33"/>
      <c r="AL101" s="32"/>
      <c r="AM101" s="32"/>
      <c r="AN101" s="33"/>
      <c r="AO101" s="33"/>
      <c r="AP101" s="34"/>
      <c r="AQ101" s="31"/>
    </row>
    <row r="102" spans="14:43" ht="15" thickBot="1" x14ac:dyDescent="0.35">
      <c r="N102" s="29"/>
      <c r="S102" s="18" t="s">
        <v>508</v>
      </c>
      <c r="T102" s="30">
        <v>15893222</v>
      </c>
      <c r="AI102" s="31"/>
      <c r="AJ102" s="32"/>
      <c r="AK102" s="33"/>
      <c r="AL102" s="32"/>
      <c r="AM102" s="32"/>
      <c r="AN102" s="33"/>
      <c r="AO102" s="33"/>
      <c r="AP102" s="34"/>
      <c r="AQ102" s="31"/>
    </row>
    <row r="103" spans="14:43" ht="15" thickBot="1" x14ac:dyDescent="0.35">
      <c r="N103" s="29"/>
      <c r="S103" s="18" t="s">
        <v>536</v>
      </c>
      <c r="T103" s="30">
        <v>14862924</v>
      </c>
      <c r="AI103" s="31"/>
      <c r="AJ103" s="32"/>
      <c r="AK103" s="33"/>
      <c r="AL103" s="32"/>
      <c r="AM103" s="32"/>
      <c r="AN103" s="33"/>
      <c r="AO103" s="33"/>
      <c r="AP103" s="34"/>
      <c r="AQ103" s="31"/>
    </row>
    <row r="104" spans="14:43" ht="15" thickBot="1" x14ac:dyDescent="0.35">
      <c r="N104" s="29"/>
      <c r="S104" s="18" t="s">
        <v>449</v>
      </c>
      <c r="T104" s="30">
        <v>13132795</v>
      </c>
      <c r="AI104" s="31"/>
      <c r="AJ104" s="32"/>
      <c r="AK104" s="33"/>
      <c r="AL104" s="32"/>
      <c r="AM104" s="32"/>
      <c r="AN104" s="33"/>
      <c r="AO104" s="33"/>
      <c r="AP104" s="34"/>
      <c r="AQ104" s="31"/>
    </row>
    <row r="105" spans="14:43" ht="15" thickBot="1" x14ac:dyDescent="0.35">
      <c r="N105" s="29"/>
      <c r="S105" s="18" t="s">
        <v>477</v>
      </c>
      <c r="T105" s="30">
        <v>12952218</v>
      </c>
      <c r="AI105" s="31"/>
      <c r="AJ105" s="32"/>
      <c r="AK105" s="33"/>
      <c r="AL105" s="32"/>
      <c r="AM105" s="32"/>
      <c r="AN105" s="33"/>
      <c r="AO105" s="33"/>
      <c r="AP105" s="34"/>
      <c r="AQ105" s="31"/>
    </row>
    <row r="106" spans="14:43" ht="15" thickBot="1" x14ac:dyDescent="0.35">
      <c r="N106" s="29"/>
      <c r="S106" s="18" t="s">
        <v>504</v>
      </c>
      <c r="T106" s="30">
        <v>12123200</v>
      </c>
      <c r="AI106" s="31"/>
      <c r="AJ106" s="32"/>
      <c r="AK106" s="33"/>
      <c r="AL106" s="32"/>
      <c r="AM106" s="32"/>
      <c r="AN106" s="33"/>
      <c r="AO106" s="33"/>
      <c r="AP106" s="34"/>
      <c r="AQ106" s="31"/>
    </row>
    <row r="107" spans="14:43" ht="15" thickBot="1" x14ac:dyDescent="0.35">
      <c r="N107" s="29"/>
      <c r="S107" s="18" t="s">
        <v>537</v>
      </c>
      <c r="T107" s="30">
        <v>11890784</v>
      </c>
      <c r="AI107" s="31"/>
      <c r="AJ107" s="32"/>
      <c r="AK107" s="33"/>
      <c r="AL107" s="32"/>
      <c r="AM107" s="32"/>
      <c r="AN107" s="33"/>
      <c r="AO107" s="33"/>
      <c r="AP107" s="34"/>
      <c r="AQ107" s="31"/>
    </row>
    <row r="108" spans="14:43" ht="15" thickBot="1" x14ac:dyDescent="0.35">
      <c r="N108" s="29"/>
      <c r="S108" s="18" t="s">
        <v>165</v>
      </c>
      <c r="T108" s="30">
        <v>11818619</v>
      </c>
      <c r="AI108" s="31"/>
      <c r="AJ108" s="32"/>
      <c r="AK108" s="33"/>
      <c r="AL108" s="32"/>
      <c r="AM108" s="32"/>
      <c r="AN108" s="33"/>
      <c r="AO108" s="33"/>
      <c r="AP108" s="34"/>
      <c r="AQ108" s="31"/>
    </row>
    <row r="109" spans="14:43" ht="15" thickBot="1" x14ac:dyDescent="0.35">
      <c r="N109" s="29"/>
      <c r="S109" s="18" t="s">
        <v>374</v>
      </c>
      <c r="T109" s="30">
        <v>11673021</v>
      </c>
      <c r="AI109" s="31"/>
      <c r="AJ109" s="32"/>
      <c r="AK109" s="33"/>
      <c r="AL109" s="32"/>
      <c r="AM109" s="32"/>
      <c r="AN109" s="33"/>
      <c r="AO109" s="33"/>
      <c r="AP109" s="34"/>
      <c r="AQ109" s="31"/>
    </row>
    <row r="110" spans="14:43" ht="15" thickBot="1" x14ac:dyDescent="0.35">
      <c r="N110" s="29"/>
      <c r="S110" s="18" t="s">
        <v>90</v>
      </c>
      <c r="T110" s="30">
        <v>11589623</v>
      </c>
      <c r="AI110" s="31"/>
      <c r="AJ110" s="32"/>
      <c r="AK110" s="33"/>
      <c r="AL110" s="32"/>
      <c r="AM110" s="32"/>
      <c r="AN110" s="33"/>
      <c r="AO110" s="33"/>
      <c r="AP110" s="34"/>
      <c r="AQ110" s="31"/>
    </row>
    <row r="111" spans="14:43" ht="15" thickBot="1" x14ac:dyDescent="0.35">
      <c r="N111" s="29"/>
      <c r="S111" s="18" t="s">
        <v>538</v>
      </c>
      <c r="T111" s="30">
        <v>11402528</v>
      </c>
      <c r="AI111" s="31"/>
      <c r="AJ111" s="32"/>
      <c r="AK111" s="33"/>
      <c r="AL111" s="32"/>
      <c r="AM111" s="32"/>
      <c r="AN111" s="33"/>
      <c r="AO111" s="33"/>
      <c r="AP111" s="34"/>
      <c r="AQ111" s="31"/>
    </row>
    <row r="112" spans="14:43" ht="15" thickBot="1" x14ac:dyDescent="0.35">
      <c r="N112" s="29"/>
      <c r="S112" s="18" t="s">
        <v>438</v>
      </c>
      <c r="T112" s="30">
        <v>11326616</v>
      </c>
      <c r="AI112" s="31"/>
      <c r="AJ112" s="32"/>
      <c r="AK112" s="33"/>
      <c r="AL112" s="32"/>
      <c r="AM112" s="32"/>
      <c r="AN112" s="33"/>
      <c r="AO112" s="33"/>
      <c r="AP112" s="34"/>
      <c r="AQ112" s="31"/>
    </row>
    <row r="113" spans="14:43" ht="15" thickBot="1" x14ac:dyDescent="0.35">
      <c r="N113" s="29"/>
      <c r="S113" s="18" t="s">
        <v>539</v>
      </c>
      <c r="T113" s="30">
        <v>11193725</v>
      </c>
      <c r="AI113" s="31"/>
      <c r="AJ113" s="32"/>
      <c r="AK113" s="33"/>
      <c r="AL113" s="32"/>
      <c r="AM113" s="32"/>
      <c r="AN113" s="33"/>
      <c r="AO113" s="33"/>
      <c r="AP113" s="34"/>
      <c r="AQ113" s="31"/>
    </row>
    <row r="114" spans="14:43" ht="15" thickBot="1" x14ac:dyDescent="0.35">
      <c r="N114" s="29"/>
      <c r="S114" s="18" t="s">
        <v>133</v>
      </c>
      <c r="T114" s="30">
        <v>10847910</v>
      </c>
      <c r="AI114" s="31"/>
      <c r="AJ114" s="32"/>
      <c r="AK114" s="33"/>
      <c r="AL114" s="32"/>
      <c r="AM114" s="32"/>
      <c r="AN114" s="33"/>
      <c r="AO114" s="33"/>
      <c r="AP114" s="34"/>
      <c r="AQ114" s="31"/>
    </row>
    <row r="115" spans="14:43" ht="15" thickBot="1" x14ac:dyDescent="0.35">
      <c r="N115" s="29"/>
      <c r="S115" s="18" t="s">
        <v>519</v>
      </c>
      <c r="T115" s="30">
        <v>10708981</v>
      </c>
      <c r="AI115" s="31"/>
      <c r="AJ115" s="32"/>
      <c r="AK115" s="33"/>
      <c r="AL115" s="32"/>
      <c r="AM115" s="32"/>
      <c r="AN115" s="33"/>
      <c r="AO115" s="33"/>
      <c r="AP115" s="34"/>
      <c r="AQ115" s="31"/>
    </row>
    <row r="116" spans="14:43" ht="15" thickBot="1" x14ac:dyDescent="0.35">
      <c r="N116" s="29"/>
      <c r="S116" s="18" t="s">
        <v>110</v>
      </c>
      <c r="T116" s="30">
        <v>10423054</v>
      </c>
      <c r="AI116" s="31"/>
      <c r="AJ116" s="32"/>
      <c r="AK116" s="33"/>
      <c r="AL116" s="32"/>
      <c r="AM116" s="32"/>
      <c r="AN116" s="33"/>
      <c r="AO116" s="33"/>
      <c r="AP116" s="34"/>
      <c r="AQ116" s="31"/>
    </row>
    <row r="117" spans="14:43" ht="15" thickBot="1" x14ac:dyDescent="0.35">
      <c r="N117" s="29"/>
      <c r="S117" s="18" t="s">
        <v>152</v>
      </c>
      <c r="T117" s="30">
        <v>10203134</v>
      </c>
      <c r="AI117" s="31"/>
      <c r="AJ117" s="32"/>
      <c r="AK117" s="33"/>
      <c r="AL117" s="32"/>
      <c r="AM117" s="32"/>
      <c r="AN117" s="33"/>
      <c r="AO117" s="33"/>
      <c r="AP117" s="34"/>
      <c r="AQ117" s="31"/>
    </row>
    <row r="118" spans="14:43" ht="15" thickBot="1" x14ac:dyDescent="0.35">
      <c r="N118" s="29"/>
      <c r="S118" s="18" t="s">
        <v>135</v>
      </c>
      <c r="T118" s="30">
        <v>10196709</v>
      </c>
      <c r="AI118" s="31"/>
      <c r="AJ118" s="32"/>
      <c r="AK118" s="33"/>
      <c r="AL118" s="32"/>
      <c r="AM118" s="32"/>
      <c r="AN118" s="33"/>
      <c r="AO118" s="33"/>
      <c r="AP118" s="34"/>
      <c r="AQ118" s="31"/>
    </row>
    <row r="119" spans="14:43" ht="15" thickBot="1" x14ac:dyDescent="0.35">
      <c r="N119" s="29"/>
      <c r="S119" s="18" t="s">
        <v>131</v>
      </c>
      <c r="T119" s="30">
        <v>10139177</v>
      </c>
      <c r="AI119" s="31"/>
      <c r="AJ119" s="32"/>
      <c r="AK119" s="33"/>
      <c r="AL119" s="32"/>
      <c r="AM119" s="32"/>
      <c r="AN119" s="33"/>
      <c r="AO119" s="33"/>
      <c r="AP119" s="34"/>
      <c r="AQ119" s="31"/>
    </row>
    <row r="120" spans="14:43" ht="15" thickBot="1" x14ac:dyDescent="0.35">
      <c r="N120" s="29"/>
      <c r="S120" s="18" t="s">
        <v>86</v>
      </c>
      <c r="T120" s="30">
        <v>10099265</v>
      </c>
      <c r="AI120" s="31"/>
      <c r="AJ120" s="32"/>
      <c r="AK120" s="33"/>
      <c r="AL120" s="32"/>
      <c r="AM120" s="32"/>
      <c r="AN120" s="33"/>
      <c r="AO120" s="33"/>
      <c r="AP120" s="34"/>
      <c r="AQ120" s="31"/>
    </row>
    <row r="121" spans="14:43" ht="15" thickBot="1" x14ac:dyDescent="0.35">
      <c r="N121" s="29"/>
      <c r="S121" s="18" t="s">
        <v>376</v>
      </c>
      <c r="T121" s="30">
        <v>9904607</v>
      </c>
      <c r="AI121" s="31"/>
      <c r="AJ121" s="32"/>
      <c r="AK121" s="33"/>
      <c r="AL121" s="32"/>
      <c r="AM121" s="32"/>
      <c r="AN121" s="33"/>
      <c r="AO121" s="33"/>
      <c r="AP121" s="34"/>
      <c r="AQ121" s="31"/>
    </row>
    <row r="122" spans="14:43" ht="15" thickBot="1" x14ac:dyDescent="0.35">
      <c r="N122" s="29"/>
      <c r="S122" s="18" t="s">
        <v>82</v>
      </c>
      <c r="T122" s="30">
        <v>9890402</v>
      </c>
      <c r="AI122" s="31"/>
      <c r="AJ122" s="32"/>
      <c r="AK122" s="33"/>
      <c r="AL122" s="32"/>
      <c r="AM122" s="32"/>
      <c r="AN122" s="33"/>
      <c r="AO122" s="33"/>
      <c r="AP122" s="34"/>
      <c r="AQ122" s="31"/>
    </row>
    <row r="123" spans="14:43" ht="15" thickBot="1" x14ac:dyDescent="0.35">
      <c r="N123" s="29"/>
      <c r="S123" s="18" t="s">
        <v>159</v>
      </c>
      <c r="T123" s="30">
        <v>9660351</v>
      </c>
      <c r="AI123" s="31"/>
      <c r="AJ123" s="32"/>
      <c r="AK123" s="33"/>
      <c r="AL123" s="32"/>
      <c r="AM123" s="32"/>
      <c r="AN123" s="33"/>
      <c r="AO123" s="33"/>
      <c r="AP123" s="34"/>
      <c r="AQ123" s="31"/>
    </row>
    <row r="124" spans="14:43" ht="15" thickBot="1" x14ac:dyDescent="0.35">
      <c r="N124" s="29"/>
      <c r="S124" s="18" t="s">
        <v>540</v>
      </c>
      <c r="T124" s="30">
        <v>9537645</v>
      </c>
      <c r="AI124" s="31"/>
      <c r="AJ124" s="32"/>
      <c r="AK124" s="33"/>
      <c r="AL124" s="32"/>
      <c r="AM124" s="32"/>
      <c r="AN124" s="33"/>
      <c r="AO124" s="33"/>
      <c r="AP124" s="34"/>
      <c r="AQ124" s="31"/>
    </row>
    <row r="125" spans="14:43" ht="15" thickBot="1" x14ac:dyDescent="0.35">
      <c r="N125" s="29"/>
      <c r="S125" s="18" t="s">
        <v>118</v>
      </c>
      <c r="T125" s="30">
        <v>9449323</v>
      </c>
      <c r="AI125" s="31"/>
      <c r="AJ125" s="32"/>
      <c r="AK125" s="33"/>
      <c r="AL125" s="32"/>
      <c r="AM125" s="32"/>
      <c r="AN125" s="33"/>
      <c r="AO125" s="33"/>
      <c r="AP125" s="34"/>
      <c r="AQ125" s="31"/>
    </row>
    <row r="126" spans="14:43" ht="15" thickBot="1" x14ac:dyDescent="0.35">
      <c r="N126" s="29"/>
      <c r="S126" s="18" t="s">
        <v>105</v>
      </c>
      <c r="T126" s="30">
        <v>9006398</v>
      </c>
      <c r="AI126" s="31"/>
      <c r="AJ126" s="32"/>
      <c r="AK126" s="33"/>
      <c r="AL126" s="32"/>
      <c r="AM126" s="32"/>
      <c r="AN126" s="33"/>
      <c r="AO126" s="33"/>
      <c r="AP126" s="34"/>
      <c r="AQ126" s="31"/>
    </row>
    <row r="127" spans="14:43" ht="15" thickBot="1" x14ac:dyDescent="0.35">
      <c r="N127" s="29"/>
      <c r="S127" s="18" t="s">
        <v>541</v>
      </c>
      <c r="T127" s="30">
        <v>8947024</v>
      </c>
      <c r="AI127" s="31"/>
      <c r="AJ127" s="32"/>
      <c r="AK127" s="33"/>
      <c r="AL127" s="32"/>
      <c r="AM127" s="33"/>
      <c r="AN127" s="33"/>
      <c r="AO127" s="33"/>
      <c r="AP127" s="34"/>
      <c r="AQ127" s="31"/>
    </row>
    <row r="128" spans="14:43" ht="15" thickBot="1" x14ac:dyDescent="0.35">
      <c r="N128" s="29"/>
      <c r="S128" s="18" t="s">
        <v>188</v>
      </c>
      <c r="T128" s="30">
        <v>8737371</v>
      </c>
      <c r="AI128" s="31"/>
      <c r="AJ128" s="32"/>
      <c r="AK128" s="33"/>
      <c r="AL128" s="32"/>
      <c r="AM128" s="32"/>
      <c r="AN128" s="33"/>
      <c r="AO128" s="33"/>
      <c r="AP128" s="34"/>
      <c r="AQ128" s="31"/>
    </row>
    <row r="129" spans="14:43" ht="15" thickBot="1" x14ac:dyDescent="0.35">
      <c r="N129" s="29"/>
      <c r="S129" s="18" t="s">
        <v>106</v>
      </c>
      <c r="T129" s="30">
        <v>8655535</v>
      </c>
      <c r="AI129" s="31"/>
      <c r="AJ129" s="32"/>
      <c r="AK129" s="33"/>
      <c r="AL129" s="32"/>
      <c r="AM129" s="32"/>
      <c r="AN129" s="33"/>
      <c r="AO129" s="33"/>
      <c r="AP129" s="34"/>
      <c r="AQ129" s="31"/>
    </row>
    <row r="130" spans="14:43" ht="15" thickBot="1" x14ac:dyDescent="0.35">
      <c r="N130" s="29"/>
      <c r="S130" s="18" t="s">
        <v>104</v>
      </c>
      <c r="T130" s="30">
        <v>8654622</v>
      </c>
      <c r="AI130" s="31"/>
      <c r="AJ130" s="32"/>
      <c r="AK130" s="33"/>
      <c r="AL130" s="32"/>
      <c r="AM130" s="32"/>
      <c r="AN130" s="33"/>
      <c r="AO130" s="33"/>
      <c r="AP130" s="34"/>
      <c r="AQ130" s="31"/>
    </row>
    <row r="131" spans="14:43" ht="15" thickBot="1" x14ac:dyDescent="0.35">
      <c r="N131" s="29"/>
      <c r="S131" s="18" t="s">
        <v>190</v>
      </c>
      <c r="T131" s="30">
        <v>8278724</v>
      </c>
      <c r="AI131" s="31"/>
      <c r="AJ131" s="32"/>
      <c r="AK131" s="33"/>
      <c r="AL131" s="32"/>
      <c r="AM131" s="32"/>
      <c r="AN131" s="33"/>
      <c r="AO131" s="33"/>
      <c r="AP131" s="34"/>
      <c r="AQ131" s="31"/>
    </row>
    <row r="132" spans="14:43" ht="15" thickBot="1" x14ac:dyDescent="0.35">
      <c r="N132" s="29"/>
      <c r="S132" s="18" t="s">
        <v>542</v>
      </c>
      <c r="T132" s="30">
        <v>7976983</v>
      </c>
      <c r="AI132" s="31"/>
      <c r="AJ132" s="32"/>
      <c r="AK132" s="33"/>
      <c r="AL132" s="32"/>
      <c r="AM132" s="32"/>
      <c r="AN132" s="33"/>
      <c r="AO132" s="33"/>
      <c r="AP132" s="34"/>
      <c r="AQ132" s="31"/>
    </row>
    <row r="133" spans="14:43" ht="15" thickBot="1" x14ac:dyDescent="0.35">
      <c r="N133" s="29"/>
      <c r="S133" s="18" t="s">
        <v>273</v>
      </c>
      <c r="T133" s="30">
        <v>7496981</v>
      </c>
      <c r="AI133" s="31"/>
      <c r="AJ133" s="32"/>
      <c r="AK133" s="32"/>
      <c r="AL133" s="32"/>
      <c r="AM133" s="32"/>
      <c r="AN133" s="33"/>
      <c r="AO133" s="33"/>
      <c r="AP133" s="33"/>
      <c r="AQ133" s="31"/>
    </row>
    <row r="134" spans="14:43" ht="15" thickBot="1" x14ac:dyDescent="0.35">
      <c r="N134" s="29"/>
      <c r="S134" s="18" t="s">
        <v>543</v>
      </c>
      <c r="T134" s="30">
        <v>7275560</v>
      </c>
      <c r="AI134" s="31"/>
      <c r="AJ134" s="32"/>
      <c r="AK134" s="33"/>
      <c r="AL134" s="32"/>
      <c r="AM134" s="32"/>
      <c r="AN134" s="33"/>
      <c r="AO134" s="33"/>
      <c r="AP134" s="34"/>
      <c r="AQ134" s="31"/>
    </row>
    <row r="135" spans="14:43" ht="15" thickBot="1" x14ac:dyDescent="0.35">
      <c r="N135" s="29"/>
      <c r="S135" s="18" t="s">
        <v>233</v>
      </c>
      <c r="T135" s="30">
        <v>7132538</v>
      </c>
      <c r="AI135" s="31"/>
      <c r="AJ135" s="32"/>
      <c r="AK135" s="33"/>
      <c r="AL135" s="32"/>
      <c r="AM135" s="32"/>
      <c r="AN135" s="33"/>
      <c r="AO135" s="33"/>
      <c r="AP135" s="34"/>
      <c r="AQ135" s="31"/>
    </row>
    <row r="136" spans="14:43" ht="15" thickBot="1" x14ac:dyDescent="0.35">
      <c r="N136" s="29"/>
      <c r="S136" s="18" t="s">
        <v>226</v>
      </c>
      <c r="T136" s="30">
        <v>6948445</v>
      </c>
      <c r="AI136" s="31"/>
      <c r="AJ136" s="32"/>
      <c r="AK136" s="33"/>
      <c r="AL136" s="32"/>
      <c r="AM136" s="32"/>
      <c r="AN136" s="33"/>
      <c r="AO136" s="33"/>
      <c r="AP136" s="34"/>
      <c r="AQ136" s="31"/>
    </row>
    <row r="137" spans="14:43" ht="15" thickBot="1" x14ac:dyDescent="0.35">
      <c r="N137" s="29"/>
      <c r="S137" s="18" t="s">
        <v>544</v>
      </c>
      <c r="T137" s="30">
        <v>6871292</v>
      </c>
      <c r="AI137" s="31"/>
      <c r="AJ137" s="32"/>
      <c r="AK137" s="33"/>
      <c r="AL137" s="32"/>
      <c r="AM137" s="32"/>
      <c r="AN137" s="33"/>
      <c r="AO137" s="33"/>
      <c r="AP137" s="34"/>
      <c r="AQ137" s="31"/>
    </row>
    <row r="138" spans="14:43" ht="15" thickBot="1" x14ac:dyDescent="0.35">
      <c r="N138" s="29"/>
      <c r="S138" s="18" t="s">
        <v>94</v>
      </c>
      <c r="T138" s="30">
        <v>6825445</v>
      </c>
      <c r="AI138" s="31"/>
      <c r="AJ138" s="32"/>
      <c r="AK138" s="33"/>
      <c r="AL138" s="32"/>
      <c r="AM138" s="32"/>
      <c r="AN138" s="33"/>
      <c r="AO138" s="33"/>
      <c r="AP138" s="34"/>
      <c r="AQ138" s="31"/>
    </row>
    <row r="139" spans="14:43" ht="15" thickBot="1" x14ac:dyDescent="0.35">
      <c r="N139" s="29"/>
      <c r="S139" s="18" t="s">
        <v>545</v>
      </c>
      <c r="T139" s="30">
        <v>6624554</v>
      </c>
      <c r="AI139" s="31"/>
      <c r="AJ139" s="32"/>
      <c r="AK139" s="33"/>
      <c r="AL139" s="32"/>
      <c r="AM139" s="32"/>
      <c r="AN139" s="33"/>
      <c r="AO139" s="33"/>
      <c r="AP139" s="34"/>
      <c r="AQ139" s="31"/>
    </row>
    <row r="140" spans="14:43" ht="15" thickBot="1" x14ac:dyDescent="0.35">
      <c r="N140" s="29"/>
      <c r="S140" s="18" t="s">
        <v>546</v>
      </c>
      <c r="T140" s="30">
        <v>6524195</v>
      </c>
      <c r="AI140" s="31"/>
      <c r="AJ140" s="32"/>
      <c r="AK140" s="33"/>
      <c r="AL140" s="32"/>
      <c r="AM140" s="32"/>
      <c r="AN140" s="33"/>
      <c r="AO140" s="33"/>
      <c r="AP140" s="34"/>
      <c r="AQ140" s="31"/>
    </row>
    <row r="141" spans="14:43" ht="15" thickBot="1" x14ac:dyDescent="0.35">
      <c r="N141" s="29"/>
      <c r="S141" s="18" t="s">
        <v>547</v>
      </c>
      <c r="T141" s="30">
        <v>6486205</v>
      </c>
      <c r="AI141" s="31"/>
      <c r="AJ141" s="32"/>
      <c r="AK141" s="33"/>
      <c r="AL141" s="32"/>
      <c r="AM141" s="32"/>
      <c r="AN141" s="33"/>
      <c r="AO141" s="33"/>
      <c r="AP141" s="34"/>
      <c r="AQ141" s="31"/>
    </row>
    <row r="142" spans="14:43" ht="15" thickBot="1" x14ac:dyDescent="0.35">
      <c r="N142" s="29"/>
      <c r="S142" s="18" t="s">
        <v>548</v>
      </c>
      <c r="T142" s="30">
        <v>6031200</v>
      </c>
      <c r="AI142" s="31"/>
      <c r="AJ142" s="32"/>
      <c r="AK142" s="33"/>
      <c r="AL142" s="32"/>
      <c r="AM142" s="32"/>
      <c r="AN142" s="33"/>
      <c r="AO142" s="33"/>
      <c r="AP142" s="34"/>
      <c r="AQ142" s="31"/>
    </row>
    <row r="143" spans="14:43" ht="15" thickBot="1" x14ac:dyDescent="0.35">
      <c r="N143" s="29"/>
      <c r="S143" s="18" t="s">
        <v>67</v>
      </c>
      <c r="T143" s="30">
        <v>5850342</v>
      </c>
      <c r="AI143" s="31"/>
      <c r="AJ143" s="32"/>
      <c r="AK143" s="32"/>
      <c r="AL143" s="33"/>
      <c r="AM143" s="32"/>
      <c r="AN143" s="33"/>
      <c r="AO143" s="33"/>
      <c r="AP143" s="33"/>
      <c r="AQ143" s="31"/>
    </row>
    <row r="144" spans="14:43" ht="15" thickBot="1" x14ac:dyDescent="0.35">
      <c r="N144" s="29"/>
      <c r="S144" s="18" t="s">
        <v>114</v>
      </c>
      <c r="T144" s="30">
        <v>5792202</v>
      </c>
      <c r="AI144" s="31"/>
      <c r="AJ144" s="32"/>
      <c r="AK144" s="33"/>
      <c r="AL144" s="32"/>
      <c r="AM144" s="32"/>
      <c r="AN144" s="33"/>
      <c r="AO144" s="33"/>
      <c r="AP144" s="34"/>
      <c r="AQ144" s="31"/>
    </row>
    <row r="145" spans="14:43" ht="15" thickBot="1" x14ac:dyDescent="0.35">
      <c r="N145" s="29"/>
      <c r="S145" s="18" t="s">
        <v>81</v>
      </c>
      <c r="T145" s="30">
        <v>5540720</v>
      </c>
      <c r="AI145" s="31"/>
      <c r="AJ145" s="32"/>
      <c r="AK145" s="33"/>
      <c r="AL145" s="32"/>
      <c r="AM145" s="32"/>
      <c r="AN145" s="33"/>
      <c r="AO145" s="33"/>
      <c r="AP145" s="34"/>
      <c r="AQ145" s="31"/>
    </row>
    <row r="146" spans="14:43" ht="15" thickBot="1" x14ac:dyDescent="0.35">
      <c r="N146" s="29"/>
      <c r="S146" s="18" t="s">
        <v>549</v>
      </c>
      <c r="T146" s="30">
        <v>5518087</v>
      </c>
      <c r="AI146" s="31"/>
      <c r="AJ146" s="32"/>
      <c r="AK146" s="33"/>
      <c r="AL146" s="32"/>
      <c r="AM146" s="32"/>
      <c r="AN146" s="33"/>
      <c r="AO146" s="33"/>
      <c r="AP146" s="34"/>
      <c r="AQ146" s="31"/>
    </row>
    <row r="147" spans="14:43" ht="15" thickBot="1" x14ac:dyDescent="0.35">
      <c r="N147" s="29"/>
      <c r="S147" s="18" t="s">
        <v>189</v>
      </c>
      <c r="T147" s="30">
        <v>5459642</v>
      </c>
      <c r="AI147" s="31"/>
      <c r="AJ147" s="32"/>
      <c r="AK147" s="33"/>
      <c r="AL147" s="32"/>
      <c r="AM147" s="32"/>
      <c r="AN147" s="33"/>
      <c r="AO147" s="33"/>
      <c r="AP147" s="34"/>
      <c r="AQ147" s="31"/>
    </row>
    <row r="148" spans="14:43" ht="15" thickBot="1" x14ac:dyDescent="0.35">
      <c r="N148" s="29"/>
      <c r="S148" s="18" t="s">
        <v>112</v>
      </c>
      <c r="T148" s="30">
        <v>5421241</v>
      </c>
      <c r="AI148" s="31"/>
      <c r="AJ148" s="32"/>
      <c r="AK148" s="33"/>
      <c r="AL148" s="32"/>
      <c r="AM148" s="32"/>
      <c r="AN148" s="33"/>
      <c r="AO148" s="33"/>
      <c r="AP148" s="34"/>
      <c r="AQ148" s="31"/>
    </row>
    <row r="149" spans="14:43" ht="15" thickBot="1" x14ac:dyDescent="0.35">
      <c r="N149" s="29"/>
      <c r="S149" s="18" t="s">
        <v>98</v>
      </c>
      <c r="T149" s="30">
        <v>5106626</v>
      </c>
      <c r="AI149" s="31"/>
      <c r="AJ149" s="32"/>
      <c r="AK149" s="33"/>
      <c r="AL149" s="32"/>
      <c r="AM149" s="32"/>
      <c r="AN149" s="33"/>
      <c r="AO149" s="33"/>
      <c r="AP149" s="34"/>
      <c r="AQ149" s="31"/>
    </row>
    <row r="150" spans="14:43" ht="15" thickBot="1" x14ac:dyDescent="0.35">
      <c r="N150" s="29"/>
      <c r="S150" s="18" t="s">
        <v>550</v>
      </c>
      <c r="T150" s="30">
        <v>5101414</v>
      </c>
      <c r="AI150" s="31"/>
      <c r="AJ150" s="32"/>
      <c r="AK150" s="33"/>
      <c r="AL150" s="32"/>
      <c r="AM150" s="32"/>
      <c r="AN150" s="33"/>
      <c r="AO150" s="33"/>
      <c r="AP150" s="34"/>
      <c r="AQ150" s="31"/>
    </row>
    <row r="151" spans="14:43" ht="15" thickBot="1" x14ac:dyDescent="0.35">
      <c r="N151" s="29"/>
      <c r="S151" s="18" t="s">
        <v>186</v>
      </c>
      <c r="T151" s="30">
        <v>5094118</v>
      </c>
      <c r="AI151" s="31"/>
      <c r="AJ151" s="32"/>
      <c r="AK151" s="33"/>
      <c r="AL151" s="32"/>
      <c r="AM151" s="32"/>
      <c r="AN151" s="33"/>
      <c r="AO151" s="33"/>
      <c r="AP151" s="34"/>
      <c r="AQ151" s="31"/>
    </row>
    <row r="152" spans="14:43" ht="15" thickBot="1" x14ac:dyDescent="0.35">
      <c r="N152" s="29"/>
      <c r="S152" s="18" t="s">
        <v>506</v>
      </c>
      <c r="T152" s="30">
        <v>5057681</v>
      </c>
      <c r="AI152" s="31"/>
      <c r="AJ152" s="32"/>
      <c r="AK152" s="33"/>
      <c r="AL152" s="32"/>
      <c r="AM152" s="32"/>
      <c r="AN152" s="33"/>
      <c r="AO152" s="33"/>
      <c r="AP152" s="34"/>
      <c r="AQ152" s="31"/>
    </row>
    <row r="153" spans="14:43" ht="15" thickBot="1" x14ac:dyDescent="0.35">
      <c r="N153" s="29"/>
      <c r="S153" s="18" t="s">
        <v>125</v>
      </c>
      <c r="T153" s="30">
        <v>4937786</v>
      </c>
      <c r="AI153" s="31"/>
      <c r="AJ153" s="32"/>
      <c r="AK153" s="33"/>
      <c r="AL153" s="32"/>
      <c r="AM153" s="32"/>
      <c r="AN153" s="33"/>
      <c r="AO153" s="33"/>
      <c r="AP153" s="34"/>
      <c r="AQ153" s="31"/>
    </row>
    <row r="154" spans="14:43" ht="15" thickBot="1" x14ac:dyDescent="0.35">
      <c r="N154" s="29"/>
      <c r="S154" s="18" t="s">
        <v>495</v>
      </c>
      <c r="T154" s="30">
        <v>4829767</v>
      </c>
      <c r="AI154" s="31"/>
      <c r="AJ154" s="32"/>
      <c r="AK154" s="33"/>
      <c r="AL154" s="32"/>
      <c r="AM154" s="32"/>
      <c r="AN154" s="33"/>
      <c r="AO154" s="33"/>
      <c r="AP154" s="34"/>
      <c r="AQ154" s="31"/>
    </row>
    <row r="155" spans="14:43" ht="15" thickBot="1" x14ac:dyDescent="0.35">
      <c r="N155" s="29"/>
      <c r="S155" s="18" t="s">
        <v>122</v>
      </c>
      <c r="T155" s="30">
        <v>4822233</v>
      </c>
      <c r="AI155" s="31"/>
      <c r="AJ155" s="32"/>
      <c r="AK155" s="33"/>
      <c r="AL155" s="32"/>
      <c r="AM155" s="32"/>
      <c r="AN155" s="33"/>
      <c r="AO155" s="33"/>
      <c r="AP155" s="34"/>
      <c r="AQ155" s="31"/>
    </row>
    <row r="156" spans="14:43" ht="15" thickBot="1" x14ac:dyDescent="0.35">
      <c r="N156" s="29"/>
      <c r="S156" s="18" t="s">
        <v>476</v>
      </c>
      <c r="T156" s="30">
        <v>4649658</v>
      </c>
      <c r="AI156" s="31"/>
      <c r="AJ156" s="32"/>
      <c r="AK156" s="33"/>
      <c r="AL156" s="32"/>
      <c r="AM156" s="32"/>
      <c r="AN156" s="33"/>
      <c r="AO156" s="33"/>
      <c r="AP156" s="34"/>
      <c r="AQ156" s="31"/>
    </row>
    <row r="157" spans="14:43" ht="15" thickBot="1" x14ac:dyDescent="0.35">
      <c r="N157" s="29"/>
      <c r="S157" s="18" t="s">
        <v>310</v>
      </c>
      <c r="T157" s="30">
        <v>4314767</v>
      </c>
      <c r="AI157" s="31"/>
      <c r="AJ157" s="32"/>
      <c r="AK157" s="33"/>
      <c r="AL157" s="32"/>
      <c r="AM157" s="32"/>
      <c r="AN157" s="33"/>
      <c r="AO157" s="33"/>
      <c r="AP157" s="34"/>
      <c r="AQ157" s="31"/>
    </row>
    <row r="158" spans="14:43" ht="15" thickBot="1" x14ac:dyDescent="0.35">
      <c r="N158" s="29"/>
      <c r="S158" s="18" t="s">
        <v>101</v>
      </c>
      <c r="T158" s="30">
        <v>4270571</v>
      </c>
      <c r="AI158" s="31"/>
      <c r="AJ158" s="32"/>
      <c r="AK158" s="33"/>
      <c r="AL158" s="32"/>
      <c r="AM158" s="32"/>
      <c r="AN158" s="33"/>
      <c r="AO158" s="33"/>
      <c r="AP158" s="33"/>
      <c r="AQ158" s="31"/>
    </row>
    <row r="159" spans="14:43" ht="15" thickBot="1" x14ac:dyDescent="0.35">
      <c r="N159" s="29"/>
      <c r="S159" s="18" t="s">
        <v>103</v>
      </c>
      <c r="T159" s="30">
        <v>4105267</v>
      </c>
      <c r="AI159" s="31"/>
      <c r="AJ159" s="32"/>
      <c r="AK159" s="33"/>
      <c r="AL159" s="32"/>
      <c r="AM159" s="32"/>
      <c r="AN159" s="33"/>
      <c r="AO159" s="33"/>
      <c r="AP159" s="34"/>
      <c r="AQ159" s="31"/>
    </row>
    <row r="160" spans="14:43" ht="15" thickBot="1" x14ac:dyDescent="0.35">
      <c r="N160" s="29"/>
      <c r="S160" s="18" t="s">
        <v>373</v>
      </c>
      <c r="T160" s="30">
        <v>4033963</v>
      </c>
      <c r="AI160" s="31"/>
      <c r="AJ160" s="32"/>
      <c r="AK160" s="33"/>
      <c r="AL160" s="32"/>
      <c r="AM160" s="32"/>
      <c r="AN160" s="33"/>
      <c r="AO160" s="33"/>
      <c r="AP160" s="34"/>
      <c r="AQ160" s="31"/>
    </row>
    <row r="161" spans="14:43" ht="15" thickBot="1" x14ac:dyDescent="0.35">
      <c r="N161" s="29"/>
      <c r="S161" s="18" t="s">
        <v>109</v>
      </c>
      <c r="T161" s="30">
        <v>3989167</v>
      </c>
      <c r="AI161" s="31"/>
      <c r="AJ161" s="32"/>
      <c r="AK161" s="33"/>
      <c r="AL161" s="32"/>
      <c r="AM161" s="32"/>
      <c r="AN161" s="33"/>
      <c r="AO161" s="33"/>
      <c r="AP161" s="34"/>
      <c r="AQ161" s="31"/>
    </row>
    <row r="162" spans="14:43" ht="15" thickBot="1" x14ac:dyDescent="0.35">
      <c r="N162" s="29"/>
      <c r="S162" s="18" t="s">
        <v>551</v>
      </c>
      <c r="T162" s="30">
        <v>3546421</v>
      </c>
      <c r="AI162" s="31"/>
      <c r="AJ162" s="32"/>
      <c r="AK162" s="33"/>
      <c r="AL162" s="32"/>
      <c r="AM162" s="32"/>
      <c r="AN162" s="33"/>
      <c r="AO162" s="33"/>
      <c r="AP162" s="34"/>
      <c r="AQ162" s="31"/>
    </row>
    <row r="163" spans="14:43" ht="15" thickBot="1" x14ac:dyDescent="0.35">
      <c r="N163" s="29"/>
      <c r="S163" s="18" t="s">
        <v>463</v>
      </c>
      <c r="T163" s="30">
        <v>3473730</v>
      </c>
      <c r="AI163" s="31"/>
      <c r="AJ163" s="32"/>
      <c r="AK163" s="33"/>
      <c r="AL163" s="32"/>
      <c r="AM163" s="32"/>
      <c r="AN163" s="33"/>
      <c r="AO163" s="33"/>
      <c r="AP163" s="34"/>
      <c r="AQ163" s="31"/>
    </row>
    <row r="164" spans="14:43" ht="15" thickBot="1" x14ac:dyDescent="0.35">
      <c r="N164" s="29"/>
      <c r="S164" s="18" t="s">
        <v>167</v>
      </c>
      <c r="T164" s="30">
        <v>3280819</v>
      </c>
      <c r="AI164" s="31"/>
      <c r="AJ164" s="32"/>
      <c r="AK164" s="33"/>
      <c r="AL164" s="32"/>
      <c r="AM164" s="32"/>
      <c r="AN164" s="33"/>
      <c r="AO164" s="33"/>
      <c r="AP164" s="34"/>
      <c r="AQ164" s="31"/>
    </row>
    <row r="165" spans="14:43" ht="15" thickBot="1" x14ac:dyDescent="0.35">
      <c r="N165" s="29"/>
      <c r="S165" s="18" t="s">
        <v>309</v>
      </c>
      <c r="T165" s="30">
        <v>3278290</v>
      </c>
      <c r="AI165" s="31"/>
      <c r="AJ165" s="32"/>
      <c r="AK165" s="33"/>
      <c r="AL165" s="32"/>
      <c r="AM165" s="33"/>
      <c r="AN165" s="33"/>
      <c r="AO165" s="33"/>
      <c r="AP165" s="34"/>
      <c r="AQ165" s="31"/>
    </row>
    <row r="166" spans="14:43" ht="15" thickBot="1" x14ac:dyDescent="0.35">
      <c r="N166" s="29"/>
      <c r="S166" s="18" t="s">
        <v>132</v>
      </c>
      <c r="T166" s="30">
        <v>2963243</v>
      </c>
      <c r="AI166" s="31"/>
      <c r="AJ166" s="32"/>
      <c r="AK166" s="33"/>
      <c r="AL166" s="32"/>
      <c r="AM166" s="32"/>
      <c r="AN166" s="33"/>
      <c r="AO166" s="33"/>
      <c r="AP166" s="34"/>
      <c r="AQ166" s="31"/>
    </row>
    <row r="167" spans="14:43" ht="15" thickBot="1" x14ac:dyDescent="0.35">
      <c r="N167" s="29"/>
      <c r="S167" s="18" t="s">
        <v>381</v>
      </c>
      <c r="T167" s="30">
        <v>2961167</v>
      </c>
      <c r="AI167" s="31"/>
      <c r="AJ167" s="32"/>
      <c r="AK167" s="33"/>
      <c r="AL167" s="32"/>
      <c r="AM167" s="32"/>
      <c r="AN167" s="33"/>
      <c r="AO167" s="33"/>
      <c r="AP167" s="34"/>
      <c r="AQ167" s="31"/>
    </row>
    <row r="168" spans="14:43" ht="15" thickBot="1" x14ac:dyDescent="0.35">
      <c r="N168" s="29"/>
      <c r="S168" s="18" t="s">
        <v>128</v>
      </c>
      <c r="T168" s="30">
        <v>2881053</v>
      </c>
      <c r="AI168" s="31"/>
      <c r="AJ168" s="32"/>
      <c r="AK168" s="33"/>
      <c r="AL168" s="32"/>
      <c r="AM168" s="32"/>
      <c r="AN168" s="33"/>
      <c r="AO168" s="33"/>
      <c r="AP168" s="34"/>
      <c r="AQ168" s="31"/>
    </row>
    <row r="169" spans="14:43" ht="15" thickBot="1" x14ac:dyDescent="0.35">
      <c r="N169" s="29"/>
      <c r="S169" s="18" t="s">
        <v>257</v>
      </c>
      <c r="T169" s="30">
        <v>2877797</v>
      </c>
      <c r="AI169" s="31"/>
      <c r="AJ169" s="32"/>
      <c r="AK169" s="33"/>
      <c r="AL169" s="32"/>
      <c r="AM169" s="32"/>
      <c r="AN169" s="33"/>
      <c r="AO169" s="33"/>
      <c r="AP169" s="34"/>
      <c r="AQ169" s="31"/>
    </row>
    <row r="170" spans="14:43" ht="15" thickBot="1" x14ac:dyDescent="0.35">
      <c r="N170" s="29"/>
      <c r="S170" s="18" t="s">
        <v>465</v>
      </c>
      <c r="T170" s="30">
        <v>2860853</v>
      </c>
      <c r="AI170" s="31"/>
      <c r="AJ170" s="32"/>
      <c r="AK170" s="33"/>
      <c r="AL170" s="32"/>
      <c r="AM170" s="32"/>
      <c r="AN170" s="33"/>
      <c r="AO170" s="33"/>
      <c r="AP170" s="33"/>
      <c r="AQ170" s="31"/>
    </row>
    <row r="171" spans="14:43" ht="15" thickBot="1" x14ac:dyDescent="0.35">
      <c r="N171" s="29"/>
      <c r="S171" s="18" t="s">
        <v>120</v>
      </c>
      <c r="T171" s="30">
        <v>2722289</v>
      </c>
      <c r="AI171" s="31"/>
      <c r="AJ171" s="32"/>
      <c r="AK171" s="33"/>
      <c r="AL171" s="32"/>
      <c r="AM171" s="32"/>
      <c r="AN171" s="33"/>
      <c r="AO171" s="33"/>
      <c r="AP171" s="34"/>
      <c r="AQ171" s="31"/>
    </row>
    <row r="172" spans="14:43" ht="15" thickBot="1" x14ac:dyDescent="0.35">
      <c r="N172" s="29"/>
      <c r="S172" s="18" t="s">
        <v>467</v>
      </c>
      <c r="T172" s="30">
        <v>2540905</v>
      </c>
      <c r="AI172" s="31"/>
      <c r="AJ172" s="32"/>
      <c r="AK172" s="33"/>
      <c r="AL172" s="32"/>
      <c r="AM172" s="32"/>
      <c r="AN172" s="33"/>
      <c r="AO172" s="33"/>
      <c r="AP172" s="34"/>
      <c r="AQ172" s="31"/>
    </row>
    <row r="173" spans="14:43" ht="15" thickBot="1" x14ac:dyDescent="0.35">
      <c r="N173" s="29"/>
      <c r="S173" s="18" t="s">
        <v>552</v>
      </c>
      <c r="T173" s="30">
        <v>2416668</v>
      </c>
      <c r="AI173" s="31"/>
      <c r="AJ173" s="32"/>
      <c r="AK173" s="33"/>
      <c r="AL173" s="32"/>
      <c r="AM173" s="32"/>
      <c r="AN173" s="33"/>
      <c r="AO173" s="33"/>
      <c r="AP173" s="34"/>
      <c r="AQ173" s="31"/>
    </row>
    <row r="174" spans="14:43" ht="15" thickBot="1" x14ac:dyDescent="0.35">
      <c r="N174" s="29"/>
      <c r="S174" s="18" t="s">
        <v>553</v>
      </c>
      <c r="T174" s="30">
        <v>2351627</v>
      </c>
      <c r="AI174" s="31"/>
      <c r="AJ174" s="32"/>
      <c r="AK174" s="33"/>
      <c r="AL174" s="32"/>
      <c r="AM174" s="32"/>
      <c r="AN174" s="33"/>
      <c r="AO174" s="33"/>
      <c r="AP174" s="34"/>
      <c r="AQ174" s="31"/>
    </row>
    <row r="175" spans="14:43" ht="15" thickBot="1" x14ac:dyDescent="0.35">
      <c r="N175" s="29"/>
      <c r="S175" s="18" t="s">
        <v>473</v>
      </c>
      <c r="T175" s="30">
        <v>2225734</v>
      </c>
      <c r="AI175" s="31"/>
      <c r="AJ175" s="32"/>
      <c r="AK175" s="33"/>
      <c r="AL175" s="32"/>
      <c r="AM175" s="32"/>
      <c r="AN175" s="33"/>
      <c r="AO175" s="33"/>
      <c r="AP175" s="34"/>
      <c r="AQ175" s="31"/>
    </row>
    <row r="176" spans="14:43" ht="15" thickBot="1" x14ac:dyDescent="0.35">
      <c r="N176" s="29"/>
      <c r="S176" s="18" t="s">
        <v>554</v>
      </c>
      <c r="T176" s="30">
        <v>2142249</v>
      </c>
      <c r="AI176" s="31"/>
      <c r="AJ176" s="32"/>
      <c r="AK176" s="33"/>
      <c r="AL176" s="32"/>
      <c r="AM176" s="32"/>
      <c r="AN176" s="33"/>
      <c r="AO176" s="33"/>
      <c r="AP176" s="34"/>
      <c r="AQ176" s="31"/>
    </row>
    <row r="177" spans="14:43" ht="15" thickBot="1" x14ac:dyDescent="0.35">
      <c r="N177" s="29"/>
      <c r="S177" s="18" t="s">
        <v>111</v>
      </c>
      <c r="T177" s="30">
        <v>2083374</v>
      </c>
      <c r="AI177" s="31"/>
      <c r="AJ177" s="33"/>
      <c r="AK177" s="33"/>
      <c r="AL177" s="32"/>
      <c r="AM177" s="32"/>
      <c r="AN177" s="33"/>
      <c r="AO177" s="33"/>
      <c r="AP177" s="34"/>
      <c r="AQ177" s="31"/>
    </row>
    <row r="178" spans="14:43" ht="15" thickBot="1" x14ac:dyDescent="0.35">
      <c r="N178" s="29"/>
      <c r="S178" s="18" t="s">
        <v>168</v>
      </c>
      <c r="T178" s="30">
        <v>2078938</v>
      </c>
      <c r="AI178" s="31"/>
      <c r="AJ178" s="33"/>
      <c r="AK178" s="33"/>
      <c r="AL178" s="32"/>
      <c r="AM178" s="32"/>
      <c r="AN178" s="33"/>
      <c r="AO178" s="33"/>
      <c r="AP178" s="34"/>
      <c r="AQ178" s="31"/>
    </row>
    <row r="179" spans="14:43" ht="15" thickBot="1" x14ac:dyDescent="0.35">
      <c r="N179" s="29"/>
      <c r="S179" s="18" t="s">
        <v>555</v>
      </c>
      <c r="T179" s="30">
        <v>1968001</v>
      </c>
      <c r="AI179" s="31"/>
      <c r="AJ179" s="32"/>
      <c r="AK179" s="33"/>
      <c r="AL179" s="32"/>
      <c r="AM179" s="32"/>
      <c r="AN179" s="33"/>
      <c r="AO179" s="33"/>
      <c r="AP179" s="34"/>
      <c r="AQ179" s="31"/>
    </row>
    <row r="180" spans="14:43" ht="15" thickBot="1" x14ac:dyDescent="0.35">
      <c r="N180" s="29"/>
      <c r="S180" s="18" t="s">
        <v>138</v>
      </c>
      <c r="T180" s="30">
        <v>1886198</v>
      </c>
      <c r="AI180" s="31"/>
      <c r="AJ180" s="32"/>
      <c r="AK180" s="33"/>
      <c r="AL180" s="32"/>
      <c r="AM180" s="32"/>
      <c r="AN180" s="33"/>
      <c r="AO180" s="33"/>
      <c r="AP180" s="34"/>
      <c r="AQ180" s="31"/>
    </row>
    <row r="181" spans="14:43" ht="15" thickBot="1" x14ac:dyDescent="0.35">
      <c r="N181" s="29"/>
      <c r="S181" s="18" t="s">
        <v>100</v>
      </c>
      <c r="T181" s="30">
        <v>1701575</v>
      </c>
      <c r="AI181" s="31"/>
      <c r="AJ181" s="32"/>
      <c r="AK181" s="32"/>
      <c r="AL181" s="33"/>
      <c r="AM181" s="32"/>
      <c r="AN181" s="33"/>
      <c r="AO181" s="33"/>
      <c r="AP181" s="34"/>
      <c r="AQ181" s="31"/>
    </row>
    <row r="182" spans="14:43" ht="15" thickBot="1" x14ac:dyDescent="0.35">
      <c r="N182" s="29"/>
      <c r="S182" s="18" t="s">
        <v>497</v>
      </c>
      <c r="T182" s="30">
        <v>1402985</v>
      </c>
      <c r="AI182" s="31"/>
      <c r="AJ182" s="32"/>
      <c r="AK182" s="33"/>
      <c r="AL182" s="32"/>
      <c r="AM182" s="32"/>
      <c r="AN182" s="33"/>
      <c r="AO182" s="33"/>
      <c r="AP182" s="34"/>
      <c r="AQ182" s="31"/>
    </row>
    <row r="183" spans="14:43" ht="15" thickBot="1" x14ac:dyDescent="0.35">
      <c r="N183" s="29"/>
      <c r="S183" s="18" t="s">
        <v>469</v>
      </c>
      <c r="T183" s="30">
        <v>1399488</v>
      </c>
      <c r="AI183" s="31"/>
      <c r="AJ183" s="32"/>
      <c r="AK183" s="33"/>
      <c r="AL183" s="32"/>
      <c r="AM183" s="33"/>
      <c r="AN183" s="33"/>
      <c r="AO183" s="33"/>
      <c r="AP183" s="34"/>
      <c r="AQ183" s="31"/>
    </row>
    <row r="184" spans="14:43" ht="15" thickBot="1" x14ac:dyDescent="0.35">
      <c r="N184" s="29"/>
      <c r="S184" s="18" t="s">
        <v>115</v>
      </c>
      <c r="T184" s="30">
        <v>1326535</v>
      </c>
      <c r="AI184" s="31"/>
      <c r="AJ184" s="33"/>
      <c r="AK184" s="33"/>
      <c r="AL184" s="32"/>
      <c r="AM184" s="32"/>
      <c r="AN184" s="33"/>
      <c r="AO184" s="33"/>
      <c r="AP184" s="34"/>
      <c r="AQ184" s="31"/>
    </row>
    <row r="185" spans="14:43" ht="15" thickBot="1" x14ac:dyDescent="0.35">
      <c r="N185" s="29"/>
      <c r="S185" s="18" t="s">
        <v>556</v>
      </c>
      <c r="T185" s="30">
        <v>1318445</v>
      </c>
      <c r="AI185" s="31"/>
      <c r="AJ185" s="32"/>
      <c r="AK185" s="33"/>
      <c r="AL185" s="32"/>
      <c r="AM185" s="32"/>
      <c r="AN185" s="33"/>
      <c r="AO185" s="33"/>
      <c r="AP185" s="34"/>
      <c r="AQ185" s="31"/>
    </row>
    <row r="186" spans="14:43" ht="15" thickBot="1" x14ac:dyDescent="0.35">
      <c r="N186" s="29"/>
      <c r="S186" s="18" t="s">
        <v>557</v>
      </c>
      <c r="T186" s="30">
        <v>1271768</v>
      </c>
      <c r="AI186" s="31"/>
      <c r="AJ186" s="32"/>
      <c r="AK186" s="33"/>
      <c r="AL186" s="32"/>
      <c r="AM186" s="33"/>
      <c r="AN186" s="33"/>
      <c r="AO186" s="33"/>
      <c r="AP186" s="34"/>
      <c r="AQ186" s="31"/>
    </row>
    <row r="187" spans="14:43" ht="15" thickBot="1" x14ac:dyDescent="0.35">
      <c r="N187" s="29"/>
      <c r="S187" s="18" t="s">
        <v>258</v>
      </c>
      <c r="T187" s="30">
        <v>1207359</v>
      </c>
      <c r="AI187" s="31"/>
      <c r="AJ187" s="32"/>
      <c r="AK187" s="33"/>
      <c r="AL187" s="32"/>
      <c r="AM187" s="32"/>
      <c r="AN187" s="33"/>
      <c r="AO187" s="33"/>
      <c r="AP187" s="34"/>
      <c r="AQ187" s="31"/>
    </row>
    <row r="188" spans="14:43" ht="15" thickBot="1" x14ac:dyDescent="0.35">
      <c r="N188" s="29"/>
      <c r="S188" s="18" t="s">
        <v>472</v>
      </c>
      <c r="T188" s="30">
        <v>1160164</v>
      </c>
      <c r="AI188" s="31"/>
      <c r="AJ188" s="32"/>
      <c r="AK188" s="33"/>
      <c r="AL188" s="32"/>
      <c r="AM188" s="32"/>
      <c r="AN188" s="33"/>
      <c r="AO188" s="33"/>
      <c r="AP188" s="34"/>
      <c r="AQ188" s="31"/>
    </row>
    <row r="189" spans="14:43" ht="15" thickBot="1" x14ac:dyDescent="0.35">
      <c r="N189" s="29"/>
      <c r="S189" s="18" t="s">
        <v>558</v>
      </c>
      <c r="T189" s="30">
        <v>988000</v>
      </c>
      <c r="AI189" s="31"/>
      <c r="AJ189" s="32"/>
      <c r="AK189" s="33"/>
      <c r="AL189" s="32"/>
      <c r="AM189" s="33"/>
      <c r="AN189" s="33"/>
      <c r="AO189" s="33"/>
      <c r="AP189" s="34"/>
      <c r="AQ189" s="31"/>
    </row>
    <row r="190" spans="14:43" ht="15" thickBot="1" x14ac:dyDescent="0.35">
      <c r="N190" s="29"/>
      <c r="S190" s="18" t="s">
        <v>559</v>
      </c>
      <c r="T190" s="30">
        <v>896445</v>
      </c>
      <c r="AI190" s="31"/>
      <c r="AJ190" s="32"/>
      <c r="AK190" s="33"/>
      <c r="AL190" s="32"/>
      <c r="AM190" s="32"/>
      <c r="AN190" s="33"/>
      <c r="AO190" s="33"/>
      <c r="AP190" s="34"/>
      <c r="AQ190" s="31"/>
    </row>
    <row r="191" spans="14:43" ht="15" thickBot="1" x14ac:dyDescent="0.35">
      <c r="N191" s="29"/>
      <c r="S191" s="18" t="s">
        <v>560</v>
      </c>
      <c r="T191" s="30">
        <v>895312</v>
      </c>
      <c r="AI191" s="31"/>
      <c r="AJ191" s="32"/>
      <c r="AK191" s="33"/>
      <c r="AL191" s="32"/>
      <c r="AM191" s="32"/>
      <c r="AN191" s="33"/>
      <c r="AO191" s="33"/>
      <c r="AP191" s="34"/>
      <c r="AQ191" s="31"/>
    </row>
    <row r="192" spans="14:43" ht="15" thickBot="1" x14ac:dyDescent="0.35">
      <c r="N192" s="29"/>
      <c r="S192" s="18" t="s">
        <v>561</v>
      </c>
      <c r="T192" s="30">
        <v>869601</v>
      </c>
      <c r="AI192" s="31"/>
      <c r="AJ192" s="32"/>
      <c r="AK192" s="33"/>
      <c r="AL192" s="32"/>
      <c r="AM192" s="32"/>
      <c r="AN192" s="33"/>
      <c r="AO192" s="33"/>
      <c r="AP192" s="34"/>
      <c r="AQ192" s="31"/>
    </row>
    <row r="193" spans="14:43" ht="15" thickBot="1" x14ac:dyDescent="0.35">
      <c r="N193" s="29"/>
      <c r="S193" s="18" t="s">
        <v>439</v>
      </c>
      <c r="T193" s="30">
        <v>786552</v>
      </c>
      <c r="AI193" s="31"/>
      <c r="AJ193" s="32"/>
      <c r="AK193" s="33"/>
      <c r="AL193" s="32"/>
      <c r="AM193" s="32"/>
      <c r="AN193" s="33"/>
      <c r="AO193" s="33"/>
      <c r="AP193" s="34"/>
      <c r="AQ193" s="31"/>
    </row>
    <row r="194" spans="14:43" ht="15" thickBot="1" x14ac:dyDescent="0.35">
      <c r="N194" s="29"/>
      <c r="S194" s="18" t="s">
        <v>183</v>
      </c>
      <c r="T194" s="30">
        <v>771608</v>
      </c>
      <c r="AI194" s="31"/>
      <c r="AJ194" s="32"/>
      <c r="AK194" s="33"/>
      <c r="AL194" s="32"/>
      <c r="AM194" s="33"/>
      <c r="AN194" s="33"/>
      <c r="AO194" s="33"/>
      <c r="AP194" s="34"/>
      <c r="AQ194" s="31"/>
    </row>
    <row r="195" spans="14:43" ht="15" thickBot="1" x14ac:dyDescent="0.35">
      <c r="N195" s="29"/>
      <c r="S195" s="18" t="s">
        <v>562</v>
      </c>
      <c r="T195" s="30">
        <v>686884</v>
      </c>
      <c r="AI195" s="31"/>
      <c r="AJ195" s="32"/>
      <c r="AK195" s="33"/>
      <c r="AL195" s="32"/>
      <c r="AM195" s="32"/>
      <c r="AN195" s="33"/>
      <c r="AO195" s="33"/>
      <c r="AP195" s="34"/>
      <c r="AQ195" s="31"/>
    </row>
    <row r="196" spans="14:43" ht="15" thickBot="1" x14ac:dyDescent="0.35">
      <c r="N196" s="29"/>
      <c r="S196" s="18" t="s">
        <v>563</v>
      </c>
      <c r="T196" s="30">
        <v>649335</v>
      </c>
      <c r="AI196" s="31"/>
      <c r="AJ196" s="32"/>
      <c r="AK196" s="32"/>
      <c r="AL196" s="33"/>
      <c r="AM196" s="32"/>
      <c r="AN196" s="33"/>
      <c r="AO196" s="33"/>
      <c r="AP196" s="33"/>
      <c r="AQ196" s="31"/>
    </row>
    <row r="197" spans="14:43" ht="15" thickBot="1" x14ac:dyDescent="0.35">
      <c r="N197" s="29"/>
      <c r="S197" s="18" t="s">
        <v>564</v>
      </c>
      <c r="T197" s="30">
        <v>628066</v>
      </c>
      <c r="AI197" s="31"/>
      <c r="AJ197" s="33"/>
      <c r="AK197" s="33"/>
      <c r="AL197" s="32"/>
      <c r="AM197" s="33"/>
      <c r="AN197" s="33"/>
      <c r="AO197" s="33"/>
      <c r="AP197" s="34"/>
      <c r="AQ197" s="31"/>
    </row>
    <row r="198" spans="14:43" ht="15" thickBot="1" x14ac:dyDescent="0.35">
      <c r="N198" s="29"/>
      <c r="S198" s="18" t="s">
        <v>126</v>
      </c>
      <c r="T198" s="30">
        <v>625978</v>
      </c>
      <c r="AI198" s="31"/>
      <c r="AJ198" s="32"/>
      <c r="AK198" s="33"/>
      <c r="AL198" s="32"/>
      <c r="AM198" s="32"/>
      <c r="AN198" s="33"/>
      <c r="AO198" s="33"/>
      <c r="AP198" s="34"/>
      <c r="AQ198" s="31"/>
    </row>
    <row r="199" spans="14:43" ht="15" thickBot="1" x14ac:dyDescent="0.35">
      <c r="N199" s="29"/>
      <c r="S199" s="18" t="s">
        <v>565</v>
      </c>
      <c r="T199" s="30">
        <v>597339</v>
      </c>
      <c r="AI199" s="31"/>
      <c r="AJ199" s="32"/>
      <c r="AK199" s="33"/>
      <c r="AL199" s="32"/>
      <c r="AM199" s="32"/>
      <c r="AN199" s="33"/>
      <c r="AO199" s="33"/>
      <c r="AP199" s="34"/>
      <c r="AQ199" s="31"/>
    </row>
    <row r="200" spans="14:43" ht="15" thickBot="1" x14ac:dyDescent="0.35">
      <c r="N200" s="29"/>
      <c r="S200" s="18" t="s">
        <v>480</v>
      </c>
      <c r="T200" s="30">
        <v>586632</v>
      </c>
      <c r="AI200" s="31"/>
      <c r="AJ200" s="32"/>
      <c r="AK200" s="33"/>
      <c r="AL200" s="32"/>
      <c r="AM200" s="32"/>
      <c r="AN200" s="33"/>
      <c r="AO200" s="33"/>
      <c r="AP200" s="34"/>
      <c r="AQ200" s="31"/>
    </row>
    <row r="201" spans="14:43" ht="15" thickBot="1" x14ac:dyDescent="0.35">
      <c r="N201" s="29"/>
      <c r="S201" s="18" t="s">
        <v>566</v>
      </c>
      <c r="T201" s="30">
        <v>555987</v>
      </c>
      <c r="AI201" s="31"/>
      <c r="AJ201" s="32"/>
      <c r="AK201" s="33"/>
      <c r="AL201" s="32"/>
      <c r="AM201" s="32"/>
      <c r="AN201" s="33"/>
      <c r="AO201" s="33"/>
      <c r="AP201" s="34"/>
      <c r="AQ201" s="31"/>
    </row>
    <row r="202" spans="14:43" ht="15" thickBot="1" x14ac:dyDescent="0.35">
      <c r="N202" s="29"/>
      <c r="S202" s="18" t="s">
        <v>227</v>
      </c>
      <c r="T202" s="30">
        <v>540544</v>
      </c>
      <c r="AI202" s="31"/>
      <c r="AJ202" s="32"/>
      <c r="AK202" s="32"/>
      <c r="AL202" s="33"/>
      <c r="AM202" s="32"/>
      <c r="AN202" s="33"/>
      <c r="AO202" s="33"/>
      <c r="AP202" s="34"/>
      <c r="AQ202" s="31"/>
    </row>
    <row r="203" spans="14:43" ht="15" thickBot="1" x14ac:dyDescent="0.35">
      <c r="N203" s="29"/>
      <c r="S203" s="18" t="s">
        <v>204</v>
      </c>
      <c r="T203" s="30">
        <v>441543</v>
      </c>
      <c r="AI203" s="31"/>
      <c r="AJ203" s="32"/>
      <c r="AK203" s="32"/>
      <c r="AL203" s="33"/>
      <c r="AM203" s="33"/>
      <c r="AN203" s="33"/>
      <c r="AO203" s="33"/>
      <c r="AP203" s="34"/>
      <c r="AQ203" s="31"/>
    </row>
    <row r="204" spans="14:43" ht="15" thickBot="1" x14ac:dyDescent="0.35">
      <c r="N204" s="29"/>
      <c r="S204" s="18" t="s">
        <v>260</v>
      </c>
      <c r="T204" s="30">
        <v>437479</v>
      </c>
      <c r="AI204" s="31"/>
      <c r="AJ204" s="32"/>
      <c r="AK204" s="33"/>
      <c r="AL204" s="32"/>
      <c r="AM204" s="33"/>
      <c r="AN204" s="33"/>
      <c r="AO204" s="33"/>
      <c r="AP204" s="34"/>
      <c r="AQ204" s="31"/>
    </row>
    <row r="205" spans="14:43" ht="15" thickBot="1" x14ac:dyDescent="0.35">
      <c r="N205" s="29"/>
      <c r="S205" s="18" t="s">
        <v>444</v>
      </c>
      <c r="T205" s="30">
        <v>400124</v>
      </c>
      <c r="AI205" s="31"/>
      <c r="AJ205" s="33"/>
      <c r="AK205" s="33"/>
      <c r="AL205" s="32"/>
      <c r="AM205" s="32"/>
      <c r="AN205" s="33"/>
      <c r="AO205" s="33"/>
      <c r="AP205" s="33"/>
      <c r="AQ205" s="31"/>
    </row>
    <row r="206" spans="14:43" ht="15" thickBot="1" x14ac:dyDescent="0.35">
      <c r="N206" s="29"/>
      <c r="S206" s="18" t="s">
        <v>567</v>
      </c>
      <c r="T206" s="30">
        <v>397628</v>
      </c>
      <c r="AI206" s="31"/>
      <c r="AJ206" s="32"/>
      <c r="AK206" s="33"/>
      <c r="AL206" s="32"/>
      <c r="AM206" s="32"/>
      <c r="AN206" s="33"/>
      <c r="AO206" s="33"/>
      <c r="AP206" s="34"/>
      <c r="AQ206" s="31"/>
    </row>
    <row r="207" spans="14:43" ht="15" thickBot="1" x14ac:dyDescent="0.35">
      <c r="N207" s="29"/>
      <c r="S207" s="18" t="s">
        <v>568</v>
      </c>
      <c r="T207" s="30">
        <v>393244</v>
      </c>
      <c r="AI207" s="31"/>
      <c r="AJ207" s="32"/>
      <c r="AK207" s="33"/>
      <c r="AL207" s="32"/>
      <c r="AM207" s="32"/>
      <c r="AN207" s="33"/>
      <c r="AO207" s="33"/>
      <c r="AP207" s="34"/>
      <c r="AQ207" s="31"/>
    </row>
    <row r="208" spans="14:43" ht="15" thickBot="1" x14ac:dyDescent="0.35">
      <c r="N208" s="29"/>
      <c r="S208" s="18" t="s">
        <v>207</v>
      </c>
      <c r="T208" s="30">
        <v>375265</v>
      </c>
      <c r="AI208" s="31"/>
      <c r="AJ208" s="33"/>
      <c r="AK208" s="33"/>
      <c r="AL208" s="32"/>
      <c r="AM208" s="33"/>
      <c r="AN208" s="33"/>
      <c r="AO208" s="33"/>
      <c r="AP208" s="34"/>
      <c r="AQ208" s="31"/>
    </row>
    <row r="209" spans="14:43" ht="15" thickBot="1" x14ac:dyDescent="0.35">
      <c r="N209" s="29"/>
      <c r="S209" s="18" t="s">
        <v>119</v>
      </c>
      <c r="T209" s="30">
        <v>341243</v>
      </c>
      <c r="AI209" s="31"/>
      <c r="AJ209" s="32"/>
      <c r="AK209" s="33"/>
      <c r="AL209" s="32"/>
      <c r="AM209" s="33"/>
      <c r="AN209" s="33"/>
      <c r="AO209" s="33"/>
      <c r="AP209" s="34"/>
      <c r="AQ209" s="31"/>
    </row>
    <row r="210" spans="14:43" ht="15" thickBot="1" x14ac:dyDescent="0.35">
      <c r="N210" s="29"/>
      <c r="S210" s="18" t="s">
        <v>569</v>
      </c>
      <c r="T210" s="30">
        <v>307145</v>
      </c>
      <c r="AI210" s="31"/>
      <c r="AJ210" s="32"/>
      <c r="AK210" s="33"/>
      <c r="AL210" s="32"/>
      <c r="AM210" s="33"/>
      <c r="AN210" s="33"/>
      <c r="AO210" s="33"/>
      <c r="AP210" s="34"/>
      <c r="AQ210" s="31"/>
    </row>
    <row r="211" spans="14:43" ht="15" thickBot="1" x14ac:dyDescent="0.35">
      <c r="N211" s="29"/>
      <c r="S211" s="18" t="s">
        <v>203</v>
      </c>
      <c r="T211" s="30">
        <v>298682</v>
      </c>
      <c r="AI211" s="31"/>
      <c r="AJ211" s="32"/>
      <c r="AK211" s="33"/>
      <c r="AL211" s="32"/>
      <c r="AM211" s="32"/>
      <c r="AN211" s="33"/>
      <c r="AO211" s="33"/>
      <c r="AP211" s="34"/>
      <c r="AQ211" s="31"/>
    </row>
    <row r="212" spans="14:43" ht="15" thickBot="1" x14ac:dyDescent="0.35">
      <c r="N212" s="29"/>
      <c r="S212" s="18" t="s">
        <v>570</v>
      </c>
      <c r="T212" s="30">
        <v>287375</v>
      </c>
      <c r="AI212" s="31"/>
      <c r="AJ212" s="33"/>
      <c r="AK212" s="33"/>
      <c r="AL212" s="33"/>
      <c r="AM212" s="33"/>
      <c r="AN212" s="33"/>
      <c r="AO212" s="33"/>
      <c r="AP212" s="34"/>
      <c r="AQ212" s="31"/>
    </row>
    <row r="213" spans="14:43" ht="15" thickBot="1" x14ac:dyDescent="0.35">
      <c r="N213" s="29"/>
      <c r="S213" s="18" t="s">
        <v>571</v>
      </c>
      <c r="T213" s="30">
        <v>285498</v>
      </c>
      <c r="AI213" s="31"/>
      <c r="AJ213" s="32"/>
      <c r="AK213" s="33"/>
      <c r="AL213" s="32"/>
      <c r="AM213" s="33"/>
      <c r="AN213" s="33"/>
      <c r="AO213" s="33"/>
      <c r="AP213" s="34"/>
      <c r="AQ213" s="31"/>
    </row>
    <row r="214" spans="14:43" ht="15" thickBot="1" x14ac:dyDescent="0.35">
      <c r="N214" s="29"/>
      <c r="S214" s="18" t="s">
        <v>442</v>
      </c>
      <c r="T214" s="30">
        <v>280908</v>
      </c>
      <c r="AI214" s="31"/>
      <c r="AJ214" s="32"/>
      <c r="AK214" s="33"/>
      <c r="AL214" s="32"/>
      <c r="AM214" s="32"/>
      <c r="AN214" s="33"/>
      <c r="AO214" s="33"/>
      <c r="AP214" s="34"/>
      <c r="AQ214" s="31"/>
    </row>
    <row r="215" spans="14:43" ht="15" thickBot="1" x14ac:dyDescent="0.35">
      <c r="N215" s="29"/>
      <c r="S215" s="18" t="s">
        <v>498</v>
      </c>
      <c r="T215" s="30">
        <v>272815</v>
      </c>
      <c r="AI215" s="31"/>
      <c r="AJ215" s="32"/>
      <c r="AK215" s="33"/>
      <c r="AL215" s="33"/>
      <c r="AM215" s="33"/>
      <c r="AN215" s="33"/>
      <c r="AO215" s="33"/>
      <c r="AP215" s="34"/>
      <c r="AQ215" s="31"/>
    </row>
    <row r="216" spans="14:43" ht="15" thickBot="1" x14ac:dyDescent="0.35">
      <c r="N216" s="29"/>
      <c r="S216" s="18" t="s">
        <v>572</v>
      </c>
      <c r="T216" s="30">
        <v>219159</v>
      </c>
      <c r="AI216" s="31"/>
      <c r="AJ216" s="32"/>
      <c r="AK216" s="33"/>
      <c r="AL216" s="33"/>
      <c r="AM216" s="32"/>
      <c r="AN216" s="33"/>
      <c r="AO216" s="33"/>
      <c r="AP216" s="34"/>
      <c r="AQ216" s="31"/>
    </row>
    <row r="217" spans="14:43" ht="15" thickBot="1" x14ac:dyDescent="0.35">
      <c r="N217" s="29"/>
      <c r="S217" s="18" t="s">
        <v>573</v>
      </c>
      <c r="T217" s="30">
        <v>198414</v>
      </c>
      <c r="AI217" s="31"/>
      <c r="AJ217" s="32"/>
      <c r="AK217" s="33"/>
      <c r="AL217" s="32"/>
      <c r="AM217" s="32"/>
      <c r="AN217" s="33"/>
      <c r="AO217" s="33"/>
      <c r="AP217" s="34"/>
      <c r="AQ217" s="31"/>
    </row>
    <row r="218" spans="14:43" ht="15" thickBot="1" x14ac:dyDescent="0.35">
      <c r="N218" s="29"/>
      <c r="S218" s="18" t="s">
        <v>478</v>
      </c>
      <c r="T218" s="30">
        <v>183627</v>
      </c>
      <c r="AI218" s="31"/>
      <c r="AJ218" s="33"/>
      <c r="AK218" s="33"/>
      <c r="AL218" s="33"/>
      <c r="AM218" s="33"/>
      <c r="AN218" s="33"/>
      <c r="AO218" s="33"/>
      <c r="AP218" s="34"/>
      <c r="AQ218" s="31"/>
    </row>
    <row r="219" spans="14:43" ht="15" thickBot="1" x14ac:dyDescent="0.35">
      <c r="N219" s="29"/>
      <c r="S219" s="18" t="s">
        <v>307</v>
      </c>
      <c r="T219" s="30">
        <v>173863</v>
      </c>
      <c r="AI219" s="31"/>
      <c r="AJ219" s="32"/>
      <c r="AK219" s="33"/>
      <c r="AL219" s="33"/>
      <c r="AM219" s="32"/>
      <c r="AN219" s="33"/>
      <c r="AO219" s="33"/>
      <c r="AP219" s="34"/>
      <c r="AQ219" s="31"/>
    </row>
    <row r="220" spans="14:43" ht="15" thickBot="1" x14ac:dyDescent="0.35">
      <c r="N220" s="29"/>
      <c r="S220" s="18" t="s">
        <v>491</v>
      </c>
      <c r="T220" s="30">
        <v>168775</v>
      </c>
      <c r="AI220" s="31"/>
      <c r="AJ220" s="32"/>
      <c r="AK220" s="33"/>
      <c r="AL220" s="33"/>
      <c r="AM220" s="33"/>
      <c r="AN220" s="33"/>
      <c r="AO220" s="33"/>
      <c r="AP220" s="34"/>
      <c r="AQ220" s="31"/>
    </row>
    <row r="221" spans="14:43" ht="15" thickBot="1" x14ac:dyDescent="0.35">
      <c r="N221" s="29"/>
      <c r="S221" s="18" t="s">
        <v>574</v>
      </c>
      <c r="T221" s="30">
        <v>164093</v>
      </c>
      <c r="AI221" s="31"/>
      <c r="AJ221" s="33"/>
      <c r="AK221" s="33"/>
      <c r="AL221" s="33"/>
      <c r="AM221" s="33"/>
      <c r="AN221" s="33"/>
      <c r="AO221" s="33"/>
      <c r="AP221" s="34"/>
      <c r="AQ221" s="31"/>
    </row>
    <row r="222" spans="14:43" ht="15" thickBot="1" x14ac:dyDescent="0.35">
      <c r="N222" s="29"/>
      <c r="S222" s="18" t="s">
        <v>575</v>
      </c>
      <c r="T222" s="30">
        <v>119449</v>
      </c>
      <c r="AI222" s="31"/>
      <c r="AJ222" s="32"/>
      <c r="AK222" s="33"/>
      <c r="AL222" s="33"/>
      <c r="AM222" s="33"/>
      <c r="AN222" s="33"/>
      <c r="AO222" s="33"/>
      <c r="AP222" s="34"/>
      <c r="AQ222" s="31"/>
    </row>
    <row r="223" spans="14:43" ht="15" thickBot="1" x14ac:dyDescent="0.35">
      <c r="N223" s="29"/>
      <c r="S223" s="18" t="s">
        <v>576</v>
      </c>
      <c r="T223" s="30">
        <v>115023</v>
      </c>
      <c r="AI223" s="31"/>
      <c r="AJ223" s="32"/>
      <c r="AK223" s="33"/>
      <c r="AL223" s="33"/>
      <c r="AM223" s="33"/>
      <c r="AN223" s="33"/>
      <c r="AO223" s="33"/>
      <c r="AP223" s="34"/>
      <c r="AQ223" s="31"/>
    </row>
    <row r="224" spans="14:43" ht="15" thickBot="1" x14ac:dyDescent="0.35">
      <c r="N224" s="29"/>
      <c r="S224" s="18" t="s">
        <v>577</v>
      </c>
      <c r="T224" s="30">
        <v>112523</v>
      </c>
      <c r="AI224" s="31"/>
      <c r="AJ224" s="33"/>
      <c r="AK224" s="33"/>
      <c r="AL224" s="33"/>
      <c r="AM224" s="33"/>
      <c r="AN224" s="33"/>
      <c r="AO224" s="33"/>
      <c r="AP224" s="34"/>
      <c r="AQ224" s="31"/>
    </row>
    <row r="225" spans="14:43" ht="15" thickBot="1" x14ac:dyDescent="0.35">
      <c r="N225" s="29"/>
      <c r="S225" s="18" t="s">
        <v>578</v>
      </c>
      <c r="T225" s="30">
        <v>110940</v>
      </c>
      <c r="AI225" s="31"/>
      <c r="AJ225" s="33"/>
      <c r="AK225" s="33"/>
      <c r="AL225" s="33"/>
      <c r="AM225" s="33"/>
      <c r="AN225" s="33"/>
      <c r="AO225" s="33"/>
      <c r="AP225" s="34"/>
      <c r="AQ225" s="31"/>
    </row>
    <row r="226" spans="14:43" ht="15" thickBot="1" x14ac:dyDescent="0.35">
      <c r="N226" s="29"/>
      <c r="S226" s="18" t="s">
        <v>450</v>
      </c>
      <c r="T226" s="30">
        <v>106766</v>
      </c>
      <c r="AI226" s="31"/>
      <c r="AJ226" s="33"/>
      <c r="AK226" s="33"/>
      <c r="AL226" s="33"/>
      <c r="AM226" s="33"/>
      <c r="AN226" s="33"/>
      <c r="AO226" s="33"/>
      <c r="AP226" s="34"/>
      <c r="AQ226" s="31"/>
    </row>
    <row r="227" spans="14:43" ht="15" thickBot="1" x14ac:dyDescent="0.35">
      <c r="N227" s="29"/>
      <c r="S227" s="18" t="s">
        <v>579</v>
      </c>
      <c r="T227" s="30">
        <v>105695</v>
      </c>
      <c r="AI227" s="31"/>
      <c r="AJ227" s="32"/>
      <c r="AK227" s="33"/>
      <c r="AL227" s="33"/>
      <c r="AM227" s="33"/>
      <c r="AN227" s="33"/>
      <c r="AO227" s="33"/>
      <c r="AP227" s="34"/>
      <c r="AQ227" s="31"/>
    </row>
    <row r="228" spans="14:43" ht="15" thickBot="1" x14ac:dyDescent="0.35">
      <c r="N228" s="29"/>
      <c r="S228" s="18" t="s">
        <v>580</v>
      </c>
      <c r="T228" s="30">
        <v>104425</v>
      </c>
      <c r="AI228" s="31"/>
      <c r="AJ228" s="33"/>
      <c r="AK228" s="33"/>
      <c r="AL228" s="33"/>
      <c r="AM228" s="33"/>
      <c r="AN228" s="33"/>
      <c r="AO228" s="33"/>
      <c r="AP228" s="34"/>
      <c r="AQ228" s="31"/>
    </row>
    <row r="229" spans="14:43" ht="15" thickBot="1" x14ac:dyDescent="0.35">
      <c r="N229" s="29"/>
      <c r="S229" s="18" t="s">
        <v>468</v>
      </c>
      <c r="T229" s="30">
        <v>98347</v>
      </c>
      <c r="AI229" s="31"/>
      <c r="AJ229" s="33"/>
      <c r="AK229" s="33"/>
      <c r="AL229" s="33"/>
      <c r="AM229" s="33"/>
      <c r="AN229" s="33"/>
      <c r="AO229" s="33"/>
      <c r="AP229" s="34"/>
      <c r="AQ229" s="31"/>
    </row>
    <row r="230" spans="14:43" ht="15" thickBot="1" x14ac:dyDescent="0.35">
      <c r="N230" s="29"/>
      <c r="S230" s="18" t="s">
        <v>452</v>
      </c>
      <c r="T230" s="30">
        <v>97929</v>
      </c>
      <c r="AI230" s="31"/>
      <c r="AJ230" s="33"/>
      <c r="AK230" s="33"/>
      <c r="AL230" s="33"/>
      <c r="AM230" s="33"/>
      <c r="AN230" s="33"/>
      <c r="AO230" s="33"/>
      <c r="AP230" s="34"/>
      <c r="AQ230" s="31"/>
    </row>
    <row r="231" spans="14:43" ht="15" thickBot="1" x14ac:dyDescent="0.35">
      <c r="N231" s="29"/>
      <c r="S231" s="18" t="s">
        <v>581</v>
      </c>
      <c r="T231" s="30">
        <v>85033</v>
      </c>
      <c r="AI231" s="31"/>
      <c r="AJ231" s="33"/>
      <c r="AK231" s="33"/>
      <c r="AL231" s="33"/>
      <c r="AM231" s="33"/>
      <c r="AN231" s="33"/>
      <c r="AO231" s="33"/>
      <c r="AP231" s="34"/>
      <c r="AQ231" s="31"/>
    </row>
    <row r="232" spans="14:43" ht="15" thickBot="1" x14ac:dyDescent="0.35">
      <c r="N232" s="29"/>
      <c r="S232" s="18" t="s">
        <v>136</v>
      </c>
      <c r="T232" s="30">
        <v>77265</v>
      </c>
      <c r="AI232" s="31"/>
      <c r="AJ232" s="33"/>
      <c r="AK232" s="33"/>
      <c r="AL232" s="33"/>
      <c r="AM232" s="33"/>
      <c r="AN232" s="33"/>
      <c r="AO232" s="33"/>
      <c r="AP232" s="34"/>
      <c r="AQ232" s="31"/>
    </row>
    <row r="233" spans="14:43" ht="15" thickBot="1" x14ac:dyDescent="0.35">
      <c r="N233" s="29"/>
      <c r="S233" s="18" t="s">
        <v>582</v>
      </c>
      <c r="T233" s="30">
        <v>71986</v>
      </c>
      <c r="AI233" s="31"/>
      <c r="AJ233" s="33"/>
      <c r="AK233" s="33"/>
      <c r="AL233" s="33"/>
      <c r="AM233" s="33"/>
      <c r="AN233" s="33"/>
      <c r="AO233" s="33"/>
      <c r="AP233" s="34"/>
      <c r="AQ233" s="31"/>
    </row>
    <row r="234" spans="14:43" ht="15" thickBot="1" x14ac:dyDescent="0.35">
      <c r="N234" s="29"/>
      <c r="S234" s="18" t="s">
        <v>443</v>
      </c>
      <c r="T234" s="30">
        <v>65722</v>
      </c>
      <c r="AI234" s="31"/>
      <c r="AJ234" s="33"/>
      <c r="AK234" s="33"/>
      <c r="AL234" s="33"/>
      <c r="AM234" s="33"/>
      <c r="AN234" s="33"/>
      <c r="AO234" s="33"/>
      <c r="AP234" s="34"/>
      <c r="AQ234" s="31"/>
    </row>
    <row r="235" spans="14:43" ht="15" thickBot="1" x14ac:dyDescent="0.35">
      <c r="N235" s="29"/>
      <c r="S235" s="18" t="s">
        <v>583</v>
      </c>
      <c r="T235" s="30">
        <v>62278</v>
      </c>
      <c r="AI235" s="31"/>
      <c r="AJ235" s="33"/>
      <c r="AK235" s="32"/>
      <c r="AL235" s="33"/>
      <c r="AM235" s="33"/>
      <c r="AN235" s="33"/>
      <c r="AO235" s="33"/>
      <c r="AP235" s="34"/>
      <c r="AQ235" s="31"/>
    </row>
    <row r="236" spans="14:43" ht="15" thickBot="1" x14ac:dyDescent="0.35">
      <c r="N236" s="29"/>
      <c r="S236" s="18" t="s">
        <v>584</v>
      </c>
      <c r="T236" s="30">
        <v>59190</v>
      </c>
      <c r="AI236" s="31"/>
      <c r="AJ236" s="33"/>
      <c r="AK236" s="33"/>
      <c r="AL236" s="33"/>
      <c r="AM236" s="33"/>
      <c r="AN236" s="33"/>
      <c r="AO236" s="33"/>
      <c r="AP236" s="34"/>
      <c r="AQ236" s="31"/>
    </row>
    <row r="237" spans="14:43" ht="15" thickBot="1" x14ac:dyDescent="0.35">
      <c r="N237" s="29"/>
      <c r="S237" s="18" t="s">
        <v>585</v>
      </c>
      <c r="T237" s="30">
        <v>57559</v>
      </c>
      <c r="AI237" s="31"/>
      <c r="AJ237" s="33"/>
      <c r="AK237" s="33"/>
      <c r="AL237" s="33"/>
      <c r="AM237" s="33"/>
      <c r="AN237" s="33"/>
      <c r="AO237" s="33"/>
      <c r="AP237" s="34"/>
      <c r="AQ237" s="31"/>
    </row>
    <row r="238" spans="14:43" ht="15" thickBot="1" x14ac:dyDescent="0.35">
      <c r="N238" s="29"/>
      <c r="S238" s="18" t="s">
        <v>505</v>
      </c>
      <c r="T238" s="30">
        <v>56770</v>
      </c>
      <c r="AI238" s="31"/>
      <c r="AJ238" s="33"/>
      <c r="AK238" s="33"/>
      <c r="AL238" s="32"/>
      <c r="AM238" s="33"/>
      <c r="AN238" s="33"/>
      <c r="AO238" s="33"/>
      <c r="AP238" s="34"/>
      <c r="AQ238" s="31"/>
    </row>
    <row r="239" spans="14:43" ht="15" thickBot="1" x14ac:dyDescent="0.35">
      <c r="N239" s="29"/>
      <c r="S239" s="18" t="s">
        <v>586</v>
      </c>
      <c r="T239" s="30">
        <v>55191</v>
      </c>
      <c r="AI239" s="31"/>
      <c r="AJ239" s="33"/>
      <c r="AK239" s="33"/>
      <c r="AL239" s="33"/>
      <c r="AM239" s="33"/>
      <c r="AN239" s="33"/>
      <c r="AO239" s="33"/>
      <c r="AP239" s="34"/>
      <c r="AQ239" s="31"/>
    </row>
    <row r="240" spans="14:43" ht="15" thickBot="1" x14ac:dyDescent="0.35">
      <c r="N240" s="29"/>
      <c r="S240" s="18" t="s">
        <v>587</v>
      </c>
      <c r="T240" s="30">
        <v>53199</v>
      </c>
      <c r="AI240" s="31"/>
      <c r="AJ240" s="33"/>
      <c r="AK240" s="33"/>
      <c r="AL240" s="33"/>
      <c r="AM240" s="33"/>
      <c r="AN240" s="33"/>
      <c r="AO240" s="33"/>
      <c r="AP240" s="34"/>
      <c r="AQ240" s="31"/>
    </row>
    <row r="241" spans="14:43" ht="15" thickBot="1" x14ac:dyDescent="0.35">
      <c r="N241" s="29"/>
      <c r="S241" s="18" t="s">
        <v>588</v>
      </c>
      <c r="T241" s="30">
        <v>48863</v>
      </c>
      <c r="AI241" s="31"/>
      <c r="AJ241" s="33"/>
      <c r="AK241" s="33"/>
      <c r="AL241" s="32"/>
      <c r="AM241" s="33"/>
      <c r="AN241" s="33"/>
      <c r="AO241" s="33"/>
      <c r="AP241" s="34"/>
      <c r="AQ241" s="31"/>
    </row>
    <row r="242" spans="14:43" ht="15" thickBot="1" x14ac:dyDescent="0.35">
      <c r="N242" s="29"/>
      <c r="S242" s="18" t="s">
        <v>589</v>
      </c>
      <c r="T242" s="30">
        <v>42876</v>
      </c>
      <c r="AI242" s="31"/>
      <c r="AJ242" s="33"/>
      <c r="AK242" s="32"/>
      <c r="AL242" s="33"/>
      <c r="AM242" s="33"/>
      <c r="AN242" s="33"/>
      <c r="AO242" s="33"/>
      <c r="AP242" s="34"/>
      <c r="AQ242" s="31"/>
    </row>
    <row r="243" spans="14:43" ht="15" thickBot="1" x14ac:dyDescent="0.35">
      <c r="N243" s="29"/>
      <c r="S243" s="18" t="s">
        <v>127</v>
      </c>
      <c r="T243" s="30">
        <v>39242</v>
      </c>
      <c r="AI243" s="31"/>
      <c r="AJ243" s="33"/>
      <c r="AK243" s="32"/>
      <c r="AL243" s="33"/>
      <c r="AM243" s="33"/>
      <c r="AN243" s="33"/>
      <c r="AO243" s="33"/>
      <c r="AP243" s="33"/>
      <c r="AQ243" s="31"/>
    </row>
    <row r="244" spans="14:43" ht="15" thickBot="1" x14ac:dyDescent="0.35">
      <c r="N244" s="29"/>
      <c r="S244" s="18" t="s">
        <v>590</v>
      </c>
      <c r="T244" s="30">
        <v>38717</v>
      </c>
      <c r="AI244" s="31"/>
      <c r="AJ244" s="33"/>
      <c r="AK244" s="33"/>
      <c r="AL244" s="33"/>
      <c r="AM244" s="33"/>
      <c r="AN244" s="33"/>
      <c r="AO244" s="33"/>
      <c r="AP244" s="34"/>
      <c r="AQ244" s="31"/>
    </row>
    <row r="245" spans="14:43" ht="15" thickBot="1" x14ac:dyDescent="0.35">
      <c r="N245" s="29"/>
      <c r="S245" s="18" t="s">
        <v>591</v>
      </c>
      <c r="T245" s="30">
        <v>38666</v>
      </c>
      <c r="AI245" s="31"/>
      <c r="AJ245" s="33"/>
      <c r="AK245" s="33"/>
      <c r="AL245" s="33"/>
      <c r="AM245" s="33"/>
      <c r="AN245" s="33"/>
      <c r="AO245" s="33"/>
      <c r="AP245" s="34"/>
      <c r="AQ245" s="31"/>
    </row>
    <row r="246" spans="14:43" ht="15" thickBot="1" x14ac:dyDescent="0.35">
      <c r="N246" s="29"/>
      <c r="S246" s="18" t="s">
        <v>163</v>
      </c>
      <c r="T246" s="30">
        <v>38128</v>
      </c>
      <c r="AI246" s="31"/>
      <c r="AJ246" s="33"/>
      <c r="AK246" s="33"/>
      <c r="AL246" s="33"/>
      <c r="AM246" s="33"/>
      <c r="AN246" s="33"/>
      <c r="AO246" s="33"/>
      <c r="AP246" s="34"/>
      <c r="AQ246" s="31"/>
    </row>
    <row r="247" spans="14:43" ht="15" thickBot="1" x14ac:dyDescent="0.35">
      <c r="N247" s="29"/>
      <c r="S247" s="18" t="s">
        <v>117</v>
      </c>
      <c r="T247" s="30">
        <v>33931</v>
      </c>
      <c r="AI247" s="31"/>
      <c r="AJ247" s="33"/>
      <c r="AK247" s="33"/>
      <c r="AL247" s="33"/>
      <c r="AM247" s="33"/>
      <c r="AN247" s="33"/>
      <c r="AO247" s="33"/>
      <c r="AP247" s="34"/>
      <c r="AQ247" s="31"/>
    </row>
    <row r="248" spans="14:43" ht="15" thickBot="1" x14ac:dyDescent="0.35">
      <c r="N248" s="29"/>
      <c r="S248" s="18" t="s">
        <v>162</v>
      </c>
      <c r="T248" s="30">
        <v>33691</v>
      </c>
      <c r="AI248" s="31"/>
      <c r="AJ248" s="33"/>
      <c r="AK248" s="32"/>
      <c r="AL248" s="33"/>
      <c r="AM248" s="33"/>
      <c r="AN248" s="33"/>
      <c r="AO248" s="33"/>
      <c r="AP248" s="33"/>
      <c r="AQ248" s="31"/>
    </row>
    <row r="249" spans="14:43" ht="15" thickBot="1" x14ac:dyDescent="0.35">
      <c r="N249" s="29"/>
      <c r="S249" s="18" t="s">
        <v>592</v>
      </c>
      <c r="T249" s="30">
        <v>30231</v>
      </c>
      <c r="AI249" s="31"/>
      <c r="AJ249" s="33"/>
      <c r="AK249" s="33"/>
      <c r="AL249" s="33"/>
      <c r="AM249" s="33"/>
      <c r="AN249" s="33"/>
      <c r="AO249" s="33"/>
      <c r="AP249" s="34"/>
      <c r="AQ249" s="31"/>
    </row>
    <row r="250" spans="14:43" ht="15" thickBot="1" x14ac:dyDescent="0.35">
      <c r="N250" s="29"/>
      <c r="S250" s="18" t="s">
        <v>593</v>
      </c>
      <c r="T250" s="30">
        <v>26223</v>
      </c>
      <c r="AI250" s="31"/>
      <c r="AJ250" s="33"/>
      <c r="AK250" s="33"/>
      <c r="AL250" s="33"/>
      <c r="AM250" s="33"/>
      <c r="AN250" s="33"/>
      <c r="AO250" s="33"/>
      <c r="AP250" s="34"/>
      <c r="AQ250" s="31"/>
    </row>
    <row r="251" spans="14:43" ht="15" thickBot="1" x14ac:dyDescent="0.35">
      <c r="N251" s="29"/>
      <c r="S251" s="18" t="s">
        <v>594</v>
      </c>
      <c r="T251" s="30">
        <v>18094</v>
      </c>
      <c r="AI251" s="31"/>
      <c r="AJ251" s="33"/>
      <c r="AK251" s="33"/>
      <c r="AL251" s="33"/>
      <c r="AM251" s="33"/>
      <c r="AN251" s="33"/>
      <c r="AO251" s="33"/>
      <c r="AP251" s="33"/>
      <c r="AQ251" s="31"/>
    </row>
    <row r="252" spans="14:43" ht="15" thickBot="1" x14ac:dyDescent="0.35">
      <c r="N252" s="29"/>
      <c r="S252" s="18" t="s">
        <v>595</v>
      </c>
      <c r="T252" s="30">
        <v>17564</v>
      </c>
      <c r="AI252" s="31"/>
      <c r="AJ252" s="33"/>
      <c r="AK252" s="33"/>
      <c r="AL252" s="33"/>
      <c r="AM252" s="33"/>
      <c r="AN252" s="33"/>
      <c r="AO252" s="33"/>
      <c r="AP252" s="34"/>
      <c r="AQ252" s="31"/>
    </row>
    <row r="253" spans="14:43" ht="15" thickBot="1" x14ac:dyDescent="0.35">
      <c r="N253" s="29"/>
      <c r="S253" s="18" t="s">
        <v>596</v>
      </c>
      <c r="T253" s="30">
        <v>15003</v>
      </c>
      <c r="AI253" s="31"/>
      <c r="AJ253" s="33"/>
      <c r="AK253" s="33"/>
      <c r="AL253" s="33"/>
      <c r="AM253" s="33"/>
      <c r="AN253" s="33"/>
      <c r="AO253" s="33"/>
      <c r="AP253" s="33"/>
      <c r="AQ253" s="31"/>
    </row>
    <row r="254" spans="14:43" ht="15" thickBot="1" x14ac:dyDescent="0.35">
      <c r="N254" s="29"/>
      <c r="S254" s="18" t="s">
        <v>597</v>
      </c>
      <c r="T254" s="30">
        <v>11792</v>
      </c>
      <c r="AI254" s="31"/>
      <c r="AJ254" s="33"/>
      <c r="AK254" s="33"/>
      <c r="AL254" s="33"/>
      <c r="AM254" s="33"/>
      <c r="AN254" s="33"/>
      <c r="AO254" s="33"/>
      <c r="AP254" s="34"/>
      <c r="AQ254" s="31"/>
    </row>
    <row r="255" spans="14:43" ht="15" thickBot="1" x14ac:dyDescent="0.35">
      <c r="N255" s="29"/>
      <c r="S255" s="18" t="s">
        <v>598</v>
      </c>
      <c r="T255" s="30">
        <v>11239</v>
      </c>
      <c r="AI255" s="31"/>
      <c r="AJ255" s="33"/>
      <c r="AK255" s="33"/>
      <c r="AL255" s="33"/>
      <c r="AM255" s="33"/>
      <c r="AN255" s="33"/>
      <c r="AO255" s="33"/>
      <c r="AP255" s="34"/>
      <c r="AQ255" s="31"/>
    </row>
    <row r="256" spans="14:43" ht="15" thickBot="1" x14ac:dyDescent="0.35">
      <c r="N256" s="29"/>
      <c r="S256" s="18" t="s">
        <v>599</v>
      </c>
      <c r="T256" s="30">
        <v>10824</v>
      </c>
      <c r="AI256" s="31"/>
      <c r="AJ256" s="33"/>
      <c r="AK256" s="33"/>
      <c r="AL256" s="33"/>
      <c r="AM256" s="33"/>
      <c r="AN256" s="33"/>
      <c r="AO256" s="33"/>
      <c r="AP256" s="33"/>
      <c r="AQ256" s="31"/>
    </row>
    <row r="257" spans="14:43" ht="15" thickBot="1" x14ac:dyDescent="0.35">
      <c r="N257" s="29"/>
      <c r="S257" s="18" t="s">
        <v>157</v>
      </c>
      <c r="T257" s="30">
        <v>9877</v>
      </c>
      <c r="AI257" s="31"/>
      <c r="AJ257" s="33"/>
      <c r="AK257" s="33"/>
      <c r="AL257" s="33"/>
      <c r="AM257" s="33"/>
      <c r="AN257" s="33"/>
      <c r="AO257" s="33"/>
      <c r="AP257" s="34"/>
      <c r="AQ257" s="31"/>
    </row>
    <row r="258" spans="14:43" ht="15" thickBot="1" x14ac:dyDescent="0.35">
      <c r="N258" s="29"/>
      <c r="S258" s="18" t="s">
        <v>600</v>
      </c>
      <c r="T258" s="30">
        <v>6077</v>
      </c>
      <c r="AI258" s="31"/>
      <c r="AJ258" s="33"/>
      <c r="AK258" s="33"/>
      <c r="AL258" s="33"/>
      <c r="AM258" s="33"/>
      <c r="AN258" s="33"/>
      <c r="AO258" s="33"/>
      <c r="AP258" s="34"/>
      <c r="AQ258" s="31"/>
    </row>
    <row r="259" spans="14:43" ht="15" thickBot="1" x14ac:dyDescent="0.35">
      <c r="N259" s="29"/>
      <c r="S259" s="18" t="s">
        <v>601</v>
      </c>
      <c r="T259" s="30">
        <v>5794</v>
      </c>
      <c r="AI259" s="31"/>
      <c r="AJ259" s="33"/>
      <c r="AK259" s="33"/>
      <c r="AL259" s="33"/>
      <c r="AM259" s="33"/>
      <c r="AN259" s="33"/>
      <c r="AO259" s="33"/>
      <c r="AP259" s="34"/>
      <c r="AQ259" s="31"/>
    </row>
    <row r="260" spans="14:43" ht="15" thickBot="1" x14ac:dyDescent="0.35">
      <c r="N260" s="29"/>
      <c r="S260" s="18" t="s">
        <v>602</v>
      </c>
      <c r="T260" s="30">
        <v>4992</v>
      </c>
      <c r="AI260" s="31"/>
      <c r="AJ260" s="33"/>
      <c r="AK260" s="33"/>
      <c r="AL260" s="33"/>
      <c r="AM260" s="33"/>
      <c r="AN260" s="33"/>
      <c r="AO260" s="33"/>
      <c r="AP260" s="34"/>
      <c r="AQ260" s="31"/>
    </row>
    <row r="261" spans="14:43" ht="15" thickBot="1" x14ac:dyDescent="0.35">
      <c r="N261" s="29"/>
      <c r="S261" s="18" t="s">
        <v>603</v>
      </c>
      <c r="T261" s="30">
        <v>3480</v>
      </c>
      <c r="AI261" s="31"/>
      <c r="AJ261" s="33"/>
      <c r="AK261" s="33"/>
      <c r="AL261" s="32"/>
      <c r="AM261" s="33"/>
      <c r="AN261" s="33"/>
      <c r="AO261" s="33"/>
      <c r="AP261" s="34"/>
      <c r="AQ261" s="31"/>
    </row>
    <row r="262" spans="14:43" ht="15" thickBot="1" x14ac:dyDescent="0.35">
      <c r="N262" s="29"/>
      <c r="S262" s="18" t="s">
        <v>604</v>
      </c>
      <c r="T262" s="30">
        <v>1626</v>
      </c>
      <c r="AI262" s="31"/>
      <c r="AJ262" s="33"/>
      <c r="AK262" s="33"/>
      <c r="AL262" s="33"/>
      <c r="AM262" s="33"/>
      <c r="AN262" s="33"/>
      <c r="AO262" s="33"/>
      <c r="AP262" s="34"/>
      <c r="AQ262" s="31"/>
    </row>
    <row r="263" spans="14:43" ht="15" thickBot="1" x14ac:dyDescent="0.35">
      <c r="N263" s="29"/>
      <c r="S263" s="18" t="s">
        <v>605</v>
      </c>
      <c r="T263" s="30">
        <v>1357</v>
      </c>
      <c r="AI263" s="31"/>
      <c r="AJ263" s="33"/>
      <c r="AK263" s="33"/>
      <c r="AL263" s="33"/>
      <c r="AM263" s="33"/>
      <c r="AN263" s="33"/>
      <c r="AO263" s="33"/>
      <c r="AP263" s="34"/>
      <c r="AQ263" s="31"/>
    </row>
    <row r="264" spans="14:43" ht="15" thickBot="1" x14ac:dyDescent="0.35">
      <c r="N264" s="36"/>
      <c r="S264" s="18" t="s">
        <v>308</v>
      </c>
      <c r="T264" s="37">
        <v>801</v>
      </c>
      <c r="AI264" s="38"/>
      <c r="AJ264" s="39"/>
      <c r="AK264" s="40"/>
      <c r="AL264" s="39"/>
      <c r="AM264" s="39"/>
      <c r="AN264" s="39"/>
      <c r="AO264" s="39"/>
      <c r="AP264" s="39"/>
      <c r="AQ264" s="38"/>
    </row>
  </sheetData>
  <autoFilter ref="H29:O29" xr:uid="{F075D66D-5483-4F79-88AF-2BDF789BD866}">
    <sortState xmlns:xlrd2="http://schemas.microsoft.com/office/spreadsheetml/2017/richdata2" ref="H33:O64">
      <sortCondition descending="1" ref="M32"/>
    </sortState>
  </autoFilter>
  <conditionalFormatting sqref="J30:O63 H30:H63">
    <cfRule type="expression" dxfId="1" priority="2">
      <formula>ISEVEN(ROW())</formula>
    </cfRule>
  </conditionalFormatting>
  <conditionalFormatting sqref="L58:O59 J58:J63 L60:L63 N60:O63 I30:I63">
    <cfRule type="expression" dxfId="0" priority="1">
      <formula>ISEVEN(ROW())</formula>
    </cfRule>
  </conditionalFormatting>
  <pageMargins left="0.7" right="0.7" top="0.75" bottom="0.75" header="0.3" footer="0.3"/>
  <pageSetup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/>
  <dimension ref="L4:S29"/>
  <sheetViews>
    <sheetView workbookViewId="0">
      <selection activeCell="C30" sqref="C30"/>
    </sheetView>
  </sheetViews>
  <sheetFormatPr defaultRowHeight="14.4" x14ac:dyDescent="0.3"/>
  <cols>
    <col min="19" max="19" width="11.33203125" bestFit="1" customWidth="1"/>
  </cols>
  <sheetData>
    <row r="4" spans="12:19" x14ac:dyDescent="0.3">
      <c r="R4" t="s">
        <v>454</v>
      </c>
      <c r="S4" s="5">
        <v>100</v>
      </c>
    </row>
    <row r="5" spans="12:19" x14ac:dyDescent="0.3">
      <c r="R5" t="s">
        <v>455</v>
      </c>
      <c r="S5" s="5">
        <v>40000</v>
      </c>
    </row>
    <row r="6" spans="12:19" x14ac:dyDescent="0.3">
      <c r="L6" s="5"/>
    </row>
    <row r="7" spans="12:19" x14ac:dyDescent="0.3">
      <c r="R7" t="s">
        <v>456</v>
      </c>
      <c r="S7" s="5">
        <v>0</v>
      </c>
    </row>
    <row r="8" spans="12:19" x14ac:dyDescent="0.3">
      <c r="R8" t="s">
        <v>457</v>
      </c>
      <c r="S8" s="5">
        <v>25</v>
      </c>
    </row>
    <row r="10" spans="12:19" x14ac:dyDescent="0.3">
      <c r="R10">
        <v>1</v>
      </c>
      <c r="S10" t="s">
        <v>377</v>
      </c>
    </row>
    <row r="11" spans="12:19" x14ac:dyDescent="0.3">
      <c r="R11">
        <v>2</v>
      </c>
      <c r="S11" t="s">
        <v>65</v>
      </c>
    </row>
    <row r="12" spans="12:19" x14ac:dyDescent="0.3">
      <c r="R12">
        <v>3</v>
      </c>
      <c r="S12" s="17" t="s">
        <v>85</v>
      </c>
    </row>
    <row r="13" spans="12:19" x14ac:dyDescent="0.3">
      <c r="R13">
        <v>4</v>
      </c>
      <c r="S13" s="17" t="s">
        <v>365</v>
      </c>
    </row>
    <row r="14" spans="12:19" x14ac:dyDescent="0.3">
      <c r="R14">
        <v>5</v>
      </c>
    </row>
    <row r="15" spans="12:19" x14ac:dyDescent="0.3">
      <c r="R15">
        <v>6</v>
      </c>
    </row>
    <row r="16" spans="12:19" x14ac:dyDescent="0.3">
      <c r="R16">
        <v>7</v>
      </c>
    </row>
    <row r="17" spans="18:18" x14ac:dyDescent="0.3">
      <c r="R17">
        <v>8</v>
      </c>
    </row>
    <row r="18" spans="18:18" x14ac:dyDescent="0.3">
      <c r="R18">
        <v>9</v>
      </c>
    </row>
    <row r="19" spans="18:18" x14ac:dyDescent="0.3">
      <c r="R19">
        <v>10</v>
      </c>
    </row>
    <row r="20" spans="18:18" x14ac:dyDescent="0.3">
      <c r="R20">
        <v>11</v>
      </c>
    </row>
    <row r="21" spans="18:18" x14ac:dyDescent="0.3">
      <c r="R21">
        <f>R20+1</f>
        <v>12</v>
      </c>
    </row>
    <row r="22" spans="18:18" x14ac:dyDescent="0.3">
      <c r="R22">
        <f t="shared" ref="R22:R29" si="0">R21+1</f>
        <v>13</v>
      </c>
    </row>
    <row r="23" spans="18:18" x14ac:dyDescent="0.3">
      <c r="R23">
        <f t="shared" si="0"/>
        <v>14</v>
      </c>
    </row>
    <row r="24" spans="18:18" x14ac:dyDescent="0.3">
      <c r="R24">
        <f t="shared" si="0"/>
        <v>15</v>
      </c>
    </row>
    <row r="25" spans="18:18" x14ac:dyDescent="0.3">
      <c r="R25">
        <f t="shared" si="0"/>
        <v>16</v>
      </c>
    </row>
    <row r="26" spans="18:18" x14ac:dyDescent="0.3">
      <c r="R26">
        <f t="shared" si="0"/>
        <v>17</v>
      </c>
    </row>
    <row r="27" spans="18:18" x14ac:dyDescent="0.3">
      <c r="R27">
        <f t="shared" si="0"/>
        <v>18</v>
      </c>
    </row>
    <row r="28" spans="18:18" x14ac:dyDescent="0.3">
      <c r="R28">
        <f t="shared" si="0"/>
        <v>19</v>
      </c>
    </row>
    <row r="29" spans="18:18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KU200"/>
  <sheetViews>
    <sheetView topLeftCell="D1" zoomScale="94" workbookViewId="0">
      <selection activeCell="V15" sqref="V15"/>
    </sheetView>
  </sheetViews>
  <sheetFormatPr defaultRowHeight="12" x14ac:dyDescent="0.25"/>
  <cols>
    <col min="1" max="1" width="3.33203125" style="9" bestFit="1" customWidth="1"/>
    <col min="2" max="2" width="1.664062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'Projections Data'!C10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MAX(I2:CL2)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>IF(COUNTIF(I2:XFD2,"&gt;"&amp;0)=0,,(E2/F2)^(1/MIN(COUNTIF(I2:XFD2,"&gt;"&amp;0)-1,$F$1)))</f>
        <v>1.5</v>
      </c>
      <c r="H2" s="15" t="s">
        <v>458</v>
      </c>
      <c r="I2" s="9">
        <v>100</v>
      </c>
      <c r="J2" s="10">
        <f>I2*1.5</f>
        <v>150</v>
      </c>
      <c r="K2" s="10">
        <f>J2*1.5</f>
        <v>225</v>
      </c>
      <c r="L2" s="10">
        <f>K2*1.5</f>
        <v>337.5</v>
      </c>
      <c r="M2" s="10">
        <f>L2*1.5</f>
        <v>506.25</v>
      </c>
      <c r="N2" s="10">
        <f>M2*1.5</f>
        <v>759.375</v>
      </c>
      <c r="O2" s="10">
        <f>N2*1.5</f>
        <v>1139.0625</v>
      </c>
      <c r="P2" s="10">
        <f>O2*1.5</f>
        <v>1708.59375</v>
      </c>
      <c r="Q2" s="10">
        <f>P2*1.5</f>
        <v>2562.890625</v>
      </c>
      <c r="R2" s="10">
        <f>Q2*1.5</f>
        <v>3844.3359375</v>
      </c>
      <c r="S2" s="10">
        <f>R2*1.5</f>
        <v>5766.50390625</v>
      </c>
      <c r="T2" s="10">
        <f>S2*1.5</f>
        <v>8649.755859375</v>
      </c>
      <c r="U2" s="10">
        <f>T2*1.5</f>
        <v>12974.6337890625</v>
      </c>
      <c r="V2" s="10">
        <f>U2*1.5</f>
        <v>19461.95068359375</v>
      </c>
      <c r="W2" s="10">
        <f>V2*1.5</f>
        <v>29192.926025390625</v>
      </c>
      <c r="X2" s="10">
        <f>W2*1.5</f>
        <v>43789.389038085938</v>
      </c>
      <c r="Y2" s="10">
        <f>X2*1.5</f>
        <v>65684.083557128906</v>
      </c>
      <c r="Z2" s="10">
        <f>Y2*1.5</f>
        <v>98526.125335693359</v>
      </c>
      <c r="AA2" s="10">
        <f>Z2*1.5</f>
        <v>147789.18800354004</v>
      </c>
      <c r="AB2" s="10">
        <f>AA2*1.5</f>
        <v>221683.78200531006</v>
      </c>
      <c r="AC2" s="10">
        <f>AB2*1.5</f>
        <v>332525.67300796509</v>
      </c>
      <c r="AD2" s="10">
        <f>AC2*1.5</f>
        <v>498788.50951194763</v>
      </c>
      <c r="AE2" s="10">
        <f>AD2*1.5</f>
        <v>748182.76426792145</v>
      </c>
      <c r="AF2" s="10">
        <f>AE2*1.5</f>
        <v>1122274.1464018822</v>
      </c>
      <c r="AG2" s="10">
        <f>AF2*1.5</f>
        <v>1683411.2196028233</v>
      </c>
      <c r="AH2" s="10">
        <f>AG2*1.5</f>
        <v>2525116.8294042349</v>
      </c>
      <c r="AI2" s="10">
        <f>AH2*1.5</f>
        <v>3787675.2441063523</v>
      </c>
      <c r="AJ2" s="10">
        <f>AI2*1.5</f>
        <v>5681512.8661595285</v>
      </c>
      <c r="AK2" s="10">
        <f>AJ2*1.5</f>
        <v>8522269.2992392927</v>
      </c>
      <c r="AL2" s="10">
        <f>AK2*1.5</f>
        <v>12783403.948858939</v>
      </c>
      <c r="AM2" s="10">
        <f>AL2*1.5</f>
        <v>19175105.923288409</v>
      </c>
      <c r="AN2" s="10">
        <f>AM2*1.5</f>
        <v>28762658.884932615</v>
      </c>
      <c r="AO2" s="10">
        <f>AN2*1.5</f>
        <v>43143988.327398926</v>
      </c>
      <c r="AP2" s="10">
        <f>AO2*1.5</f>
        <v>64715982.491098389</v>
      </c>
      <c r="AQ2" s="10">
        <f>AP2*1.5</f>
        <v>97073973.736647576</v>
      </c>
      <c r="AR2" s="10">
        <f>AQ2*1.5</f>
        <v>145610960.60497135</v>
      </c>
      <c r="AS2" s="10">
        <f>AR2*1.5</f>
        <v>218416440.90745702</v>
      </c>
      <c r="AT2" s="10">
        <f>AS2*1.5</f>
        <v>327624661.36118555</v>
      </c>
      <c r="AU2" s="10">
        <f>AT2*1.5</f>
        <v>491436992.04177833</v>
      </c>
      <c r="AV2" s="10">
        <f>AU2*1.5</f>
        <v>737155488.06266749</v>
      </c>
      <c r="AW2" s="10">
        <f>AV2*1.5</f>
        <v>1105733232.0940013</v>
      </c>
      <c r="AX2" s="10">
        <f>AW2*1.5</f>
        <v>1658599848.1410019</v>
      </c>
      <c r="AY2" s="10">
        <f>AX2*1.5</f>
        <v>2487899772.211503</v>
      </c>
      <c r="AZ2" s="10">
        <f>AY2*1.5</f>
        <v>3731849658.3172545</v>
      </c>
      <c r="BA2" s="10">
        <f>AZ2*1.5</f>
        <v>5597774487.4758816</v>
      </c>
      <c r="BB2" s="10">
        <f>BA2*1.5</f>
        <v>8396661731.2138224</v>
      </c>
      <c r="BC2" s="10">
        <f>BB2*1.5</f>
        <v>12594992596.820734</v>
      </c>
      <c r="BD2" s="10">
        <f>BC2*1.5</f>
        <v>18892488895.231102</v>
      </c>
      <c r="BE2" s="10">
        <f>BD2*1.5</f>
        <v>28338733342.846653</v>
      </c>
      <c r="BF2" s="10">
        <f>BE2*1.5</f>
        <v>42508100014.269981</v>
      </c>
      <c r="BG2" s="10">
        <f>BF2*1.5</f>
        <v>63762150021.404968</v>
      </c>
      <c r="BH2" s="10">
        <f>BG2*1.5</f>
        <v>95643225032.107452</v>
      </c>
    </row>
    <row r="3" spans="1:307" x14ac:dyDescent="0.25">
      <c r="A3" s="9">
        <f t="shared" ref="A3:A66" si="5">A2+1</f>
        <v>2</v>
      </c>
      <c r="B3" s="9">
        <v>1</v>
      </c>
      <c r="C3" s="9" t="str">
        <f>H3</f>
        <v>40% Daily Increase</v>
      </c>
      <c r="D3" s="6">
        <f>MAX(I3:CL3)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>IF(COUNTIF(I3:XFD3,"&gt;"&amp;0)=0,,(E3/F3)^(1/MIN(COUNTIF(I3:XFD3,"&gt;"&amp;0)-1,$F$1)))</f>
        <v>1.4000000000000001</v>
      </c>
      <c r="H3" s="15" t="s">
        <v>459</v>
      </c>
      <c r="I3" s="9">
        <v>100</v>
      </c>
      <c r="J3" s="10">
        <f>I3*1.4</f>
        <v>140</v>
      </c>
      <c r="K3" s="10">
        <f>J3*1.4</f>
        <v>196</v>
      </c>
      <c r="L3" s="10">
        <f>K3*1.4</f>
        <v>274.39999999999998</v>
      </c>
      <c r="M3" s="10">
        <f>L3*1.4</f>
        <v>384.15999999999997</v>
      </c>
      <c r="N3" s="10">
        <f>M3*1.4</f>
        <v>537.82399999999996</v>
      </c>
      <c r="O3" s="10">
        <f>N3*1.4</f>
        <v>752.95359999999994</v>
      </c>
      <c r="P3" s="10">
        <f>O3*1.4</f>
        <v>1054.1350399999999</v>
      </c>
      <c r="Q3" s="10">
        <f>P3*1.4</f>
        <v>1475.7890559999998</v>
      </c>
      <c r="R3" s="10">
        <f>Q3*1.4</f>
        <v>2066.1046783999996</v>
      </c>
      <c r="S3" s="10">
        <f>R3*1.4</f>
        <v>2892.5465497599994</v>
      </c>
      <c r="T3" s="10">
        <f>S3*1.4</f>
        <v>4049.5651696639989</v>
      </c>
      <c r="U3" s="10">
        <f>T3*1.4</f>
        <v>5669.3912375295977</v>
      </c>
      <c r="V3" s="10">
        <f>U3*1.4</f>
        <v>7937.1477325414362</v>
      </c>
      <c r="W3" s="10">
        <f>V3*1.4</f>
        <v>11112.00682555801</v>
      </c>
      <c r="X3" s="10">
        <f>W3*1.4</f>
        <v>15556.809555781212</v>
      </c>
      <c r="Y3" s="10">
        <f>X3*1.4</f>
        <v>21779.533378093696</v>
      </c>
      <c r="Z3" s="10">
        <f>Y3*1.4</f>
        <v>30491.346729331173</v>
      </c>
      <c r="AA3" s="10">
        <f>Z3*1.4</f>
        <v>42687.885421063642</v>
      </c>
      <c r="AB3" s="10">
        <f>AA3*1.4</f>
        <v>59763.039589489097</v>
      </c>
      <c r="AC3" s="10">
        <f>AB3*1.4</f>
        <v>83668.255425284733</v>
      </c>
      <c r="AD3" s="10">
        <f>AC3*1.4</f>
        <v>117135.55759539861</v>
      </c>
      <c r="AE3" s="10">
        <f>AD3*1.4</f>
        <v>163989.78063355805</v>
      </c>
      <c r="AF3" s="10">
        <f>AE3*1.4</f>
        <v>229585.69288698127</v>
      </c>
      <c r="AG3" s="10">
        <f>AF3*1.4</f>
        <v>321419.97004177375</v>
      </c>
      <c r="AH3" s="10">
        <f>AG3*1.4</f>
        <v>449987.9580584832</v>
      </c>
      <c r="AI3" s="10">
        <f>AH3*1.4</f>
        <v>629983.14128187648</v>
      </c>
      <c r="AJ3" s="10">
        <f>AI3*1.4</f>
        <v>881976.397794627</v>
      </c>
      <c r="AK3" s="10">
        <f>AJ3*1.4</f>
        <v>1234766.9569124777</v>
      </c>
      <c r="AL3" s="10">
        <f>AK3*1.4</f>
        <v>1728673.7396774688</v>
      </c>
      <c r="AM3" s="10">
        <f>AL3*1.4</f>
        <v>2420143.2355484562</v>
      </c>
      <c r="AN3" s="10">
        <f>AM3*1.4</f>
        <v>3388200.5297678383</v>
      </c>
      <c r="AO3" s="10">
        <f>AN3*1.4</f>
        <v>4743480.7416749736</v>
      </c>
      <c r="AP3" s="10">
        <f>AO3*1.4</f>
        <v>6640873.0383449625</v>
      </c>
      <c r="AQ3" s="10">
        <f>AP3*1.4</f>
        <v>9297222.2536829468</v>
      </c>
      <c r="AR3" s="10">
        <f>AQ3*1.4</f>
        <v>13016111.155156124</v>
      </c>
      <c r="AS3" s="10">
        <f>AR3*1.4</f>
        <v>18222555.617218573</v>
      </c>
      <c r="AT3" s="10">
        <f>AS3*1.4</f>
        <v>25511577.864105999</v>
      </c>
      <c r="AU3" s="10">
        <f>AT3*1.4</f>
        <v>35716209.009748399</v>
      </c>
      <c r="AV3" s="10">
        <f>AU3*1.4</f>
        <v>50002692.613647759</v>
      </c>
      <c r="AW3" s="10">
        <f>AV3*1.4</f>
        <v>70003769.659106866</v>
      </c>
      <c r="AX3" s="10">
        <f>AW3*1.4</f>
        <v>98005277.522749603</v>
      </c>
      <c r="AY3" s="10">
        <f>AX3*1.4</f>
        <v>137207388.53184944</v>
      </c>
      <c r="AZ3" s="10">
        <f>AY3*1.4</f>
        <v>192090343.9445892</v>
      </c>
      <c r="BA3" s="10">
        <f>AZ3*1.4</f>
        <v>268926481.52242488</v>
      </c>
      <c r="BB3" s="10">
        <f>BA3*1.4</f>
        <v>376497074.1313948</v>
      </c>
      <c r="BC3" s="10">
        <f>BB3*1.4</f>
        <v>527095903.78395271</v>
      </c>
      <c r="BD3" s="10">
        <f>BC3*1.4</f>
        <v>737934265.29753375</v>
      </c>
      <c r="BE3" s="10">
        <f>BD3*1.4</f>
        <v>1033107971.4165472</v>
      </c>
      <c r="BF3" s="10">
        <f>BE3*1.4</f>
        <v>1446351159.983166</v>
      </c>
      <c r="BG3" s="10">
        <f>BF3*1.4</f>
        <v>2024891623.9764323</v>
      </c>
      <c r="BH3" s="10">
        <f>BG3*1.4</f>
        <v>2834848273.5670052</v>
      </c>
    </row>
    <row r="4" spans="1:307" x14ac:dyDescent="0.25">
      <c r="A4" s="9">
        <f t="shared" si="5"/>
        <v>3</v>
      </c>
      <c r="B4" s="9">
        <v>1</v>
      </c>
      <c r="C4" s="9" t="str">
        <f>H4</f>
        <v>30% Daily Increase</v>
      </c>
      <c r="D4" s="6">
        <f>MAX(I4:CL4)</f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>IF(COUNTIF(I4:XFD4,"&gt;"&amp;0)=0,,(E4/F4)^(1/MIN(COUNTIF(I4:XFD4,"&gt;"&amp;0)-1,$F$1)))</f>
        <v>1.3</v>
      </c>
      <c r="H4" s="15" t="s">
        <v>460</v>
      </c>
      <c r="I4" s="9">
        <v>100</v>
      </c>
      <c r="J4" s="10">
        <f>I4*1.3</f>
        <v>130</v>
      </c>
      <c r="K4" s="10">
        <f>J4*1.3</f>
        <v>169</v>
      </c>
      <c r="L4" s="10">
        <f>K4*1.3</f>
        <v>219.70000000000002</v>
      </c>
      <c r="M4" s="10">
        <f>L4*1.3</f>
        <v>285.61</v>
      </c>
      <c r="N4" s="10">
        <f>M4*1.3</f>
        <v>371.29300000000001</v>
      </c>
      <c r="O4" s="10">
        <f>N4*1.3</f>
        <v>482.68090000000001</v>
      </c>
      <c r="P4" s="10">
        <f>O4*1.3</f>
        <v>627.48517000000004</v>
      </c>
      <c r="Q4" s="10">
        <f>P4*1.3</f>
        <v>815.73072100000013</v>
      </c>
      <c r="R4" s="10">
        <f>Q4*1.3</f>
        <v>1060.4499373000001</v>
      </c>
      <c r="S4" s="10">
        <f>R4*1.3</f>
        <v>1378.5849184900003</v>
      </c>
      <c r="T4" s="10">
        <f>S4*1.3</f>
        <v>1792.1603940370005</v>
      </c>
      <c r="U4" s="10">
        <f>T4*1.3</f>
        <v>2329.8085122481007</v>
      </c>
      <c r="V4" s="10">
        <f>U4*1.3</f>
        <v>3028.7510659225309</v>
      </c>
      <c r="W4" s="10">
        <f>V4*1.3</f>
        <v>3937.37638569929</v>
      </c>
      <c r="X4" s="10">
        <f>W4*1.3</f>
        <v>5118.5893014090771</v>
      </c>
      <c r="Y4" s="10">
        <f>X4*1.3</f>
        <v>6654.1660918318003</v>
      </c>
      <c r="Z4" s="10">
        <f>Y4*1.3</f>
        <v>8650.4159193813412</v>
      </c>
      <c r="AA4" s="10">
        <f>Z4*1.3</f>
        <v>11245.540695195745</v>
      </c>
      <c r="AB4" s="10">
        <f>AA4*1.3</f>
        <v>14619.202903754469</v>
      </c>
      <c r="AC4" s="10">
        <f>AB4*1.3</f>
        <v>19004.963774880809</v>
      </c>
      <c r="AD4" s="10">
        <f>AC4*1.3</f>
        <v>24706.452907345054</v>
      </c>
      <c r="AE4" s="10">
        <f>AD4*1.3</f>
        <v>32118.388779548572</v>
      </c>
      <c r="AF4" s="10">
        <f>AE4*1.3</f>
        <v>41753.905413413144</v>
      </c>
      <c r="AG4" s="10">
        <f>AF4*1.3</f>
        <v>54280.077037437091</v>
      </c>
      <c r="AH4" s="10">
        <f>AG4*1.3</f>
        <v>70564.100148668222</v>
      </c>
      <c r="AI4" s="10">
        <f>AH4*1.3</f>
        <v>91733.330193268688</v>
      </c>
      <c r="AJ4" s="10">
        <f>AI4*1.3</f>
        <v>119253.32925124929</v>
      </c>
      <c r="AK4" s="10">
        <f>AJ4*1.3</f>
        <v>155029.32802662408</v>
      </c>
      <c r="AL4" s="10">
        <f>AK4*1.3</f>
        <v>201538.1264346113</v>
      </c>
      <c r="AM4" s="10">
        <f>AL4*1.3</f>
        <v>261999.5643649947</v>
      </c>
      <c r="AN4" s="10">
        <f>AM4*1.3</f>
        <v>340599.43367449311</v>
      </c>
      <c r="AO4" s="10">
        <f>AN4*1.3</f>
        <v>442779.26377684105</v>
      </c>
      <c r="AP4" s="10">
        <f>AO4*1.3</f>
        <v>575613.04290989344</v>
      </c>
      <c r="AQ4" s="10">
        <f>AP4*1.3</f>
        <v>748296.95578286145</v>
      </c>
      <c r="AR4" s="10">
        <f>AQ4*1.3</f>
        <v>972786.04251771991</v>
      </c>
      <c r="AS4" s="10">
        <f>AR4*1.3</f>
        <v>1264621.8552730358</v>
      </c>
      <c r="AT4" s="10">
        <f>AS4*1.3</f>
        <v>1644008.4118549465</v>
      </c>
      <c r="AU4" s="10">
        <f>AT4*1.3</f>
        <v>2137210.9354114304</v>
      </c>
      <c r="AV4" s="10">
        <f>AU4*1.3</f>
        <v>2778374.2160348599</v>
      </c>
      <c r="AW4" s="10">
        <f>AV4*1.3</f>
        <v>3611886.4808453182</v>
      </c>
      <c r="AX4" s="10">
        <f>AW4*1.3</f>
        <v>4695452.4250989137</v>
      </c>
      <c r="AY4" s="10">
        <f>AX4*1.3</f>
        <v>6104088.1526285885</v>
      </c>
      <c r="AZ4" s="10">
        <f>AY4*1.3</f>
        <v>7935314.5984171657</v>
      </c>
      <c r="BA4" s="10">
        <f>AZ4*1.3</f>
        <v>10315908.977942316</v>
      </c>
      <c r="BB4" s="10">
        <f>BA4*1.3</f>
        <v>13410681.671325011</v>
      </c>
      <c r="BC4" s="10">
        <f>BB4*1.3</f>
        <v>17433886.172722515</v>
      </c>
      <c r="BD4" s="10">
        <f>BC4*1.3</f>
        <v>22664052.02453927</v>
      </c>
      <c r="BE4" s="10">
        <f>BD4*1.3</f>
        <v>29463267.631901052</v>
      </c>
      <c r="BF4" s="10">
        <f>BE4*1.3</f>
        <v>38302247.921471372</v>
      </c>
      <c r="BG4" s="10">
        <f>BF4*1.3</f>
        <v>49792922.297912784</v>
      </c>
      <c r="BH4" s="10">
        <f>BG4*1.3</f>
        <v>64730798.98728662</v>
      </c>
    </row>
    <row r="5" spans="1:307" x14ac:dyDescent="0.25">
      <c r="A5" s="9">
        <f t="shared" si="5"/>
        <v>4</v>
      </c>
      <c r="B5" s="9">
        <v>1</v>
      </c>
      <c r="C5" s="9" t="str">
        <f>H5</f>
        <v>China</v>
      </c>
      <c r="D5" s="6">
        <f>MAX(I5:CL5)</f>
        <v>81058</v>
      </c>
      <c r="E5" s="6">
        <f>IF(COUNTIF(I5:XFD5,"&gt;"&amp;0)=0,,HLOOKUP(COUNTIF(I5:XFD5,"&gt;"&amp;0)-1,I$1:XFD5,A5+1,FALSE))</f>
        <v>81058</v>
      </c>
      <c r="F5" s="7">
        <f>IF(COUNTIF(I5:XFD5,"&gt;"&amp;0)=0,,HLOOKUP(COUNTIF(I5:XFD5,"&gt;"&amp;0)-MIN($F$1+1,COUNTIF(I5:XFD5,"&gt;"&amp;0)),I$1:XFD5,A5+1,FALSE))</f>
        <v>80932</v>
      </c>
      <c r="G5" s="8">
        <f>IF(COUNTIF(I5:XFD5,"&gt;"&amp;0)=0,,(E5/F5)^(1/MIN(COUNTIF(I5:XFD5,"&gt;"&amp;0)-1,$F$1)))</f>
        <v>1.0003111787855088</v>
      </c>
      <c r="H5" s="15" t="s">
        <v>365</v>
      </c>
      <c r="I5" s="9">
        <v>548</v>
      </c>
      <c r="J5" s="9">
        <v>643</v>
      </c>
      <c r="K5" s="9">
        <v>920</v>
      </c>
      <c r="L5" s="9">
        <v>1406</v>
      </c>
      <c r="M5" s="9">
        <v>2075</v>
      </c>
      <c r="N5" s="9">
        <v>2877</v>
      </c>
      <c r="O5" s="9">
        <v>5509</v>
      </c>
      <c r="P5" s="9">
        <v>6087</v>
      </c>
      <c r="Q5" s="9">
        <v>8141</v>
      </c>
      <c r="R5" s="9">
        <v>9802</v>
      </c>
      <c r="S5" s="9">
        <v>11891</v>
      </c>
      <c r="T5" s="9">
        <v>16630</v>
      </c>
      <c r="U5" s="9">
        <v>19716</v>
      </c>
      <c r="V5" s="9">
        <v>23707</v>
      </c>
      <c r="W5" s="9">
        <v>27440</v>
      </c>
      <c r="X5" s="9">
        <v>30587</v>
      </c>
      <c r="Y5" s="9">
        <v>34110</v>
      </c>
      <c r="Z5" s="9">
        <v>36814</v>
      </c>
      <c r="AA5" s="9">
        <v>39829</v>
      </c>
      <c r="AB5" s="9">
        <v>42354</v>
      </c>
      <c r="AC5" s="9">
        <v>44386</v>
      </c>
      <c r="AD5" s="9">
        <v>44759</v>
      </c>
      <c r="AE5" s="9">
        <v>59895</v>
      </c>
      <c r="AF5" s="9">
        <v>66358</v>
      </c>
      <c r="AG5" s="9">
        <v>68413</v>
      </c>
      <c r="AH5" s="9">
        <v>70513</v>
      </c>
      <c r="AI5" s="9">
        <v>72434</v>
      </c>
      <c r="AJ5" s="9">
        <v>74211</v>
      </c>
      <c r="AK5" s="9">
        <v>74619</v>
      </c>
      <c r="AL5" s="9">
        <v>75077</v>
      </c>
      <c r="AM5" s="9">
        <v>75550</v>
      </c>
      <c r="AN5" s="9">
        <v>77001</v>
      </c>
      <c r="AO5" s="9">
        <v>77022</v>
      </c>
      <c r="AP5" s="9">
        <v>77241</v>
      </c>
      <c r="AQ5" s="9">
        <v>77754</v>
      </c>
      <c r="AR5" s="9">
        <v>78166</v>
      </c>
      <c r="AS5" s="9">
        <v>78600</v>
      </c>
      <c r="AT5" s="9">
        <v>78928</v>
      </c>
      <c r="AU5" s="9">
        <v>79356</v>
      </c>
      <c r="AV5" s="9">
        <v>79932</v>
      </c>
      <c r="AW5" s="9">
        <v>80136</v>
      </c>
      <c r="AX5" s="9">
        <v>80261</v>
      </c>
      <c r="AY5" s="9">
        <v>80386</v>
      </c>
      <c r="AZ5" s="9">
        <v>80537</v>
      </c>
      <c r="BA5" s="9">
        <v>80690</v>
      </c>
      <c r="BB5" s="9">
        <v>80770</v>
      </c>
      <c r="BC5" s="9">
        <v>80823</v>
      </c>
      <c r="BD5" s="9">
        <v>80860</v>
      </c>
      <c r="BE5" s="9">
        <v>80887</v>
      </c>
      <c r="BF5" s="9">
        <v>80921</v>
      </c>
      <c r="BG5" s="9">
        <v>80932</v>
      </c>
      <c r="BH5" s="9">
        <v>80945</v>
      </c>
      <c r="BI5" s="9">
        <v>80977</v>
      </c>
      <c r="BJ5" s="9">
        <v>81003</v>
      </c>
      <c r="BK5" s="9">
        <v>81033</v>
      </c>
      <c r="BL5" s="9">
        <v>81058</v>
      </c>
    </row>
    <row r="6" spans="1:307" x14ac:dyDescent="0.25">
      <c r="A6" s="9">
        <f t="shared" si="5"/>
        <v>5</v>
      </c>
      <c r="B6" s="9">
        <v>1</v>
      </c>
      <c r="C6" s="9" t="str">
        <f>H6</f>
        <v>Italy</v>
      </c>
      <c r="D6" s="6">
        <f>MAX(I6:CL6)</f>
        <v>35713</v>
      </c>
      <c r="E6" s="6">
        <f>IF(COUNTIF(I6:XFD6,"&gt;"&amp;0)=0,,HLOOKUP(COUNTIF(I6:XFD6,"&gt;"&amp;0)-1,I$1:XFD6,A6+1,FALSE))</f>
        <v>35713</v>
      </c>
      <c r="F6" s="7">
        <f>IF(COUNTIF(I6:XFD6,"&gt;"&amp;0)=0,,HLOOKUP(COUNTIF(I6:XFD6,"&gt;"&amp;0)-MIN($F$1+1,COUNTIF(I6:XFD6,"&gt;"&amp;0)),I$1:XFD6,A6+1,FALSE))</f>
        <v>17660</v>
      </c>
      <c r="G6" s="8">
        <f>IF(COUNTIF(I6:XFD6,"&gt;"&amp;0)=0,,(E6/F6)^(1/MIN(COUNTIF(I6:XFD6,"&gt;"&amp;0)-1,$F$1)))</f>
        <v>1.1512433296874627</v>
      </c>
      <c r="H6" s="15" t="s">
        <v>85</v>
      </c>
      <c r="I6" s="9">
        <v>155</v>
      </c>
      <c r="J6" s="9">
        <v>229</v>
      </c>
      <c r="K6" s="9">
        <v>322</v>
      </c>
      <c r="L6" s="9">
        <v>453</v>
      </c>
      <c r="M6" s="9">
        <v>655</v>
      </c>
      <c r="N6" s="9">
        <v>888</v>
      </c>
      <c r="O6" s="9">
        <v>1128</v>
      </c>
      <c r="P6" s="9">
        <v>1694</v>
      </c>
      <c r="Q6" s="9">
        <v>2036</v>
      </c>
      <c r="R6" s="9">
        <v>2502</v>
      </c>
      <c r="S6" s="9">
        <v>3089</v>
      </c>
      <c r="T6" s="9">
        <v>3858</v>
      </c>
      <c r="U6" s="9">
        <v>4636</v>
      </c>
      <c r="V6" s="9">
        <v>5883</v>
      </c>
      <c r="W6" s="9">
        <v>7375</v>
      </c>
      <c r="X6" s="9">
        <v>9172</v>
      </c>
      <c r="Y6" s="9">
        <v>10149</v>
      </c>
      <c r="Z6" s="9">
        <v>12462</v>
      </c>
      <c r="AA6" s="9">
        <v>14000</v>
      </c>
      <c r="AB6" s="9">
        <v>17660</v>
      </c>
      <c r="AC6" s="9">
        <v>21157</v>
      </c>
      <c r="AD6" s="9">
        <v>24747</v>
      </c>
      <c r="AE6" s="9">
        <v>27980</v>
      </c>
      <c r="AF6" s="9">
        <v>31506</v>
      </c>
      <c r="AG6" s="9">
        <v>35713</v>
      </c>
    </row>
    <row r="7" spans="1:307" x14ac:dyDescent="0.25">
      <c r="A7" s="9">
        <f t="shared" si="5"/>
        <v>6</v>
      </c>
      <c r="B7" s="9">
        <v>1</v>
      </c>
      <c r="C7" s="9" t="str">
        <f>H7</f>
        <v>Iran</v>
      </c>
      <c r="D7" s="6">
        <f>MAX(I7:CL7)</f>
        <v>17361</v>
      </c>
      <c r="E7" s="6">
        <f>IF(COUNTIF(I7:XFD7,"&gt;"&amp;0)=0,,HLOOKUP(COUNTIF(I7:XFD7,"&gt;"&amp;0)-1,I$1:XFD7,A7+1,FALSE))</f>
        <v>17361</v>
      </c>
      <c r="F7" s="7">
        <f>IF(COUNTIF(I7:XFD7,"&gt;"&amp;0)=0,,HLOOKUP(COUNTIF(I7:XFD7,"&gt;"&amp;0)-MIN($F$1+1,COUNTIF(I7:XFD7,"&gt;"&amp;0)),I$1:XFD7,A7+1,FALSE))</f>
        <v>11364</v>
      </c>
      <c r="G7" s="8">
        <f>IF(COUNTIF(I7:XFD7,"&gt;"&amp;0)=0,,(E7/F7)^(1/MIN(COUNTIF(I7:XFD7,"&gt;"&amp;0)-1,$F$1)))</f>
        <v>1.08845054813133</v>
      </c>
      <c r="H7" s="13" t="s">
        <v>366</v>
      </c>
      <c r="I7" s="9">
        <v>139</v>
      </c>
      <c r="J7" s="9">
        <v>245</v>
      </c>
      <c r="K7" s="9">
        <v>388</v>
      </c>
      <c r="L7" s="9">
        <v>593</v>
      </c>
      <c r="M7" s="9">
        <v>978</v>
      </c>
      <c r="N7" s="9">
        <v>1501</v>
      </c>
      <c r="O7" s="9">
        <v>2336</v>
      </c>
      <c r="P7" s="9">
        <v>2922</v>
      </c>
      <c r="Q7" s="9">
        <v>3513</v>
      </c>
      <c r="R7" s="9">
        <v>4747</v>
      </c>
      <c r="S7" s="9">
        <v>5823</v>
      </c>
      <c r="T7" s="9">
        <v>6566</v>
      </c>
      <c r="U7" s="9">
        <v>7161</v>
      </c>
      <c r="V7" s="9">
        <v>8042</v>
      </c>
      <c r="W7" s="9">
        <v>9000</v>
      </c>
      <c r="X7" s="9">
        <v>10075</v>
      </c>
      <c r="Y7" s="9">
        <v>11364</v>
      </c>
      <c r="Z7" s="9">
        <v>12729</v>
      </c>
      <c r="AA7" s="9">
        <v>13938</v>
      </c>
      <c r="AB7" s="9">
        <v>14991</v>
      </c>
      <c r="AC7" s="9">
        <v>16169</v>
      </c>
      <c r="AD7" s="9">
        <v>17361</v>
      </c>
    </row>
    <row r="8" spans="1:307" x14ac:dyDescent="0.25">
      <c r="A8" s="9">
        <f t="shared" si="5"/>
        <v>7</v>
      </c>
      <c r="B8" s="9">
        <v>1</v>
      </c>
      <c r="C8" s="9" t="str">
        <f>H8</f>
        <v>Spain</v>
      </c>
      <c r="D8" s="6">
        <f>MAX(I8:CL8)</f>
        <v>14746</v>
      </c>
      <c r="E8" s="6">
        <f>IF(COUNTIF(I8:XFD8,"&gt;"&amp;0)=0,,HLOOKUP(COUNTIF(I8:XFD8,"&gt;"&amp;0)-1,I$1:XFD8,A8+1,FALSE))</f>
        <v>14746</v>
      </c>
      <c r="F8" s="7">
        <f>IF(COUNTIF(I8:XFD8,"&gt;"&amp;0)=0,,HLOOKUP(COUNTIF(I8:XFD8,"&gt;"&amp;0)-MIN($F$1+1,COUNTIF(I8:XFD8,"&gt;"&amp;0)),I$1:XFD8,A8+1,FALSE))</f>
        <v>5232</v>
      </c>
      <c r="G8" s="8">
        <f>IF(COUNTIF(I8:XFD8,"&gt;"&amp;0)=0,,(E8/F8)^(1/MIN(COUNTIF(I8:XFD8,"&gt;"&amp;0)-1,$F$1)))</f>
        <v>1.2302724501987492</v>
      </c>
      <c r="H8" s="15" t="s">
        <v>87</v>
      </c>
      <c r="I8" s="9">
        <v>120</v>
      </c>
      <c r="J8" s="9">
        <v>165</v>
      </c>
      <c r="K8" s="9">
        <v>222</v>
      </c>
      <c r="L8" s="9">
        <v>259</v>
      </c>
      <c r="M8" s="9">
        <v>400</v>
      </c>
      <c r="N8" s="9">
        <v>500</v>
      </c>
      <c r="O8" s="9">
        <v>673</v>
      </c>
      <c r="P8" s="9">
        <v>1073</v>
      </c>
      <c r="Q8" s="9">
        <v>1695</v>
      </c>
      <c r="R8" s="9">
        <v>2277</v>
      </c>
      <c r="S8" s="9">
        <v>2277</v>
      </c>
      <c r="T8" s="9">
        <v>5232</v>
      </c>
      <c r="U8" s="9">
        <v>6391</v>
      </c>
      <c r="V8" s="9">
        <v>7798</v>
      </c>
      <c r="W8" s="9">
        <v>9942</v>
      </c>
      <c r="X8" s="9">
        <v>11748</v>
      </c>
      <c r="Y8" s="9">
        <v>14746</v>
      </c>
    </row>
    <row r="9" spans="1:307" x14ac:dyDescent="0.25">
      <c r="A9" s="9">
        <f t="shared" si="5"/>
        <v>8</v>
      </c>
      <c r="B9" s="9">
        <v>1</v>
      </c>
      <c r="C9" s="9" t="str">
        <f>H9</f>
        <v>Germany</v>
      </c>
      <c r="D9" s="6">
        <f>MAX(I9:CL9)</f>
        <v>11979</v>
      </c>
      <c r="E9" s="6">
        <f>IF(COUNTIF(I9:XFD9,"&gt;"&amp;0)=0,,HLOOKUP(COUNTIF(I9:XFD9,"&gt;"&amp;0)-1,I$1:XFD9,A9+1,FALSE))</f>
        <v>11979</v>
      </c>
      <c r="F9" s="7">
        <f>IF(COUNTIF(I9:XFD9,"&gt;"&amp;0)=0,,HLOOKUP(COUNTIF(I9:XFD9,"&gt;"&amp;0)-MIN($F$1+1,COUNTIF(I9:XFD9,"&gt;"&amp;0)),I$1:XFD9,A9+1,FALSE))</f>
        <v>3675</v>
      </c>
      <c r="G9" s="8">
        <f>IF(COUNTIF(I9:XFD9,"&gt;"&amp;0)=0,,(E9/F9)^(1/MIN(COUNTIF(I9:XFD9,"&gt;"&amp;0)-1,$F$1)))</f>
        <v>1.2665800533814173</v>
      </c>
      <c r="H9" s="13" t="s">
        <v>80</v>
      </c>
      <c r="I9" s="9">
        <v>130</v>
      </c>
      <c r="J9" s="9">
        <v>159</v>
      </c>
      <c r="K9" s="9">
        <v>196</v>
      </c>
      <c r="L9" s="9">
        <v>262</v>
      </c>
      <c r="M9" s="9">
        <v>482</v>
      </c>
      <c r="N9" s="9">
        <v>670</v>
      </c>
      <c r="O9" s="9">
        <v>799</v>
      </c>
      <c r="P9" s="9">
        <v>1040</v>
      </c>
      <c r="Q9" s="9">
        <v>1176</v>
      </c>
      <c r="R9" s="9">
        <v>1457</v>
      </c>
      <c r="S9" s="9">
        <v>1908</v>
      </c>
      <c r="T9" s="9">
        <v>2078</v>
      </c>
      <c r="U9" s="9">
        <v>3675</v>
      </c>
      <c r="V9" s="9">
        <v>4585</v>
      </c>
      <c r="W9" s="9">
        <v>5795</v>
      </c>
      <c r="X9" s="9">
        <v>7272</v>
      </c>
      <c r="Y9" s="9">
        <v>9257</v>
      </c>
      <c r="Z9" s="9">
        <v>11979</v>
      </c>
    </row>
    <row r="10" spans="1:307" x14ac:dyDescent="0.25">
      <c r="A10" s="9">
        <f t="shared" si="5"/>
        <v>9</v>
      </c>
      <c r="B10" s="9">
        <v>1</v>
      </c>
      <c r="C10" s="9" t="str">
        <f>H10</f>
        <v>Korea, South</v>
      </c>
      <c r="D10" s="6">
        <f>MAX(I10:CL10)</f>
        <v>8320</v>
      </c>
      <c r="E10" s="6">
        <f>IF(COUNTIF(I10:XFD10,"&gt;"&amp;0)=0,,HLOOKUP(COUNTIF(I10:XFD10,"&gt;"&amp;0)-1,I$1:XFD10,A10+1,FALSE))</f>
        <v>8320</v>
      </c>
      <c r="F10" s="7">
        <f>IF(COUNTIF(I10:XFD10,"&gt;"&amp;0)=0,,HLOOKUP(COUNTIF(I10:XFD10,"&gt;"&amp;0)-MIN($F$1+1,COUNTIF(I10:XFD10,"&gt;"&amp;0)),I$1:XFD10,A10+1,FALSE))</f>
        <v>7869</v>
      </c>
      <c r="G10" s="8">
        <f>IF(COUNTIF(I10:XFD10,"&gt;"&amp;0)=0,,(E10/F10)^(1/MIN(COUNTIF(I10:XFD10,"&gt;"&amp;0)-1,$F$1)))</f>
        <v>1.0112086039790331</v>
      </c>
      <c r="H10" s="13" t="s">
        <v>367</v>
      </c>
      <c r="I10" s="9">
        <v>104</v>
      </c>
      <c r="J10" s="9">
        <v>204</v>
      </c>
      <c r="K10" s="9">
        <v>433</v>
      </c>
      <c r="L10" s="9">
        <v>602</v>
      </c>
      <c r="M10" s="9">
        <v>833</v>
      </c>
      <c r="N10" s="9">
        <v>977</v>
      </c>
      <c r="O10" s="9">
        <v>1261</v>
      </c>
      <c r="P10" s="9">
        <v>1766</v>
      </c>
      <c r="Q10" s="9">
        <v>2337</v>
      </c>
      <c r="R10" s="9">
        <v>3150</v>
      </c>
      <c r="S10" s="9">
        <v>3736</v>
      </c>
      <c r="T10" s="9">
        <v>4335</v>
      </c>
      <c r="U10" s="9">
        <v>5186</v>
      </c>
      <c r="V10" s="9">
        <v>5621</v>
      </c>
      <c r="W10" s="9">
        <v>6088</v>
      </c>
      <c r="X10" s="9">
        <v>6593</v>
      </c>
      <c r="Y10" s="9">
        <v>7041</v>
      </c>
      <c r="Z10" s="9">
        <v>7314</v>
      </c>
      <c r="AA10" s="9">
        <v>7478</v>
      </c>
      <c r="AB10" s="9">
        <v>7513</v>
      </c>
      <c r="AC10" s="9">
        <v>7755</v>
      </c>
      <c r="AD10" s="9">
        <v>7869</v>
      </c>
      <c r="AE10" s="9">
        <v>7979</v>
      </c>
      <c r="AF10" s="9">
        <v>8086</v>
      </c>
      <c r="AG10" s="9">
        <v>8162</v>
      </c>
      <c r="AH10" s="9">
        <v>8236</v>
      </c>
      <c r="AI10" s="9">
        <v>8320</v>
      </c>
    </row>
    <row r="11" spans="1:307" x14ac:dyDescent="0.25">
      <c r="A11" s="9">
        <f t="shared" si="5"/>
        <v>10</v>
      </c>
      <c r="B11" s="9">
        <v>1</v>
      </c>
      <c r="C11" s="9" t="str">
        <f>H11</f>
        <v>France</v>
      </c>
      <c r="D11" s="6">
        <f>MAX(I11:CL11)</f>
        <v>9134</v>
      </c>
      <c r="E11" s="6">
        <f>IF(COUNTIF(I11:XFD11,"&gt;"&amp;0)=0,,HLOOKUP(COUNTIF(I11:XFD11,"&gt;"&amp;0)-1,I$1:XFD11,A11+1,FALSE))</f>
        <v>9134</v>
      </c>
      <c r="F11" s="7">
        <f>IF(COUNTIF(I11:XFD11,"&gt;"&amp;0)=0,,HLOOKUP(COUNTIF(I11:XFD11,"&gt;"&amp;0)-MIN($F$1+1,COUNTIF(I11:XFD11,"&gt;"&amp;0)),I$1:XFD11,A11+1,FALSE))</f>
        <v>3678</v>
      </c>
      <c r="G11" s="8">
        <f>IF(COUNTIF(I11:XFD11,"&gt;"&amp;0)=0,,(E11/F11)^(1/MIN(COUNTIF(I11:XFD11,"&gt;"&amp;0)-1,$F$1)))</f>
        <v>1.1995265265383273</v>
      </c>
      <c r="H11" s="15" t="s">
        <v>68</v>
      </c>
      <c r="I11" s="9">
        <v>130</v>
      </c>
      <c r="J11" s="9">
        <v>191</v>
      </c>
      <c r="K11" s="9">
        <v>204</v>
      </c>
      <c r="L11" s="9">
        <v>288</v>
      </c>
      <c r="M11" s="9">
        <v>380</v>
      </c>
      <c r="N11" s="9">
        <v>656</v>
      </c>
      <c r="O11" s="9">
        <v>957</v>
      </c>
      <c r="P11" s="9">
        <v>1134</v>
      </c>
      <c r="Q11" s="9">
        <v>1217</v>
      </c>
      <c r="R11" s="9">
        <v>1792</v>
      </c>
      <c r="S11" s="9">
        <v>2290</v>
      </c>
      <c r="T11" s="9">
        <v>2290</v>
      </c>
      <c r="U11" s="9">
        <v>3678</v>
      </c>
      <c r="V11" s="9">
        <v>4487</v>
      </c>
      <c r="W11" s="9">
        <v>4523</v>
      </c>
      <c r="X11" s="9">
        <v>6668</v>
      </c>
      <c r="Y11" s="9">
        <v>7730</v>
      </c>
      <c r="Z11" s="9">
        <v>9134</v>
      </c>
    </row>
    <row r="12" spans="1:307" x14ac:dyDescent="0.25">
      <c r="A12" s="9">
        <f t="shared" si="5"/>
        <v>11</v>
      </c>
      <c r="B12" s="9">
        <v>1</v>
      </c>
      <c r="C12" s="9" t="str">
        <f>H12</f>
        <v>US</v>
      </c>
      <c r="D12" s="6">
        <f>MAX(I12:CL12)</f>
        <v>8019</v>
      </c>
      <c r="E12" s="6">
        <f>IF(COUNTIF(I12:XFD12,"&gt;"&amp;0)=0,,HLOOKUP(COUNTIF(I12:XFD12,"&gt;"&amp;0)-1,I$1:XFD12,A12+1,FALSE))</f>
        <v>8019</v>
      </c>
      <c r="F12" s="7">
        <f>IF(COUNTIF(I12:XFD12,"&gt;"&amp;0)=0,,HLOOKUP(COUNTIF(I12:XFD12,"&gt;"&amp;0)-MIN($F$1+1,COUNTIF(I12:XFD12,"&gt;"&amp;0)),I$1:XFD12,A12+1,FALSE))</f>
        <v>2179</v>
      </c>
      <c r="G12" s="8">
        <f>IF(COUNTIF(I12:XFD12,"&gt;"&amp;0)=0,,(E12/F12)^(1/MIN(COUNTIF(I12:XFD12,"&gt;"&amp;0)-1,$F$1)))</f>
        <v>1.2976948964303137</v>
      </c>
      <c r="H12" s="13" t="s">
        <v>65</v>
      </c>
      <c r="I12" s="9">
        <v>118</v>
      </c>
      <c r="J12" s="9">
        <v>149</v>
      </c>
      <c r="K12" s="9">
        <v>217</v>
      </c>
      <c r="L12" s="9">
        <v>262</v>
      </c>
      <c r="M12" s="9">
        <v>402</v>
      </c>
      <c r="N12" s="9">
        <v>518</v>
      </c>
      <c r="O12" s="9">
        <v>583</v>
      </c>
      <c r="P12" s="9">
        <v>959</v>
      </c>
      <c r="Q12" s="9">
        <v>1281</v>
      </c>
      <c r="R12" s="9">
        <v>1663</v>
      </c>
      <c r="S12" s="9">
        <v>2179</v>
      </c>
      <c r="T12" s="9">
        <v>2728</v>
      </c>
      <c r="U12" s="9">
        <v>3500</v>
      </c>
      <c r="V12" s="9">
        <v>4633</v>
      </c>
      <c r="W12" s="9">
        <v>6421</v>
      </c>
      <c r="X12" s="9">
        <v>8019</v>
      </c>
    </row>
    <row r="13" spans="1:307" x14ac:dyDescent="0.25">
      <c r="A13" s="9">
        <f t="shared" si="5"/>
        <v>12</v>
      </c>
      <c r="B13" s="9">
        <v>1</v>
      </c>
      <c r="C13" s="9" t="str">
        <f>H13</f>
        <v>Switzerland</v>
      </c>
      <c r="D13" s="6">
        <f>MAX(I13:CL13)</f>
        <v>3070</v>
      </c>
      <c r="E13" s="6">
        <f>IF(COUNTIF(I13:XFD13,"&gt;"&amp;0)=0,,HLOOKUP(COUNTIF(I13:XFD13,"&gt;"&amp;0)-1,I$1:XFD13,A13+1,FALSE))</f>
        <v>3070</v>
      </c>
      <c r="F13" s="7">
        <f>IF(COUNTIF(I13:XFD13,"&gt;"&amp;0)=0,,HLOOKUP(COUNTIF(I13:XFD13,"&gt;"&amp;0)-MIN($F$1+1,COUNTIF(I13:XFD13,"&gt;"&amp;0)),I$1:XFD13,A13+1,FALSE))</f>
        <v>1139</v>
      </c>
      <c r="G13" s="8">
        <f>IF(COUNTIF(I13:XFD13,"&gt;"&amp;0)=0,,(E13/F13)^(1/MIN(COUNTIF(I13:XFD13,"&gt;"&amp;0)-1,$F$1)))</f>
        <v>1.2193346918253616</v>
      </c>
      <c r="H13" s="13" t="s">
        <v>104</v>
      </c>
      <c r="I13" s="9">
        <v>114</v>
      </c>
      <c r="J13" s="9">
        <v>214</v>
      </c>
      <c r="K13" s="9">
        <v>268</v>
      </c>
      <c r="L13" s="9">
        <v>337</v>
      </c>
      <c r="M13" s="9">
        <v>374</v>
      </c>
      <c r="N13" s="9">
        <v>491</v>
      </c>
      <c r="O13" s="9">
        <v>652</v>
      </c>
      <c r="P13" s="9">
        <v>652</v>
      </c>
      <c r="Q13" s="9">
        <v>1139</v>
      </c>
      <c r="R13" s="9">
        <v>1359</v>
      </c>
      <c r="S13" s="9">
        <v>2200</v>
      </c>
      <c r="T13" s="9">
        <v>2200</v>
      </c>
      <c r="U13" s="9">
        <v>2700</v>
      </c>
      <c r="V13" s="9">
        <v>3070</v>
      </c>
    </row>
    <row r="14" spans="1:307" x14ac:dyDescent="0.25">
      <c r="A14" s="9">
        <f t="shared" si="5"/>
        <v>13</v>
      </c>
      <c r="B14" s="9">
        <v>1</v>
      </c>
      <c r="C14" s="9" t="str">
        <f>H14</f>
        <v>United Kingdom</v>
      </c>
      <c r="D14" s="6">
        <f>MAX(I14:CL14)</f>
        <v>2626</v>
      </c>
      <c r="E14" s="6">
        <f>IF(COUNTIF(I14:XFD14,"&gt;"&amp;0)=0,,HLOOKUP(COUNTIF(I14:XFD14,"&gt;"&amp;0)-1,I$1:XFD14,A14+1,FALSE))</f>
        <v>2626</v>
      </c>
      <c r="F14" s="7">
        <f>IF(COUNTIF(I14:XFD14,"&gt;"&amp;0)=0,,HLOOKUP(COUNTIF(I14:XFD14,"&gt;"&amp;0)-MIN($F$1+1,COUNTIF(I14:XFD14,"&gt;"&amp;0)),I$1:XFD14,A14+1,FALSE))</f>
        <v>803</v>
      </c>
      <c r="G14" s="8">
        <f>IF(COUNTIF(I14:XFD14,"&gt;"&amp;0)=0,,(E14/F14)^(1/MIN(COUNTIF(I14:XFD14,"&gt;"&amp;0)-1,$F$1)))</f>
        <v>1.2674062232989756</v>
      </c>
      <c r="H14" s="13" t="s">
        <v>377</v>
      </c>
      <c r="I14" s="9">
        <v>116</v>
      </c>
      <c r="J14" s="9">
        <v>164</v>
      </c>
      <c r="K14" s="9">
        <v>207</v>
      </c>
      <c r="L14" s="9">
        <v>274</v>
      </c>
      <c r="M14" s="9">
        <v>322</v>
      </c>
      <c r="N14" s="9">
        <v>384</v>
      </c>
      <c r="O14" s="9">
        <v>459</v>
      </c>
      <c r="P14" s="9">
        <v>590</v>
      </c>
      <c r="Q14" s="9">
        <v>803</v>
      </c>
      <c r="R14" s="9">
        <v>1145</v>
      </c>
      <c r="S14" s="9">
        <v>1355</v>
      </c>
      <c r="T14" s="9">
        <v>1552</v>
      </c>
      <c r="U14" s="9">
        <v>1960</v>
      </c>
      <c r="V14" s="9">
        <v>2626</v>
      </c>
    </row>
    <row r="15" spans="1:307" x14ac:dyDescent="0.25">
      <c r="A15" s="9">
        <f t="shared" si="5"/>
        <v>14</v>
      </c>
      <c r="B15" s="9">
        <v>1</v>
      </c>
      <c r="C15" s="9" t="str">
        <f>H15</f>
        <v>Netherlands</v>
      </c>
      <c r="D15" s="6">
        <f>MAX(I15:CL15)</f>
        <v>2051</v>
      </c>
      <c r="E15" s="6">
        <f>IF(COUNTIF(I15:XFD15,"&gt;"&amp;0)=0,,HLOOKUP(COUNTIF(I15:XFD15,"&gt;"&amp;0)-1,I$1:XFD15,A15+1,FALSE))</f>
        <v>2051</v>
      </c>
      <c r="F15" s="7">
        <f>IF(COUNTIF(I15:XFD15,"&gt;"&amp;0)=0,,HLOOKUP(COUNTIF(I15:XFD15,"&gt;"&amp;0)-MIN($F$1+1,COUNTIF(I15:XFD15,"&gt;"&amp;0)),I$1:XFD15,A15+1,FALSE))</f>
        <v>804</v>
      </c>
      <c r="G15" s="8">
        <f>IF(COUNTIF(I15:XFD15,"&gt;"&amp;0)=0,,(E15/F15)^(1/MIN(COUNTIF(I15:XFD15,"&gt;"&amp;0)-1,$F$1)))</f>
        <v>1.2059850450579939</v>
      </c>
      <c r="H15" s="13" t="s">
        <v>116</v>
      </c>
      <c r="I15" s="9">
        <v>128</v>
      </c>
      <c r="J15" s="9">
        <v>188</v>
      </c>
      <c r="K15" s="9">
        <v>265</v>
      </c>
      <c r="L15" s="9">
        <v>321</v>
      </c>
      <c r="M15" s="9">
        <v>382</v>
      </c>
      <c r="N15" s="9">
        <v>503</v>
      </c>
      <c r="O15" s="9">
        <v>503</v>
      </c>
      <c r="P15" s="9">
        <v>804</v>
      </c>
      <c r="Q15" s="9">
        <v>960</v>
      </c>
      <c r="R15" s="9">
        <v>1136</v>
      </c>
      <c r="S15" s="9">
        <v>1414</v>
      </c>
      <c r="T15" s="9">
        <v>1708</v>
      </c>
      <c r="U15" s="9">
        <v>2051</v>
      </c>
    </row>
    <row r="16" spans="1:307" x14ac:dyDescent="0.25">
      <c r="A16" s="9">
        <f t="shared" si="5"/>
        <v>15</v>
      </c>
      <c r="B16" s="9">
        <v>1</v>
      </c>
      <c r="C16" s="9" t="str">
        <f>H16</f>
        <v>Norway</v>
      </c>
      <c r="D16" s="6">
        <f>MAX(I16:CL16)</f>
        <v>1463</v>
      </c>
      <c r="E16" s="6">
        <f>IF(COUNTIF(I16:XFD16,"&gt;"&amp;0)=0,,HLOOKUP(COUNTIF(I16:XFD16,"&gt;"&amp;0)-1,I$1:XFD16,A16+1,FALSE))</f>
        <v>1463</v>
      </c>
      <c r="F16" s="7">
        <f>IF(COUNTIF(I16:XFD16,"&gt;"&amp;0)=0,,HLOOKUP(COUNTIF(I16:XFD16,"&gt;"&amp;0)-MIN($F$1+1,COUNTIF(I16:XFD16,"&gt;"&amp;0)),I$1:XFD16,A16+1,FALSE))</f>
        <v>702</v>
      </c>
      <c r="G16" s="8">
        <f>IF(COUNTIF(I16:XFD16,"&gt;"&amp;0)=0,,(E16/F16)^(1/MIN(COUNTIF(I16:XFD16,"&gt;"&amp;0)-1,$F$1)))</f>
        <v>1.1581943521549098</v>
      </c>
      <c r="H16" s="13" t="s">
        <v>112</v>
      </c>
      <c r="I16" s="9">
        <v>108</v>
      </c>
      <c r="J16" s="9">
        <v>147</v>
      </c>
      <c r="K16" s="9">
        <v>176</v>
      </c>
      <c r="L16" s="9">
        <v>205</v>
      </c>
      <c r="M16" s="9">
        <v>400</v>
      </c>
      <c r="N16" s="9">
        <v>598</v>
      </c>
      <c r="O16" s="9">
        <v>702</v>
      </c>
      <c r="P16" s="9">
        <v>996</v>
      </c>
      <c r="Q16" s="9">
        <v>1090</v>
      </c>
      <c r="R16" s="9">
        <v>1221</v>
      </c>
      <c r="S16" s="9">
        <v>1333</v>
      </c>
      <c r="T16" s="9">
        <v>1463</v>
      </c>
    </row>
    <row r="17" spans="1:45" x14ac:dyDescent="0.25">
      <c r="A17" s="9">
        <f t="shared" si="5"/>
        <v>16</v>
      </c>
      <c r="B17" s="9">
        <v>1</v>
      </c>
      <c r="C17" s="9" t="str">
        <f>H17</f>
        <v>Austria</v>
      </c>
      <c r="D17" s="6">
        <f>MAX(I17:CL17)</f>
        <v>1332</v>
      </c>
      <c r="E17" s="6">
        <f>IF(COUNTIF(I17:XFD17,"&gt;"&amp;0)=0,,HLOOKUP(COUNTIF(I17:XFD17,"&gt;"&amp;0)-1,I$1:XFD17,A17+1,FALSE))</f>
        <v>1332</v>
      </c>
      <c r="F17" s="7">
        <f>IF(COUNTIF(I17:XFD17,"&gt;"&amp;0)=0,,HLOOKUP(COUNTIF(I17:XFD17,"&gt;"&amp;0)-MIN($F$1+1,COUNTIF(I17:XFD17,"&gt;"&amp;0)),I$1:XFD17,A17+1,FALSE))</f>
        <v>302</v>
      </c>
      <c r="G17" s="8">
        <f>IF(COUNTIF(I17:XFD17,"&gt;"&amp;0)=0,,(E17/F17)^(1/MIN(COUNTIF(I17:XFD17,"&gt;"&amp;0)-1,$F$1)))</f>
        <v>1.3455488096516359</v>
      </c>
      <c r="H17" s="13" t="s">
        <v>105</v>
      </c>
      <c r="I17" s="9">
        <v>104</v>
      </c>
      <c r="J17" s="9">
        <v>131</v>
      </c>
      <c r="K17" s="9">
        <v>182</v>
      </c>
      <c r="L17" s="9">
        <v>246</v>
      </c>
      <c r="M17" s="9">
        <v>302</v>
      </c>
      <c r="N17" s="9">
        <v>504</v>
      </c>
      <c r="O17" s="9">
        <v>655</v>
      </c>
      <c r="P17" s="9">
        <v>860</v>
      </c>
      <c r="Q17" s="9">
        <v>1018</v>
      </c>
      <c r="R17" s="9">
        <v>1332</v>
      </c>
    </row>
    <row r="18" spans="1:45" x14ac:dyDescent="0.25">
      <c r="A18" s="9">
        <f t="shared" si="5"/>
        <v>17</v>
      </c>
      <c r="B18" s="9">
        <v>1</v>
      </c>
      <c r="C18" s="9" t="str">
        <f>H18</f>
        <v>Belgium</v>
      </c>
      <c r="D18" s="6">
        <f>MAX(I18:CL18)</f>
        <v>1243</v>
      </c>
      <c r="E18" s="6">
        <f>IF(COUNTIF(I18:XFD18,"&gt;"&amp;0)=0,,HLOOKUP(COUNTIF(I18:XFD18,"&gt;"&amp;0)-1,I$1:XFD18,A18+1,FALSE))</f>
        <v>1243</v>
      </c>
      <c r="F18" s="7">
        <f>IF(COUNTIF(I18:XFD18,"&gt;"&amp;0)=0,,HLOOKUP(COUNTIF(I18:XFD18,"&gt;"&amp;0)-MIN($F$1+1,COUNTIF(I18:XFD18,"&gt;"&amp;0)),I$1:XFD18,A18+1,FALSE))</f>
        <v>314</v>
      </c>
      <c r="G18" s="8">
        <f>IF(COUNTIF(I18:XFD18,"&gt;"&amp;0)=0,,(E18/F18)^(1/MIN(COUNTIF(I18:XFD18,"&gt;"&amp;0)-1,$F$1)))</f>
        <v>1.3167650659961898</v>
      </c>
      <c r="H18" s="13" t="s">
        <v>90</v>
      </c>
      <c r="I18" s="9">
        <v>109</v>
      </c>
      <c r="J18" s="9">
        <v>169</v>
      </c>
      <c r="K18" s="9">
        <v>200</v>
      </c>
      <c r="L18" s="9">
        <v>239</v>
      </c>
      <c r="M18" s="9">
        <v>267</v>
      </c>
      <c r="N18" s="9">
        <v>314</v>
      </c>
      <c r="O18" s="9">
        <v>314</v>
      </c>
      <c r="P18" s="9">
        <v>559</v>
      </c>
      <c r="Q18" s="9">
        <v>689</v>
      </c>
      <c r="R18" s="9">
        <v>886</v>
      </c>
      <c r="S18" s="9">
        <v>1058</v>
      </c>
      <c r="T18" s="9">
        <v>1243</v>
      </c>
    </row>
    <row r="19" spans="1:45" x14ac:dyDescent="0.25">
      <c r="A19" s="9">
        <f t="shared" si="5"/>
        <v>18</v>
      </c>
      <c r="B19" s="9">
        <v>1</v>
      </c>
      <c r="C19" s="9" t="str">
        <f>H19</f>
        <v>Sweden</v>
      </c>
      <c r="D19" s="6">
        <f>MAX(I19:CL19)</f>
        <v>1190</v>
      </c>
      <c r="E19" s="6">
        <f>IF(COUNTIF(I19:XFD19,"&gt;"&amp;0)=0,,HLOOKUP(COUNTIF(I19:XFD19,"&gt;"&amp;0)-1,I$1:XFD19,A19+1,FALSE))</f>
        <v>1190</v>
      </c>
      <c r="F19" s="7">
        <f>IF(COUNTIF(I19:XFD19,"&gt;"&amp;0)=0,,HLOOKUP(COUNTIF(I19:XFD19,"&gt;"&amp;0)-MIN($F$1+1,COUNTIF(I19:XFD19,"&gt;"&amp;0)),I$1:XFD19,A19+1,FALSE))</f>
        <v>599</v>
      </c>
      <c r="G19" s="8">
        <f>IF(COUNTIF(I19:XFD19,"&gt;"&amp;0)=0,,(E19/F19)^(1/MIN(COUNTIF(I19:XFD19,"&gt;"&amp;0)-1,$F$1)))</f>
        <v>1.1471600858605453</v>
      </c>
      <c r="H19" s="13" t="s">
        <v>86</v>
      </c>
      <c r="I19" s="9">
        <v>101</v>
      </c>
      <c r="J19" s="9">
        <v>161</v>
      </c>
      <c r="K19" s="9">
        <v>203</v>
      </c>
      <c r="L19" s="9">
        <v>248</v>
      </c>
      <c r="M19" s="9">
        <v>355</v>
      </c>
      <c r="N19" s="9">
        <v>500</v>
      </c>
      <c r="O19" s="9">
        <v>599</v>
      </c>
      <c r="P19" s="9">
        <v>814</v>
      </c>
      <c r="Q19" s="9">
        <v>961</v>
      </c>
      <c r="R19" s="9">
        <v>1022</v>
      </c>
      <c r="S19" s="9">
        <v>1103</v>
      </c>
      <c r="T19" s="9">
        <v>1190</v>
      </c>
    </row>
    <row r="20" spans="1:45" x14ac:dyDescent="0.25">
      <c r="A20" s="9">
        <f t="shared" si="5"/>
        <v>19</v>
      </c>
      <c r="B20" s="9">
        <v>1</v>
      </c>
      <c r="C20" s="9" t="str">
        <f>H20</f>
        <v>Denmark</v>
      </c>
      <c r="D20" s="6">
        <f>MAX(I20:CL20)</f>
        <v>1024</v>
      </c>
      <c r="E20" s="6">
        <f>IF(COUNTIF(I20:XFD20,"&gt;"&amp;0)=0,,HLOOKUP(COUNTIF(I20:XFD20,"&gt;"&amp;0)-1,I$1:XFD20,A20+1,FALSE))</f>
        <v>1024</v>
      </c>
      <c r="F20" s="7">
        <f>IF(COUNTIF(I20:XFD20,"&gt;"&amp;0)=0,,HLOOKUP(COUNTIF(I20:XFD20,"&gt;"&amp;0)-MIN($F$1+1,COUNTIF(I20:XFD20,"&gt;"&amp;0)),I$1:XFD20,A20+1,FALSE))</f>
        <v>617</v>
      </c>
      <c r="G20" s="8">
        <f>IF(COUNTIF(I20:XFD20,"&gt;"&amp;0)=0,,(E20/F20)^(1/MIN(COUNTIF(I20:XFD20,"&gt;"&amp;0)-1,$F$1)))</f>
        <v>1.1066313225979794</v>
      </c>
      <c r="H20" s="13" t="s">
        <v>114</v>
      </c>
      <c r="I20" s="9">
        <v>264</v>
      </c>
      <c r="J20" s="9">
        <v>444</v>
      </c>
      <c r="K20" s="9">
        <v>617</v>
      </c>
      <c r="L20" s="9">
        <v>804</v>
      </c>
      <c r="M20" s="9">
        <v>836</v>
      </c>
      <c r="N20" s="9">
        <v>875</v>
      </c>
      <c r="O20" s="9">
        <v>932</v>
      </c>
      <c r="P20" s="9">
        <v>1024</v>
      </c>
    </row>
    <row r="21" spans="1:45" x14ac:dyDescent="0.25">
      <c r="A21" s="9">
        <f t="shared" si="5"/>
        <v>20</v>
      </c>
      <c r="B21" s="9">
        <v>1</v>
      </c>
      <c r="C21" s="9" t="str">
        <f>H21</f>
        <v>Japan</v>
      </c>
      <c r="D21" s="6">
        <f>MAX(I21:CL21)</f>
        <v>878</v>
      </c>
      <c r="E21" s="6">
        <f>IF(COUNTIF(I21:XFD21,"&gt;"&amp;0)=0,,HLOOKUP(COUNTIF(I21:XFD21,"&gt;"&amp;0)-1,I$1:XFD21,A21+1,FALSE))</f>
        <v>878</v>
      </c>
      <c r="F21" s="7">
        <f>IF(COUNTIF(I21:XFD21,"&gt;"&amp;0)=0,,HLOOKUP(COUNTIF(I21:XFD21,"&gt;"&amp;0)-MIN($F$1+1,COUNTIF(I21:XFD21,"&gt;"&amp;0)),I$1:XFD21,A21+1,FALSE))</f>
        <v>639</v>
      </c>
      <c r="G21" s="8">
        <f>IF(COUNTIF(I21:XFD21,"&gt;"&amp;0)=0,,(E21/F21)^(1/MIN(COUNTIF(I21:XFD21,"&gt;"&amp;0)-1,$F$1)))</f>
        <v>1.0656110898075526</v>
      </c>
      <c r="H21" s="13" t="s">
        <v>63</v>
      </c>
      <c r="I21" s="9">
        <v>105</v>
      </c>
      <c r="J21" s="9">
        <v>122</v>
      </c>
      <c r="K21" s="9">
        <v>147</v>
      </c>
      <c r="L21" s="9">
        <v>159</v>
      </c>
      <c r="M21" s="9">
        <v>170</v>
      </c>
      <c r="N21" s="9">
        <v>189</v>
      </c>
      <c r="O21" s="9">
        <v>214</v>
      </c>
      <c r="P21" s="9">
        <v>228</v>
      </c>
      <c r="Q21" s="9">
        <v>241</v>
      </c>
      <c r="R21" s="9">
        <v>256</v>
      </c>
      <c r="S21" s="9">
        <v>274</v>
      </c>
      <c r="T21" s="9">
        <v>293</v>
      </c>
      <c r="U21" s="9">
        <v>331</v>
      </c>
      <c r="V21" s="9">
        <v>360</v>
      </c>
      <c r="W21" s="9">
        <v>420</v>
      </c>
      <c r="X21" s="9">
        <v>461</v>
      </c>
      <c r="Y21" s="9">
        <v>502</v>
      </c>
      <c r="Z21" s="9">
        <v>511</v>
      </c>
      <c r="AA21" s="9">
        <v>581</v>
      </c>
      <c r="AB21" s="9">
        <v>639</v>
      </c>
      <c r="AC21" s="9">
        <v>639</v>
      </c>
      <c r="AD21" s="9">
        <v>701</v>
      </c>
      <c r="AE21" s="9">
        <v>773</v>
      </c>
      <c r="AF21" s="9">
        <v>839</v>
      </c>
      <c r="AG21" s="9">
        <v>825</v>
      </c>
      <c r="AH21" s="9">
        <v>878</v>
      </c>
    </row>
    <row r="22" spans="1:45" x14ac:dyDescent="0.25">
      <c r="A22" s="9">
        <f t="shared" si="5"/>
        <v>21</v>
      </c>
      <c r="B22" s="9">
        <v>1</v>
      </c>
      <c r="C22" s="9" t="str">
        <f>H22</f>
        <v>Cruise Ship</v>
      </c>
      <c r="D22" s="6">
        <f>MAX(I22:CL22)</f>
        <v>706</v>
      </c>
      <c r="E22" s="6">
        <f>IF(COUNTIF(I22:XFD22,"&gt;"&amp;0)=0,,HLOOKUP(COUNTIF(I22:XFD22,"&gt;"&amp;0)-1,I$1:XFD22,A22+1,FALSE))</f>
        <v>696</v>
      </c>
      <c r="F22" s="7">
        <f>IF(COUNTIF(I22:XFD22,"&gt;"&amp;0)=0,,HLOOKUP(COUNTIF(I22:XFD22,"&gt;"&amp;0)-MIN($F$1+1,COUNTIF(I22:XFD22,"&gt;"&amp;0)),I$1:XFD22,A22+1,FALSE))</f>
        <v>696</v>
      </c>
      <c r="G22" s="8">
        <f>IF(COUNTIF(I22:XFD22,"&gt;"&amp;0)=0,,(E22/F22)^(1/MIN(COUNTIF(I22:XFD22,"&gt;"&amp;0)-1,$F$1)))</f>
        <v>1</v>
      </c>
      <c r="H22" s="13" t="s">
        <v>368</v>
      </c>
      <c r="I22" s="9">
        <v>135</v>
      </c>
      <c r="J22" s="9">
        <v>135</v>
      </c>
      <c r="K22" s="9">
        <v>175</v>
      </c>
      <c r="L22" s="9">
        <v>175</v>
      </c>
      <c r="M22" s="9">
        <v>218</v>
      </c>
      <c r="N22" s="9">
        <v>285</v>
      </c>
      <c r="O22" s="9">
        <v>355</v>
      </c>
      <c r="P22" s="9">
        <v>454</v>
      </c>
      <c r="Q22" s="9">
        <v>542</v>
      </c>
      <c r="R22" s="9">
        <v>621</v>
      </c>
      <c r="S22" s="9">
        <v>634</v>
      </c>
      <c r="T22" s="9">
        <v>634</v>
      </c>
      <c r="U22" s="9">
        <v>634</v>
      </c>
      <c r="V22" s="9">
        <v>691</v>
      </c>
      <c r="W22" s="9">
        <v>691</v>
      </c>
      <c r="X22" s="9">
        <v>691</v>
      </c>
      <c r="Y22" s="9">
        <v>705</v>
      </c>
      <c r="Z22" s="9">
        <v>705</v>
      </c>
      <c r="AA22" s="9">
        <v>705</v>
      </c>
      <c r="AB22" s="9">
        <v>705</v>
      </c>
      <c r="AC22" s="9">
        <v>705</v>
      </c>
      <c r="AD22" s="9">
        <v>705</v>
      </c>
      <c r="AE22" s="9">
        <v>706</v>
      </c>
      <c r="AF22" s="9">
        <v>706</v>
      </c>
      <c r="AG22" s="9">
        <v>706</v>
      </c>
      <c r="AH22" s="9">
        <v>696</v>
      </c>
      <c r="AI22" s="9">
        <v>696</v>
      </c>
      <c r="AJ22" s="9">
        <v>696</v>
      </c>
      <c r="AK22" s="9">
        <v>696</v>
      </c>
      <c r="AL22" s="9">
        <v>696</v>
      </c>
      <c r="AM22" s="9">
        <v>696</v>
      </c>
      <c r="AN22" s="9">
        <v>696</v>
      </c>
      <c r="AO22" s="9">
        <v>696</v>
      </c>
      <c r="AP22" s="9">
        <v>696</v>
      </c>
      <c r="AQ22" s="9">
        <v>696</v>
      </c>
      <c r="AR22" s="9">
        <v>696</v>
      </c>
      <c r="AS22" s="9">
        <v>696</v>
      </c>
    </row>
    <row r="23" spans="1:45" x14ac:dyDescent="0.25">
      <c r="A23" s="9">
        <f t="shared" si="5"/>
        <v>22</v>
      </c>
      <c r="B23" s="9">
        <v>1</v>
      </c>
      <c r="C23" s="9" t="str">
        <f>H23</f>
        <v>Malaysia</v>
      </c>
      <c r="D23" s="6">
        <f>MAX(I23:CL23)</f>
        <v>673</v>
      </c>
      <c r="E23" s="6">
        <f>IF(COUNTIF(I23:XFD23,"&gt;"&amp;0)=0,,HLOOKUP(COUNTIF(I23:XFD23,"&gt;"&amp;0)-1,I$1:XFD23,A23+1,FALSE))</f>
        <v>673</v>
      </c>
      <c r="F23" s="7">
        <f>IF(COUNTIF(I23:XFD23,"&gt;"&amp;0)=0,,HLOOKUP(COUNTIF(I23:XFD23,"&gt;"&amp;0)-MIN($F$1+1,COUNTIF(I23:XFD23,"&gt;"&amp;0)),I$1:XFD23,A23+1,FALSE))</f>
        <v>149</v>
      </c>
      <c r="G23" s="8">
        <f>IF(COUNTIF(I23:XFD23,"&gt;"&amp;0)=0,,(E23/F23)^(1/MIN(COUNTIF(I23:XFD23,"&gt;"&amp;0)-1,$F$1)))</f>
        <v>1.3519659666933581</v>
      </c>
      <c r="H23" s="13" t="s">
        <v>70</v>
      </c>
      <c r="I23" s="9">
        <v>117</v>
      </c>
      <c r="J23" s="9">
        <v>129</v>
      </c>
      <c r="K23" s="9">
        <v>149</v>
      </c>
      <c r="L23" s="9">
        <v>149</v>
      </c>
      <c r="M23" s="9">
        <v>197</v>
      </c>
      <c r="N23" s="9">
        <v>238</v>
      </c>
      <c r="O23" s="9">
        <v>428</v>
      </c>
      <c r="P23" s="9">
        <v>566</v>
      </c>
      <c r="Q23" s="9">
        <v>673</v>
      </c>
    </row>
    <row r="24" spans="1:45" x14ac:dyDescent="0.25">
      <c r="A24" s="9">
        <f t="shared" si="5"/>
        <v>23</v>
      </c>
      <c r="B24" s="9">
        <v>1</v>
      </c>
      <c r="C24" s="9" t="str">
        <f>H24</f>
        <v>Canada</v>
      </c>
      <c r="D24" s="6">
        <f>MAX(I24:CL24)</f>
        <v>478</v>
      </c>
      <c r="E24" s="6">
        <f>IF(COUNTIF(I24:XFD24,"&gt;"&amp;0)=0,,HLOOKUP(COUNTIF(I24:XFD24,"&gt;"&amp;0)-1,I$1:XFD24,A24+1,FALSE))</f>
        <v>478</v>
      </c>
      <c r="F24" s="7">
        <f>IF(COUNTIF(I24:XFD24,"&gt;"&amp;0)=0,,HLOOKUP(COUNTIF(I24:XFD24,"&gt;"&amp;0)-MIN($F$1+1,COUNTIF(I24:XFD24,"&gt;"&amp;0)),I$1:XFD24,A24+1,FALSE))</f>
        <v>117</v>
      </c>
      <c r="G24" s="8">
        <f>IF(COUNTIF(I24:XFD24,"&gt;"&amp;0)=0,,(E24/F24)^(1/MIN(COUNTIF(I24:XFD24,"&gt;"&amp;0)-1,$F$1)))</f>
        <v>1.3250992463499691</v>
      </c>
      <c r="H24" s="13" t="s">
        <v>72</v>
      </c>
      <c r="I24" s="9">
        <v>108</v>
      </c>
      <c r="J24" s="9">
        <v>117</v>
      </c>
      <c r="K24" s="9">
        <v>193</v>
      </c>
      <c r="L24" s="9">
        <v>198</v>
      </c>
      <c r="M24" s="9">
        <v>252</v>
      </c>
      <c r="N24" s="9">
        <v>415</v>
      </c>
      <c r="O24" s="9">
        <v>478</v>
      </c>
    </row>
    <row r="25" spans="1:45" x14ac:dyDescent="0.25">
      <c r="A25" s="9">
        <f t="shared" si="5"/>
        <v>24</v>
      </c>
      <c r="B25" s="9">
        <v>1</v>
      </c>
      <c r="C25" s="9" t="str">
        <f>H25</f>
        <v>Australia</v>
      </c>
      <c r="D25" s="6">
        <f>MAX(I25:CL25)</f>
        <v>452</v>
      </c>
      <c r="E25" s="6">
        <f>IF(COUNTIF(I25:XFD25,"&gt;"&amp;0)=0,,HLOOKUP(COUNTIF(I25:XFD25,"&gt;"&amp;0)-1,I$1:XFD25,A25+1,FALSE))</f>
        <v>452</v>
      </c>
      <c r="F25" s="7">
        <f>IF(COUNTIF(I25:XFD25,"&gt;"&amp;0)=0,,HLOOKUP(COUNTIF(I25:XFD25,"&gt;"&amp;0)-MIN($F$1+1,COUNTIF(I25:XFD25,"&gt;"&amp;0)),I$1:XFD25,A25+1,FALSE))</f>
        <v>128</v>
      </c>
      <c r="G25" s="8">
        <f>IF(COUNTIF(I25:XFD25,"&gt;"&amp;0)=0,,(E25/F25)^(1/MIN(COUNTIF(I25:XFD25,"&gt;"&amp;0)-1,$F$1)))</f>
        <v>1.2870211772039326</v>
      </c>
      <c r="H25" s="13" t="s">
        <v>75</v>
      </c>
      <c r="I25" s="9">
        <v>107</v>
      </c>
      <c r="J25" s="9">
        <v>128</v>
      </c>
      <c r="K25" s="9">
        <v>128</v>
      </c>
      <c r="L25" s="9">
        <v>200</v>
      </c>
      <c r="M25" s="9">
        <v>250</v>
      </c>
      <c r="N25" s="9">
        <v>297</v>
      </c>
      <c r="O25" s="9">
        <v>377</v>
      </c>
      <c r="P25" s="9">
        <v>452</v>
      </c>
    </row>
    <row r="26" spans="1:45" x14ac:dyDescent="0.25">
      <c r="A26" s="9">
        <f t="shared" si="5"/>
        <v>25</v>
      </c>
      <c r="B26" s="9">
        <v>1</v>
      </c>
      <c r="C26" s="9" t="str">
        <f>H26</f>
        <v>Portugal</v>
      </c>
      <c r="D26" s="6">
        <f>MAX(I26:CL26)</f>
        <v>448</v>
      </c>
      <c r="E26" s="6">
        <f>IF(COUNTIF(I26:XFD26,"&gt;"&amp;0)=0,,HLOOKUP(COUNTIF(I26:XFD26,"&gt;"&amp;0)-1,I$1:XFD26,A26+1,FALSE))</f>
        <v>448</v>
      </c>
      <c r="F26" s="7">
        <f>IF(COUNTIF(I26:XFD26,"&gt;"&amp;0)=0,,HLOOKUP(COUNTIF(I26:XFD26,"&gt;"&amp;0)-MIN($F$1+1,COUNTIF(I26:XFD26,"&gt;"&amp;0)),I$1:XFD26,A26+1,FALSE))</f>
        <v>112</v>
      </c>
      <c r="G26" s="8">
        <f>IF(COUNTIF(I26:XFD26,"&gt;"&amp;0)=0,,(E26/F26)^(1/MIN(COUNTIF(I26:XFD26,"&gt;"&amp;0)-1,$F$1)))</f>
        <v>1.4142135623730949</v>
      </c>
      <c r="H26" s="13" t="s">
        <v>135</v>
      </c>
      <c r="I26" s="9">
        <v>112</v>
      </c>
      <c r="J26" s="9">
        <v>169</v>
      </c>
      <c r="K26" s="9">
        <v>245</v>
      </c>
      <c r="L26" s="9">
        <v>331</v>
      </c>
      <c r="M26" s="9">
        <v>448</v>
      </c>
    </row>
    <row r="27" spans="1:45" x14ac:dyDescent="0.25">
      <c r="A27" s="9">
        <f t="shared" si="5"/>
        <v>26</v>
      </c>
      <c r="B27" s="9">
        <v>1</v>
      </c>
      <c r="C27" s="9" t="str">
        <f>H27</f>
        <v>Qatar</v>
      </c>
      <c r="D27" s="6">
        <f>MAX(I27:CL27)</f>
        <v>439</v>
      </c>
      <c r="E27" s="6">
        <f>IF(COUNTIF(I27:XFD27,"&gt;"&amp;0)=0,,HLOOKUP(COUNTIF(I27:XFD27,"&gt;"&amp;0)-1,I$1:XFD27,A27+1,FALSE))</f>
        <v>439</v>
      </c>
      <c r="F27" s="7">
        <f>IF(COUNTIF(I27:XFD27,"&gt;"&amp;0)=0,,HLOOKUP(COUNTIF(I27:XFD27,"&gt;"&amp;0)-MIN($F$1+1,COUNTIF(I27:XFD27,"&gt;"&amp;0)),I$1:XFD27,A27+1,FALSE))</f>
        <v>262</v>
      </c>
      <c r="G27" s="8">
        <f>IF(COUNTIF(I27:XFD27,"&gt;"&amp;0)=0,,(E27/F27)^(1/MIN(COUNTIF(I27:XFD27,"&gt;"&amp;0)-1,$F$1)))</f>
        <v>1.1087474800593278</v>
      </c>
      <c r="H27" s="13" t="s">
        <v>128</v>
      </c>
      <c r="I27" s="9">
        <v>262</v>
      </c>
      <c r="J27" s="9">
        <v>262</v>
      </c>
      <c r="K27" s="9">
        <v>320</v>
      </c>
      <c r="L27" s="9">
        <v>337</v>
      </c>
      <c r="M27" s="9">
        <v>401</v>
      </c>
      <c r="N27" s="9">
        <v>439</v>
      </c>
      <c r="O27" s="9">
        <v>439</v>
      </c>
    </row>
    <row r="28" spans="1:45" x14ac:dyDescent="0.25">
      <c r="A28" s="9">
        <f t="shared" si="5"/>
        <v>27</v>
      </c>
      <c r="B28" s="9">
        <v>1</v>
      </c>
      <c r="C28" s="9" t="str">
        <f>H28</f>
        <v>Czechia</v>
      </c>
      <c r="D28" s="6">
        <f>MAX(I28:CL28)</f>
        <v>396</v>
      </c>
      <c r="E28" s="6">
        <f>IF(COUNTIF(I28:XFD28,"&gt;"&amp;0)=0,,HLOOKUP(COUNTIF(I28:XFD28,"&gt;"&amp;0)-1,I$1:XFD28,A28+1,FALSE))</f>
        <v>396</v>
      </c>
      <c r="F28" s="7">
        <f>IF(COUNTIF(I28:XFD28,"&gt;"&amp;0)=0,,HLOOKUP(COUNTIF(I28:XFD28,"&gt;"&amp;0)-MIN($F$1+1,COUNTIF(I28:XFD28,"&gt;"&amp;0)),I$1:XFD28,A28+1,FALSE))</f>
        <v>141</v>
      </c>
      <c r="G28" s="8">
        <f>IF(COUNTIF(I28:XFD28,"&gt;"&amp;0)=0,,(E28/F28)^(1/MIN(COUNTIF(I28:XFD28,"&gt;"&amp;0)-1,$F$1)))</f>
        <v>1.2945505641699688</v>
      </c>
      <c r="H28" s="13" t="s">
        <v>369</v>
      </c>
      <c r="I28" s="9">
        <v>141</v>
      </c>
      <c r="J28" s="9">
        <v>189</v>
      </c>
      <c r="K28" s="9">
        <v>253</v>
      </c>
      <c r="L28" s="9">
        <v>298</v>
      </c>
      <c r="M28" s="9">
        <v>396</v>
      </c>
    </row>
    <row r="29" spans="1:45" x14ac:dyDescent="0.25">
      <c r="A29" s="9">
        <f t="shared" si="5"/>
        <v>28</v>
      </c>
      <c r="B29" s="9">
        <v>1</v>
      </c>
      <c r="C29" s="9" t="str">
        <f>H29</f>
        <v>Greece</v>
      </c>
      <c r="D29" s="6">
        <f>MAX(I29:CL29)</f>
        <v>387</v>
      </c>
      <c r="E29" s="6">
        <f>IF(COUNTIF(I29:XFD29,"&gt;"&amp;0)=0,,HLOOKUP(COUNTIF(I29:XFD29,"&gt;"&amp;0)-1,I$1:XFD29,A29+1,FALSE))</f>
        <v>387</v>
      </c>
      <c r="F29" s="7">
        <f>IF(COUNTIF(I29:XFD29,"&gt;"&amp;0)=0,,HLOOKUP(COUNTIF(I29:XFD29,"&gt;"&amp;0)-MIN($F$1+1,COUNTIF(I29:XFD29,"&gt;"&amp;0)),I$1:XFD29,A29+1,FALSE))</f>
        <v>190</v>
      </c>
      <c r="G29" s="8">
        <f>IF(COUNTIF(I29:XFD29,"&gt;"&amp;0)=0,,(E29/F29)^(1/MIN(COUNTIF(I29:XFD29,"&gt;"&amp;0)-1,$F$1)))</f>
        <v>1.1946462963075151</v>
      </c>
      <c r="H29" s="13" t="s">
        <v>110</v>
      </c>
      <c r="I29" s="9">
        <v>190</v>
      </c>
      <c r="J29" s="9">
        <v>228</v>
      </c>
      <c r="K29" s="9">
        <v>331</v>
      </c>
      <c r="L29" s="9">
        <v>331</v>
      </c>
      <c r="M29" s="9">
        <v>387</v>
      </c>
    </row>
    <row r="30" spans="1:45" x14ac:dyDescent="0.25">
      <c r="A30" s="9">
        <f t="shared" si="5"/>
        <v>29</v>
      </c>
      <c r="B30" s="9">
        <v>1</v>
      </c>
      <c r="C30" s="9" t="str">
        <f>H30</f>
        <v>Israel</v>
      </c>
      <c r="D30" s="6">
        <f>MAX(I30:CL30)</f>
        <v>337</v>
      </c>
      <c r="E30" s="6">
        <f>IF(COUNTIF(I30:XFD30,"&gt;"&amp;0)=0,,HLOOKUP(COUNTIF(I30:XFD30,"&gt;"&amp;0)-1,I$1:XFD30,A30+1,FALSE))</f>
        <v>337</v>
      </c>
      <c r="F30" s="7">
        <f>IF(COUNTIF(I30:XFD30,"&gt;"&amp;0)=0,,HLOOKUP(COUNTIF(I30:XFD30,"&gt;"&amp;0)-MIN($F$1+1,COUNTIF(I30:XFD30,"&gt;"&amp;0)),I$1:XFD30,A30+1,FALSE))</f>
        <v>131</v>
      </c>
      <c r="G30" s="8">
        <f>IF(COUNTIF(I30:XFD30,"&gt;"&amp;0)=0,,(E30/F30)^(1/MIN(COUNTIF(I30:XFD30,"&gt;"&amp;0)-1,$F$1)))</f>
        <v>1.2080133145498593</v>
      </c>
      <c r="H30" s="13" t="s">
        <v>106</v>
      </c>
      <c r="I30" s="9">
        <v>109</v>
      </c>
      <c r="J30" s="9">
        <v>131</v>
      </c>
      <c r="K30" s="9">
        <v>161</v>
      </c>
      <c r="L30" s="9">
        <v>193</v>
      </c>
      <c r="M30" s="9">
        <v>251</v>
      </c>
      <c r="N30" s="9">
        <v>255</v>
      </c>
      <c r="O30" s="9">
        <v>337</v>
      </c>
    </row>
    <row r="31" spans="1:45" x14ac:dyDescent="0.25">
      <c r="A31" s="9">
        <f t="shared" si="5"/>
        <v>30</v>
      </c>
      <c r="B31" s="9">
        <v>1</v>
      </c>
      <c r="C31" s="9" t="str">
        <f>H31</f>
        <v>Finland</v>
      </c>
      <c r="D31" s="6">
        <f>MAX(I31:CL31)</f>
        <v>321</v>
      </c>
      <c r="E31" s="6">
        <f>IF(COUNTIF(I31:XFD31,"&gt;"&amp;0)=0,,HLOOKUP(COUNTIF(I31:XFD31,"&gt;"&amp;0)-1,I$1:XFD31,A31+1,FALSE))</f>
        <v>321</v>
      </c>
      <c r="F31" s="7">
        <f>IF(COUNTIF(I31:XFD31,"&gt;"&amp;0)=0,,HLOOKUP(COUNTIF(I31:XFD31,"&gt;"&amp;0)-MIN($F$1+1,COUNTIF(I31:XFD31,"&gt;"&amp;0)),I$1:XFD31,A31+1,FALSE))</f>
        <v>155</v>
      </c>
      <c r="G31" s="8">
        <f>IF(COUNTIF(I31:XFD31,"&gt;"&amp;0)=0,,(E31/F31)^(1/MIN(COUNTIF(I31:XFD31,"&gt;"&amp;0)-1,$F$1)))</f>
        <v>1.19961899420888</v>
      </c>
      <c r="H31" s="13" t="s">
        <v>81</v>
      </c>
      <c r="I31" s="9">
        <v>155</v>
      </c>
      <c r="J31" s="9">
        <v>225</v>
      </c>
      <c r="K31" s="9">
        <v>244</v>
      </c>
      <c r="L31" s="9">
        <v>277</v>
      </c>
      <c r="M31" s="9">
        <v>321</v>
      </c>
    </row>
    <row r="32" spans="1:45" x14ac:dyDescent="0.25">
      <c r="A32" s="9">
        <f t="shared" si="5"/>
        <v>31</v>
      </c>
      <c r="B32" s="9">
        <v>1</v>
      </c>
      <c r="C32" s="9" t="str">
        <f>H32</f>
        <v>Brazil</v>
      </c>
      <c r="D32" s="6">
        <f>MAX(I32:CL32)</f>
        <v>321</v>
      </c>
      <c r="E32" s="6">
        <f>IF(COUNTIF(I32:XFD32,"&gt;"&amp;0)=0,,HLOOKUP(COUNTIF(I32:XFD32,"&gt;"&amp;0)-1,I$1:XFD32,A32+1,FALSE))</f>
        <v>321</v>
      </c>
      <c r="F32" s="7">
        <f>IF(COUNTIF(I32:XFD32,"&gt;"&amp;0)=0,,HLOOKUP(COUNTIF(I32:XFD32,"&gt;"&amp;0)-MIN($F$1+1,COUNTIF(I32:XFD32,"&gt;"&amp;0)),I$1:XFD32,A32+1,FALSE))</f>
        <v>151</v>
      </c>
      <c r="G32" s="8">
        <f>IF(COUNTIF(I32:XFD32,"&gt;"&amp;0)=0,,(E32/F32)^(1/MIN(COUNTIF(I32:XFD32,"&gt;"&amp;0)-1,$F$1)))</f>
        <v>1.2074857697376267</v>
      </c>
      <c r="H32" s="13" t="s">
        <v>108</v>
      </c>
      <c r="I32" s="9">
        <v>151</v>
      </c>
      <c r="J32" s="9">
        <v>151</v>
      </c>
      <c r="K32" s="9">
        <v>162</v>
      </c>
      <c r="L32" s="9">
        <v>200</v>
      </c>
      <c r="M32" s="9">
        <v>321</v>
      </c>
    </row>
    <row r="33" spans="1:26" x14ac:dyDescent="0.25">
      <c r="A33" s="9">
        <f t="shared" si="5"/>
        <v>32</v>
      </c>
      <c r="B33" s="9">
        <v>1</v>
      </c>
      <c r="C33" s="9" t="str">
        <f>H33</f>
        <v>Slovenia</v>
      </c>
      <c r="D33" s="6">
        <f>MAX(I33:CL33)</f>
        <v>275</v>
      </c>
      <c r="E33" s="6">
        <f>IF(COUNTIF(I33:XFD33,"&gt;"&amp;0)=0,,HLOOKUP(COUNTIF(I33:XFD33,"&gt;"&amp;0)-1,I$1:XFD33,A33+1,FALSE))</f>
        <v>275</v>
      </c>
      <c r="F33" s="7">
        <f>IF(COUNTIF(I33:XFD33,"&gt;"&amp;0)=0,,HLOOKUP(COUNTIF(I33:XFD33,"&gt;"&amp;0)-MIN($F$1+1,COUNTIF(I33:XFD33,"&gt;"&amp;0)),I$1:XFD33,A33+1,FALSE))</f>
        <v>141</v>
      </c>
      <c r="G33" s="8">
        <f>IF(COUNTIF(I33:XFD33,"&gt;"&amp;0)=0,,(E33/F33)^(1/MIN(COUNTIF(I33:XFD33,"&gt;"&amp;0)-1,$F$1)))</f>
        <v>1.1817575763782182</v>
      </c>
      <c r="H33" s="13" t="s">
        <v>168</v>
      </c>
      <c r="I33" s="9">
        <v>141</v>
      </c>
      <c r="J33" s="9">
        <v>181</v>
      </c>
      <c r="K33" s="9">
        <v>219</v>
      </c>
      <c r="L33" s="9">
        <v>253</v>
      </c>
      <c r="M33" s="9">
        <v>275</v>
      </c>
    </row>
    <row r="34" spans="1:26" x14ac:dyDescent="0.25">
      <c r="A34" s="9">
        <f t="shared" si="5"/>
        <v>33</v>
      </c>
      <c r="B34" s="9">
        <v>1</v>
      </c>
      <c r="C34" s="9" t="str">
        <f>H34</f>
        <v>Singapore</v>
      </c>
      <c r="D34" s="6">
        <f>MAX(I34:CL34)</f>
        <v>266</v>
      </c>
      <c r="E34" s="6">
        <f>IF(COUNTIF(I34:XFD34,"&gt;"&amp;0)=0,,HLOOKUP(COUNTIF(I34:XFD34,"&gt;"&amp;0)-1,I$1:XFD34,A34+1,FALSE))</f>
        <v>266</v>
      </c>
      <c r="F34" s="7">
        <f>IF(COUNTIF(I34:XFD34,"&gt;"&amp;0)=0,,HLOOKUP(COUNTIF(I34:XFD34,"&gt;"&amp;0)-MIN($F$1+1,COUNTIF(I34:XFD34,"&gt;"&amp;0)),I$1:XFD34,A34+1,FALSE))</f>
        <v>178</v>
      </c>
      <c r="G34" s="8">
        <f>IF(COUNTIF(I34:XFD34,"&gt;"&amp;0)=0,,(E34/F34)^(1/MIN(COUNTIF(I34:XFD34,"&gt;"&amp;0)-1,$F$1)))</f>
        <v>1.0836582130639407</v>
      </c>
      <c r="H34" s="13" t="s">
        <v>67</v>
      </c>
      <c r="I34" s="9">
        <v>102</v>
      </c>
      <c r="J34" s="9">
        <v>106</v>
      </c>
      <c r="K34" s="9">
        <v>108</v>
      </c>
      <c r="L34" s="9">
        <v>110</v>
      </c>
      <c r="M34" s="9">
        <v>110</v>
      </c>
      <c r="N34" s="9">
        <v>117</v>
      </c>
      <c r="O34" s="9">
        <v>130</v>
      </c>
      <c r="P34" s="9">
        <v>138</v>
      </c>
      <c r="Q34" s="9">
        <v>150</v>
      </c>
      <c r="R34" s="9">
        <v>150</v>
      </c>
      <c r="S34" s="9">
        <v>160</v>
      </c>
      <c r="T34" s="9">
        <v>178</v>
      </c>
      <c r="U34" s="9">
        <v>178</v>
      </c>
      <c r="V34" s="9">
        <v>200</v>
      </c>
      <c r="W34" s="9">
        <v>212</v>
      </c>
      <c r="X34" s="9">
        <v>226</v>
      </c>
      <c r="Y34" s="9">
        <v>243</v>
      </c>
      <c r="Z34" s="9">
        <v>266</v>
      </c>
    </row>
    <row r="35" spans="1:26" x14ac:dyDescent="0.25">
      <c r="A35" s="9">
        <f t="shared" si="5"/>
        <v>34</v>
      </c>
      <c r="B35" s="9">
        <v>1</v>
      </c>
      <c r="C35" s="9" t="str">
        <f>H35</f>
        <v>Poland</v>
      </c>
      <c r="D35" s="6">
        <f>MAX(I35:CL35)</f>
        <v>238</v>
      </c>
      <c r="E35" s="6">
        <f>IF(COUNTIF(I35:XFD35,"&gt;"&amp;0)=0,,HLOOKUP(COUNTIF(I35:XFD35,"&gt;"&amp;0)-1,I$1:XFD35,A35+1,FALSE))</f>
        <v>238</v>
      </c>
      <c r="F35" s="7">
        <f>IF(COUNTIF(I35:XFD35,"&gt;"&amp;0)=0,,HLOOKUP(COUNTIF(I35:XFD35,"&gt;"&amp;0)-MIN($F$1+1,COUNTIF(I35:XFD35,"&gt;"&amp;0)),I$1:XFD35,A35+1,FALSE))</f>
        <v>103</v>
      </c>
      <c r="G35" s="8">
        <f>IF(COUNTIF(I35:XFD35,"&gt;"&amp;0)=0,,(E35/F35)^(1/MIN(COUNTIF(I35:XFD35,"&gt;"&amp;0)-1,$F$1)))</f>
        <v>1.32204603334969</v>
      </c>
      <c r="H35" s="13" t="s">
        <v>164</v>
      </c>
      <c r="I35" s="9">
        <v>103</v>
      </c>
      <c r="J35" s="9">
        <v>119</v>
      </c>
      <c r="K35" s="9">
        <v>177</v>
      </c>
      <c r="L35" s="9">
        <v>238</v>
      </c>
    </row>
    <row r="36" spans="1:26" x14ac:dyDescent="0.25">
      <c r="A36" s="9">
        <f t="shared" si="5"/>
        <v>35</v>
      </c>
      <c r="B36" s="9">
        <v>1</v>
      </c>
      <c r="C36" s="9" t="str">
        <f>H36</f>
        <v>Pakistan</v>
      </c>
      <c r="D36" s="6">
        <f>MAX(I36:CL36)</f>
        <v>236</v>
      </c>
      <c r="E36" s="6">
        <f>IF(COUNTIF(I36:XFD36,"&gt;"&amp;0)=0,,HLOOKUP(COUNTIF(I36:XFD36,"&gt;"&amp;0)-1,I$1:XFD36,A36+1,FALSE))</f>
        <v>236</v>
      </c>
      <c r="F36" s="7">
        <f>IF(COUNTIF(I36:XFD36,"&gt;"&amp;0)=0,,HLOOKUP(COUNTIF(I36:XFD36,"&gt;"&amp;0)-MIN($F$1+1,COUNTIF(I36:XFD36,"&gt;"&amp;0)),I$1:XFD36,A36+1,FALSE))</f>
        <v>136</v>
      </c>
      <c r="G36" s="8">
        <f>IF(COUNTIF(I36:XFD36,"&gt;"&amp;0)=0,,(E36/F36)^(1/MIN(COUNTIF(I36:XFD36,"&gt;"&amp;0)-1,$F$1)))</f>
        <v>1.7352941176470589</v>
      </c>
      <c r="H36" s="13" t="s">
        <v>107</v>
      </c>
      <c r="I36" s="9">
        <v>136</v>
      </c>
      <c r="J36" s="9">
        <v>236</v>
      </c>
    </row>
    <row r="37" spans="1:26" x14ac:dyDescent="0.25">
      <c r="A37" s="9">
        <f t="shared" si="5"/>
        <v>36</v>
      </c>
      <c r="B37" s="9">
        <v>1</v>
      </c>
      <c r="C37" s="9" t="str">
        <f>H37</f>
        <v>Bahrain</v>
      </c>
      <c r="D37" s="6">
        <f>MAX(I37:CL37)</f>
        <v>228</v>
      </c>
      <c r="E37" s="6">
        <f>IF(COUNTIF(I37:XFD37,"&gt;"&amp;0)=0,,HLOOKUP(COUNTIF(I37:XFD37,"&gt;"&amp;0)-1,I$1:XFD37,A37+1,FALSE))</f>
        <v>228</v>
      </c>
      <c r="F37" s="7">
        <f>IF(COUNTIF(I37:XFD37,"&gt;"&amp;0)=0,,HLOOKUP(COUNTIF(I37:XFD37,"&gt;"&amp;0)-MIN($F$1+1,COUNTIF(I37:XFD37,"&gt;"&amp;0)),I$1:XFD37,A37+1,FALSE))</f>
        <v>195</v>
      </c>
      <c r="G37" s="8">
        <f>IF(COUNTIF(I37:XFD37,"&gt;"&amp;0)=0,,(E37/F37)^(1/MIN(COUNTIF(I37:XFD37,"&gt;"&amp;0)-1,$F$1)))</f>
        <v>1.0317632316880048</v>
      </c>
      <c r="H37" s="13" t="s">
        <v>100</v>
      </c>
      <c r="I37" s="9">
        <v>110</v>
      </c>
      <c r="J37" s="9">
        <v>195</v>
      </c>
      <c r="K37" s="9">
        <v>195</v>
      </c>
      <c r="L37" s="9">
        <v>189</v>
      </c>
      <c r="M37" s="9">
        <v>210</v>
      </c>
      <c r="N37" s="9">
        <v>214</v>
      </c>
      <c r="O37" s="9">
        <v>214</v>
      </c>
      <c r="P37" s="9">
        <v>228</v>
      </c>
    </row>
    <row r="38" spans="1:26" x14ac:dyDescent="0.25">
      <c r="A38" s="9">
        <f t="shared" si="5"/>
        <v>37</v>
      </c>
      <c r="B38" s="9">
        <v>1</v>
      </c>
      <c r="C38" s="9" t="str">
        <f>H38</f>
        <v>Estonia</v>
      </c>
      <c r="D38" s="6">
        <f>MAX(I38:CL38)</f>
        <v>225</v>
      </c>
      <c r="E38" s="6">
        <f>IF(COUNTIF(I38:XFD38,"&gt;"&amp;0)=0,,HLOOKUP(COUNTIF(I38:XFD38,"&gt;"&amp;0)-1,I$1:XFD38,A38+1,FALSE))</f>
        <v>225</v>
      </c>
      <c r="F38" s="7">
        <f>IF(COUNTIF(I38:XFD38,"&gt;"&amp;0)=0,,HLOOKUP(COUNTIF(I38:XFD38,"&gt;"&amp;0)-MIN($F$1+1,COUNTIF(I38:XFD38,"&gt;"&amp;0)),I$1:XFD38,A38+1,FALSE))</f>
        <v>115</v>
      </c>
      <c r="G38" s="8">
        <f>IF(COUNTIF(I38:XFD38,"&gt;"&amp;0)=0,,(E38/F38)^(1/MIN(COUNTIF(I38:XFD38,"&gt;"&amp;0)-1,$F$1)))</f>
        <v>1.2507242180067484</v>
      </c>
      <c r="H38" s="13" t="s">
        <v>115</v>
      </c>
      <c r="I38" s="9">
        <v>115</v>
      </c>
      <c r="J38" s="9">
        <v>171</v>
      </c>
      <c r="K38" s="9">
        <v>205</v>
      </c>
      <c r="L38" s="9">
        <v>225</v>
      </c>
    </row>
    <row r="39" spans="1:26" x14ac:dyDescent="0.25">
      <c r="A39" s="9">
        <f t="shared" si="5"/>
        <v>38</v>
      </c>
      <c r="B39" s="9">
        <v>1</v>
      </c>
      <c r="C39" s="9" t="str">
        <f>H39</f>
        <v>Ireland</v>
      </c>
      <c r="D39" s="6">
        <f>MAX(I39:CL39)</f>
        <v>223</v>
      </c>
      <c r="E39" s="6">
        <f>IF(COUNTIF(I39:XFD39,"&gt;"&amp;0)=0,,HLOOKUP(COUNTIF(I39:XFD39,"&gt;"&amp;0)-1,I$1:XFD39,A39+1,FALSE))</f>
        <v>223</v>
      </c>
      <c r="F39" s="7">
        <f>IF(COUNTIF(I39:XFD39,"&gt;"&amp;0)=0,,HLOOKUP(COUNTIF(I39:XFD39,"&gt;"&amp;0)-MIN($F$1+1,COUNTIF(I39:XFD39,"&gt;"&amp;0)),I$1:XFD39,A39+1,FALSE))</f>
        <v>129</v>
      </c>
      <c r="G39" s="8">
        <f>IF(COUNTIF(I39:XFD39,"&gt;"&amp;0)=0,,(E39/F39)^(1/MIN(COUNTIF(I39:XFD39,"&gt;"&amp;0)-1,$F$1)))</f>
        <v>1.2001578890727884</v>
      </c>
      <c r="H39" s="13" t="s">
        <v>125</v>
      </c>
      <c r="I39" s="9">
        <v>129</v>
      </c>
      <c r="J39" s="9">
        <v>129</v>
      </c>
      <c r="K39" s="9">
        <v>169</v>
      </c>
      <c r="L39" s="9">
        <v>223</v>
      </c>
    </row>
    <row r="40" spans="1:26" x14ac:dyDescent="0.25">
      <c r="A40" s="9">
        <f t="shared" si="5"/>
        <v>39</v>
      </c>
      <c r="B40" s="9">
        <v>1</v>
      </c>
      <c r="C40" s="9" t="str">
        <f>H40</f>
        <v>Iceland</v>
      </c>
      <c r="D40" s="6">
        <f>MAX(I40:CL40)</f>
        <v>220</v>
      </c>
      <c r="E40" s="6">
        <f>IF(COUNTIF(I40:XFD40,"&gt;"&amp;0)=0,,HLOOKUP(COUNTIF(I40:XFD40,"&gt;"&amp;0)-1,I$1:XFD40,A40+1,FALSE))</f>
        <v>220</v>
      </c>
      <c r="F40" s="7">
        <f>IF(COUNTIF(I40:XFD40,"&gt;"&amp;0)=0,,HLOOKUP(COUNTIF(I40:XFD40,"&gt;"&amp;0)-MIN($F$1+1,COUNTIF(I40:XFD40,"&gt;"&amp;0)),I$1:XFD40,A40+1,FALSE))</f>
        <v>103</v>
      </c>
      <c r="G40" s="8">
        <f>IF(COUNTIF(I40:XFD40,"&gt;"&amp;0)=0,,(E40/F40)^(1/MIN(COUNTIF(I40:XFD40,"&gt;"&amp;0)-1,$F$1)))</f>
        <v>1.1639038137093691</v>
      </c>
      <c r="H40" s="13" t="s">
        <v>119</v>
      </c>
      <c r="I40" s="9">
        <v>103</v>
      </c>
      <c r="J40" s="9">
        <v>134</v>
      </c>
      <c r="K40" s="9">
        <v>156</v>
      </c>
      <c r="L40" s="9">
        <v>171</v>
      </c>
      <c r="M40" s="9">
        <v>180</v>
      </c>
      <c r="N40" s="9">
        <v>220</v>
      </c>
    </row>
    <row r="41" spans="1:26" x14ac:dyDescent="0.25">
      <c r="A41" s="9">
        <f t="shared" si="5"/>
        <v>40</v>
      </c>
      <c r="B41" s="9">
        <v>1</v>
      </c>
      <c r="C41" s="9" t="str">
        <f>H41</f>
        <v>Chile</v>
      </c>
      <c r="D41" s="6">
        <f>MAX(I41:CL41)</f>
        <v>201</v>
      </c>
      <c r="E41" s="6">
        <f>IF(COUNTIF(I41:XFD41,"&gt;"&amp;0)=0,,HLOOKUP(COUNTIF(I41:XFD41,"&gt;"&amp;0)-1,I$1:XFD41,A41+1,FALSE))</f>
        <v>201</v>
      </c>
      <c r="F41" s="7">
        <f>IF(COUNTIF(I41:XFD41,"&gt;"&amp;0)=0,,HLOOKUP(COUNTIF(I41:XFD41,"&gt;"&amp;0)-MIN($F$1+1,COUNTIF(I41:XFD41,"&gt;"&amp;0)),I$1:XFD41,A41+1,FALSE))</f>
        <v>155</v>
      </c>
      <c r="G41" s="8">
        <f>IF(COUNTIF(I41:XFD41,"&gt;"&amp;0)=0,,(E41/F41)^(1/MIN(COUNTIF(I41:XFD41,"&gt;"&amp;0)-1,$F$1)))</f>
        <v>1.2967741935483872</v>
      </c>
      <c r="H41" s="13" t="s">
        <v>151</v>
      </c>
      <c r="I41" s="9">
        <v>155</v>
      </c>
      <c r="J41" s="9">
        <v>201</v>
      </c>
    </row>
    <row r="42" spans="1:26" x14ac:dyDescent="0.25">
      <c r="A42" s="9">
        <f t="shared" si="5"/>
        <v>41</v>
      </c>
      <c r="B42" s="9">
        <v>1</v>
      </c>
      <c r="C42" s="9" t="str">
        <f>H42</f>
        <v>Egypt</v>
      </c>
      <c r="D42" s="6">
        <f>MAX(I42:CL42)</f>
        <v>196</v>
      </c>
      <c r="E42" s="6">
        <f>IF(COUNTIF(I42:XFD42,"&gt;"&amp;0)=0,,HLOOKUP(COUNTIF(I42:XFD42,"&gt;"&amp;0)-1,I$1:XFD42,A42+1,FALSE))</f>
        <v>196</v>
      </c>
      <c r="F42" s="7">
        <f>IF(COUNTIF(I42:XFD42,"&gt;"&amp;0)=0,,HLOOKUP(COUNTIF(I42:XFD42,"&gt;"&amp;0)-MIN($F$1+1,COUNTIF(I42:XFD42,"&gt;"&amp;0)),I$1:XFD42,A42+1,FALSE))</f>
        <v>109</v>
      </c>
      <c r="G42" s="8">
        <f>IF(COUNTIF(I42:XFD42,"&gt;"&amp;0)=0,,(E42/F42)^(1/MIN(COUNTIF(I42:XFD42,"&gt;"&amp;0)-1,$F$1)))</f>
        <v>1.2160269251198381</v>
      </c>
      <c r="H42" s="13" t="s">
        <v>92</v>
      </c>
      <c r="I42" s="9">
        <v>109</v>
      </c>
      <c r="J42" s="9">
        <v>110</v>
      </c>
      <c r="K42" s="9">
        <v>150</v>
      </c>
      <c r="L42" s="9">
        <v>196</v>
      </c>
    </row>
    <row r="43" spans="1:26" x14ac:dyDescent="0.25">
      <c r="A43" s="9">
        <f t="shared" si="5"/>
        <v>42</v>
      </c>
      <c r="B43" s="9">
        <v>1</v>
      </c>
      <c r="C43" s="9" t="str">
        <f>H43</f>
        <v>Philippines</v>
      </c>
      <c r="D43" s="6">
        <f>MAX(I43:CL43)</f>
        <v>187</v>
      </c>
      <c r="E43" s="6">
        <f>IF(COUNTIF(I43:XFD43,"&gt;"&amp;0)=0,,HLOOKUP(COUNTIF(I43:XFD43,"&gt;"&amp;0)-1,I$1:XFD43,A43+1,FALSE))</f>
        <v>187</v>
      </c>
      <c r="F43" s="7">
        <f>IF(COUNTIF(I43:XFD43,"&gt;"&amp;0)=0,,HLOOKUP(COUNTIF(I43:XFD43,"&gt;"&amp;0)-MIN($F$1+1,COUNTIF(I43:XFD43,"&gt;"&amp;0)),I$1:XFD43,A43+1,FALSE))</f>
        <v>111</v>
      </c>
      <c r="G43" s="8">
        <f>IF(COUNTIF(I43:XFD43,"&gt;"&amp;0)=0,,(E43/F43)^(1/MIN(COUNTIF(I43:XFD43,"&gt;"&amp;0)-1,$F$1)))</f>
        <v>1.1898883412603818</v>
      </c>
      <c r="H43" s="13" t="s">
        <v>83</v>
      </c>
      <c r="I43" s="9">
        <v>111</v>
      </c>
      <c r="J43" s="9">
        <v>140</v>
      </c>
      <c r="K43" s="9">
        <v>142</v>
      </c>
      <c r="L43" s="9">
        <v>187</v>
      </c>
    </row>
    <row r="44" spans="1:26" x14ac:dyDescent="0.25">
      <c r="A44" s="9">
        <f t="shared" si="5"/>
        <v>43</v>
      </c>
      <c r="B44" s="9">
        <v>1</v>
      </c>
      <c r="C44" s="9" t="str">
        <f>H44</f>
        <v>Romania</v>
      </c>
      <c r="D44" s="6">
        <f>MAX(I44:CL44)</f>
        <v>184</v>
      </c>
      <c r="E44" s="6">
        <f>IF(COUNTIF(I44:XFD44,"&gt;"&amp;0)=0,,HLOOKUP(COUNTIF(I44:XFD44,"&gt;"&amp;0)-1,I$1:XFD44,A44+1,FALSE))</f>
        <v>184</v>
      </c>
      <c r="F44" s="7">
        <f>IF(COUNTIF(I44:XFD44,"&gt;"&amp;0)=0,,HLOOKUP(COUNTIF(I44:XFD44,"&gt;"&amp;0)-MIN($F$1+1,COUNTIF(I44:XFD44,"&gt;"&amp;0)),I$1:XFD44,A44+1,FALSE))</f>
        <v>123</v>
      </c>
      <c r="G44" s="8">
        <f>IF(COUNTIF(I44:XFD44,"&gt;"&amp;0)=0,,(E44/F44)^(1/MIN(COUNTIF(I44:XFD44,"&gt;"&amp;0)-1,$F$1)))</f>
        <v>1.1436792381530532</v>
      </c>
      <c r="H44" s="13" t="s">
        <v>113</v>
      </c>
      <c r="I44" s="9">
        <v>123</v>
      </c>
      <c r="J44" s="9">
        <v>131</v>
      </c>
      <c r="K44" s="9">
        <v>158</v>
      </c>
      <c r="L44" s="9">
        <v>184</v>
      </c>
    </row>
    <row r="45" spans="1:26" x14ac:dyDescent="0.25">
      <c r="A45" s="9">
        <f t="shared" si="5"/>
        <v>44</v>
      </c>
      <c r="B45" s="9">
        <v>1</v>
      </c>
      <c r="C45" s="9" t="str">
        <f>H45</f>
        <v>Thailand</v>
      </c>
      <c r="D45" s="6">
        <f>MAX(I45:CL45)</f>
        <v>177</v>
      </c>
      <c r="E45" s="6">
        <f>IF(COUNTIF(I45:XFD45,"&gt;"&amp;0)=0,,HLOOKUP(COUNTIF(I45:XFD45,"&gt;"&amp;0)-1,I$1:XFD45,A45+1,FALSE))</f>
        <v>177</v>
      </c>
      <c r="F45" s="7">
        <f>IF(COUNTIF(I45:XFD45,"&gt;"&amp;0)=0,,HLOOKUP(COUNTIF(I45:XFD45,"&gt;"&amp;0)-MIN($F$1+1,COUNTIF(I45:XFD45,"&gt;"&amp;0)),I$1:XFD45,A45+1,FALSE))</f>
        <v>114</v>
      </c>
      <c r="G45" s="8">
        <f>IF(COUNTIF(I45:XFD45,"&gt;"&amp;0)=0,,(E45/F45)^(1/MIN(COUNTIF(I45:XFD45,"&gt;"&amp;0)-1,$F$1)))</f>
        <v>1.2460463791317595</v>
      </c>
      <c r="H45" s="13" t="s">
        <v>62</v>
      </c>
      <c r="I45" s="9">
        <v>114</v>
      </c>
      <c r="J45" s="9">
        <v>147</v>
      </c>
      <c r="K45" s="9">
        <v>177</v>
      </c>
    </row>
    <row r="46" spans="1:26" x14ac:dyDescent="0.25">
      <c r="A46" s="9">
        <f t="shared" si="5"/>
        <v>45</v>
      </c>
      <c r="B46" s="9">
        <v>1</v>
      </c>
      <c r="C46" s="9" t="str">
        <f>H46</f>
        <v>Indonesia</v>
      </c>
      <c r="D46" s="6">
        <f>MAX(I46:CL46)</f>
        <v>172</v>
      </c>
      <c r="E46" s="6">
        <f>IF(COUNTIF(I46:XFD46,"&gt;"&amp;0)=0,,HLOOKUP(COUNTIF(I46:XFD46,"&gt;"&amp;0)-1,I$1:XFD46,A46+1,FALSE))</f>
        <v>172</v>
      </c>
      <c r="F46" s="7">
        <f>IF(COUNTIF(I46:XFD46,"&gt;"&amp;0)=0,,HLOOKUP(COUNTIF(I46:XFD46,"&gt;"&amp;0)-MIN($F$1+1,COUNTIF(I46:XFD46,"&gt;"&amp;0)),I$1:XFD46,A46+1,FALSE))</f>
        <v>117</v>
      </c>
      <c r="G46" s="8">
        <f>IF(COUNTIF(I46:XFD46,"&gt;"&amp;0)=0,,(E46/F46)^(1/MIN(COUNTIF(I46:XFD46,"&gt;"&amp;0)-1,$F$1)))</f>
        <v>1.2124708120550656</v>
      </c>
      <c r="H46" s="13" t="s">
        <v>134</v>
      </c>
      <c r="I46" s="9">
        <v>117</v>
      </c>
      <c r="J46" s="9">
        <v>134</v>
      </c>
      <c r="K46" s="9">
        <v>172</v>
      </c>
    </row>
    <row r="47" spans="1:26" x14ac:dyDescent="0.25">
      <c r="A47" s="9">
        <f t="shared" si="5"/>
        <v>46</v>
      </c>
      <c r="B47" s="9">
        <v>1</v>
      </c>
      <c r="C47" s="9" t="str">
        <f>H47</f>
        <v>Saudi Arabia</v>
      </c>
      <c r="D47" s="6">
        <f>MAX(I47:CL47)</f>
        <v>171</v>
      </c>
      <c r="E47" s="6">
        <f>IF(COUNTIF(I47:XFD47,"&gt;"&amp;0)=0,,HLOOKUP(COUNTIF(I47:XFD47,"&gt;"&amp;0)-1,I$1:XFD47,A47+1,FALSE))</f>
        <v>171</v>
      </c>
      <c r="F47" s="7">
        <f>IF(COUNTIF(I47:XFD47,"&gt;"&amp;0)=0,,HLOOKUP(COUNTIF(I47:XFD47,"&gt;"&amp;0)-MIN($F$1+1,COUNTIF(I47:XFD47,"&gt;"&amp;0)),I$1:XFD47,A47+1,FALSE))</f>
        <v>103</v>
      </c>
      <c r="G47" s="8">
        <f>IF(COUNTIF(I47:XFD47,"&gt;"&amp;0)=0,,(E47/F47)^(1/MIN(COUNTIF(I47:XFD47,"&gt;"&amp;0)-1,$F$1)))</f>
        <v>1.184094312863732</v>
      </c>
      <c r="H47" s="13" t="s">
        <v>140</v>
      </c>
      <c r="I47" s="9">
        <v>103</v>
      </c>
      <c r="J47" s="9">
        <v>103</v>
      </c>
      <c r="K47" s="9">
        <v>118</v>
      </c>
      <c r="L47" s="9">
        <v>171</v>
      </c>
    </row>
    <row r="48" spans="1:26" x14ac:dyDescent="0.25">
      <c r="A48" s="9">
        <f t="shared" si="5"/>
        <v>47</v>
      </c>
      <c r="B48" s="9">
        <v>1</v>
      </c>
      <c r="C48" s="9" t="str">
        <f>H48</f>
        <v>Iraq</v>
      </c>
      <c r="D48" s="6">
        <f>MAX(I48:CL48)</f>
        <v>154</v>
      </c>
      <c r="E48" s="6">
        <f>IF(COUNTIF(I48:XFD48,"&gt;"&amp;0)=0,,HLOOKUP(COUNTIF(I48:XFD48,"&gt;"&amp;0)-1,I$1:XFD48,A48+1,FALSE))</f>
        <v>154</v>
      </c>
      <c r="F48" s="7">
        <f>IF(COUNTIF(I48:XFD48,"&gt;"&amp;0)=0,,HLOOKUP(COUNTIF(I48:XFD48,"&gt;"&amp;0)-MIN($F$1+1,COUNTIF(I48:XFD48,"&gt;"&amp;0)),I$1:XFD48,A48+1,FALSE))</f>
        <v>101</v>
      </c>
      <c r="G48" s="8">
        <f>IF(COUNTIF(I48:XFD48,"&gt;"&amp;0)=0,,(E48/F48)^(1/MIN(COUNTIF(I48:XFD48,"&gt;"&amp;0)-1,$F$1)))</f>
        <v>1.1112194560990054</v>
      </c>
      <c r="H48" s="13" t="s">
        <v>97</v>
      </c>
      <c r="I48" s="9">
        <v>101</v>
      </c>
      <c r="J48" s="9">
        <v>110</v>
      </c>
      <c r="K48" s="9">
        <v>116</v>
      </c>
      <c r="L48" s="9">
        <v>124</v>
      </c>
      <c r="M48" s="9">
        <v>154</v>
      </c>
    </row>
    <row r="49" spans="1:12" x14ac:dyDescent="0.25">
      <c r="A49" s="9">
        <f t="shared" si="5"/>
        <v>48</v>
      </c>
      <c r="B49" s="9">
        <v>1</v>
      </c>
      <c r="C49" s="9" t="str">
        <f>H49</f>
        <v>India</v>
      </c>
      <c r="D49" s="6">
        <f>MAX(I49:CL49)</f>
        <v>142</v>
      </c>
      <c r="E49" s="6">
        <f>IF(COUNTIF(I49:XFD49,"&gt;"&amp;0)=0,,HLOOKUP(COUNTIF(I49:XFD49,"&gt;"&amp;0)-1,I$1:XFD49,A49+1,FALSE))</f>
        <v>142</v>
      </c>
      <c r="F49" s="7">
        <f>IF(COUNTIF(I49:XFD49,"&gt;"&amp;0)=0,,HLOOKUP(COUNTIF(I49:XFD49,"&gt;"&amp;0)-MIN($F$1+1,COUNTIF(I49:XFD49,"&gt;"&amp;0)),I$1:XFD49,A49+1,FALSE))</f>
        <v>102</v>
      </c>
      <c r="G49" s="8">
        <f>IF(COUNTIF(I49:XFD49,"&gt;"&amp;0)=0,,(E49/F49)^(1/MIN(COUNTIF(I49:XFD49,"&gt;"&amp;0)-1,$F$1)))</f>
        <v>1.1165959737838647</v>
      </c>
      <c r="H49" s="13" t="s">
        <v>84</v>
      </c>
      <c r="I49" s="9">
        <v>102</v>
      </c>
      <c r="J49" s="9">
        <v>113</v>
      </c>
      <c r="K49" s="9">
        <v>119</v>
      </c>
      <c r="L49" s="9">
        <v>142</v>
      </c>
    </row>
    <row r="50" spans="1:12" x14ac:dyDescent="0.25">
      <c r="A50" s="9">
        <f t="shared" si="5"/>
        <v>49</v>
      </c>
      <c r="B50" s="9">
        <v>1</v>
      </c>
      <c r="C50" s="9" t="str">
        <f>H50</f>
        <v>Luxembourg</v>
      </c>
      <c r="D50" s="6">
        <f>MAX(I50:CL50)</f>
        <v>140</v>
      </c>
      <c r="E50" s="6">
        <f>IF(COUNTIF(I50:XFD50,"&gt;"&amp;0)=0,,HLOOKUP(COUNTIF(I50:XFD50,"&gt;"&amp;0)-1,I$1:XFD50,A50+1,FALSE))</f>
        <v>140</v>
      </c>
      <c r="F50" s="7">
        <f>IF(COUNTIF(I50:XFD50,"&gt;"&amp;0)=0,,HLOOKUP(COUNTIF(I50:XFD50,"&gt;"&amp;0)-MIN($F$1+1,COUNTIF(I50:XFD50,"&gt;"&amp;0)),I$1:XFD50,A50+1,FALSE))</f>
        <v>140</v>
      </c>
      <c r="G50" s="8" t="e">
        <f>IF(COUNTIF(I50:XFD50,"&gt;"&amp;0)=0,,(E50/F50)^(1/MIN(COUNTIF(I50:XFD50,"&gt;"&amp;0)-1,$F$1)))</f>
        <v>#DIV/0!</v>
      </c>
      <c r="H50" s="13" t="s">
        <v>126</v>
      </c>
      <c r="I50" s="9">
        <v>140</v>
      </c>
    </row>
    <row r="51" spans="1:12" x14ac:dyDescent="0.25">
      <c r="A51" s="9">
        <f t="shared" si="5"/>
        <v>50</v>
      </c>
      <c r="B51" s="9">
        <v>1</v>
      </c>
      <c r="C51" s="9" t="str">
        <f>H51</f>
        <v>Kuwait</v>
      </c>
      <c r="D51" s="6">
        <f>MAX(I51:CL51)</f>
        <v>130</v>
      </c>
      <c r="E51" s="6">
        <f>IF(COUNTIF(I51:XFD51,"&gt;"&amp;0)=0,,HLOOKUP(COUNTIF(I51:XFD51,"&gt;"&amp;0)-1,I$1:XFD51,A51+1,FALSE))</f>
        <v>130</v>
      </c>
      <c r="F51" s="7">
        <f>IF(COUNTIF(I51:XFD51,"&gt;"&amp;0)=0,,HLOOKUP(COUNTIF(I51:XFD51,"&gt;"&amp;0)-MIN($F$1+1,COUNTIF(I51:XFD51,"&gt;"&amp;0)),I$1:XFD51,A51+1,FALSE))</f>
        <v>104</v>
      </c>
      <c r="G51" s="8">
        <f>IF(COUNTIF(I51:XFD51,"&gt;"&amp;0)=0,,(E51/F51)^(1/MIN(COUNTIF(I51:XFD51,"&gt;"&amp;0)-1,$F$1)))</f>
        <v>1.0772173450159419</v>
      </c>
      <c r="H51" s="13" t="s">
        <v>101</v>
      </c>
      <c r="I51" s="9">
        <v>104</v>
      </c>
      <c r="J51" s="9">
        <v>112</v>
      </c>
      <c r="K51" s="9">
        <v>123</v>
      </c>
      <c r="L51" s="9">
        <v>130</v>
      </c>
    </row>
    <row r="52" spans="1:12" x14ac:dyDescent="0.25">
      <c r="A52" s="9">
        <f t="shared" si="5"/>
        <v>51</v>
      </c>
      <c r="B52" s="9">
        <v>1</v>
      </c>
      <c r="C52" s="9" t="str">
        <f>H52</f>
        <v>Lebanon</v>
      </c>
      <c r="D52" s="6">
        <f>MAX(I52:CL52)</f>
        <v>120</v>
      </c>
      <c r="E52" s="6">
        <f>IF(COUNTIF(I52:XFD52,"&gt;"&amp;0)=0,,HLOOKUP(COUNTIF(I52:XFD52,"&gt;"&amp;0)-1,I$1:XFD52,A52+1,FALSE))</f>
        <v>120</v>
      </c>
      <c r="F52" s="7">
        <f>IF(COUNTIF(I52:XFD52,"&gt;"&amp;0)=0,,HLOOKUP(COUNTIF(I52:XFD52,"&gt;"&amp;0)-MIN($F$1+1,COUNTIF(I52:XFD52,"&gt;"&amp;0)),I$1:XFD52,A52+1,FALSE))</f>
        <v>110</v>
      </c>
      <c r="G52" s="8">
        <f>IF(COUNTIF(I52:XFD52,"&gt;"&amp;0)=0,,(E52/F52)^(1/MIN(COUNTIF(I52:XFD52,"&gt;"&amp;0)-1,$F$1)))</f>
        <v>1.044465935734187</v>
      </c>
      <c r="H52" s="13" t="s">
        <v>94</v>
      </c>
      <c r="I52" s="9">
        <v>110</v>
      </c>
      <c r="J52" s="9">
        <v>99</v>
      </c>
      <c r="K52" s="9">
        <v>120</v>
      </c>
    </row>
    <row r="53" spans="1:12" x14ac:dyDescent="0.25">
      <c r="A53" s="9">
        <f t="shared" si="5"/>
        <v>52</v>
      </c>
      <c r="B53" s="9">
        <v>1</v>
      </c>
      <c r="C53" s="9" t="str">
        <f>H53</f>
        <v>Peru</v>
      </c>
      <c r="D53" s="6">
        <f>MAX(I53:CL53)</f>
        <v>117</v>
      </c>
      <c r="E53" s="6">
        <f>IF(COUNTIF(I53:XFD53,"&gt;"&amp;0)=0,,HLOOKUP(COUNTIF(I53:XFD53,"&gt;"&amp;0)-1,I$1:XFD53,A53+1,FALSE))</f>
        <v>117</v>
      </c>
      <c r="F53" s="7">
        <f>IF(COUNTIF(I53:XFD53,"&gt;"&amp;0)=0,,HLOOKUP(COUNTIF(I53:XFD53,"&gt;"&amp;0)-MIN($F$1+1,COUNTIF(I53:XFD53,"&gt;"&amp;0)),I$1:XFD53,A53+1,FALSE))</f>
        <v>117</v>
      </c>
      <c r="G53" s="8" t="e">
        <f>IF(COUNTIF(I53:XFD53,"&gt;"&amp;0)=0,,(E53/F53)^(1/MIN(COUNTIF(I53:XFD53,"&gt;"&amp;0)-1,$F$1)))</f>
        <v>#DIV/0!</v>
      </c>
      <c r="H53" s="13" t="s">
        <v>187</v>
      </c>
      <c r="I53" s="9">
        <v>117</v>
      </c>
    </row>
    <row r="54" spans="1:12" x14ac:dyDescent="0.25">
      <c r="A54" s="9">
        <f t="shared" si="5"/>
        <v>53</v>
      </c>
      <c r="B54" s="9">
        <v>1</v>
      </c>
      <c r="C54" s="9" t="str">
        <f>H54</f>
        <v>Russia</v>
      </c>
      <c r="D54" s="6">
        <f>MAX(I54:CL54)</f>
        <v>114</v>
      </c>
      <c r="E54" s="6">
        <f>IF(COUNTIF(I54:XFD54,"&gt;"&amp;0)=0,,HLOOKUP(COUNTIF(I54:XFD54,"&gt;"&amp;0)-1,I$1:XFD54,A54+1,FALSE))</f>
        <v>114</v>
      </c>
      <c r="F54" s="7">
        <f>IF(COUNTIF(I54:XFD54,"&gt;"&amp;0)=0,,HLOOKUP(COUNTIF(I54:XFD54,"&gt;"&amp;0)-MIN($F$1+1,COUNTIF(I54:XFD54,"&gt;"&amp;0)),I$1:XFD54,A54+1,FALSE))</f>
        <v>114</v>
      </c>
      <c r="G54" s="8" t="e">
        <f>IF(COUNTIF(I54:XFD54,"&gt;"&amp;0)=0,,(E54/F54)^(1/MIN(COUNTIF(I54:XFD54,"&gt;"&amp;0)-1,$F$1)))</f>
        <v>#DIV/0!</v>
      </c>
      <c r="H54" s="13" t="s">
        <v>372</v>
      </c>
      <c r="I54" s="9">
        <v>114</v>
      </c>
    </row>
    <row r="55" spans="1:12" x14ac:dyDescent="0.25">
      <c r="A55" s="9">
        <f t="shared" si="5"/>
        <v>54</v>
      </c>
      <c r="B55" s="9">
        <v>1</v>
      </c>
      <c r="C55" s="9" t="str">
        <f>H55</f>
        <v>San Marino</v>
      </c>
      <c r="D55" s="6">
        <f>MAX(I55:CL55)</f>
        <v>109</v>
      </c>
      <c r="E55" s="6">
        <f>IF(COUNTIF(I55:XFD55,"&gt;"&amp;0)=0,,HLOOKUP(COUNTIF(I55:XFD55,"&gt;"&amp;0)-1,I$1:XFD55,A55+1,FALSE))</f>
        <v>109</v>
      </c>
      <c r="F55" s="7">
        <f>IF(COUNTIF(I55:XFD55,"&gt;"&amp;0)=0,,HLOOKUP(COUNTIF(I55:XFD55,"&gt;"&amp;0)-MIN($F$1+1,COUNTIF(I55:XFD55,"&gt;"&amp;0)),I$1:XFD55,A55+1,FALSE))</f>
        <v>101</v>
      </c>
      <c r="G55" s="8">
        <f>IF(COUNTIF(I55:XFD55,"&gt;"&amp;0)=0,,(E55/F55)^(1/MIN(COUNTIF(I55:XFD55,"&gt;"&amp;0)-1,$F$1)))</f>
        <v>1.0388493253557416</v>
      </c>
      <c r="H55" s="13" t="s">
        <v>117</v>
      </c>
      <c r="I55" s="9">
        <v>101</v>
      </c>
      <c r="J55" s="9">
        <v>109</v>
      </c>
      <c r="K55" s="9">
        <v>109</v>
      </c>
    </row>
    <row r="56" spans="1:12" x14ac:dyDescent="0.25">
      <c r="A56" s="9">
        <f t="shared" si="5"/>
        <v>55</v>
      </c>
      <c r="B56" s="9">
        <v>1</v>
      </c>
      <c r="C56" s="9">
        <f>H56</f>
        <v>0</v>
      </c>
      <c r="D56" s="6">
        <f>MAX(I56:CL56)</f>
        <v>0</v>
      </c>
      <c r="E56" s="6">
        <f>IF(COUNTIF(I56:XFD56,"&gt;"&amp;0)=0,,HLOOKUP(COUNTIF(I56:XFD56,"&gt;"&amp;0)-1,I$1:XFD56,A56+1,FALSE))</f>
        <v>0</v>
      </c>
      <c r="F56" s="7">
        <f>IF(COUNTIF(I56:XFD56,"&gt;"&amp;0)=0,,HLOOKUP(COUNTIF(I56:XFD56,"&gt;"&amp;0)-MIN($F$1+1,COUNTIF(I56:XFD56,"&gt;"&amp;0)),I$1:XFD56,A56+1,FALSE))</f>
        <v>0</v>
      </c>
      <c r="G56" s="8">
        <f>IF(COUNTIF(I56:XFD56,"&gt;"&amp;0)=0,,(E56/F56)^(1/MIN(COUNTIF(I56:XFD56,"&gt;"&amp;0)-1,$F$1)))</f>
        <v>0</v>
      </c>
    </row>
    <row r="57" spans="1:12" x14ac:dyDescent="0.25">
      <c r="A57" s="9">
        <f t="shared" si="5"/>
        <v>56</v>
      </c>
      <c r="B57" s="9">
        <v>1</v>
      </c>
      <c r="C57" s="9">
        <f>H57</f>
        <v>0</v>
      </c>
      <c r="D57" s="6">
        <f>MAX(I57:CL57)</f>
        <v>0</v>
      </c>
      <c r="E57" s="6">
        <f>IF(COUNTIF(I57:XFD57,"&gt;"&amp;0)=0,,HLOOKUP(COUNTIF(I57:XFD57,"&gt;"&amp;0)-1,I$1:XFD57,A57+1,FALSE))</f>
        <v>0</v>
      </c>
      <c r="F57" s="7">
        <f>IF(COUNTIF(I57:XFD57,"&gt;"&amp;0)=0,,HLOOKUP(COUNTIF(I57:XFD57,"&gt;"&amp;0)-MIN($F$1+1,COUNTIF(I57:XFD57,"&gt;"&amp;0)),I$1:XFD57,A57+1,FALSE))</f>
        <v>0</v>
      </c>
      <c r="G57" s="8">
        <f>IF(COUNTIF(I57:XFD57,"&gt;"&amp;0)=0,,(E57/F57)^(1/MIN(COUNTIF(I57:XFD57,"&gt;"&amp;0)-1,$F$1)))</f>
        <v>0</v>
      </c>
    </row>
    <row r="58" spans="1:12" x14ac:dyDescent="0.25">
      <c r="A58" s="9">
        <f t="shared" si="5"/>
        <v>57</v>
      </c>
      <c r="B58" s="9">
        <v>1</v>
      </c>
      <c r="C58" s="9">
        <f>H58</f>
        <v>0</v>
      </c>
      <c r="D58" s="6">
        <f>MAX(I58:CL58)</f>
        <v>0</v>
      </c>
      <c r="E58" s="6">
        <f>IF(COUNTIF(I58:XFD58,"&gt;"&amp;0)=0,,HLOOKUP(COUNTIF(I58:XFD58,"&gt;"&amp;0)-1,I$1:XFD58,A58+1,FALSE))</f>
        <v>0</v>
      </c>
      <c r="F58" s="7">
        <f>IF(COUNTIF(I58:XFD58,"&gt;"&amp;0)=0,,HLOOKUP(COUNTIF(I58:XFD58,"&gt;"&amp;0)-MIN($F$1+1,COUNTIF(I58:XFD58,"&gt;"&amp;0)),I$1:XFD58,A58+1,FALSE))</f>
        <v>0</v>
      </c>
      <c r="G58" s="8">
        <f>IF(COUNTIF(I58:XFD58,"&gt;"&amp;0)=0,,(E58/F58)^(1/MIN(COUNTIF(I58:XFD58,"&gt;"&amp;0)-1,$F$1)))</f>
        <v>0</v>
      </c>
    </row>
    <row r="59" spans="1:12" x14ac:dyDescent="0.25">
      <c r="A59" s="9">
        <f t="shared" si="5"/>
        <v>58</v>
      </c>
      <c r="B59" s="9">
        <v>1</v>
      </c>
      <c r="C59" s="9">
        <f>H59</f>
        <v>0</v>
      </c>
      <c r="D59" s="6">
        <f>MAX(I59:CL59)</f>
        <v>0</v>
      </c>
      <c r="E59" s="6">
        <f>IF(COUNTIF(I59:XFD59,"&gt;"&amp;0)=0,,HLOOKUP(COUNTIF(I59:XFD59,"&gt;"&amp;0)-1,I$1:XFD59,A59+1,FALSE))</f>
        <v>0</v>
      </c>
      <c r="F59" s="7">
        <f>IF(COUNTIF(I59:XFD59,"&gt;"&amp;0)=0,,HLOOKUP(COUNTIF(I59:XFD59,"&gt;"&amp;0)-MIN($F$1+1,COUNTIF(I59:XFD59,"&gt;"&amp;0)),I$1:XFD59,A59+1,FALSE))</f>
        <v>0</v>
      </c>
      <c r="G59" s="8">
        <f>IF(COUNTIF(I59:XFD59,"&gt;"&amp;0)=0,,(E59/F59)^(1/MIN(COUNTIF(I59:XFD59,"&gt;"&amp;0)-1,$F$1)))</f>
        <v>0</v>
      </c>
    </row>
    <row r="60" spans="1:12" x14ac:dyDescent="0.25">
      <c r="A60" s="9">
        <f t="shared" si="5"/>
        <v>59</v>
      </c>
      <c r="B60" s="9">
        <v>1</v>
      </c>
      <c r="C60" s="9">
        <f>H60</f>
        <v>0</v>
      </c>
      <c r="D60" s="6">
        <f>MAX(I60:CL60)</f>
        <v>0</v>
      </c>
      <c r="E60" s="6">
        <f>IF(COUNTIF(I60:XFD60,"&gt;"&amp;0)=0,,HLOOKUP(COUNTIF(I60:XFD60,"&gt;"&amp;0)-1,I$1:XFD60,A60+1,FALSE))</f>
        <v>0</v>
      </c>
      <c r="F60" s="7">
        <f>IF(COUNTIF(I60:XFD60,"&gt;"&amp;0)=0,,HLOOKUP(COUNTIF(I60:XFD60,"&gt;"&amp;0)-MIN($F$1+1,COUNTIF(I60:XFD60,"&gt;"&amp;0)),I$1:XFD60,A60+1,FALSE))</f>
        <v>0</v>
      </c>
      <c r="G60" s="8">
        <f>IF(COUNTIF(I60:XFD60,"&gt;"&amp;0)=0,,(E60/F60)^(1/MIN(COUNTIF(I60:XFD60,"&gt;"&amp;0)-1,$F$1)))</f>
        <v>0</v>
      </c>
    </row>
    <row r="61" spans="1:12" x14ac:dyDescent="0.25">
      <c r="A61" s="9">
        <f t="shared" si="5"/>
        <v>60</v>
      </c>
      <c r="B61" s="9">
        <v>1</v>
      </c>
      <c r="C61" s="9">
        <f>H61</f>
        <v>0</v>
      </c>
      <c r="D61" s="6">
        <f>MAX(I61:CL61)</f>
        <v>0</v>
      </c>
      <c r="E61" s="6">
        <f>IF(COUNTIF(I61:XFD61,"&gt;"&amp;0)=0,,HLOOKUP(COUNTIF(I61:XFD61,"&gt;"&amp;0)-1,I$1:XFD61,A61+1,FALSE))</f>
        <v>0</v>
      </c>
      <c r="F61" s="7">
        <f>IF(COUNTIF(I61:XFD61,"&gt;"&amp;0)=0,,HLOOKUP(COUNTIF(I61:XFD61,"&gt;"&amp;0)-MIN($F$1+1,COUNTIF(I61:XFD61,"&gt;"&amp;0)),I$1:XFD61,A61+1,FALSE))</f>
        <v>0</v>
      </c>
      <c r="G61" s="8">
        <f>IF(COUNTIF(I61:XFD61,"&gt;"&amp;0)=0,,(E61/F61)^(1/MIN(COUNTIF(I61:XFD61,"&gt;"&amp;0)-1,$F$1)))</f>
        <v>0</v>
      </c>
    </row>
    <row r="62" spans="1:12" x14ac:dyDescent="0.25">
      <c r="A62" s="9">
        <f t="shared" si="5"/>
        <v>61</v>
      </c>
      <c r="B62" s="9">
        <v>1</v>
      </c>
      <c r="C62" s="9">
        <f>H62</f>
        <v>0</v>
      </c>
      <c r="D62" s="6">
        <f>MAX(I62:CL62)</f>
        <v>0</v>
      </c>
      <c r="E62" s="6">
        <f>IF(COUNTIF(I62:XFD62,"&gt;"&amp;0)=0,,HLOOKUP(COUNTIF(I62:XFD62,"&gt;"&amp;0)-1,I$1:XFD62,A62+1,FALSE))</f>
        <v>0</v>
      </c>
      <c r="F62" s="7">
        <f>IF(COUNTIF(I62:XFD62,"&gt;"&amp;0)=0,,HLOOKUP(COUNTIF(I62:XFD62,"&gt;"&amp;0)-MIN($F$1+1,COUNTIF(I62:XFD62,"&gt;"&amp;0)),I$1:XFD62,A62+1,FALSE))</f>
        <v>0</v>
      </c>
      <c r="G62" s="8">
        <f>IF(COUNTIF(I62:XFD62,"&gt;"&amp;0)=0,,(E62/F62)^(1/MIN(COUNTIF(I62:XFD62,"&gt;"&amp;0)-1,$F$1)))</f>
        <v>0</v>
      </c>
    </row>
    <row r="63" spans="1:12" x14ac:dyDescent="0.25">
      <c r="A63" s="9">
        <f t="shared" si="5"/>
        <v>62</v>
      </c>
      <c r="B63" s="9">
        <v>1</v>
      </c>
      <c r="C63" s="9">
        <f>H63</f>
        <v>0</v>
      </c>
      <c r="D63" s="6">
        <f>MAX(I63:CL63)</f>
        <v>0</v>
      </c>
      <c r="E63" s="6">
        <f>IF(COUNTIF(I63:XFD63,"&gt;"&amp;0)=0,,HLOOKUP(COUNTIF(I63:XFD63,"&gt;"&amp;0)-1,I$1:XFD63,A63+1,FALSE))</f>
        <v>0</v>
      </c>
      <c r="F63" s="7">
        <f>IF(COUNTIF(I63:XFD63,"&gt;"&amp;0)=0,,HLOOKUP(COUNTIF(I63:XFD63,"&gt;"&amp;0)-MIN($F$1+1,COUNTIF(I63:XFD63,"&gt;"&amp;0)),I$1:XFD63,A63+1,FALSE))</f>
        <v>0</v>
      </c>
      <c r="G63" s="8">
        <f>IF(COUNTIF(I63:XFD63,"&gt;"&amp;0)=0,,(E63/F63)^(1/MIN(COUNTIF(I63:XFD63,"&gt;"&amp;0)-1,$F$1)))</f>
        <v>0</v>
      </c>
    </row>
    <row r="64" spans="1:12" x14ac:dyDescent="0.25">
      <c r="A64" s="9">
        <f t="shared" si="5"/>
        <v>63</v>
      </c>
      <c r="B64" s="9">
        <v>1</v>
      </c>
      <c r="C64" s="9">
        <f>H64</f>
        <v>0</v>
      </c>
      <c r="D64" s="6">
        <f>MAX(I64:CL64)</f>
        <v>0</v>
      </c>
      <c r="E64" s="6">
        <f>IF(COUNTIF(I64:XFD64,"&gt;"&amp;0)=0,,HLOOKUP(COUNTIF(I64:XFD64,"&gt;"&amp;0)-1,I$1:XFD64,A64+1,FALSE))</f>
        <v>0</v>
      </c>
      <c r="F64" s="7">
        <f>IF(COUNTIF(I64:XFD64,"&gt;"&amp;0)=0,,HLOOKUP(COUNTIF(I64:XFD64,"&gt;"&amp;0)-MIN($F$1+1,COUNTIF(I64:XFD64,"&gt;"&amp;0)),I$1:XFD64,A64+1,FALSE))</f>
        <v>0</v>
      </c>
      <c r="G64" s="8">
        <f>IF(COUNTIF(I64:XFD64,"&gt;"&amp;0)=0,,(E64/F64)^(1/MIN(COUNTIF(I64:XFD64,"&gt;"&amp;0)-1,$F$1)))</f>
        <v>0</v>
      </c>
    </row>
    <row r="65" spans="1:7" x14ac:dyDescent="0.25">
      <c r="A65" s="9">
        <f t="shared" si="5"/>
        <v>64</v>
      </c>
      <c r="B65" s="9">
        <v>1</v>
      </c>
      <c r="C65" s="9">
        <f>H65</f>
        <v>0</v>
      </c>
      <c r="D65" s="6">
        <f>MAX(I65:CL65)</f>
        <v>0</v>
      </c>
      <c r="E65" s="6">
        <f>IF(COUNTIF(I65:XFD65,"&gt;"&amp;0)=0,,HLOOKUP(COUNTIF(I65:XFD65,"&gt;"&amp;0)-1,I$1:XFD65,A65+1,FALSE))</f>
        <v>0</v>
      </c>
      <c r="F65" s="7">
        <f>IF(COUNTIF(I65:XFD65,"&gt;"&amp;0)=0,,HLOOKUP(COUNTIF(I65:XFD65,"&gt;"&amp;0)-MIN($F$1+1,COUNTIF(I65:XFD65,"&gt;"&amp;0)),I$1:XFD65,A65+1,FALSE))</f>
        <v>0</v>
      </c>
      <c r="G65" s="8">
        <f>IF(COUNTIF(I65:XFD65,"&gt;"&amp;0)=0,,(E65/F65)^(1/MIN(COUNTIF(I65:XFD65,"&gt;"&amp;0)-1,$F$1)))</f>
        <v>0</v>
      </c>
    </row>
    <row r="66" spans="1:7" x14ac:dyDescent="0.25">
      <c r="A66" s="9">
        <f t="shared" si="5"/>
        <v>65</v>
      </c>
      <c r="B66" s="9">
        <v>1</v>
      </c>
      <c r="C66" s="9">
        <f>H66</f>
        <v>0</v>
      </c>
      <c r="D66" s="6">
        <f>MAX(I66:CL66)</f>
        <v>0</v>
      </c>
      <c r="E66" s="6">
        <f>IF(COUNTIF(I66:XFD66,"&gt;"&amp;0)=0,,HLOOKUP(COUNTIF(I66:XFD66,"&gt;"&amp;0)-1,I$1:XFD66,A66+1,FALSE))</f>
        <v>0</v>
      </c>
      <c r="F66" s="7">
        <f>IF(COUNTIF(I66:XFD66,"&gt;"&amp;0)=0,,HLOOKUP(COUNTIF(I66:XFD66,"&gt;"&amp;0)-MIN($F$1+1,COUNTIF(I66:XFD66,"&gt;"&amp;0)),I$1:XFD66,A66+1,FALSE))</f>
        <v>0</v>
      </c>
      <c r="G66" s="8">
        <f>IF(COUNTIF(I66:XFD66,"&gt;"&amp;0)=0,,(E66/F66)^(1/MIN(COUNTIF(I66:XFD66,"&gt;"&amp;0)-1,$F$1)))</f>
        <v>0</v>
      </c>
    </row>
    <row r="67" spans="1:7" x14ac:dyDescent="0.25">
      <c r="A67" s="9">
        <f t="shared" ref="A67:A130" si="6">A66+1</f>
        <v>66</v>
      </c>
      <c r="B67" s="9">
        <v>1</v>
      </c>
      <c r="C67" s="9">
        <f>H67</f>
        <v>0</v>
      </c>
      <c r="D67" s="6">
        <f>MAX(I67:CL67)</f>
        <v>0</v>
      </c>
      <c r="E67" s="6">
        <f>IF(COUNTIF(I67:XFD67,"&gt;"&amp;0)=0,,HLOOKUP(COUNTIF(I67:XFD67,"&gt;"&amp;0)-1,I$1:XFD67,A67+1,FALSE))</f>
        <v>0</v>
      </c>
      <c r="F67" s="7">
        <f>IF(COUNTIF(I67:XFD67,"&gt;"&amp;0)=0,,HLOOKUP(COUNTIF(I67:XFD67,"&gt;"&amp;0)-MIN($F$1+1,COUNTIF(I67:XFD67,"&gt;"&amp;0)),I$1:XFD67,A67+1,FALSE))</f>
        <v>0</v>
      </c>
      <c r="G67" s="8">
        <f>IF(COUNTIF(I67:XFD67,"&gt;"&amp;0)=0,,(E67/F67)^(1/MIN(COUNTIF(I67:XFD67,"&gt;"&amp;0)-1,$F$1)))</f>
        <v>0</v>
      </c>
    </row>
    <row r="68" spans="1:7" x14ac:dyDescent="0.25">
      <c r="A68" s="9">
        <f t="shared" si="6"/>
        <v>67</v>
      </c>
      <c r="B68" s="9">
        <v>1</v>
      </c>
      <c r="C68" s="9">
        <f>H68</f>
        <v>0</v>
      </c>
      <c r="D68" s="6">
        <f>MAX(I68:CL68)</f>
        <v>0</v>
      </c>
      <c r="E68" s="6">
        <f>IF(COUNTIF(I68:XFD68,"&gt;"&amp;0)=0,,HLOOKUP(COUNTIF(I68:XFD68,"&gt;"&amp;0)-1,I$1:XFD68,A68+1,FALSE))</f>
        <v>0</v>
      </c>
      <c r="F68" s="7">
        <f>IF(COUNTIF(I68:XFD68,"&gt;"&amp;0)=0,,HLOOKUP(COUNTIF(I68:XFD68,"&gt;"&amp;0)-MIN($F$1+1,COUNTIF(I68:XFD68,"&gt;"&amp;0)),I$1:XFD68,A68+1,FALSE))</f>
        <v>0</v>
      </c>
      <c r="G68" s="8">
        <f>IF(COUNTIF(I68:XFD68,"&gt;"&amp;0)=0,,(E68/F68)^(1/MIN(COUNTIF(I68:XFD68,"&gt;"&amp;0)-1,$F$1)))</f>
        <v>0</v>
      </c>
    </row>
    <row r="69" spans="1:7" x14ac:dyDescent="0.25">
      <c r="A69" s="9">
        <f t="shared" si="6"/>
        <v>68</v>
      </c>
      <c r="B69" s="9">
        <v>1</v>
      </c>
      <c r="C69" s="9">
        <f>H69</f>
        <v>0</v>
      </c>
      <c r="D69" s="6">
        <f>MAX(I69:CL69)</f>
        <v>0</v>
      </c>
      <c r="E69" s="6">
        <f>IF(COUNTIF(I69:XFD69,"&gt;"&amp;0)=0,,HLOOKUP(COUNTIF(I69:XFD69,"&gt;"&amp;0)-1,I$1:XFD69,A69+1,FALSE))</f>
        <v>0</v>
      </c>
      <c r="F69" s="7">
        <f>IF(COUNTIF(I69:XFD69,"&gt;"&amp;0)=0,,HLOOKUP(COUNTIF(I69:XFD69,"&gt;"&amp;0)-MIN($F$1+1,COUNTIF(I69:XFD69,"&gt;"&amp;0)),I$1:XFD69,A69+1,FALSE))</f>
        <v>0</v>
      </c>
      <c r="G69" s="8">
        <f>IF(COUNTIF(I69:XFD69,"&gt;"&amp;0)=0,,(E69/F69)^(1/MIN(COUNTIF(I69:XFD69,"&gt;"&amp;0)-1,$F$1)))</f>
        <v>0</v>
      </c>
    </row>
    <row r="70" spans="1:7" x14ac:dyDescent="0.25">
      <c r="A70" s="9">
        <f t="shared" si="6"/>
        <v>69</v>
      </c>
      <c r="B70" s="9">
        <v>1</v>
      </c>
      <c r="C70" s="9">
        <f>H70</f>
        <v>0</v>
      </c>
      <c r="D70" s="6">
        <f>MAX(I70:CL70)</f>
        <v>0</v>
      </c>
      <c r="E70" s="6">
        <f>IF(COUNTIF(I70:XFD70,"&gt;"&amp;0)=0,,HLOOKUP(COUNTIF(I70:XFD70,"&gt;"&amp;0)-1,I$1:XFD70,A70+1,FALSE))</f>
        <v>0</v>
      </c>
      <c r="F70" s="7">
        <f>IF(COUNTIF(I70:XFD70,"&gt;"&amp;0)=0,,HLOOKUP(COUNTIF(I70:XFD70,"&gt;"&amp;0)-MIN($F$1+1,COUNTIF(I70:XFD70,"&gt;"&amp;0)),I$1:XFD70,A70+1,FALSE))</f>
        <v>0</v>
      </c>
      <c r="G70" s="8">
        <f>IF(COUNTIF(I70:XFD70,"&gt;"&amp;0)=0,,(E70/F70)^(1/MIN(COUNTIF(I70:XFD70,"&gt;"&amp;0)-1,$F$1)))</f>
        <v>0</v>
      </c>
    </row>
    <row r="71" spans="1:7" x14ac:dyDescent="0.25">
      <c r="A71" s="9">
        <f t="shared" si="6"/>
        <v>70</v>
      </c>
      <c r="B71" s="9">
        <v>1</v>
      </c>
      <c r="C71" s="9">
        <f>H71</f>
        <v>0</v>
      </c>
      <c r="D71" s="6">
        <f>MAX(I71:CL71)</f>
        <v>0</v>
      </c>
      <c r="E71" s="6">
        <f>IF(COUNTIF(I71:XFD71,"&gt;"&amp;0)=0,,HLOOKUP(COUNTIF(I71:XFD71,"&gt;"&amp;0)-1,I$1:XFD71,A71+1,FALSE))</f>
        <v>0</v>
      </c>
      <c r="F71" s="7">
        <f>IF(COUNTIF(I71:XFD71,"&gt;"&amp;0)=0,,HLOOKUP(COUNTIF(I71:XFD71,"&gt;"&amp;0)-MIN($F$1+1,COUNTIF(I71:XFD71,"&gt;"&amp;0)),I$1:XFD71,A71+1,FALSE))</f>
        <v>0</v>
      </c>
      <c r="G71" s="8">
        <f>IF(COUNTIF(I71:XFD71,"&gt;"&amp;0)=0,,(E71/F71)^(1/MIN(COUNTIF(I71:XFD71,"&gt;"&amp;0)-1,$F$1)))</f>
        <v>0</v>
      </c>
    </row>
    <row r="72" spans="1:7" x14ac:dyDescent="0.25">
      <c r="A72" s="9">
        <f t="shared" si="6"/>
        <v>71</v>
      </c>
      <c r="B72" s="9">
        <v>1</v>
      </c>
      <c r="C72" s="9">
        <f>H72</f>
        <v>0</v>
      </c>
      <c r="D72" s="6">
        <f>MAX(I72:CL72)</f>
        <v>0</v>
      </c>
      <c r="E72" s="6">
        <f>IF(COUNTIF(I72:XFD72,"&gt;"&amp;0)=0,,HLOOKUP(COUNTIF(I72:XFD72,"&gt;"&amp;0)-1,I$1:XFD72,A72+1,FALSE))</f>
        <v>0</v>
      </c>
      <c r="F72" s="7">
        <f>IF(COUNTIF(I72:XFD72,"&gt;"&amp;0)=0,,HLOOKUP(COUNTIF(I72:XFD72,"&gt;"&amp;0)-MIN($F$1+1,COUNTIF(I72:XFD72,"&gt;"&amp;0)),I$1:XFD72,A72+1,FALSE))</f>
        <v>0</v>
      </c>
      <c r="G72" s="8">
        <f>IF(COUNTIF(I72:XFD72,"&gt;"&amp;0)=0,,(E72/F72)^(1/MIN(COUNTIF(I72:XFD72,"&gt;"&amp;0)-1,$F$1)))</f>
        <v>0</v>
      </c>
    </row>
    <row r="73" spans="1:7" x14ac:dyDescent="0.25">
      <c r="A73" s="9">
        <f t="shared" si="6"/>
        <v>72</v>
      </c>
      <c r="B73" s="9">
        <v>1</v>
      </c>
      <c r="C73" s="9">
        <f>H73</f>
        <v>0</v>
      </c>
      <c r="D73" s="6">
        <f>MAX(I73:CL73)</f>
        <v>0</v>
      </c>
      <c r="E73" s="6">
        <f>IF(COUNTIF(I73:XFD73,"&gt;"&amp;0)=0,,HLOOKUP(COUNTIF(I73:XFD73,"&gt;"&amp;0)-1,I$1:XFD73,A73+1,FALSE))</f>
        <v>0</v>
      </c>
      <c r="F73" s="7">
        <f>IF(COUNTIF(I73:XFD73,"&gt;"&amp;0)=0,,HLOOKUP(COUNTIF(I73:XFD73,"&gt;"&amp;0)-MIN($F$1+1,COUNTIF(I73:XFD73,"&gt;"&amp;0)),I$1:XFD73,A73+1,FALSE))</f>
        <v>0</v>
      </c>
      <c r="G73" s="8">
        <f>IF(COUNTIF(I73:XFD73,"&gt;"&amp;0)=0,,(E73/F73)^(1/MIN(COUNTIF(I73:XFD73,"&gt;"&amp;0)-1,$F$1)))</f>
        <v>0</v>
      </c>
    </row>
    <row r="74" spans="1:7" x14ac:dyDescent="0.25">
      <c r="A74" s="9">
        <f t="shared" si="6"/>
        <v>73</v>
      </c>
      <c r="B74" s="9">
        <v>1</v>
      </c>
      <c r="C74" s="9">
        <f>H74</f>
        <v>0</v>
      </c>
      <c r="D74" s="6">
        <f>MAX(I74:CL74)</f>
        <v>0</v>
      </c>
      <c r="E74" s="6">
        <f>IF(COUNTIF(I74:XFD74,"&gt;"&amp;0)=0,,HLOOKUP(COUNTIF(I74:XFD74,"&gt;"&amp;0)-1,I$1:XFD74,A74+1,FALSE))</f>
        <v>0</v>
      </c>
      <c r="F74" s="7">
        <f>IF(COUNTIF(I74:XFD74,"&gt;"&amp;0)=0,,HLOOKUP(COUNTIF(I74:XFD74,"&gt;"&amp;0)-MIN($F$1+1,COUNTIF(I74:XFD74,"&gt;"&amp;0)),I$1:XFD74,A74+1,FALSE))</f>
        <v>0</v>
      </c>
      <c r="G74" s="8">
        <f>IF(COUNTIF(I74:XFD74,"&gt;"&amp;0)=0,,(E74/F74)^(1/MIN(COUNTIF(I74:XFD74,"&gt;"&amp;0)-1,$F$1)))</f>
        <v>0</v>
      </c>
    </row>
    <row r="75" spans="1:7" x14ac:dyDescent="0.25">
      <c r="A75" s="9">
        <f t="shared" si="6"/>
        <v>74</v>
      </c>
      <c r="B75" s="9">
        <v>1</v>
      </c>
      <c r="C75" s="9">
        <f>H75</f>
        <v>0</v>
      </c>
      <c r="D75" s="6">
        <f>MAX(I75:CL75)</f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>IF(COUNTIF(I75:XFD75,"&gt;"&amp;0)=0,,(E75/F75)^(1/MIN(COUNTIF(I75:XFD75,"&gt;"&amp;0)-1,$F$1)))</f>
        <v>0</v>
      </c>
    </row>
    <row r="76" spans="1:7" x14ac:dyDescent="0.25">
      <c r="A76" s="9">
        <f t="shared" si="6"/>
        <v>75</v>
      </c>
      <c r="B76" s="9">
        <v>1</v>
      </c>
      <c r="C76" s="9">
        <f>H76</f>
        <v>0</v>
      </c>
      <c r="D76" s="6">
        <f>MAX(I76:CL76)</f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>IF(COUNTIF(I76:XFD76,"&gt;"&amp;0)=0,,(E76/F76)^(1/MIN(COUNTIF(I76:XFD76,"&gt;"&amp;0)-1,$F$1)))</f>
        <v>0</v>
      </c>
    </row>
    <row r="77" spans="1:7" x14ac:dyDescent="0.25">
      <c r="A77" s="9">
        <f t="shared" si="6"/>
        <v>76</v>
      </c>
      <c r="B77" s="9">
        <v>1</v>
      </c>
      <c r="C77" s="9">
        <f>H77</f>
        <v>0</v>
      </c>
      <c r="D77" s="6">
        <f>MAX(I77:CL77)</f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>IF(COUNTIF(I77:XFD77,"&gt;"&amp;0)=0,,(E77/F77)^(1/MIN(COUNTIF(I77:XFD77,"&gt;"&amp;0)-1,$F$1)))</f>
        <v>0</v>
      </c>
    </row>
    <row r="78" spans="1:7" x14ac:dyDescent="0.25">
      <c r="A78" s="9">
        <f t="shared" si="6"/>
        <v>77</v>
      </c>
      <c r="B78" s="9">
        <v>1</v>
      </c>
      <c r="C78" s="9">
        <f>H78</f>
        <v>0</v>
      </c>
      <c r="D78" s="6">
        <f>MAX(I78:CL78)</f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>IF(COUNTIF(I78:XFD78,"&gt;"&amp;0)=0,,(E78/F78)^(1/MIN(COUNTIF(I78:XFD78,"&gt;"&amp;0)-1,$F$1)))</f>
        <v>0</v>
      </c>
    </row>
    <row r="79" spans="1:7" x14ac:dyDescent="0.25">
      <c r="A79" s="9">
        <f t="shared" si="6"/>
        <v>78</v>
      </c>
      <c r="B79" s="9">
        <v>1</v>
      </c>
      <c r="C79" s="9">
        <f>H79</f>
        <v>0</v>
      </c>
      <c r="D79" s="6">
        <f>MAX(I79:CL79)</f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>IF(COUNTIF(I79:XFD79,"&gt;"&amp;0)=0,,(E79/F79)^(1/MIN(COUNTIF(I79:XFD79,"&gt;"&amp;0)-1,$F$1)))</f>
        <v>0</v>
      </c>
    </row>
    <row r="80" spans="1:7" x14ac:dyDescent="0.25">
      <c r="A80" s="9">
        <f t="shared" si="6"/>
        <v>79</v>
      </c>
      <c r="B80" s="9">
        <v>1</v>
      </c>
      <c r="C80" s="9">
        <f>H80</f>
        <v>0</v>
      </c>
      <c r="D80" s="6">
        <f>MAX(I80:CL80)</f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>IF(COUNTIF(I80:XFD80,"&gt;"&amp;0)=0,,(E80/F80)^(1/MIN(COUNTIF(I80:XFD80,"&gt;"&amp;0)-1,$F$1)))</f>
        <v>0</v>
      </c>
    </row>
    <row r="81" spans="1:7" x14ac:dyDescent="0.25">
      <c r="A81" s="9">
        <f t="shared" si="6"/>
        <v>80</v>
      </c>
      <c r="B81" s="9">
        <v>1</v>
      </c>
      <c r="C81" s="9">
        <f>H81</f>
        <v>0</v>
      </c>
      <c r="D81" s="6">
        <f>MAX(I81:CL81)</f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>IF(COUNTIF(I81:XFD81,"&gt;"&amp;0)=0,,(E81/F81)^(1/MIN(COUNTIF(I81:XFD81,"&gt;"&amp;0)-1,$F$1)))</f>
        <v>0</v>
      </c>
    </row>
    <row r="82" spans="1:7" x14ac:dyDescent="0.25">
      <c r="A82" s="9">
        <f t="shared" si="6"/>
        <v>81</v>
      </c>
      <c r="B82" s="9">
        <v>1</v>
      </c>
      <c r="C82" s="9">
        <f>H82</f>
        <v>0</v>
      </c>
      <c r="D82" s="6">
        <f>MAX(I82:CL82)</f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>IF(COUNTIF(I82:XFD82,"&gt;"&amp;0)=0,,(E82/F82)^(1/MIN(COUNTIF(I82:XFD82,"&gt;"&amp;0)-1,$F$1)))</f>
        <v>0</v>
      </c>
    </row>
    <row r="83" spans="1:7" x14ac:dyDescent="0.25">
      <c r="A83" s="9">
        <f t="shared" si="6"/>
        <v>82</v>
      </c>
      <c r="B83" s="9">
        <v>1</v>
      </c>
      <c r="C83" s="9">
        <f>H83</f>
        <v>0</v>
      </c>
      <c r="D83" s="6">
        <f>MAX(I83:CL83)</f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>IF(COUNTIF(I83:XFD83,"&gt;"&amp;0)=0,,(E83/F83)^(1/MIN(COUNTIF(I83:XFD83,"&gt;"&amp;0)-1,$F$1)))</f>
        <v>0</v>
      </c>
    </row>
    <row r="84" spans="1:7" x14ac:dyDescent="0.25">
      <c r="A84" s="9">
        <f t="shared" si="6"/>
        <v>83</v>
      </c>
      <c r="B84" s="9">
        <v>1</v>
      </c>
      <c r="C84" s="9">
        <f>H84</f>
        <v>0</v>
      </c>
      <c r="D84" s="6">
        <f>MAX(I84:CL84)</f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>IF(COUNTIF(I84:XFD84,"&gt;"&amp;0)=0,,(E84/F84)^(1/MIN(COUNTIF(I84:XFD84,"&gt;"&amp;0)-1,$F$1)))</f>
        <v>0</v>
      </c>
    </row>
    <row r="85" spans="1:7" x14ac:dyDescent="0.25">
      <c r="A85" s="9">
        <f t="shared" si="6"/>
        <v>84</v>
      </c>
      <c r="B85" s="9">
        <v>1</v>
      </c>
      <c r="C85" s="9">
        <f>H85</f>
        <v>0</v>
      </c>
      <c r="D85" s="6">
        <f>MAX(I85:CL85)</f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>IF(COUNTIF(I85:XFD85,"&gt;"&amp;0)=0,,(E85/F85)^(1/MIN(COUNTIF(I85:XFD85,"&gt;"&amp;0)-1,$F$1)))</f>
        <v>0</v>
      </c>
    </row>
    <row r="86" spans="1:7" x14ac:dyDescent="0.25">
      <c r="A86" s="9">
        <f t="shared" si="6"/>
        <v>85</v>
      </c>
      <c r="B86" s="9">
        <v>1</v>
      </c>
      <c r="C86" s="9">
        <f>H86</f>
        <v>0</v>
      </c>
      <c r="D86" s="6">
        <f>MAX(I86:CL86)</f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>IF(COUNTIF(I86:XFD86,"&gt;"&amp;0)=0,,(E86/F86)^(1/MIN(COUNTIF(I86:XFD86,"&gt;"&amp;0)-1,$F$1)))</f>
        <v>0</v>
      </c>
    </row>
    <row r="87" spans="1:7" x14ac:dyDescent="0.25">
      <c r="A87" s="9">
        <f t="shared" si="6"/>
        <v>86</v>
      </c>
      <c r="B87" s="9">
        <v>1</v>
      </c>
      <c r="C87" s="9">
        <f>H87</f>
        <v>0</v>
      </c>
      <c r="D87" s="6">
        <f>MAX(I87:CL87)</f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>IF(COUNTIF(I87:XFD87,"&gt;"&amp;0)=0,,(E87/F87)^(1/MIN(COUNTIF(I87:XFD87,"&gt;"&amp;0)-1,$F$1)))</f>
        <v>0</v>
      </c>
    </row>
    <row r="88" spans="1:7" x14ac:dyDescent="0.25">
      <c r="A88" s="9">
        <f t="shared" si="6"/>
        <v>87</v>
      </c>
      <c r="B88" s="9">
        <v>1</v>
      </c>
      <c r="C88" s="9">
        <f>H88</f>
        <v>0</v>
      </c>
      <c r="D88" s="6">
        <f>MAX(I88:CL88)</f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>IF(COUNTIF(I88:XFD88,"&gt;"&amp;0)=0,,(E88/F88)^(1/MIN(COUNTIF(I88:XFD88,"&gt;"&amp;0)-1,$F$1)))</f>
        <v>0</v>
      </c>
    </row>
    <row r="89" spans="1:7" x14ac:dyDescent="0.25">
      <c r="A89" s="9">
        <f t="shared" si="6"/>
        <v>88</v>
      </c>
      <c r="B89" s="9">
        <v>1</v>
      </c>
      <c r="C89" s="9">
        <f>H89</f>
        <v>0</v>
      </c>
      <c r="D89" s="6">
        <f>MAX(I89:CL89)</f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>IF(COUNTIF(I89:XFD89,"&gt;"&amp;0)=0,,(E89/F89)^(1/MIN(COUNTIF(I89:XFD89,"&gt;"&amp;0)-1,$F$1)))</f>
        <v>0</v>
      </c>
    </row>
    <row r="90" spans="1:7" x14ac:dyDescent="0.25">
      <c r="A90" s="9">
        <f t="shared" si="6"/>
        <v>89</v>
      </c>
      <c r="B90" s="9">
        <v>1</v>
      </c>
      <c r="C90" s="9">
        <f>H90</f>
        <v>0</v>
      </c>
      <c r="D90" s="6">
        <f>MAX(I90:CL90)</f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>IF(COUNTIF(I90:XFD90,"&gt;"&amp;0)=0,,(E90/F90)^(1/MIN(COUNTIF(I90:XFD90,"&gt;"&amp;0)-1,$F$1)))</f>
        <v>0</v>
      </c>
    </row>
    <row r="91" spans="1:7" x14ac:dyDescent="0.25">
      <c r="A91" s="9">
        <f t="shared" si="6"/>
        <v>90</v>
      </c>
      <c r="B91" s="9">
        <v>1</v>
      </c>
      <c r="C91" s="9">
        <f>H91</f>
        <v>0</v>
      </c>
      <c r="D91" s="6">
        <f>MAX(I91:CL91)</f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>IF(COUNTIF(I91:XFD91,"&gt;"&amp;0)=0,,(E91/F91)^(1/MIN(COUNTIF(I91:XFD91,"&gt;"&amp;0)-1,$F$1)))</f>
        <v>0</v>
      </c>
    </row>
    <row r="92" spans="1:7" x14ac:dyDescent="0.25">
      <c r="A92" s="9">
        <f t="shared" si="6"/>
        <v>91</v>
      </c>
      <c r="B92" s="9">
        <v>1</v>
      </c>
      <c r="C92" s="9">
        <f>H92</f>
        <v>0</v>
      </c>
      <c r="D92" s="6">
        <f>MAX(I92:CL92)</f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>IF(COUNTIF(I92:XFD92,"&gt;"&amp;0)=0,,(E92/F92)^(1/MIN(COUNTIF(I92:XFD92,"&gt;"&amp;0)-1,$F$1)))</f>
        <v>0</v>
      </c>
    </row>
    <row r="93" spans="1:7" x14ac:dyDescent="0.25">
      <c r="A93" s="9">
        <f t="shared" si="6"/>
        <v>92</v>
      </c>
      <c r="B93" s="9">
        <v>1</v>
      </c>
      <c r="C93" s="9">
        <f>H93</f>
        <v>0</v>
      </c>
      <c r="D93" s="6">
        <f>MAX(I93:CL93)</f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>IF(COUNTIF(I93:XFD93,"&gt;"&amp;0)=0,,(E93/F93)^(1/MIN(COUNTIF(I93:XFD93,"&gt;"&amp;0)-1,$F$1)))</f>
        <v>0</v>
      </c>
    </row>
    <row r="94" spans="1:7" x14ac:dyDescent="0.25">
      <c r="A94" s="9">
        <f t="shared" si="6"/>
        <v>93</v>
      </c>
      <c r="B94" s="9">
        <v>1</v>
      </c>
      <c r="C94" s="9">
        <f>H94</f>
        <v>0</v>
      </c>
      <c r="D94" s="6">
        <f>MAX(I94:CL94)</f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>IF(COUNTIF(I94:XFD94,"&gt;"&amp;0)=0,,(E94/F94)^(1/MIN(COUNTIF(I94:XFD94,"&gt;"&amp;0)-1,$F$1)))</f>
        <v>0</v>
      </c>
    </row>
    <row r="95" spans="1:7" x14ac:dyDescent="0.25">
      <c r="A95" s="9">
        <f t="shared" si="6"/>
        <v>94</v>
      </c>
      <c r="B95" s="9">
        <v>1</v>
      </c>
      <c r="C95" s="9">
        <f>H95</f>
        <v>0</v>
      </c>
      <c r="D95" s="6">
        <f>MAX(I95:CL95)</f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>IF(COUNTIF(I95:XFD95,"&gt;"&amp;0)=0,,(E95/F95)^(1/MIN(COUNTIF(I95:XFD95,"&gt;"&amp;0)-1,$F$1)))</f>
        <v>0</v>
      </c>
    </row>
    <row r="96" spans="1:7" x14ac:dyDescent="0.25">
      <c r="A96" s="9">
        <f t="shared" si="6"/>
        <v>95</v>
      </c>
      <c r="B96" s="9">
        <v>1</v>
      </c>
      <c r="C96" s="9">
        <f>H96</f>
        <v>0</v>
      </c>
      <c r="D96" s="6">
        <f>MAX(I96:CL96)</f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>IF(COUNTIF(I96:XFD96,"&gt;"&amp;0)=0,,(E96/F96)^(1/MIN(COUNTIF(I96:XFD96,"&gt;"&amp;0)-1,$F$1)))</f>
        <v>0</v>
      </c>
    </row>
    <row r="97" spans="1:7" x14ac:dyDescent="0.25">
      <c r="A97" s="9">
        <f t="shared" si="6"/>
        <v>96</v>
      </c>
      <c r="B97" s="9">
        <v>1</v>
      </c>
      <c r="C97" s="9">
        <f>H97</f>
        <v>0</v>
      </c>
      <c r="D97" s="6">
        <f>MAX(I97:CL97)</f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>IF(COUNTIF(I97:XFD97,"&gt;"&amp;0)=0,,(E97/F97)^(1/MIN(COUNTIF(I97:XFD97,"&gt;"&amp;0)-1,$F$1)))</f>
        <v>0</v>
      </c>
    </row>
    <row r="98" spans="1:7" x14ac:dyDescent="0.25">
      <c r="A98" s="9">
        <f t="shared" si="6"/>
        <v>97</v>
      </c>
      <c r="B98" s="9">
        <v>1</v>
      </c>
      <c r="C98" s="9">
        <f>H98</f>
        <v>0</v>
      </c>
      <c r="D98" s="6">
        <f>MAX(I98:CL98)</f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>IF(COUNTIF(I98:XFD98,"&gt;"&amp;0)=0,,(E98/F98)^(1/MIN(COUNTIF(I98:XFD98,"&gt;"&amp;0)-1,$F$1)))</f>
        <v>0</v>
      </c>
    </row>
    <row r="99" spans="1:7" x14ac:dyDescent="0.25">
      <c r="A99" s="9">
        <f t="shared" si="6"/>
        <v>98</v>
      </c>
      <c r="B99" s="9">
        <v>1</v>
      </c>
      <c r="C99" s="9">
        <f>H99</f>
        <v>0</v>
      </c>
      <c r="D99" s="6">
        <f>MAX(I99:CL99)</f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>IF(COUNTIF(I99:XFD99,"&gt;"&amp;0)=0,,(E99/F99)^(1/MIN(COUNTIF(I99:XFD99,"&gt;"&amp;0)-1,$F$1)))</f>
        <v>0</v>
      </c>
    </row>
    <row r="100" spans="1:7" x14ac:dyDescent="0.25">
      <c r="A100" s="9">
        <f t="shared" si="6"/>
        <v>99</v>
      </c>
      <c r="B100" s="9">
        <v>1</v>
      </c>
      <c r="C100" s="9">
        <f>H100</f>
        <v>0</v>
      </c>
      <c r="D100" s="6">
        <f>MAX(I100:CL100)</f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>IF(COUNTIF(I100:XFD100,"&gt;"&amp;0)=0,,(E100/F100)^(1/MIN(COUNTIF(I100:XFD100,"&gt;"&amp;0)-1,$F$1)))</f>
        <v>0</v>
      </c>
    </row>
    <row r="101" spans="1:7" x14ac:dyDescent="0.25">
      <c r="A101" s="9">
        <f t="shared" si="6"/>
        <v>100</v>
      </c>
      <c r="B101" s="9">
        <v>1</v>
      </c>
      <c r="C101" s="9">
        <f>H101</f>
        <v>0</v>
      </c>
      <c r="D101" s="6">
        <f>MAX(I101:CL101)</f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>IF(COUNTIF(I101:XFD101,"&gt;"&amp;0)=0,,(E101/F101)^(1/MIN(COUNTIF(I101:XFD101,"&gt;"&amp;0)-1,$F$1)))</f>
        <v>0</v>
      </c>
    </row>
    <row r="102" spans="1:7" x14ac:dyDescent="0.25">
      <c r="A102" s="9">
        <f t="shared" si="6"/>
        <v>101</v>
      </c>
      <c r="B102" s="9">
        <v>1</v>
      </c>
      <c r="C102" s="9">
        <f>H102</f>
        <v>0</v>
      </c>
      <c r="D102" s="6">
        <f>MAX(I102:CL102)</f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>IF(COUNTIF(I102:XFD102,"&gt;"&amp;0)=0,,(E102/F102)^(1/MIN(COUNTIF(I102:XFD102,"&gt;"&amp;0)-1,$F$1)))</f>
        <v>0</v>
      </c>
    </row>
    <row r="103" spans="1:7" x14ac:dyDescent="0.25">
      <c r="A103" s="9">
        <f t="shared" si="6"/>
        <v>102</v>
      </c>
      <c r="B103" s="9">
        <v>1</v>
      </c>
      <c r="C103" s="9">
        <f>H103</f>
        <v>0</v>
      </c>
      <c r="D103" s="6">
        <f>MAX(I103:CL103)</f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>IF(COUNTIF(I103:XFD103,"&gt;"&amp;0)=0,,(E103/F103)^(1/MIN(COUNTIF(I103:XFD103,"&gt;"&amp;0)-1,$F$1)))</f>
        <v>0</v>
      </c>
    </row>
    <row r="104" spans="1:7" x14ac:dyDescent="0.25">
      <c r="A104" s="9">
        <f t="shared" si="6"/>
        <v>103</v>
      </c>
      <c r="B104" s="9">
        <v>1</v>
      </c>
      <c r="C104" s="9">
        <f>H104</f>
        <v>0</v>
      </c>
      <c r="D104" s="6">
        <f>MAX(I104:CL104)</f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>IF(COUNTIF(I104:XFD104,"&gt;"&amp;0)=0,,(E104/F104)^(1/MIN(COUNTIF(I104:XFD104,"&gt;"&amp;0)-1,$F$1)))</f>
        <v>0</v>
      </c>
    </row>
    <row r="105" spans="1:7" x14ac:dyDescent="0.25">
      <c r="A105" s="9">
        <f t="shared" si="6"/>
        <v>104</v>
      </c>
      <c r="B105" s="9">
        <v>1</v>
      </c>
      <c r="C105" s="9">
        <f>H105</f>
        <v>0</v>
      </c>
      <c r="D105" s="6">
        <f>MAX(I105:CL105)</f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>IF(COUNTIF(I105:XFD105,"&gt;"&amp;0)=0,,(E105/F105)^(1/MIN(COUNTIF(I105:XFD105,"&gt;"&amp;0)-1,$F$1)))</f>
        <v>0</v>
      </c>
    </row>
    <row r="106" spans="1:7" x14ac:dyDescent="0.25">
      <c r="A106" s="9">
        <f t="shared" si="6"/>
        <v>105</v>
      </c>
      <c r="B106" s="9">
        <v>1</v>
      </c>
      <c r="C106" s="9">
        <f>H106</f>
        <v>0</v>
      </c>
      <c r="D106" s="6">
        <f>MAX(I106:CL106)</f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>IF(COUNTIF(I106:XFD106,"&gt;"&amp;0)=0,,(E106/F106)^(1/MIN(COUNTIF(I106:XFD106,"&gt;"&amp;0)-1,$F$1)))</f>
        <v>0</v>
      </c>
    </row>
    <row r="107" spans="1:7" x14ac:dyDescent="0.25">
      <c r="A107" s="9">
        <f t="shared" si="6"/>
        <v>106</v>
      </c>
      <c r="B107" s="9">
        <v>1</v>
      </c>
      <c r="C107" s="9">
        <f>H107</f>
        <v>0</v>
      </c>
      <c r="D107" s="6">
        <f>MAX(I107:CL107)</f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>IF(COUNTIF(I107:XFD107,"&gt;"&amp;0)=0,,(E107/F107)^(1/MIN(COUNTIF(I107:XFD107,"&gt;"&amp;0)-1,$F$1)))</f>
        <v>0</v>
      </c>
    </row>
    <row r="108" spans="1:7" x14ac:dyDescent="0.25">
      <c r="A108" s="9">
        <f t="shared" si="6"/>
        <v>107</v>
      </c>
      <c r="B108" s="9">
        <v>1</v>
      </c>
      <c r="C108" s="9">
        <f>H108</f>
        <v>0</v>
      </c>
      <c r="D108" s="6">
        <f>MAX(I108:CL108)</f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>IF(COUNTIF(I108:XFD108,"&gt;"&amp;0)=0,,(E108/F108)^(1/MIN(COUNTIF(I108:XFD108,"&gt;"&amp;0)-1,$F$1)))</f>
        <v>0</v>
      </c>
    </row>
    <row r="109" spans="1:7" x14ac:dyDescent="0.25">
      <c r="A109" s="9">
        <f t="shared" si="6"/>
        <v>108</v>
      </c>
      <c r="B109" s="9">
        <v>1</v>
      </c>
      <c r="C109" s="9">
        <f>H109</f>
        <v>0</v>
      </c>
      <c r="D109" s="6">
        <f>MAX(I109:CL109)</f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>IF(COUNTIF(I109:XFD109,"&gt;"&amp;0)=0,,(E109/F109)^(1/MIN(COUNTIF(I109:XFD109,"&gt;"&amp;0)-1,$F$1)))</f>
        <v>0</v>
      </c>
    </row>
    <row r="110" spans="1:7" x14ac:dyDescent="0.25">
      <c r="A110" s="9">
        <f t="shared" si="6"/>
        <v>109</v>
      </c>
      <c r="B110" s="9">
        <v>1</v>
      </c>
      <c r="C110" s="9">
        <f>H110</f>
        <v>0</v>
      </c>
      <c r="D110" s="6">
        <f>MAX(I110:CL110)</f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>IF(COUNTIF(I110:XFD110,"&gt;"&amp;0)=0,,(E110/F110)^(1/MIN(COUNTIF(I110:XFD110,"&gt;"&amp;0)-1,$F$1)))</f>
        <v>0</v>
      </c>
    </row>
    <row r="111" spans="1:7" x14ac:dyDescent="0.25">
      <c r="A111" s="9">
        <f t="shared" si="6"/>
        <v>110</v>
      </c>
      <c r="B111" s="9">
        <v>1</v>
      </c>
      <c r="C111" s="9">
        <f>H111</f>
        <v>0</v>
      </c>
      <c r="D111" s="6">
        <f>MAX(I111:CL111)</f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>IF(COUNTIF(I111:XFD111,"&gt;"&amp;0)=0,,(E111/F111)^(1/MIN(COUNTIF(I111:XFD111,"&gt;"&amp;0)-1,$F$1)))</f>
        <v>0</v>
      </c>
    </row>
    <row r="112" spans="1:7" x14ac:dyDescent="0.25">
      <c r="A112" s="9">
        <f t="shared" si="6"/>
        <v>111</v>
      </c>
      <c r="B112" s="9">
        <v>1</v>
      </c>
      <c r="C112" s="9">
        <f>H112</f>
        <v>0</v>
      </c>
      <c r="D112" s="6">
        <f>MAX(I112:CL112)</f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>IF(COUNTIF(I112:XFD112,"&gt;"&amp;0)=0,,(E112/F112)^(1/MIN(COUNTIF(I112:XFD112,"&gt;"&amp;0)-1,$F$1)))</f>
        <v>0</v>
      </c>
    </row>
    <row r="113" spans="1:7" x14ac:dyDescent="0.25">
      <c r="A113" s="9">
        <f t="shared" si="6"/>
        <v>112</v>
      </c>
      <c r="B113" s="9">
        <v>1</v>
      </c>
      <c r="C113" s="9">
        <f>H113</f>
        <v>0</v>
      </c>
      <c r="D113" s="6">
        <f>MAX(I113:CL113)</f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>IF(COUNTIF(I113:XFD113,"&gt;"&amp;0)=0,,(E113/F113)^(1/MIN(COUNTIF(I113:XFD113,"&gt;"&amp;0)-1,$F$1)))</f>
        <v>0</v>
      </c>
    </row>
    <row r="114" spans="1:7" x14ac:dyDescent="0.25">
      <c r="A114" s="9">
        <f t="shared" si="6"/>
        <v>113</v>
      </c>
      <c r="B114" s="9">
        <v>1</v>
      </c>
      <c r="C114" s="9">
        <f>H114</f>
        <v>0</v>
      </c>
      <c r="D114" s="6">
        <f>MAX(I114:CL114)</f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>IF(COUNTIF(I114:XFD114,"&gt;"&amp;0)=0,,(E114/F114)^(1/MIN(COUNTIF(I114:XFD114,"&gt;"&amp;0)-1,$F$1)))</f>
        <v>0</v>
      </c>
    </row>
    <row r="115" spans="1:7" x14ac:dyDescent="0.25">
      <c r="A115" s="9">
        <f t="shared" si="6"/>
        <v>114</v>
      </c>
      <c r="B115" s="9">
        <v>1</v>
      </c>
      <c r="C115" s="9">
        <f>H115</f>
        <v>0</v>
      </c>
      <c r="D115" s="6">
        <f>MAX(I115:CL115)</f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>IF(COUNTIF(I115:XFD115,"&gt;"&amp;0)=0,,(E115/F115)^(1/MIN(COUNTIF(I115:XFD115,"&gt;"&amp;0)-1,$F$1)))</f>
        <v>0</v>
      </c>
    </row>
    <row r="116" spans="1:7" x14ac:dyDescent="0.25">
      <c r="A116" s="9">
        <f t="shared" si="6"/>
        <v>115</v>
      </c>
      <c r="B116" s="9">
        <v>1</v>
      </c>
      <c r="C116" s="9">
        <f>H116</f>
        <v>0</v>
      </c>
      <c r="D116" s="6">
        <f>MAX(I116:CL116)</f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>IF(COUNTIF(I116:XFD116,"&gt;"&amp;0)=0,,(E116/F116)^(1/MIN(COUNTIF(I116:XFD116,"&gt;"&amp;0)-1,$F$1)))</f>
        <v>0</v>
      </c>
    </row>
    <row r="117" spans="1:7" x14ac:dyDescent="0.25">
      <c r="A117" s="9">
        <f t="shared" si="6"/>
        <v>116</v>
      </c>
      <c r="B117" s="9">
        <v>1</v>
      </c>
      <c r="C117" s="9">
        <f>H117</f>
        <v>0</v>
      </c>
      <c r="D117" s="6">
        <f>MAX(I117:CL117)</f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>IF(COUNTIF(I117:XFD117,"&gt;"&amp;0)=0,,(E117/F117)^(1/MIN(COUNTIF(I117:XFD117,"&gt;"&amp;0)-1,$F$1)))</f>
        <v>0</v>
      </c>
    </row>
    <row r="118" spans="1:7" x14ac:dyDescent="0.25">
      <c r="A118" s="9">
        <f t="shared" si="6"/>
        <v>117</v>
      </c>
      <c r="B118" s="9">
        <v>1</v>
      </c>
      <c r="C118" s="9">
        <f>H118</f>
        <v>0</v>
      </c>
      <c r="D118" s="6">
        <f>MAX(I118:CL118)</f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>IF(COUNTIF(I118:XFD118,"&gt;"&amp;0)=0,,(E118/F118)^(1/MIN(COUNTIF(I118:XFD118,"&gt;"&amp;0)-1,$F$1)))</f>
        <v>0</v>
      </c>
    </row>
    <row r="119" spans="1:7" x14ac:dyDescent="0.25">
      <c r="A119" s="9">
        <f t="shared" si="6"/>
        <v>118</v>
      </c>
      <c r="B119" s="9">
        <v>1</v>
      </c>
      <c r="C119" s="9">
        <f>H119</f>
        <v>0</v>
      </c>
      <c r="D119" s="6">
        <f>MAX(I119:CL119)</f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>IF(COUNTIF(I119:XFD119,"&gt;"&amp;0)=0,,(E119/F119)^(1/MIN(COUNTIF(I119:XFD119,"&gt;"&amp;0)-1,$F$1)))</f>
        <v>0</v>
      </c>
    </row>
    <row r="120" spans="1:7" x14ac:dyDescent="0.25">
      <c r="A120" s="9">
        <f t="shared" si="6"/>
        <v>119</v>
      </c>
      <c r="B120" s="9">
        <v>1</v>
      </c>
      <c r="C120" s="9">
        <f>H120</f>
        <v>0</v>
      </c>
      <c r="D120" s="6">
        <f>MAX(I120:CL120)</f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>IF(COUNTIF(I120:XFD120,"&gt;"&amp;0)=0,,(E120/F120)^(1/MIN(COUNTIF(I120:XFD120,"&gt;"&amp;0)-1,$F$1)))</f>
        <v>0</v>
      </c>
    </row>
    <row r="121" spans="1:7" x14ac:dyDescent="0.25">
      <c r="A121" s="9">
        <f t="shared" si="6"/>
        <v>120</v>
      </c>
      <c r="B121" s="9">
        <v>1</v>
      </c>
      <c r="C121" s="9">
        <f>H121</f>
        <v>0</v>
      </c>
      <c r="D121" s="6">
        <f>MAX(I121:CL121)</f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>IF(COUNTIF(I121:XFD121,"&gt;"&amp;0)=0,,(E121/F121)^(1/MIN(COUNTIF(I121:XFD121,"&gt;"&amp;0)-1,$F$1)))</f>
        <v>0</v>
      </c>
    </row>
    <row r="122" spans="1:7" x14ac:dyDescent="0.25">
      <c r="A122" s="9">
        <f t="shared" si="6"/>
        <v>121</v>
      </c>
      <c r="B122" s="9">
        <v>1</v>
      </c>
      <c r="C122" s="9">
        <f>H122</f>
        <v>0</v>
      </c>
      <c r="D122" s="6">
        <f>MAX(I122:CL122)</f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>IF(COUNTIF(I122:XFD122,"&gt;"&amp;0)=0,,(E122/F122)^(1/MIN(COUNTIF(I122:XFD122,"&gt;"&amp;0)-1,$F$1)))</f>
        <v>0</v>
      </c>
    </row>
    <row r="123" spans="1:7" x14ac:dyDescent="0.25">
      <c r="A123" s="9">
        <f t="shared" si="6"/>
        <v>122</v>
      </c>
      <c r="B123" s="9">
        <v>1</v>
      </c>
      <c r="C123" s="9">
        <f>H123</f>
        <v>0</v>
      </c>
      <c r="D123" s="6">
        <f>MAX(I123:CL123)</f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>IF(COUNTIF(I123:XFD123,"&gt;"&amp;0)=0,,(E123/F123)^(1/MIN(COUNTIF(I123:XFD123,"&gt;"&amp;0)-1,$F$1)))</f>
        <v>0</v>
      </c>
    </row>
    <row r="124" spans="1:7" x14ac:dyDescent="0.25">
      <c r="A124" s="9">
        <f t="shared" si="6"/>
        <v>123</v>
      </c>
      <c r="B124" s="9">
        <v>1</v>
      </c>
      <c r="C124" s="9">
        <f>H124</f>
        <v>0</v>
      </c>
      <c r="D124" s="6">
        <f>MAX(I124:CL124)</f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>IF(COUNTIF(I124:XFD124,"&gt;"&amp;0)=0,,(E124/F124)^(1/MIN(COUNTIF(I124:XFD124,"&gt;"&amp;0)-1,$F$1)))</f>
        <v>0</v>
      </c>
    </row>
    <row r="125" spans="1:7" x14ac:dyDescent="0.25">
      <c r="A125" s="9">
        <f t="shared" si="6"/>
        <v>124</v>
      </c>
      <c r="B125" s="9">
        <v>1</v>
      </c>
      <c r="C125" s="9">
        <f>H125</f>
        <v>0</v>
      </c>
      <c r="D125" s="6">
        <f>MAX(I125:CL125)</f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>IF(COUNTIF(I125:XFD125,"&gt;"&amp;0)=0,,(E125/F125)^(1/MIN(COUNTIF(I125:XFD125,"&gt;"&amp;0)-1,$F$1)))</f>
        <v>0</v>
      </c>
    </row>
    <row r="126" spans="1:7" x14ac:dyDescent="0.25">
      <c r="A126" s="9">
        <f t="shared" si="6"/>
        <v>125</v>
      </c>
      <c r="B126" s="9">
        <v>1</v>
      </c>
      <c r="C126" s="9">
        <f>H126</f>
        <v>0</v>
      </c>
      <c r="D126" s="6">
        <f>MAX(I126:CL126)</f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>IF(COUNTIF(I126:XFD126,"&gt;"&amp;0)=0,,(E126/F126)^(1/MIN(COUNTIF(I126:XFD126,"&gt;"&amp;0)-1,$F$1)))</f>
        <v>0</v>
      </c>
    </row>
    <row r="127" spans="1:7" x14ac:dyDescent="0.25">
      <c r="A127" s="9">
        <f t="shared" si="6"/>
        <v>126</v>
      </c>
      <c r="B127" s="9">
        <v>1</v>
      </c>
      <c r="C127" s="9">
        <f>H127</f>
        <v>0</v>
      </c>
      <c r="D127" s="6">
        <f>MAX(I127:CL127)</f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>IF(COUNTIF(I127:XFD127,"&gt;"&amp;0)=0,,(E127/F127)^(1/MIN(COUNTIF(I127:XFD127,"&gt;"&amp;0)-1,$F$1)))</f>
        <v>0</v>
      </c>
    </row>
    <row r="128" spans="1:7" x14ac:dyDescent="0.25">
      <c r="A128" s="9">
        <f t="shared" si="6"/>
        <v>127</v>
      </c>
      <c r="B128" s="9">
        <v>1</v>
      </c>
      <c r="C128" s="9">
        <f>H128</f>
        <v>0</v>
      </c>
      <c r="D128" s="6">
        <f>MAX(I128:CL128)</f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>IF(COUNTIF(I128:XFD128,"&gt;"&amp;0)=0,,(E128/F128)^(1/MIN(COUNTIF(I128:XFD128,"&gt;"&amp;0)-1,$F$1)))</f>
        <v>0</v>
      </c>
    </row>
    <row r="129" spans="1:7" x14ac:dyDescent="0.25">
      <c r="A129" s="9">
        <f t="shared" si="6"/>
        <v>128</v>
      </c>
      <c r="B129" s="9">
        <v>1</v>
      </c>
      <c r="C129" s="9">
        <f>H129</f>
        <v>0</v>
      </c>
      <c r="D129" s="6">
        <f>MAX(I129:CL129)</f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>IF(COUNTIF(I129:XFD129,"&gt;"&amp;0)=0,,(E129/F129)^(1/MIN(COUNTIF(I129:XFD129,"&gt;"&amp;0)-1,$F$1)))</f>
        <v>0</v>
      </c>
    </row>
    <row r="130" spans="1:7" x14ac:dyDescent="0.25">
      <c r="A130" s="9">
        <f t="shared" si="6"/>
        <v>129</v>
      </c>
      <c r="B130" s="9">
        <v>1</v>
      </c>
      <c r="C130" s="9">
        <f>H130</f>
        <v>0</v>
      </c>
      <c r="D130" s="6">
        <f>MAX(I130:CL130)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>IF(COUNTIF(I130:XFD130,"&gt;"&amp;0)=0,,(E130/F130)^(1/MIN(COUNTIF(I130:XFD130,"&gt;"&amp;0)-1,$F$1)))</f>
        <v>0</v>
      </c>
    </row>
    <row r="131" spans="1:7" x14ac:dyDescent="0.25">
      <c r="A131" s="9">
        <f t="shared" ref="A131:A194" si="7">A130+1</f>
        <v>130</v>
      </c>
      <c r="B131" s="9">
        <v>1</v>
      </c>
      <c r="C131" s="9">
        <f>H131</f>
        <v>0</v>
      </c>
      <c r="D131" s="6">
        <f>MAX(I131:CL131)</f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>IF(COUNTIF(I131:XFD131,"&gt;"&amp;0)=0,,(E131/F131)^(1/MIN(COUNTIF(I131:XFD131,"&gt;"&amp;0)-1,$F$1)))</f>
        <v>0</v>
      </c>
    </row>
    <row r="132" spans="1:7" x14ac:dyDescent="0.25">
      <c r="A132" s="9">
        <f t="shared" si="7"/>
        <v>131</v>
      </c>
      <c r="B132" s="9">
        <v>1</v>
      </c>
      <c r="C132" s="9">
        <f>H132</f>
        <v>0</v>
      </c>
      <c r="D132" s="6">
        <f>MAX(I132:CL132)</f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>IF(COUNTIF(I132:XFD132,"&gt;"&amp;0)=0,,(E132/F132)^(1/MIN(COUNTIF(I132:XFD132,"&gt;"&amp;0)-1,$F$1)))</f>
        <v>0</v>
      </c>
    </row>
    <row r="133" spans="1:7" x14ac:dyDescent="0.25">
      <c r="A133" s="9">
        <f t="shared" si="7"/>
        <v>132</v>
      </c>
      <c r="B133" s="9">
        <v>1</v>
      </c>
      <c r="C133" s="9">
        <f>H133</f>
        <v>0</v>
      </c>
      <c r="D133" s="6">
        <f>MAX(I133:CL133)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>IF(COUNTIF(I133:XFD133,"&gt;"&amp;0)=0,,(E133/F133)^(1/MIN(COUNTIF(I133:XFD133,"&gt;"&amp;0)-1,$F$1)))</f>
        <v>0</v>
      </c>
    </row>
    <row r="134" spans="1:7" x14ac:dyDescent="0.25">
      <c r="A134" s="9">
        <f t="shared" si="7"/>
        <v>133</v>
      </c>
      <c r="B134" s="9">
        <v>1</v>
      </c>
      <c r="C134" s="9">
        <f>H134</f>
        <v>0</v>
      </c>
      <c r="D134" s="6">
        <f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>IF(COUNTIF(I134:XFD134,"&gt;"&amp;0)=0,,(E134/F134)^(1/MIN(COUNTIF(I134:XFD134,"&gt;"&amp;0)-1,$F$1)))</f>
        <v>0</v>
      </c>
    </row>
    <row r="135" spans="1:7" x14ac:dyDescent="0.25">
      <c r="A135" s="9">
        <f t="shared" si="7"/>
        <v>134</v>
      </c>
      <c r="B135" s="9">
        <v>1</v>
      </c>
      <c r="C135" s="9">
        <f>H135</f>
        <v>0</v>
      </c>
      <c r="D135" s="6">
        <f>MAX(I135:CL135)</f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>IF(COUNTIF(I135:XFD135,"&gt;"&amp;0)=0,,(E135/F135)^(1/MIN(COUNTIF(I135:XFD135,"&gt;"&amp;0)-1,$F$1)))</f>
        <v>0</v>
      </c>
    </row>
    <row r="136" spans="1:7" x14ac:dyDescent="0.25">
      <c r="A136" s="9">
        <f t="shared" si="7"/>
        <v>135</v>
      </c>
      <c r="B136" s="9">
        <v>1</v>
      </c>
      <c r="C136" s="9">
        <f>H136</f>
        <v>0</v>
      </c>
      <c r="D136" s="6">
        <f>MAX(I136:CL136)</f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>IF(COUNTIF(I136:XFD136,"&gt;"&amp;0)=0,,(E136/F136)^(1/MIN(COUNTIF(I136:XFD136,"&gt;"&amp;0)-1,$F$1)))</f>
        <v>0</v>
      </c>
    </row>
    <row r="137" spans="1:7" x14ac:dyDescent="0.25">
      <c r="A137" s="9">
        <f t="shared" si="7"/>
        <v>136</v>
      </c>
      <c r="B137" s="9">
        <v>1</v>
      </c>
      <c r="C137" s="9">
        <f>H137</f>
        <v>0</v>
      </c>
      <c r="D137" s="6">
        <f>MAX(I137:CL137)</f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>IF(COUNTIF(I137:XFD137,"&gt;"&amp;0)=0,,(E137/F137)^(1/MIN(COUNTIF(I137:XFD137,"&gt;"&amp;0)-1,$F$1)))</f>
        <v>0</v>
      </c>
    </row>
    <row r="138" spans="1:7" x14ac:dyDescent="0.25">
      <c r="A138" s="9">
        <f t="shared" si="7"/>
        <v>137</v>
      </c>
      <c r="B138" s="9">
        <v>1</v>
      </c>
      <c r="C138" s="9">
        <f>H138</f>
        <v>0</v>
      </c>
      <c r="D138" s="6">
        <f>MAX(I138:CL138)</f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>IF(COUNTIF(I138:XFD138,"&gt;"&amp;0)=0,,(E138/F138)^(1/MIN(COUNTIF(I138:XFD138,"&gt;"&amp;0)-1,$F$1)))</f>
        <v>0</v>
      </c>
    </row>
    <row r="139" spans="1:7" x14ac:dyDescent="0.25">
      <c r="A139" s="9">
        <f t="shared" si="7"/>
        <v>138</v>
      </c>
      <c r="B139" s="9">
        <v>1</v>
      </c>
      <c r="C139" s="9">
        <f>H139</f>
        <v>0</v>
      </c>
      <c r="D139" s="6">
        <f>MAX(I139:CL139)</f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>IF(COUNTIF(I139:XFD139,"&gt;"&amp;0)=0,,(E139/F139)^(1/MIN(COUNTIF(I139:XFD139,"&gt;"&amp;0)-1,$F$1)))</f>
        <v>0</v>
      </c>
    </row>
    <row r="140" spans="1:7" x14ac:dyDescent="0.25">
      <c r="A140" s="9">
        <f t="shared" si="7"/>
        <v>139</v>
      </c>
      <c r="B140" s="9">
        <v>1</v>
      </c>
      <c r="C140" s="9">
        <f>H140</f>
        <v>0</v>
      </c>
      <c r="D140" s="6">
        <f>MAX(I140:CL140)</f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>IF(COUNTIF(I140:XFD140,"&gt;"&amp;0)=0,,(E140/F140)^(1/MIN(COUNTIF(I140:XFD140,"&gt;"&amp;0)-1,$F$1)))</f>
        <v>0</v>
      </c>
    </row>
    <row r="141" spans="1:7" x14ac:dyDescent="0.25">
      <c r="A141" s="9">
        <f t="shared" si="7"/>
        <v>140</v>
      </c>
      <c r="B141" s="9">
        <v>1</v>
      </c>
      <c r="C141" s="9">
        <f>H141</f>
        <v>0</v>
      </c>
      <c r="D141" s="6">
        <f>MAX(I141:CL141)</f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>IF(COUNTIF(I141:XFD141,"&gt;"&amp;0)=0,,(E141/F141)^(1/MIN(COUNTIF(I141:XFD141,"&gt;"&amp;0)-1,$F$1)))</f>
        <v>0</v>
      </c>
    </row>
    <row r="142" spans="1:7" x14ac:dyDescent="0.25">
      <c r="A142" s="9">
        <f t="shared" si="7"/>
        <v>141</v>
      </c>
      <c r="B142" s="9">
        <v>1</v>
      </c>
      <c r="C142" s="9">
        <f>H142</f>
        <v>0</v>
      </c>
      <c r="D142" s="6">
        <f>MAX(I142:CL142)</f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>IF(COUNTIF(I142:XFD142,"&gt;"&amp;0)=0,,(E142/F142)^(1/MIN(COUNTIF(I142:XFD142,"&gt;"&amp;0)-1,$F$1)))</f>
        <v>0</v>
      </c>
    </row>
    <row r="143" spans="1:7" x14ac:dyDescent="0.25">
      <c r="A143" s="9">
        <f t="shared" si="7"/>
        <v>142</v>
      </c>
      <c r="B143" s="9">
        <v>1</v>
      </c>
      <c r="C143" s="9">
        <f>H143</f>
        <v>0</v>
      </c>
      <c r="D143" s="6">
        <f>MAX(I143:CL143)</f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>IF(COUNTIF(I143:XFD143,"&gt;"&amp;0)=0,,(E143/F143)^(1/MIN(COUNTIF(I143:XFD143,"&gt;"&amp;0)-1,$F$1)))</f>
        <v>0</v>
      </c>
    </row>
    <row r="144" spans="1:7" x14ac:dyDescent="0.25">
      <c r="A144" s="9">
        <f t="shared" si="7"/>
        <v>143</v>
      </c>
      <c r="B144" s="9">
        <v>1</v>
      </c>
      <c r="C144" s="9">
        <f>H144</f>
        <v>0</v>
      </c>
      <c r="D144" s="6">
        <f>MAX(I144:CL144)</f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>IF(COUNTIF(I144:XFD144,"&gt;"&amp;0)=0,,(E144/F144)^(1/MIN(COUNTIF(I144:XFD144,"&gt;"&amp;0)-1,$F$1)))</f>
        <v>0</v>
      </c>
    </row>
    <row r="145" spans="1:7" x14ac:dyDescent="0.25">
      <c r="A145" s="9">
        <f t="shared" si="7"/>
        <v>144</v>
      </c>
      <c r="B145" s="9">
        <v>1</v>
      </c>
      <c r="C145" s="9">
        <f>H145</f>
        <v>0</v>
      </c>
      <c r="D145" s="6">
        <f>MAX(I145:CL145)</f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>IF(COUNTIF(I145:XFD145,"&gt;"&amp;0)=0,,(E145/F145)^(1/MIN(COUNTIF(I145:XFD145,"&gt;"&amp;0)-1,$F$1)))</f>
        <v>0</v>
      </c>
    </row>
    <row r="146" spans="1:7" x14ac:dyDescent="0.25">
      <c r="A146" s="9">
        <f t="shared" si="7"/>
        <v>145</v>
      </c>
      <c r="B146" s="9">
        <v>1</v>
      </c>
      <c r="C146" s="9">
        <f>H146</f>
        <v>0</v>
      </c>
      <c r="D146" s="6">
        <f>MAX(I146:CL146)</f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>IF(COUNTIF(I146:XFD146,"&gt;"&amp;0)=0,,(E146/F146)^(1/MIN(COUNTIF(I146:XFD146,"&gt;"&amp;0)-1,$F$1)))</f>
        <v>0</v>
      </c>
    </row>
    <row r="147" spans="1:7" x14ac:dyDescent="0.25">
      <c r="A147" s="9">
        <f t="shared" si="7"/>
        <v>146</v>
      </c>
      <c r="B147" s="9">
        <v>1</v>
      </c>
      <c r="C147" s="9">
        <f>H147</f>
        <v>0</v>
      </c>
      <c r="D147" s="6">
        <f>MAX(I147:CL147)</f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>IF(COUNTIF(I147:XFD147,"&gt;"&amp;0)=0,,(E147/F147)^(1/MIN(COUNTIF(I147:XFD147,"&gt;"&amp;0)-1,$F$1)))</f>
        <v>0</v>
      </c>
    </row>
    <row r="148" spans="1:7" x14ac:dyDescent="0.25">
      <c r="A148" s="9">
        <f t="shared" si="7"/>
        <v>147</v>
      </c>
      <c r="B148" s="9">
        <v>1</v>
      </c>
      <c r="C148" s="9">
        <f>H148</f>
        <v>0</v>
      </c>
      <c r="D148" s="6">
        <f>MAX(I148:CL148)</f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>IF(COUNTIF(I148:XFD148,"&gt;"&amp;0)=0,,(E148/F148)^(1/MIN(COUNTIF(I148:XFD148,"&gt;"&amp;0)-1,$F$1)))</f>
        <v>0</v>
      </c>
    </row>
    <row r="149" spans="1:7" x14ac:dyDescent="0.25">
      <c r="A149" s="9">
        <f t="shared" si="7"/>
        <v>148</v>
      </c>
      <c r="B149" s="9">
        <v>1</v>
      </c>
      <c r="C149" s="9">
        <f>H149</f>
        <v>0</v>
      </c>
      <c r="D149" s="6">
        <f>MAX(I149:CL149)</f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>IF(COUNTIF(I149:XFD149,"&gt;"&amp;0)=0,,(E149/F149)^(1/MIN(COUNTIF(I149:XFD149,"&gt;"&amp;0)-1,$F$1)))</f>
        <v>0</v>
      </c>
    </row>
    <row r="150" spans="1:7" x14ac:dyDescent="0.25">
      <c r="A150" s="9">
        <f t="shared" si="7"/>
        <v>149</v>
      </c>
      <c r="B150" s="9">
        <v>1</v>
      </c>
      <c r="C150" s="9">
        <f>H150</f>
        <v>0</v>
      </c>
      <c r="D150" s="6">
        <f>MAX(I150:CL150)</f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>IF(COUNTIF(I150:XFD150,"&gt;"&amp;0)=0,,(E150/F150)^(1/MIN(COUNTIF(I150:XFD150,"&gt;"&amp;0)-1,$F$1)))</f>
        <v>0</v>
      </c>
    </row>
    <row r="151" spans="1:7" x14ac:dyDescent="0.25">
      <c r="A151" s="9">
        <f t="shared" si="7"/>
        <v>150</v>
      </c>
      <c r="B151" s="9">
        <v>1</v>
      </c>
      <c r="C151" s="9">
        <f>H151</f>
        <v>0</v>
      </c>
      <c r="D151" s="6">
        <f>MAX(I151:CL151)</f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>IF(COUNTIF(I151:XFD151,"&gt;"&amp;0)=0,,(E151/F151)^(1/MIN(COUNTIF(I151:XFD151,"&gt;"&amp;0)-1,$F$1)))</f>
        <v>0</v>
      </c>
    </row>
    <row r="152" spans="1:7" x14ac:dyDescent="0.25">
      <c r="A152" s="9">
        <f t="shared" si="7"/>
        <v>151</v>
      </c>
      <c r="B152" s="9">
        <v>1</v>
      </c>
      <c r="C152" s="9">
        <f>H152</f>
        <v>0</v>
      </c>
      <c r="D152" s="6">
        <f>MAX(I152:CL152)</f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>IF(COUNTIF(I152:XFD152,"&gt;"&amp;0)=0,,(E152/F152)^(1/MIN(COUNTIF(I152:XFD152,"&gt;"&amp;0)-1,$F$1)))</f>
        <v>0</v>
      </c>
    </row>
    <row r="153" spans="1:7" x14ac:dyDescent="0.25">
      <c r="A153" s="9">
        <f t="shared" si="7"/>
        <v>152</v>
      </c>
      <c r="B153" s="9">
        <v>1</v>
      </c>
      <c r="C153" s="9">
        <f>H153</f>
        <v>0</v>
      </c>
      <c r="D153" s="6">
        <f>MAX(I153:CL153)</f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>IF(COUNTIF(I153:XFD153,"&gt;"&amp;0)=0,,(E153/F153)^(1/MIN(COUNTIF(I153:XFD153,"&gt;"&amp;0)-1,$F$1)))</f>
        <v>0</v>
      </c>
    </row>
    <row r="154" spans="1:7" x14ac:dyDescent="0.25">
      <c r="A154" s="9">
        <f t="shared" si="7"/>
        <v>153</v>
      </c>
      <c r="B154" s="9">
        <v>1</v>
      </c>
      <c r="C154" s="9">
        <f>H154</f>
        <v>0</v>
      </c>
      <c r="D154" s="6">
        <f>MAX(I154:CL154)</f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>IF(COUNTIF(I154:XFD154,"&gt;"&amp;0)=0,,(E154/F154)^(1/MIN(COUNTIF(I154:XFD154,"&gt;"&amp;0)-1,$F$1)))</f>
        <v>0</v>
      </c>
    </row>
    <row r="155" spans="1:7" x14ac:dyDescent="0.25">
      <c r="A155" s="9">
        <f t="shared" si="7"/>
        <v>154</v>
      </c>
      <c r="B155" s="9">
        <v>1</v>
      </c>
      <c r="C155" s="9">
        <f>H155</f>
        <v>0</v>
      </c>
      <c r="D155" s="6">
        <f>MAX(I155:CL155)</f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>IF(COUNTIF(I155:XFD155,"&gt;"&amp;0)=0,,(E155/F155)^(1/MIN(COUNTIF(I155:XFD155,"&gt;"&amp;0)-1,$F$1)))</f>
        <v>0</v>
      </c>
    </row>
    <row r="156" spans="1:7" x14ac:dyDescent="0.25">
      <c r="A156" s="9">
        <f t="shared" si="7"/>
        <v>155</v>
      </c>
      <c r="B156" s="9">
        <v>1</v>
      </c>
      <c r="C156" s="9">
        <f>H156</f>
        <v>0</v>
      </c>
      <c r="D156" s="6">
        <f>MAX(I156:CL156)</f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>IF(COUNTIF(I156:XFD156,"&gt;"&amp;0)=0,,(E156/F156)^(1/MIN(COUNTIF(I156:XFD156,"&gt;"&amp;0)-1,$F$1)))</f>
        <v>0</v>
      </c>
    </row>
    <row r="157" spans="1:7" x14ac:dyDescent="0.25">
      <c r="A157" s="9">
        <f t="shared" si="7"/>
        <v>156</v>
      </c>
      <c r="B157" s="9">
        <v>1</v>
      </c>
      <c r="C157" s="9">
        <f>H157</f>
        <v>0</v>
      </c>
      <c r="D157" s="6">
        <f>MAX(I157:CL157)</f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>IF(COUNTIF(I157:XFD157,"&gt;"&amp;0)=0,,(E157/F157)^(1/MIN(COUNTIF(I157:XFD157,"&gt;"&amp;0)-1,$F$1)))</f>
        <v>0</v>
      </c>
    </row>
    <row r="158" spans="1:7" x14ac:dyDescent="0.25">
      <c r="A158" s="9">
        <f t="shared" si="7"/>
        <v>157</v>
      </c>
      <c r="B158" s="9">
        <v>1</v>
      </c>
      <c r="C158" s="9">
        <f>H158</f>
        <v>0</v>
      </c>
      <c r="D158" s="6">
        <f>MAX(I158:CL158)</f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>IF(COUNTIF(I158:XFD158,"&gt;"&amp;0)=0,,(E158/F158)^(1/MIN(COUNTIF(I158:XFD158,"&gt;"&amp;0)-1,$F$1)))</f>
        <v>0</v>
      </c>
    </row>
    <row r="159" spans="1:7" x14ac:dyDescent="0.25">
      <c r="A159" s="9">
        <f t="shared" si="7"/>
        <v>158</v>
      </c>
      <c r="B159" s="9">
        <v>1</v>
      </c>
      <c r="C159" s="9">
        <f>H159</f>
        <v>0</v>
      </c>
      <c r="D159" s="6">
        <f>MAX(I159:CL159)</f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>IF(COUNTIF(I159:XFD159,"&gt;"&amp;0)=0,,(E159/F159)^(1/MIN(COUNTIF(I159:XFD159,"&gt;"&amp;0)-1,$F$1)))</f>
        <v>0</v>
      </c>
    </row>
    <row r="160" spans="1:7" x14ac:dyDescent="0.25">
      <c r="A160" s="9">
        <f t="shared" si="7"/>
        <v>159</v>
      </c>
      <c r="B160" s="9">
        <v>1</v>
      </c>
      <c r="C160" s="9">
        <f>H160</f>
        <v>0</v>
      </c>
      <c r="D160" s="6">
        <f>MAX(I160:CL160)</f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>IF(COUNTIF(I160:XFD160,"&gt;"&amp;0)=0,,(E160/F160)^(1/MIN(COUNTIF(I160:XFD160,"&gt;"&amp;0)-1,$F$1)))</f>
        <v>0</v>
      </c>
    </row>
    <row r="161" spans="1:7" x14ac:dyDescent="0.25">
      <c r="A161" s="9">
        <f t="shared" si="7"/>
        <v>160</v>
      </c>
      <c r="B161" s="9">
        <v>1</v>
      </c>
      <c r="C161" s="9">
        <f>H161</f>
        <v>0</v>
      </c>
      <c r="D161" s="6">
        <f>MAX(I161:CL161)</f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>IF(COUNTIF(I161:XFD161,"&gt;"&amp;0)=0,,(E161/F161)^(1/MIN(COUNTIF(I161:XFD161,"&gt;"&amp;0)-1,$F$1)))</f>
        <v>0</v>
      </c>
    </row>
    <row r="162" spans="1:7" x14ac:dyDescent="0.25">
      <c r="A162" s="9">
        <f t="shared" si="7"/>
        <v>161</v>
      </c>
      <c r="B162" s="9">
        <v>1</v>
      </c>
      <c r="C162" s="9">
        <f>H162</f>
        <v>0</v>
      </c>
      <c r="D162" s="6">
        <f>MAX(I162:CL162)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>IF(COUNTIF(I162:XFD162,"&gt;"&amp;0)=0,,(E162/F162)^(1/MIN(COUNTIF(I162:XFD162,"&gt;"&amp;0)-1,$F$1)))</f>
        <v>0</v>
      </c>
    </row>
    <row r="163" spans="1:7" x14ac:dyDescent="0.25">
      <c r="A163" s="9">
        <f t="shared" si="7"/>
        <v>162</v>
      </c>
      <c r="B163" s="9">
        <v>1</v>
      </c>
      <c r="C163" s="9">
        <f>H163</f>
        <v>0</v>
      </c>
      <c r="D163" s="6">
        <f>MAX(I163:CL163)</f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>IF(COUNTIF(I163:XFD163,"&gt;"&amp;0)=0,,(E163/F163)^(1/MIN(COUNTIF(I163:XFD163,"&gt;"&amp;0)-1,$F$1)))</f>
        <v>0</v>
      </c>
    </row>
    <row r="164" spans="1:7" x14ac:dyDescent="0.25">
      <c r="A164" s="9">
        <f t="shared" si="7"/>
        <v>163</v>
      </c>
      <c r="B164" s="9">
        <v>1</v>
      </c>
      <c r="C164" s="9">
        <f>H164</f>
        <v>0</v>
      </c>
      <c r="D164" s="6">
        <f>MAX(I164:CL164)</f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>IF(COUNTIF(I164:XFD164,"&gt;"&amp;0)=0,,(E164/F164)^(1/MIN(COUNTIF(I164:XFD164,"&gt;"&amp;0)-1,$F$1)))</f>
        <v>0</v>
      </c>
    </row>
    <row r="165" spans="1:7" x14ac:dyDescent="0.25">
      <c r="A165" s="9">
        <f t="shared" si="7"/>
        <v>164</v>
      </c>
      <c r="B165" s="9">
        <v>1</v>
      </c>
      <c r="C165" s="9">
        <f>H165</f>
        <v>0</v>
      </c>
      <c r="D165" s="6">
        <f>MAX(I165:CL165)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>IF(COUNTIF(I165:XFD165,"&gt;"&amp;0)=0,,(E165/F165)^(1/MIN(COUNTIF(I165:XFD165,"&gt;"&amp;0)-1,$F$1)))</f>
        <v>0</v>
      </c>
    </row>
    <row r="166" spans="1:7" x14ac:dyDescent="0.25">
      <c r="A166" s="9">
        <f t="shared" si="7"/>
        <v>165</v>
      </c>
      <c r="B166" s="9">
        <v>1</v>
      </c>
      <c r="C166" s="9">
        <f>H166</f>
        <v>0</v>
      </c>
      <c r="D166" s="6">
        <f>MAX(I166:CL166)</f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>IF(COUNTIF(I166:XFD166,"&gt;"&amp;0)=0,,(E166/F166)^(1/MIN(COUNTIF(I166:XFD166,"&gt;"&amp;0)-1,$F$1)))</f>
        <v>0</v>
      </c>
    </row>
    <row r="167" spans="1:7" x14ac:dyDescent="0.25">
      <c r="A167" s="9">
        <f t="shared" si="7"/>
        <v>166</v>
      </c>
      <c r="B167" s="9">
        <v>1</v>
      </c>
      <c r="C167" s="9">
        <f>H167</f>
        <v>0</v>
      </c>
      <c r="D167" s="6">
        <f>MAX(I167:CL167)</f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>IF(COUNTIF(I167:XFD167,"&gt;"&amp;0)=0,,(E167/F167)^(1/MIN(COUNTIF(I167:XFD167,"&gt;"&amp;0)-1,$F$1)))</f>
        <v>0</v>
      </c>
    </row>
    <row r="168" spans="1:7" x14ac:dyDescent="0.25">
      <c r="A168" s="9">
        <f t="shared" si="7"/>
        <v>167</v>
      </c>
      <c r="B168" s="9">
        <v>1</v>
      </c>
      <c r="C168" s="9">
        <f>H168</f>
        <v>0</v>
      </c>
      <c r="D168" s="6">
        <f>MAX(I168:CL168)</f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>IF(COUNTIF(I168:XFD168,"&gt;"&amp;0)=0,,(E168/F168)^(1/MIN(COUNTIF(I168:XFD168,"&gt;"&amp;0)-1,$F$1)))</f>
        <v>0</v>
      </c>
    </row>
    <row r="169" spans="1:7" x14ac:dyDescent="0.25">
      <c r="A169" s="9">
        <f t="shared" si="7"/>
        <v>168</v>
      </c>
      <c r="B169" s="9">
        <v>1</v>
      </c>
      <c r="C169" s="9">
        <f>H169</f>
        <v>0</v>
      </c>
      <c r="D169" s="6">
        <f>MAX(I169:CL169)</f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>IF(COUNTIF(I169:XFD169,"&gt;"&amp;0)=0,,(E169/F169)^(1/MIN(COUNTIF(I169:XFD169,"&gt;"&amp;0)-1,$F$1)))</f>
        <v>0</v>
      </c>
    </row>
    <row r="170" spans="1:7" x14ac:dyDescent="0.25">
      <c r="A170" s="9">
        <f t="shared" si="7"/>
        <v>169</v>
      </c>
      <c r="B170" s="9">
        <v>1</v>
      </c>
      <c r="C170" s="9">
        <f>H170</f>
        <v>0</v>
      </c>
      <c r="D170" s="6">
        <f>MAX(I170:CL170)</f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>IF(COUNTIF(I170:XFD170,"&gt;"&amp;0)=0,,(E170/F170)^(1/MIN(COUNTIF(I170:XFD170,"&gt;"&amp;0)-1,$F$1)))</f>
        <v>0</v>
      </c>
    </row>
    <row r="171" spans="1:7" x14ac:dyDescent="0.25">
      <c r="A171" s="9">
        <f t="shared" si="7"/>
        <v>170</v>
      </c>
      <c r="B171" s="9">
        <v>1</v>
      </c>
      <c r="C171" s="9">
        <f>H171</f>
        <v>0</v>
      </c>
      <c r="D171" s="6">
        <f>MAX(I171:CL171)</f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>IF(COUNTIF(I171:XFD171,"&gt;"&amp;0)=0,,(E171/F171)^(1/MIN(COUNTIF(I171:XFD171,"&gt;"&amp;0)-1,$F$1)))</f>
        <v>0</v>
      </c>
    </row>
    <row r="172" spans="1:7" x14ac:dyDescent="0.25">
      <c r="A172" s="9">
        <f t="shared" si="7"/>
        <v>171</v>
      </c>
      <c r="B172" s="9">
        <v>1</v>
      </c>
      <c r="C172" s="9">
        <f>H172</f>
        <v>0</v>
      </c>
      <c r="D172" s="6">
        <f>MAX(I172:CL172)</f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>IF(COUNTIF(I172:XFD172,"&gt;"&amp;0)=0,,(E172/F172)^(1/MIN(COUNTIF(I172:XFD172,"&gt;"&amp;0)-1,$F$1)))</f>
        <v>0</v>
      </c>
    </row>
    <row r="173" spans="1:7" x14ac:dyDescent="0.25">
      <c r="A173" s="9">
        <f t="shared" si="7"/>
        <v>172</v>
      </c>
      <c r="B173" s="9">
        <v>1</v>
      </c>
      <c r="C173" s="9">
        <f>H173</f>
        <v>0</v>
      </c>
      <c r="D173" s="6">
        <f>MAX(I173:CL173)</f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>IF(COUNTIF(I173:XFD173,"&gt;"&amp;0)=0,,(E173/F173)^(1/MIN(COUNTIF(I173:XFD173,"&gt;"&amp;0)-1,$F$1)))</f>
        <v>0</v>
      </c>
    </row>
    <row r="174" spans="1:7" x14ac:dyDescent="0.25">
      <c r="A174" s="9">
        <f t="shared" si="7"/>
        <v>173</v>
      </c>
      <c r="B174" s="9">
        <v>1</v>
      </c>
      <c r="C174" s="9">
        <f>H174</f>
        <v>0</v>
      </c>
      <c r="D174" s="6">
        <f>MAX(I174:CL174)</f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>IF(COUNTIF(I174:XFD174,"&gt;"&amp;0)=0,,(E174/F174)^(1/MIN(COUNTIF(I174:XFD174,"&gt;"&amp;0)-1,$F$1)))</f>
        <v>0</v>
      </c>
    </row>
    <row r="175" spans="1:7" x14ac:dyDescent="0.25">
      <c r="A175" s="9">
        <f t="shared" si="7"/>
        <v>174</v>
      </c>
      <c r="B175" s="9">
        <v>1</v>
      </c>
      <c r="C175" s="9">
        <f>H175</f>
        <v>0</v>
      </c>
      <c r="D175" s="6">
        <f>MAX(I175:CL175)</f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>IF(COUNTIF(I175:XFD175,"&gt;"&amp;0)=0,,(E175/F175)^(1/MIN(COUNTIF(I175:XFD175,"&gt;"&amp;0)-1,$F$1)))</f>
        <v>0</v>
      </c>
    </row>
    <row r="176" spans="1:7" x14ac:dyDescent="0.25">
      <c r="A176" s="9">
        <f t="shared" si="7"/>
        <v>175</v>
      </c>
      <c r="B176" s="9">
        <v>1</v>
      </c>
      <c r="C176" s="9">
        <f>H176</f>
        <v>0</v>
      </c>
      <c r="D176" s="6">
        <f>MAX(I176:CL176)</f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>IF(COUNTIF(I176:XFD176,"&gt;"&amp;0)=0,,(E176/F176)^(1/MIN(COUNTIF(I176:XFD176,"&gt;"&amp;0)-1,$F$1)))</f>
        <v>0</v>
      </c>
    </row>
    <row r="177" spans="1:7" x14ac:dyDescent="0.25">
      <c r="A177" s="9">
        <f t="shared" si="7"/>
        <v>176</v>
      </c>
      <c r="B177" s="9">
        <v>1</v>
      </c>
      <c r="C177" s="9">
        <f>H177</f>
        <v>0</v>
      </c>
      <c r="D177" s="6">
        <f>MAX(I177:CL177)</f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>IF(COUNTIF(I177:XFD177,"&gt;"&amp;0)=0,,(E177/F177)^(1/MIN(COUNTIF(I177:XFD177,"&gt;"&amp;0)-1,$F$1)))</f>
        <v>0</v>
      </c>
    </row>
    <row r="178" spans="1:7" x14ac:dyDescent="0.25">
      <c r="A178" s="9">
        <f t="shared" si="7"/>
        <v>177</v>
      </c>
      <c r="B178" s="9">
        <v>1</v>
      </c>
      <c r="C178" s="9">
        <f>H178</f>
        <v>0</v>
      </c>
      <c r="D178" s="6">
        <f>MAX(I178:CL178)</f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>IF(COUNTIF(I178:XFD178,"&gt;"&amp;0)=0,,(E178/F178)^(1/MIN(COUNTIF(I178:XFD178,"&gt;"&amp;0)-1,$F$1)))</f>
        <v>0</v>
      </c>
    </row>
    <row r="179" spans="1:7" x14ac:dyDescent="0.25">
      <c r="A179" s="9">
        <f t="shared" si="7"/>
        <v>178</v>
      </c>
      <c r="B179" s="9">
        <v>1</v>
      </c>
      <c r="C179" s="9">
        <f>H179</f>
        <v>0</v>
      </c>
      <c r="D179" s="6">
        <f>MAX(I179:CL179)</f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>IF(COUNTIF(I179:XFD179,"&gt;"&amp;0)=0,,(E179/F179)^(1/MIN(COUNTIF(I179:XFD179,"&gt;"&amp;0)-1,$F$1)))</f>
        <v>0</v>
      </c>
    </row>
    <row r="180" spans="1:7" x14ac:dyDescent="0.25">
      <c r="A180" s="9">
        <f t="shared" si="7"/>
        <v>179</v>
      </c>
      <c r="B180" s="9">
        <v>1</v>
      </c>
      <c r="C180" s="9">
        <f>H180</f>
        <v>0</v>
      </c>
      <c r="D180" s="6">
        <f>MAX(I180:CL180)</f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>IF(COUNTIF(I180:XFD180,"&gt;"&amp;0)=0,,(E180/F180)^(1/MIN(COUNTIF(I180:XFD180,"&gt;"&amp;0)-1,$F$1)))</f>
        <v>0</v>
      </c>
    </row>
    <row r="181" spans="1:7" x14ac:dyDescent="0.25">
      <c r="A181" s="9">
        <f t="shared" si="7"/>
        <v>180</v>
      </c>
      <c r="B181" s="9">
        <v>1</v>
      </c>
      <c r="C181" s="9">
        <f>H181</f>
        <v>0</v>
      </c>
      <c r="D181" s="6">
        <f>MAX(I181:CL181)</f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>IF(COUNTIF(I181:XFD181,"&gt;"&amp;0)=0,,(E181/F181)^(1/MIN(COUNTIF(I181:XFD181,"&gt;"&amp;0)-1,$F$1)))</f>
        <v>0</v>
      </c>
    </row>
    <row r="182" spans="1:7" x14ac:dyDescent="0.25">
      <c r="A182" s="9">
        <f t="shared" si="7"/>
        <v>181</v>
      </c>
      <c r="B182" s="9">
        <v>1</v>
      </c>
      <c r="C182" s="9">
        <f>H182</f>
        <v>0</v>
      </c>
      <c r="D182" s="6">
        <f>MAX(I182:CL182)</f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>IF(COUNTIF(I182:XFD182,"&gt;"&amp;0)=0,,(E182/F182)^(1/MIN(COUNTIF(I182:XFD182,"&gt;"&amp;0)-1,$F$1)))</f>
        <v>0</v>
      </c>
    </row>
    <row r="183" spans="1:7" x14ac:dyDescent="0.25">
      <c r="A183" s="9">
        <f t="shared" si="7"/>
        <v>182</v>
      </c>
      <c r="B183" s="9">
        <v>1</v>
      </c>
      <c r="C183" s="9">
        <f>H183</f>
        <v>0</v>
      </c>
      <c r="D183" s="6">
        <f>MAX(I183:CL183)</f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>IF(COUNTIF(I183:XFD183,"&gt;"&amp;0)=0,,(E183/F183)^(1/MIN(COUNTIF(I183:XFD183,"&gt;"&amp;0)-1,$F$1)))</f>
        <v>0</v>
      </c>
    </row>
    <row r="184" spans="1:7" x14ac:dyDescent="0.25">
      <c r="A184" s="9">
        <f t="shared" si="7"/>
        <v>183</v>
      </c>
      <c r="B184" s="9">
        <v>1</v>
      </c>
      <c r="C184" s="9">
        <f>H184</f>
        <v>0</v>
      </c>
      <c r="D184" s="6">
        <f>MAX(I184:CL184)</f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>IF(COUNTIF(I184:XFD184,"&gt;"&amp;0)=0,,(E184/F184)^(1/MIN(COUNTIF(I184:XFD184,"&gt;"&amp;0)-1,$F$1)))</f>
        <v>0</v>
      </c>
    </row>
    <row r="185" spans="1:7" x14ac:dyDescent="0.25">
      <c r="A185" s="9">
        <f t="shared" si="7"/>
        <v>184</v>
      </c>
      <c r="B185" s="9">
        <v>1</v>
      </c>
      <c r="C185" s="9">
        <f>H185</f>
        <v>0</v>
      </c>
      <c r="D185" s="6">
        <f>MAX(I185:CL185)</f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>IF(COUNTIF(I185:XFD185,"&gt;"&amp;0)=0,,(E185/F185)^(1/MIN(COUNTIF(I185:XFD185,"&gt;"&amp;0)-1,$F$1)))</f>
        <v>0</v>
      </c>
    </row>
    <row r="186" spans="1:7" x14ac:dyDescent="0.25">
      <c r="A186" s="9">
        <f t="shared" si="7"/>
        <v>185</v>
      </c>
      <c r="B186" s="9">
        <v>1</v>
      </c>
      <c r="C186" s="9">
        <f>H186</f>
        <v>0</v>
      </c>
      <c r="D186" s="6">
        <f>MAX(I186:CL186)</f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>IF(COUNTIF(I186:XFD186,"&gt;"&amp;0)=0,,(E186/F186)^(1/MIN(COUNTIF(I186:XFD186,"&gt;"&amp;0)-1,$F$1)))</f>
        <v>0</v>
      </c>
    </row>
    <row r="187" spans="1:7" x14ac:dyDescent="0.25">
      <c r="A187" s="9">
        <f t="shared" si="7"/>
        <v>186</v>
      </c>
      <c r="B187" s="9">
        <v>1</v>
      </c>
      <c r="C187" s="9">
        <f>H187</f>
        <v>0</v>
      </c>
      <c r="D187" s="6">
        <f>MAX(I187:CL187)</f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>IF(COUNTIF(I187:XFD187,"&gt;"&amp;0)=0,,(E187/F187)^(1/MIN(COUNTIF(I187:XFD187,"&gt;"&amp;0)-1,$F$1)))</f>
        <v>0</v>
      </c>
    </row>
    <row r="188" spans="1:7" x14ac:dyDescent="0.25">
      <c r="A188" s="9">
        <f t="shared" si="7"/>
        <v>187</v>
      </c>
      <c r="B188" s="9">
        <v>1</v>
      </c>
      <c r="C188" s="9">
        <f>H188</f>
        <v>0</v>
      </c>
      <c r="D188" s="6">
        <f>MAX(I188:CL188)</f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>IF(COUNTIF(I188:XFD188,"&gt;"&amp;0)=0,,(E188/F188)^(1/MIN(COUNTIF(I188:XFD188,"&gt;"&amp;0)-1,$F$1)))</f>
        <v>0</v>
      </c>
    </row>
    <row r="189" spans="1:7" x14ac:dyDescent="0.25">
      <c r="A189" s="9">
        <f t="shared" si="7"/>
        <v>188</v>
      </c>
      <c r="B189" s="9">
        <v>1</v>
      </c>
      <c r="C189" s="9">
        <f>H189</f>
        <v>0</v>
      </c>
      <c r="D189" s="6">
        <f>MAX(I189:CL189)</f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>IF(COUNTIF(I189:XFD189,"&gt;"&amp;0)=0,,(E189/F189)^(1/MIN(COUNTIF(I189:XFD189,"&gt;"&amp;0)-1,$F$1)))</f>
        <v>0</v>
      </c>
    </row>
    <row r="190" spans="1:7" x14ac:dyDescent="0.25">
      <c r="A190" s="9">
        <f t="shared" si="7"/>
        <v>189</v>
      </c>
      <c r="B190" s="9">
        <v>1</v>
      </c>
      <c r="C190" s="9">
        <f>H190</f>
        <v>0</v>
      </c>
      <c r="D190" s="6">
        <f>MAX(I190:CL190)</f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>IF(COUNTIF(I190:XFD190,"&gt;"&amp;0)=0,,(E190/F190)^(1/MIN(COUNTIF(I190:XFD190,"&gt;"&amp;0)-1,$F$1)))</f>
        <v>0</v>
      </c>
    </row>
    <row r="191" spans="1:7" x14ac:dyDescent="0.25">
      <c r="A191" s="9">
        <f t="shared" si="7"/>
        <v>190</v>
      </c>
      <c r="B191" s="9">
        <v>1</v>
      </c>
      <c r="C191" s="9">
        <f>H191</f>
        <v>0</v>
      </c>
      <c r="D191" s="6">
        <f>MAX(I191:CL191)</f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>IF(COUNTIF(I191:XFD191,"&gt;"&amp;0)=0,,(E191/F191)^(1/MIN(COUNTIF(I191:XFD191,"&gt;"&amp;0)-1,$F$1)))</f>
        <v>0</v>
      </c>
    </row>
    <row r="192" spans="1:7" x14ac:dyDescent="0.25">
      <c r="A192" s="9">
        <f t="shared" si="7"/>
        <v>191</v>
      </c>
      <c r="B192" s="9">
        <v>1</v>
      </c>
      <c r="C192" s="9">
        <f>H192</f>
        <v>0</v>
      </c>
      <c r="D192" s="6">
        <f>MAX(I192:CL192)</f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>IF(COUNTIF(I192:XFD192,"&gt;"&amp;0)=0,,(E192/F192)^(1/MIN(COUNTIF(I192:XFD192,"&gt;"&amp;0)-1,$F$1)))</f>
        <v>0</v>
      </c>
    </row>
    <row r="193" spans="1:7" x14ac:dyDescent="0.25">
      <c r="A193" s="9">
        <f t="shared" si="7"/>
        <v>192</v>
      </c>
      <c r="B193" s="9">
        <v>1</v>
      </c>
      <c r="C193" s="9">
        <f>H193</f>
        <v>0</v>
      </c>
      <c r="D193" s="6">
        <f>MAX(I193:CL193)</f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>IF(COUNTIF(I193:XFD193,"&gt;"&amp;0)=0,,(E193/F193)^(1/MIN(COUNTIF(I193:XFD193,"&gt;"&amp;0)-1,$F$1)))</f>
        <v>0</v>
      </c>
    </row>
    <row r="194" spans="1:7" x14ac:dyDescent="0.25">
      <c r="A194" s="9">
        <f t="shared" si="7"/>
        <v>193</v>
      </c>
      <c r="B194" s="9">
        <v>1</v>
      </c>
      <c r="C194" s="9">
        <f>H194</f>
        <v>0</v>
      </c>
      <c r="D194" s="6">
        <f>MAX(I194:CL194)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>IF(COUNTIF(I194:XFD194,"&gt;"&amp;0)=0,,(E194/F194)^(1/MIN(COUNTIF(I194:XFD194,"&gt;"&amp;0)-1,$F$1)))</f>
        <v>0</v>
      </c>
    </row>
    <row r="195" spans="1:7" x14ac:dyDescent="0.25">
      <c r="A195" s="9">
        <f t="shared" ref="A195:A200" si="8">A194+1</f>
        <v>194</v>
      </c>
      <c r="B195" s="9">
        <v>1</v>
      </c>
      <c r="C195" s="9">
        <f>H195</f>
        <v>0</v>
      </c>
      <c r="D195" s="6">
        <f>MAX(I195:CL195)</f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>IF(COUNTIF(I195:XFD195,"&gt;"&amp;0)=0,,(E195/F195)^(1/MIN(COUNTIF(I195:XFD195,"&gt;"&amp;0)-1,$F$1)))</f>
        <v>0</v>
      </c>
    </row>
    <row r="196" spans="1:7" x14ac:dyDescent="0.25">
      <c r="A196" s="9">
        <f t="shared" si="8"/>
        <v>195</v>
      </c>
      <c r="B196" s="9">
        <v>1</v>
      </c>
      <c r="C196" s="9">
        <f>H196</f>
        <v>0</v>
      </c>
      <c r="D196" s="6">
        <f>MAX(I196:CL196)</f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>IF(COUNTIF(I196:XFD196,"&gt;"&amp;0)=0,,(E196/F196)^(1/MIN(COUNTIF(I196:XFD196,"&gt;"&amp;0)-1,$F$1)))</f>
        <v>0</v>
      </c>
    </row>
    <row r="197" spans="1:7" x14ac:dyDescent="0.25">
      <c r="A197" s="9">
        <f t="shared" si="8"/>
        <v>196</v>
      </c>
      <c r="B197" s="9">
        <v>1</v>
      </c>
      <c r="C197" s="9">
        <f>H197</f>
        <v>0</v>
      </c>
      <c r="D197" s="6">
        <f>MAX(I197:CL197)</f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>IF(COUNTIF(I197:XFD197,"&gt;"&amp;0)=0,,(E197/F197)^(1/MIN(COUNTIF(I197:XFD197,"&gt;"&amp;0)-1,$F$1)))</f>
        <v>0</v>
      </c>
    </row>
    <row r="198" spans="1:7" x14ac:dyDescent="0.25">
      <c r="A198" s="9">
        <f t="shared" si="8"/>
        <v>197</v>
      </c>
      <c r="B198" s="9">
        <v>1</v>
      </c>
      <c r="C198" s="9">
        <f>H198</f>
        <v>0</v>
      </c>
      <c r="D198" s="6">
        <f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>IF(COUNTIF(I198:XFD198,"&gt;"&amp;0)=0,,(E198/F198)^(1/MIN(COUNTIF(I198:XFD198,"&gt;"&amp;0)-1,$F$1)))</f>
        <v>0</v>
      </c>
    </row>
    <row r="199" spans="1:7" x14ac:dyDescent="0.25">
      <c r="A199" s="9">
        <f t="shared" si="8"/>
        <v>198</v>
      </c>
      <c r="B199" s="9">
        <v>1</v>
      </c>
      <c r="C199" s="9">
        <f>H199</f>
        <v>0</v>
      </c>
      <c r="D199" s="6">
        <f>MAX(I199:CL199)</f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>IF(COUNTIF(I199:XFD199,"&gt;"&amp;0)=0,,(E199/F199)^(1/MIN(COUNTIF(I199:XFD199,"&gt;"&amp;0)-1,$F$1)))</f>
        <v>0</v>
      </c>
    </row>
    <row r="200" spans="1:7" x14ac:dyDescent="0.25">
      <c r="A200" s="9">
        <f t="shared" si="8"/>
        <v>199</v>
      </c>
      <c r="B200" s="9">
        <v>1</v>
      </c>
      <c r="C200" s="9">
        <f>H200</f>
        <v>0</v>
      </c>
      <c r="D200" s="6">
        <f>MAX(I200:CL200)</f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>IF(COUNTIF(I200:XFD200,"&gt;"&amp;0)=0,,(E200/F200)^(1/MIN(COUNTIF(I200:XFD200,"&gt;"&amp;0)-1,$F$1)))</f>
        <v>0</v>
      </c>
    </row>
  </sheetData>
  <autoFilter ref="B1:CU1" xr:uid="{A13DDBA3-FED6-4D82-BBD5-9B71C68B67F1}">
    <sortState xmlns:xlrd2="http://schemas.microsoft.com/office/spreadsheetml/2017/richdata2" ref="B2:CU200">
      <sortCondition descending="1" ref="D1"/>
    </sortState>
  </autoFilter>
  <pageMargins left="0.7" right="0.7" top="0.75" bottom="0.75" header="0.3" footer="0.3"/>
  <pageSetup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/>
  <dimension ref="A1:XFD127"/>
  <sheetViews>
    <sheetView workbookViewId="0">
      <selection activeCell="M13" sqref="M13"/>
    </sheetView>
  </sheetViews>
  <sheetFormatPr defaultRowHeight="14.4" x14ac:dyDescent="0.3"/>
  <cols>
    <col min="1" max="3" width="8.88671875" style="64"/>
    <col min="4" max="5" width="10.5546875" style="64" bestFit="1" customWidth="1"/>
    <col min="6" max="8" width="8.88671875" style="64"/>
    <col min="9" max="9" width="17.77734375" style="64" bestFit="1" customWidth="1"/>
    <col min="10" max="10" width="10.5546875" style="64" bestFit="1" customWidth="1"/>
    <col min="11" max="16384" width="8.88671875" style="64"/>
  </cols>
  <sheetData>
    <row r="1" spans="1:10 16384:16384" x14ac:dyDescent="0.3">
      <c r="C1" s="64" t="s">
        <v>516</v>
      </c>
      <c r="D1" s="64">
        <v>100</v>
      </c>
      <c r="E1" s="64" t="s">
        <v>606</v>
      </c>
      <c r="F1" s="64" t="s">
        <v>481</v>
      </c>
      <c r="G1" s="64" t="s">
        <v>640</v>
      </c>
      <c r="H1" s="64" t="s">
        <v>641</v>
      </c>
      <c r="I1" s="64" t="s">
        <v>634</v>
      </c>
      <c r="J1" s="64" t="s">
        <v>630</v>
      </c>
    </row>
    <row r="2" spans="1:10 16384:16384" x14ac:dyDescent="0.3">
      <c r="A2" s="64">
        <v>1</v>
      </c>
      <c r="B2" s="88" t="s">
        <v>365</v>
      </c>
      <c r="C2" s="88" t="s">
        <v>365</v>
      </c>
      <c r="D2" s="64">
        <v>548</v>
      </c>
      <c r="E2" s="89">
        <f ca="1">OFFSET(CumulativeTotal!A2,-A2,MATCH('Country Summary'!D2,CumulativeTotal!B2:BT2,0))</f>
        <v>43852</v>
      </c>
      <c r="F2" s="43">
        <f>MAX(CumulativeTotal!2:2)</f>
        <v>81058</v>
      </c>
      <c r="G2" s="43">
        <f>MAX(CumulativeRecovered!2:2)</f>
        <v>68798</v>
      </c>
      <c r="H2" s="43">
        <f>MAX(CumulativeDead!2:2)</f>
        <v>3230</v>
      </c>
      <c r="I2" s="89">
        <v>43853</v>
      </c>
      <c r="J2" s="89">
        <v>43853</v>
      </c>
    </row>
    <row r="3" spans="1:10 16384:16384" x14ac:dyDescent="0.3">
      <c r="A3" s="64">
        <v>2</v>
      </c>
      <c r="B3" s="88" t="s">
        <v>85</v>
      </c>
      <c r="C3" s="88" t="s">
        <v>85</v>
      </c>
      <c r="D3" s="64">
        <f>VLOOKUP(C3,DaysSince100!H:I,2,FALSE)</f>
        <v>155</v>
      </c>
      <c r="E3" s="89">
        <f ca="1">OFFSET(CumulativeTotal!A3,-A3,MATCH('Country Summary'!D3,CumulativeTotal!B3:BT3,0))</f>
        <v>43884</v>
      </c>
      <c r="F3" s="43">
        <f>MAX(CumulativeTotal!3:3)</f>
        <v>31506</v>
      </c>
      <c r="G3" s="43">
        <f>MAX(CumulativeRecovered!3:3)</f>
        <v>2941</v>
      </c>
      <c r="H3" s="43">
        <f>MAX(CumulativeDead!3:3)</f>
        <v>2503</v>
      </c>
      <c r="I3" s="89">
        <v>43886</v>
      </c>
      <c r="J3" s="89">
        <v>43886</v>
      </c>
    </row>
    <row r="4" spans="1:10 16384:16384" x14ac:dyDescent="0.3">
      <c r="A4" s="64">
        <v>3</v>
      </c>
      <c r="B4" s="88" t="s">
        <v>366</v>
      </c>
      <c r="C4" s="88" t="s">
        <v>366</v>
      </c>
      <c r="D4" s="64">
        <f>VLOOKUP(C4,DaysSince100!H:I,2,FALSE)</f>
        <v>139</v>
      </c>
      <c r="E4" s="89">
        <f ca="1">OFFSET(CumulativeTotal!A4,-A4,MATCH('Country Summary'!D4,CumulativeTotal!B4:BT4,0))</f>
        <v>43887</v>
      </c>
      <c r="F4" s="43">
        <f>MAX(CumulativeTotal!4:4)</f>
        <v>16169</v>
      </c>
      <c r="G4" s="43">
        <f>MAX(CumulativeRecovered!4:4)</f>
        <v>5389</v>
      </c>
      <c r="H4" s="43">
        <f>MAX(CumulativeDead!4:4)</f>
        <v>988</v>
      </c>
    </row>
    <row r="5" spans="1:10 16384:16384" x14ac:dyDescent="0.3">
      <c r="A5" s="64">
        <v>4</v>
      </c>
      <c r="B5" s="88" t="s">
        <v>514</v>
      </c>
      <c r="C5" s="88" t="s">
        <v>367</v>
      </c>
      <c r="D5" s="64">
        <f>VLOOKUP(C5,DaysSince100!H:I,2,FALSE)</f>
        <v>104</v>
      </c>
      <c r="E5" s="89">
        <f ca="1">OFFSET(CumulativeTotal!A5,-A5,MATCH('Country Summary'!D5,CumulativeTotal!B5:BT5,0))</f>
        <v>43881</v>
      </c>
      <c r="F5" s="43">
        <f>MAX(CumulativeTotal!5:5)</f>
        <v>8320</v>
      </c>
      <c r="G5" s="43">
        <f>MAX(CumulativeRecovered!5:5)</f>
        <v>1407</v>
      </c>
      <c r="H5" s="43">
        <f>MAX(CumulativeDead!5:5)</f>
        <v>81</v>
      </c>
      <c r="I5" s="89">
        <v>43882</v>
      </c>
      <c r="J5" s="89">
        <v>43881</v>
      </c>
    </row>
    <row r="6" spans="1:10 16384:16384" x14ac:dyDescent="0.3">
      <c r="A6" s="64">
        <v>5</v>
      </c>
      <c r="B6" s="88" t="s">
        <v>87</v>
      </c>
      <c r="C6" s="88" t="s">
        <v>87</v>
      </c>
      <c r="D6" s="64">
        <f>VLOOKUP(C6,DaysSince100!H:I,2,FALSE)</f>
        <v>120</v>
      </c>
      <c r="E6" s="89">
        <f ca="1">OFFSET(CumulativeTotal!A6,-A6,MATCH('Country Summary'!D6,CumulativeTotal!B6:BT6,0))</f>
        <v>43892</v>
      </c>
      <c r="F6" s="43">
        <f>MAX(CumulativeTotal!6:6)</f>
        <v>11748</v>
      </c>
      <c r="G6" s="43">
        <f>MAX(CumulativeRecovered!6:6)</f>
        <v>1028</v>
      </c>
      <c r="H6" s="43">
        <f>MAX(CumulativeDead!6:6)</f>
        <v>533</v>
      </c>
      <c r="I6" s="89">
        <v>43905</v>
      </c>
      <c r="J6" s="89">
        <v>43900</v>
      </c>
    </row>
    <row r="7" spans="1:10 16384:16384" x14ac:dyDescent="0.3">
      <c r="A7" s="64">
        <v>6</v>
      </c>
      <c r="B7" s="88" t="s">
        <v>80</v>
      </c>
      <c r="C7" s="88" t="s">
        <v>80</v>
      </c>
      <c r="D7" s="64">
        <f>VLOOKUP(C7,DaysSince100!H:I,2,FALSE)</f>
        <v>130</v>
      </c>
      <c r="E7" s="89">
        <f ca="1">OFFSET(CumulativeTotal!A7,-A7,MATCH('Country Summary'!D7,CumulativeTotal!B7:BT7,0))</f>
        <v>43891</v>
      </c>
      <c r="F7" s="43">
        <f>MAX(CumulativeTotal!7:7)</f>
        <v>9257</v>
      </c>
      <c r="G7" s="43">
        <f>MAX(CumulativeRecovered!7:7)</f>
        <v>67</v>
      </c>
      <c r="H7" s="43">
        <f>MAX(CumulativeDead!7:7)</f>
        <v>24</v>
      </c>
      <c r="I7" s="89">
        <v>43907</v>
      </c>
      <c r="J7" s="89">
        <v>43900</v>
      </c>
    </row>
    <row r="8" spans="1:10 16384:16384" x14ac:dyDescent="0.3">
      <c r="A8" s="64">
        <v>7</v>
      </c>
      <c r="B8" s="88" t="s">
        <v>68</v>
      </c>
      <c r="C8" s="88" t="s">
        <v>68</v>
      </c>
      <c r="D8" s="64">
        <f>VLOOKUP(C8,DaysSince100!H:I,2,FALSE)</f>
        <v>130</v>
      </c>
      <c r="E8" s="89">
        <f ca="1">OFFSET(CumulativeTotal!A8,-A8,MATCH('Country Summary'!D8,CumulativeTotal!B8:BT8,0))</f>
        <v>43891</v>
      </c>
      <c r="F8" s="43">
        <f>MAX(CumulativeTotal!8:8)</f>
        <v>7699</v>
      </c>
      <c r="G8" s="43">
        <f>MAX(CumulativeRecovered!8:8)</f>
        <v>12</v>
      </c>
      <c r="H8" s="43">
        <f>MAX(CumulativeDead!8:8)</f>
        <v>148</v>
      </c>
      <c r="I8" s="89">
        <v>43907</v>
      </c>
      <c r="J8" s="89">
        <v>43900</v>
      </c>
    </row>
    <row r="9" spans="1:10 16384:16384" x14ac:dyDescent="0.3">
      <c r="A9" s="64">
        <v>8</v>
      </c>
      <c r="B9" s="88" t="s">
        <v>65</v>
      </c>
      <c r="C9" s="88" t="s">
        <v>65</v>
      </c>
      <c r="D9" s="64">
        <f>VLOOKUP(C9,DaysSince100!H:I,2,FALSE)</f>
        <v>118</v>
      </c>
      <c r="E9" s="89">
        <f ca="1">OFFSET(CumulativeTotal!A9,-A9,MATCH('Country Summary'!D9,CumulativeTotal!B9:BT9,0))</f>
        <v>43893</v>
      </c>
      <c r="F9" s="43">
        <f>MAX(CumulativeTotal!9:9)</f>
        <v>6421</v>
      </c>
      <c r="G9" s="43">
        <f>MAX(CumulativeRecovered!9:9)</f>
        <v>17</v>
      </c>
      <c r="H9" s="43">
        <f>MAX(CumulativeDead!9:9)</f>
        <v>108</v>
      </c>
      <c r="J9" s="89">
        <v>43904</v>
      </c>
    </row>
    <row r="10" spans="1:10 16384:16384" x14ac:dyDescent="0.3">
      <c r="A10" s="64">
        <v>9</v>
      </c>
      <c r="B10" s="88" t="s">
        <v>104</v>
      </c>
      <c r="C10" s="88" t="s">
        <v>104</v>
      </c>
      <c r="D10" s="64">
        <f>VLOOKUP(C10,DaysSince100!H:I,2,FALSE)</f>
        <v>114</v>
      </c>
      <c r="E10" s="89">
        <f ca="1">OFFSET(CumulativeTotal!A10,-A10,MATCH('Country Summary'!D10,CumulativeTotal!B10:BT10,0))</f>
        <v>43895</v>
      </c>
      <c r="F10" s="43">
        <f>MAX(CumulativeTotal!10:10)</f>
        <v>2700</v>
      </c>
      <c r="G10" s="43">
        <f>MAX(CumulativeRecovered!10:10)</f>
        <v>4</v>
      </c>
      <c r="H10" s="43">
        <f>MAX(CumulativeDead!10:10)</f>
        <v>27</v>
      </c>
      <c r="I10" s="89">
        <v>43903</v>
      </c>
      <c r="J10" s="89">
        <v>43903</v>
      </c>
    </row>
    <row r="11" spans="1:10 16384:16384" x14ac:dyDescent="0.3">
      <c r="A11" s="64">
        <v>10</v>
      </c>
      <c r="B11" s="88" t="s">
        <v>112</v>
      </c>
      <c r="C11" s="88" t="s">
        <v>112</v>
      </c>
      <c r="D11" s="64">
        <f>VLOOKUP(C11,DaysSince100!H:I,2,FALSE)</f>
        <v>108</v>
      </c>
      <c r="E11" s="89">
        <f ca="1">OFFSET(CumulativeTotal!A11,-A11,MATCH('Country Summary'!D11,CumulativeTotal!B11:BT11,0))</f>
        <v>43896</v>
      </c>
      <c r="F11" s="43">
        <f>MAX(CumulativeTotal!11:11)</f>
        <v>1463</v>
      </c>
      <c r="G11" s="43">
        <f>MAX(CumulativeRecovered!11:11)</f>
        <v>1</v>
      </c>
      <c r="H11" s="43">
        <f>MAX(CumulativeDead!11:11)</f>
        <v>3</v>
      </c>
      <c r="I11" s="89">
        <v>43902</v>
      </c>
      <c r="J11" s="89">
        <v>43902</v>
      </c>
    </row>
    <row r="12" spans="1:10 16384:16384" x14ac:dyDescent="0.3">
      <c r="A12" s="64">
        <v>11</v>
      </c>
      <c r="B12" s="88" t="s">
        <v>86</v>
      </c>
      <c r="C12" s="88" t="s">
        <v>86</v>
      </c>
      <c r="D12" s="64">
        <f>VLOOKUP(C12,DaysSince100!H:I,2,FALSE)</f>
        <v>101</v>
      </c>
      <c r="E12" s="89">
        <f ca="1">OFFSET(CumulativeTotal!A12,-A12,MATCH('Country Summary'!D12,CumulativeTotal!B12:BT12,0))</f>
        <v>43896</v>
      </c>
      <c r="F12" s="43">
        <f>MAX(CumulativeTotal!12:12)</f>
        <v>1190</v>
      </c>
      <c r="G12" s="43">
        <f>MAX(CumulativeRecovered!12:12)</f>
        <v>1</v>
      </c>
      <c r="H12" s="43">
        <f>MAX(CumulativeDead!12:12)</f>
        <v>7</v>
      </c>
    </row>
    <row r="13" spans="1:10 16384:16384" x14ac:dyDescent="0.3">
      <c r="A13" s="64">
        <v>12</v>
      </c>
      <c r="B13" s="88" t="s">
        <v>114</v>
      </c>
      <c r="C13" s="88" t="s">
        <v>114</v>
      </c>
      <c r="D13" s="64">
        <f>VLOOKUP(C13,DaysSince100!H:I,2,FALSE)</f>
        <v>264</v>
      </c>
      <c r="E13" s="89">
        <f ca="1">OFFSET(CumulativeTotal!A13,-A13,MATCH('Country Summary'!D13,CumulativeTotal!B13:BT13,0))</f>
        <v>43900</v>
      </c>
      <c r="F13" s="43">
        <f>MAX(CumulativeTotal!13:13)</f>
        <v>1024</v>
      </c>
      <c r="G13" s="43">
        <f>MAX(CumulativeRecovered!13:13)</f>
        <v>1</v>
      </c>
      <c r="H13" s="43">
        <f>MAX(CumulativeDead!13:13)</f>
        <v>4</v>
      </c>
      <c r="I13" s="89">
        <v>43902</v>
      </c>
      <c r="J13" s="89">
        <v>43902</v>
      </c>
      <c r="XFD13" s="89"/>
    </row>
    <row r="14" spans="1:10 16384:16384" x14ac:dyDescent="0.3">
      <c r="A14" s="64">
        <v>13</v>
      </c>
      <c r="B14" s="88" t="s">
        <v>116</v>
      </c>
      <c r="C14" s="88" t="s">
        <v>116</v>
      </c>
      <c r="D14" s="64">
        <f>VLOOKUP(C14,DaysSince100!H:I,2,FALSE)</f>
        <v>128</v>
      </c>
      <c r="E14" s="89">
        <f ca="1">OFFSET(CumulativeTotal!A14,-A14,MATCH('Country Summary'!D14,CumulativeTotal!B14:BT14,0))</f>
        <v>43896</v>
      </c>
      <c r="F14" s="43">
        <f>MAX(CumulativeTotal!14:14)</f>
        <v>1708</v>
      </c>
      <c r="G14" s="43">
        <f>MAX(CumulativeRecovered!14:14)</f>
        <v>2</v>
      </c>
      <c r="H14" s="43">
        <f>MAX(CumulativeDead!14:14)</f>
        <v>43</v>
      </c>
    </row>
    <row r="15" spans="1:10 16384:16384" x14ac:dyDescent="0.3">
      <c r="A15" s="64">
        <v>14</v>
      </c>
      <c r="B15" s="88" t="s">
        <v>636</v>
      </c>
      <c r="C15" s="88" t="s">
        <v>377</v>
      </c>
      <c r="D15" s="64">
        <f>VLOOKUP(C15,DaysSince100!H:I,2,FALSE)</f>
        <v>116</v>
      </c>
      <c r="E15" s="89">
        <f ca="1">OFFSET(CumulativeTotal!A15,-A15,MATCH('Country Summary'!D15,CumulativeTotal!B15:BT15,0))</f>
        <v>43895</v>
      </c>
      <c r="F15" s="43">
        <f>MAX(CumulativeTotal!15:15)</f>
        <v>2626</v>
      </c>
      <c r="G15" s="43">
        <f>MAX(CumulativeRecovered!15:15)</f>
        <v>65</v>
      </c>
      <c r="H15" s="43">
        <f>MAX(CumulativeDead!15:15)</f>
        <v>104</v>
      </c>
      <c r="I15" s="89">
        <v>43910</v>
      </c>
      <c r="J15" s="89">
        <v>43904</v>
      </c>
    </row>
    <row r="16" spans="1:10 16384:16384" x14ac:dyDescent="0.3">
      <c r="A16" s="64">
        <v>15</v>
      </c>
      <c r="B16" s="88" t="s">
        <v>63</v>
      </c>
      <c r="C16" s="88" t="s">
        <v>63</v>
      </c>
      <c r="D16" s="64">
        <f>VLOOKUP(C16,DaysSince100!H:I,2,FALSE)</f>
        <v>105</v>
      </c>
      <c r="E16" s="89">
        <f ca="1">OFFSET(CumulativeTotal!A16,-A16,MATCH('Country Summary'!D16,CumulativeTotal!B16:BT16,0))</f>
        <v>43882</v>
      </c>
      <c r="F16" s="43">
        <f>MAX(CumulativeTotal!16:16)</f>
        <v>878</v>
      </c>
      <c r="G16" s="43">
        <f>MAX(CumulativeRecovered!16:16)</f>
        <v>144</v>
      </c>
      <c r="H16" s="43">
        <f>MAX(CumulativeDead!16:16)</f>
        <v>29</v>
      </c>
      <c r="I16" s="89">
        <v>43888</v>
      </c>
      <c r="J16" s="89">
        <v>43888</v>
      </c>
    </row>
    <row r="17" spans="1:10" x14ac:dyDescent="0.3">
      <c r="A17" s="64">
        <v>16</v>
      </c>
      <c r="B17" s="88" t="s">
        <v>368</v>
      </c>
      <c r="C17" s="88" t="s">
        <v>368</v>
      </c>
      <c r="D17" s="64">
        <f>VLOOKUP(C17,DaysSince100!H:I,2,FALSE)</f>
        <v>135</v>
      </c>
      <c r="E17" s="89">
        <f ca="1">OFFSET(CumulativeTotal!A17,-A17,MATCH('Country Summary'!D17,CumulativeTotal!B17:BT17,0))</f>
        <v>43871</v>
      </c>
      <c r="F17" s="43">
        <f>MAX(CumulativeTotal!17:17)</f>
        <v>706</v>
      </c>
      <c r="G17" s="43">
        <f>MAX(CumulativeRecovered!17:17)</f>
        <v>325</v>
      </c>
      <c r="H17" s="43">
        <f>MAX(CumulativeDead!17:17)</f>
        <v>7</v>
      </c>
    </row>
    <row r="18" spans="1:10" x14ac:dyDescent="0.3">
      <c r="A18" s="64">
        <v>17</v>
      </c>
      <c r="B18" s="88" t="s">
        <v>90</v>
      </c>
      <c r="C18" s="88" t="s">
        <v>90</v>
      </c>
      <c r="D18" s="64">
        <f>VLOOKUP(C18,DaysSince100!H:I,2,FALSE)</f>
        <v>109</v>
      </c>
      <c r="E18" s="89">
        <f ca="1">OFFSET(CumulativeTotal!A18,-A18,MATCH('Country Summary'!D18,CumulativeTotal!B18:BT18,0))</f>
        <v>43896</v>
      </c>
      <c r="F18" s="43">
        <f>MAX(CumulativeTotal!18:18)</f>
        <v>1243</v>
      </c>
      <c r="G18" s="43">
        <f>MAX(CumulativeRecovered!18:18)</f>
        <v>1</v>
      </c>
      <c r="H18" s="43">
        <f>MAX(CumulativeDead!18:18)</f>
        <v>10</v>
      </c>
      <c r="I18" s="89">
        <v>43908</v>
      </c>
      <c r="J18" s="89">
        <v>43908</v>
      </c>
    </row>
    <row r="19" spans="1:10" x14ac:dyDescent="0.3">
      <c r="A19" s="64">
        <v>18</v>
      </c>
      <c r="B19" s="88" t="s">
        <v>105</v>
      </c>
      <c r="C19" s="88" t="s">
        <v>105</v>
      </c>
      <c r="D19" s="64">
        <f>VLOOKUP(C19,DaysSince100!H:I,2,FALSE)</f>
        <v>104</v>
      </c>
      <c r="E19" s="89">
        <f ca="1">OFFSET(CumulativeTotal!A19,-A19,MATCH('Country Summary'!D19,CumulativeTotal!B19:BT19,0))</f>
        <v>43898</v>
      </c>
      <c r="F19" s="43">
        <f>MAX(CumulativeTotal!19:19)</f>
        <v>1332</v>
      </c>
      <c r="G19" s="43">
        <f>MAX(CumulativeRecovered!19:19)</f>
        <v>6</v>
      </c>
      <c r="H19" s="43">
        <f>MAX(CumulativeDead!19:19)</f>
        <v>3</v>
      </c>
      <c r="I19" s="89">
        <v>43903</v>
      </c>
      <c r="J19" s="89">
        <v>43903</v>
      </c>
    </row>
    <row r="20" spans="1:10" x14ac:dyDescent="0.3">
      <c r="A20" s="64">
        <v>19</v>
      </c>
      <c r="B20" s="88" t="s">
        <v>128</v>
      </c>
      <c r="C20" s="88" t="s">
        <v>128</v>
      </c>
      <c r="D20" s="64">
        <f>VLOOKUP(C20,DaysSince100!H:I,2,FALSE)</f>
        <v>262</v>
      </c>
      <c r="E20" s="89">
        <f ca="1">OFFSET(CumulativeTotal!A20,-A20,MATCH('Country Summary'!D20,CumulativeTotal!B20:BT20,0))</f>
        <v>43901</v>
      </c>
      <c r="F20" s="43">
        <f>MAX(CumulativeTotal!20:20)</f>
        <v>439</v>
      </c>
      <c r="G20" s="43">
        <f>MAX(CumulativeRecovered!20:20)</f>
        <v>4</v>
      </c>
      <c r="H20" s="43">
        <f>MAX(CumulativeDead!20:20)</f>
        <v>0</v>
      </c>
    </row>
    <row r="21" spans="1:10" x14ac:dyDescent="0.3">
      <c r="A21" s="64">
        <v>20</v>
      </c>
      <c r="B21" s="88" t="s">
        <v>75</v>
      </c>
      <c r="C21" s="88" t="s">
        <v>75</v>
      </c>
      <c r="D21" s="64">
        <f>VLOOKUP(C21,DaysSince100!H:I,2,FALSE)</f>
        <v>107</v>
      </c>
      <c r="E21" s="89">
        <f ca="1">OFFSET(CumulativeTotal!A21,-A21,MATCH('Country Summary'!D21,CumulativeTotal!B21:BT21,0))</f>
        <v>43900</v>
      </c>
      <c r="F21" s="43">
        <f>MAX(CumulativeTotal!21:21)</f>
        <v>452</v>
      </c>
      <c r="G21" s="43">
        <f>MAX(CumulativeRecovered!21:21)</f>
        <v>23</v>
      </c>
      <c r="H21" s="43">
        <f>MAX(CumulativeDead!21:21)</f>
        <v>5</v>
      </c>
    </row>
    <row r="22" spans="1:10" x14ac:dyDescent="0.3">
      <c r="A22" s="64">
        <v>21</v>
      </c>
      <c r="B22" s="88" t="s">
        <v>67</v>
      </c>
      <c r="C22" s="88" t="s">
        <v>67</v>
      </c>
      <c r="D22" s="64">
        <f>VLOOKUP(C22,DaysSince100!H:I,2,FALSE)</f>
        <v>102</v>
      </c>
      <c r="E22" s="89">
        <f ca="1">OFFSET(CumulativeTotal!A22,-A22,MATCH('Country Summary'!D22,CumulativeTotal!B22:BT22,0))</f>
        <v>43890</v>
      </c>
      <c r="F22" s="43">
        <f>MAX(CumulativeTotal!22:22)</f>
        <v>266</v>
      </c>
      <c r="G22" s="43">
        <f>MAX(CumulativeRecovered!22:22)</f>
        <v>114</v>
      </c>
      <c r="H22" s="43">
        <f>MAX(CumulativeDead!22:22)</f>
        <v>0</v>
      </c>
    </row>
    <row r="23" spans="1:10" x14ac:dyDescent="0.3">
      <c r="A23" s="64">
        <v>22</v>
      </c>
      <c r="B23" s="88" t="s">
        <v>70</v>
      </c>
      <c r="C23" s="88" t="s">
        <v>70</v>
      </c>
      <c r="D23" s="64">
        <f>VLOOKUP(C23,DaysSince100!H:I,2,FALSE)</f>
        <v>117</v>
      </c>
      <c r="E23" s="89">
        <f ca="1">OFFSET(CumulativeTotal!A23,-A23,MATCH('Country Summary'!D23,CumulativeTotal!B23:BT23,0))</f>
        <v>43899</v>
      </c>
      <c r="F23" s="43">
        <f>MAX(CumulativeTotal!23:23)</f>
        <v>673</v>
      </c>
      <c r="G23" s="43">
        <f>MAX(CumulativeRecovered!23:23)</f>
        <v>49</v>
      </c>
      <c r="H23" s="43">
        <f>MAX(CumulativeDead!23:23)</f>
        <v>2</v>
      </c>
    </row>
    <row r="24" spans="1:10" x14ac:dyDescent="0.3">
      <c r="A24" s="64">
        <v>23</v>
      </c>
      <c r="B24" s="88" t="s">
        <v>72</v>
      </c>
      <c r="C24" s="88" t="s">
        <v>72</v>
      </c>
      <c r="D24" s="64">
        <f>VLOOKUP(C24,DaysSince100!H:I,2,FALSE)</f>
        <v>108</v>
      </c>
      <c r="E24" s="89">
        <f ca="1">OFFSET(CumulativeTotal!A24,-A24,MATCH('Country Summary'!D24,CumulativeTotal!B24:BT24,0))</f>
        <v>43901</v>
      </c>
      <c r="F24" s="43">
        <f>MAX(CumulativeTotal!24:24)</f>
        <v>478</v>
      </c>
      <c r="G24" s="43">
        <f>MAX(CumulativeRecovered!24:24)</f>
        <v>9</v>
      </c>
      <c r="H24" s="43">
        <f>MAX(CumulativeDead!24:24)</f>
        <v>5</v>
      </c>
    </row>
    <row r="25" spans="1:10" x14ac:dyDescent="0.3">
      <c r="A25" s="64">
        <v>24</v>
      </c>
      <c r="B25" s="88" t="s">
        <v>110</v>
      </c>
      <c r="C25" s="88" t="s">
        <v>110</v>
      </c>
      <c r="D25" s="64">
        <f>VLOOKUP(C25,DaysSince100!H:I,2,FALSE)</f>
        <v>190</v>
      </c>
      <c r="E25" s="89">
        <f ca="1">OFFSET(CumulativeTotal!A25,-A25,MATCH('Country Summary'!D25,CumulativeTotal!B25:BT25,0))</f>
        <v>43903</v>
      </c>
      <c r="F25" s="43">
        <f>MAX(CumulativeTotal!25:25)</f>
        <v>387</v>
      </c>
      <c r="G25" s="43">
        <f>MAX(CumulativeRecovered!25:25)</f>
        <v>8</v>
      </c>
      <c r="H25" s="43">
        <f>MAX(CumulativeDead!25:25)</f>
        <v>5</v>
      </c>
    </row>
    <row r="26" spans="1:10" x14ac:dyDescent="0.3">
      <c r="A26" s="64">
        <v>25</v>
      </c>
      <c r="B26" s="88" t="s">
        <v>100</v>
      </c>
      <c r="C26" s="88" t="s">
        <v>100</v>
      </c>
      <c r="D26" s="64">
        <f>VLOOKUP(C26,DaysSince100!H:I,2,FALSE)</f>
        <v>110</v>
      </c>
      <c r="E26" s="89">
        <f ca="1">OFFSET(CumulativeTotal!A26,-A26,MATCH('Country Summary'!D26,CumulativeTotal!B26:BT26,0))</f>
        <v>43900</v>
      </c>
      <c r="F26" s="43">
        <f>MAX(CumulativeTotal!26:26)</f>
        <v>228</v>
      </c>
      <c r="G26" s="43">
        <f>MAX(CumulativeRecovered!26:26)</f>
        <v>81</v>
      </c>
      <c r="H26" s="43">
        <f>MAX(CumulativeDead!26:26)</f>
        <v>1</v>
      </c>
    </row>
    <row r="27" spans="1:10" x14ac:dyDescent="0.3">
      <c r="A27" s="64">
        <v>26</v>
      </c>
      <c r="B27" s="88" t="s">
        <v>106</v>
      </c>
      <c r="C27" s="88" t="s">
        <v>106</v>
      </c>
      <c r="D27" s="64">
        <f>VLOOKUP(C27,DaysSince100!H:I,2,FALSE)</f>
        <v>109</v>
      </c>
      <c r="E27" s="89">
        <f ca="1">OFFSET(CumulativeTotal!A27,-A27,MATCH('Country Summary'!D27,CumulativeTotal!B27:BT27,0))</f>
        <v>43901</v>
      </c>
      <c r="F27" s="43">
        <f>MAX(CumulativeTotal!27:27)</f>
        <v>337</v>
      </c>
      <c r="G27" s="43">
        <f>MAX(CumulativeRecovered!27:27)</f>
        <v>11</v>
      </c>
      <c r="H27" s="43">
        <f>MAX(CumulativeDead!27:27)</f>
        <v>0</v>
      </c>
      <c r="I27" s="89">
        <v>43902</v>
      </c>
      <c r="J27" s="89">
        <v>43902</v>
      </c>
    </row>
    <row r="28" spans="1:10" x14ac:dyDescent="0.3">
      <c r="A28" s="64">
        <v>27</v>
      </c>
      <c r="B28" s="88" t="s">
        <v>81</v>
      </c>
      <c r="C28" s="88" t="s">
        <v>81</v>
      </c>
      <c r="D28" s="64">
        <f>VLOOKUP(C28,DaysSince100!H:I,2,FALSE)</f>
        <v>155</v>
      </c>
      <c r="E28" s="89">
        <f ca="1">OFFSET(CumulativeTotal!A28,-A28,MATCH('Country Summary'!D28,CumulativeTotal!B28:BT28,0))</f>
        <v>43903</v>
      </c>
      <c r="F28" s="43">
        <f>MAX(CumulativeTotal!28:28)</f>
        <v>321</v>
      </c>
      <c r="G28" s="43">
        <f>MAX(CumulativeRecovered!28:28)</f>
        <v>10</v>
      </c>
      <c r="H28" s="43">
        <f>MAX(CumulativeDead!28:28)</f>
        <v>0</v>
      </c>
    </row>
    <row r="29" spans="1:10" x14ac:dyDescent="0.3">
      <c r="A29" s="64">
        <v>28</v>
      </c>
      <c r="B29" s="88" t="s">
        <v>108</v>
      </c>
      <c r="C29" s="88" t="s">
        <v>108</v>
      </c>
      <c r="D29" s="64">
        <f>VLOOKUP(C29,DaysSince100!H:I,2,FALSE)</f>
        <v>151</v>
      </c>
      <c r="E29" s="89">
        <f ca="1">OFFSET(CumulativeTotal!A29,-A29,MATCH('Country Summary'!D29,CumulativeTotal!B29:BT29,0))</f>
        <v>43903</v>
      </c>
      <c r="F29" s="43">
        <f>MAX(CumulativeTotal!29:29)</f>
        <v>321</v>
      </c>
      <c r="G29" s="43">
        <f>MAX(CumulativeRecovered!29:29)</f>
        <v>2</v>
      </c>
      <c r="H29" s="43">
        <f>MAX(CumulativeDead!29:29)</f>
        <v>1</v>
      </c>
    </row>
    <row r="30" spans="1:10" x14ac:dyDescent="0.3">
      <c r="A30" s="64">
        <v>29</v>
      </c>
      <c r="B30" s="88" t="s">
        <v>519</v>
      </c>
      <c r="C30" s="88" t="s">
        <v>369</v>
      </c>
      <c r="D30" s="64">
        <f>VLOOKUP(C30,DaysSince100!H:I,2,FALSE)</f>
        <v>141</v>
      </c>
      <c r="E30" s="89">
        <f ca="1">OFFSET(CumulativeTotal!A30,-A30,MATCH('Country Summary'!D30,CumulativeTotal!B30:BT30,0))</f>
        <v>43903</v>
      </c>
      <c r="F30" s="43">
        <f>MAX(CumulativeTotal!30:30)</f>
        <v>396</v>
      </c>
      <c r="G30" s="43">
        <f>MAX(CumulativeRecovered!30:30)</f>
        <v>3</v>
      </c>
      <c r="H30" s="43">
        <f>MAX(CumulativeDead!30:30)</f>
        <v>0</v>
      </c>
    </row>
    <row r="31" spans="1:10" x14ac:dyDescent="0.3">
      <c r="A31" s="64">
        <v>30</v>
      </c>
      <c r="B31" s="88" t="s">
        <v>168</v>
      </c>
      <c r="C31" s="88" t="s">
        <v>168</v>
      </c>
      <c r="D31" s="64">
        <f>VLOOKUP(C31,DaysSince100!H:I,2,FALSE)</f>
        <v>141</v>
      </c>
      <c r="E31" s="89">
        <f ca="1">OFFSET(CumulativeTotal!A31,-A31,MATCH('Country Summary'!D31,CumulativeTotal!B31:BT31,0))</f>
        <v>43903</v>
      </c>
      <c r="F31" s="43">
        <f>MAX(CumulativeTotal!31:31)</f>
        <v>275</v>
      </c>
      <c r="G31" s="43">
        <f>MAX(CumulativeRecovered!31:31)</f>
        <v>0</v>
      </c>
      <c r="H31" s="43">
        <f>MAX(CumulativeDead!31:31)</f>
        <v>1</v>
      </c>
    </row>
    <row r="32" spans="1:10" x14ac:dyDescent="0.3">
      <c r="A32" s="64">
        <v>31</v>
      </c>
      <c r="B32" s="88" t="s">
        <v>119</v>
      </c>
      <c r="C32" s="88" t="s">
        <v>119</v>
      </c>
      <c r="D32" s="64">
        <f>VLOOKUP(C32,DaysSince100!H:I,2,FALSE)</f>
        <v>103</v>
      </c>
      <c r="E32" s="89">
        <f ca="1">OFFSET(CumulativeTotal!A32,-A32,MATCH('Country Summary'!D32,CumulativeTotal!B32:BT32,0))</f>
        <v>43902</v>
      </c>
      <c r="F32" s="43">
        <f>MAX(CumulativeTotal!32:32)</f>
        <v>220</v>
      </c>
      <c r="G32" s="43">
        <f>MAX(CumulativeRecovered!32:32)</f>
        <v>8</v>
      </c>
      <c r="H32" s="43">
        <f>MAX(CumulativeDead!32:32)</f>
        <v>5</v>
      </c>
    </row>
    <row r="33" spans="1:10" x14ac:dyDescent="0.3">
      <c r="A33" s="64">
        <v>32</v>
      </c>
      <c r="B33" s="88" t="s">
        <v>135</v>
      </c>
      <c r="C33" s="88" t="s">
        <v>135</v>
      </c>
      <c r="D33" s="64">
        <f>VLOOKUP(C33,DaysSince100!H:I,2,FALSE)</f>
        <v>112</v>
      </c>
      <c r="E33" s="89">
        <f ca="1">OFFSET(CumulativeTotal!A33,-A33,MATCH('Country Summary'!D33,CumulativeTotal!B33:BT33,0))</f>
        <v>43903</v>
      </c>
      <c r="F33" s="43">
        <f>MAX(CumulativeTotal!33:33)</f>
        <v>448</v>
      </c>
      <c r="G33" s="43">
        <f>MAX(CumulativeRecovered!33:33)</f>
        <v>3</v>
      </c>
      <c r="H33" s="43">
        <f>MAX(CumulativeDead!33:33)</f>
        <v>1</v>
      </c>
      <c r="I33" s="89">
        <v>43902</v>
      </c>
      <c r="J33" s="89">
        <v>43902</v>
      </c>
    </row>
    <row r="34" spans="1:10" x14ac:dyDescent="0.3">
      <c r="A34" s="64">
        <v>33</v>
      </c>
      <c r="B34" s="88" t="s">
        <v>97</v>
      </c>
      <c r="C34" s="88" t="s">
        <v>97</v>
      </c>
      <c r="D34" s="64">
        <f>VLOOKUP(C34,DaysSince100!H:I,2,FALSE)</f>
        <v>101</v>
      </c>
      <c r="E34" s="89">
        <f ca="1">OFFSET(CumulativeTotal!A34,-A34,MATCH('Country Summary'!D34,CumulativeTotal!B34:BT34,0))</f>
        <v>43903</v>
      </c>
      <c r="F34" s="43">
        <f>MAX(CumulativeTotal!34:34)</f>
        <v>154</v>
      </c>
      <c r="G34" s="43">
        <f>MAX(CumulativeRecovered!34:34)</f>
        <v>32</v>
      </c>
      <c r="H34" s="43">
        <f>MAX(CumulativeDead!34:34)</f>
        <v>11</v>
      </c>
    </row>
    <row r="35" spans="1:10" x14ac:dyDescent="0.3">
      <c r="A35" s="64">
        <v>34</v>
      </c>
      <c r="B35" s="88" t="s">
        <v>125</v>
      </c>
      <c r="C35" s="88" t="s">
        <v>125</v>
      </c>
      <c r="D35" s="64">
        <f>VLOOKUP(C35,DaysSince100!H:I,2,FALSE)</f>
        <v>129</v>
      </c>
      <c r="E35" s="89">
        <f ca="1">OFFSET(CumulativeTotal!A35,-A35,MATCH('Country Summary'!D35,CumulativeTotal!B35:BT35,0))</f>
        <v>43904</v>
      </c>
      <c r="F35" s="43">
        <f>MAX(CumulativeTotal!35:35)</f>
        <v>223</v>
      </c>
      <c r="G35" s="43">
        <f>MAX(CumulativeRecovered!35:35)</f>
        <v>5</v>
      </c>
      <c r="H35" s="43">
        <f>MAX(CumulativeDead!35:35)</f>
        <v>2</v>
      </c>
      <c r="I35" s="89">
        <v>43905</v>
      </c>
      <c r="J35" s="89">
        <v>43905</v>
      </c>
    </row>
    <row r="36" spans="1:10" x14ac:dyDescent="0.3">
      <c r="A36" s="64">
        <v>35</v>
      </c>
      <c r="B36" s="88" t="s">
        <v>113</v>
      </c>
      <c r="C36" s="88" t="s">
        <v>113</v>
      </c>
      <c r="D36" s="64">
        <f>VLOOKUP(C36,DaysSince100!H:I,2,FALSE)</f>
        <v>123</v>
      </c>
      <c r="E36" s="89">
        <f ca="1">OFFSET(CumulativeTotal!A36,-A36,MATCH('Country Summary'!D36,CumulativeTotal!B36:BT36,0))</f>
        <v>43904</v>
      </c>
      <c r="F36" s="43">
        <f>MAX(CumulativeTotal!36:36)</f>
        <v>184</v>
      </c>
      <c r="G36" s="43">
        <f>MAX(CumulativeRecovered!36:36)</f>
        <v>16</v>
      </c>
      <c r="H36" s="43">
        <f>MAX(CumulativeDead!36:36)</f>
        <v>0</v>
      </c>
    </row>
    <row r="37" spans="1:10" x14ac:dyDescent="0.3">
      <c r="A37" s="64">
        <v>36</v>
      </c>
      <c r="B37" s="88" t="s">
        <v>140</v>
      </c>
      <c r="C37" s="88" t="s">
        <v>140</v>
      </c>
      <c r="D37" s="64">
        <f>VLOOKUP(C37,DaysSince100!H:I,2,FALSE)</f>
        <v>103</v>
      </c>
      <c r="E37" s="89">
        <f ca="1">OFFSET(CumulativeTotal!A37,-A37,MATCH('Country Summary'!D37,CumulativeTotal!B37:BT37,0))</f>
        <v>43904</v>
      </c>
      <c r="F37" s="43">
        <f>MAX(CumulativeTotal!37:37)</f>
        <v>171</v>
      </c>
      <c r="G37" s="43">
        <f>MAX(CumulativeRecovered!37:37)</f>
        <v>6</v>
      </c>
      <c r="H37" s="43">
        <f>MAX(CumulativeDead!37:37)</f>
        <v>0</v>
      </c>
    </row>
    <row r="38" spans="1:10" x14ac:dyDescent="0.3">
      <c r="A38" s="64">
        <v>37</v>
      </c>
      <c r="B38" s="88" t="s">
        <v>82</v>
      </c>
      <c r="C38" s="88" t="s">
        <v>82</v>
      </c>
      <c r="D38" s="64" t="e">
        <f>VLOOKUP(C38,DaysSince100!H:I,2,FALSE)</f>
        <v>#N/A</v>
      </c>
      <c r="E38" s="89" t="e">
        <f ca="1">OFFSET(CumulativeTotal!A38,-A38,MATCH('Country Summary'!D38,CumulativeTotal!B38:BT38,0))</f>
        <v>#N/A</v>
      </c>
      <c r="F38" s="43">
        <f>MAX(CumulativeTotal!38:38)</f>
        <v>98</v>
      </c>
      <c r="G38" s="43">
        <f>MAX(CumulativeRecovered!38:38)</f>
        <v>23</v>
      </c>
      <c r="H38" s="43">
        <f>MAX(CumulativeDead!38:38)</f>
        <v>0</v>
      </c>
    </row>
    <row r="39" spans="1:10" x14ac:dyDescent="0.3">
      <c r="A39" s="64">
        <v>38</v>
      </c>
      <c r="B39" s="88" t="s">
        <v>84</v>
      </c>
      <c r="C39" s="88" t="s">
        <v>84</v>
      </c>
      <c r="D39" s="64">
        <f>VLOOKUP(C39,DaysSince100!H:I,2,FALSE)</f>
        <v>102</v>
      </c>
      <c r="E39" s="89">
        <f ca="1">OFFSET(CumulativeTotal!A39,-A39,MATCH('Country Summary'!D39,CumulativeTotal!B39:BT39,0))</f>
        <v>43904</v>
      </c>
      <c r="F39" s="43">
        <f>MAX(CumulativeTotal!39:39)</f>
        <v>142</v>
      </c>
      <c r="G39" s="43">
        <f>MAX(CumulativeRecovered!39:39)</f>
        <v>14</v>
      </c>
      <c r="H39" s="43">
        <f>MAX(CumulativeDead!39:39)</f>
        <v>3</v>
      </c>
    </row>
    <row r="40" spans="1:10" x14ac:dyDescent="0.3">
      <c r="A40" s="64">
        <v>39</v>
      </c>
      <c r="B40" s="88" t="s">
        <v>92</v>
      </c>
      <c r="C40" s="88" t="s">
        <v>92</v>
      </c>
      <c r="D40" s="64">
        <f>VLOOKUP(C40,DaysSince100!H:I,2,FALSE)</f>
        <v>109</v>
      </c>
      <c r="E40" s="89">
        <f ca="1">OFFSET(CumulativeTotal!A40,-A40,MATCH('Country Summary'!D40,CumulativeTotal!B40:BT40,0))</f>
        <v>43904</v>
      </c>
      <c r="F40" s="43">
        <f>MAX(CumulativeTotal!40:40)</f>
        <v>196</v>
      </c>
      <c r="G40" s="43">
        <f>MAX(CumulativeRecovered!40:40)</f>
        <v>32</v>
      </c>
      <c r="H40" s="43">
        <f>MAX(CumulativeDead!40:40)</f>
        <v>4</v>
      </c>
    </row>
    <row r="41" spans="1:10" x14ac:dyDescent="0.3">
      <c r="A41" s="64">
        <v>40</v>
      </c>
      <c r="B41" s="88" t="s">
        <v>101</v>
      </c>
      <c r="C41" s="88" t="s">
        <v>101</v>
      </c>
      <c r="D41" s="64">
        <f>VLOOKUP(C41,DaysSince100!H:I,2,FALSE)</f>
        <v>104</v>
      </c>
      <c r="E41" s="89">
        <f ca="1">OFFSET(CumulativeTotal!A41,-A41,MATCH('Country Summary'!D41,CumulativeTotal!B41:BT41,0))</f>
        <v>43904</v>
      </c>
      <c r="F41" s="43">
        <f>MAX(CumulativeTotal!41:41)</f>
        <v>130</v>
      </c>
      <c r="G41" s="43">
        <f>MAX(CumulativeRecovered!41:41)</f>
        <v>9</v>
      </c>
      <c r="H41" s="43">
        <f>MAX(CumulativeDead!41:41)</f>
        <v>0</v>
      </c>
    </row>
    <row r="42" spans="1:10" x14ac:dyDescent="0.3">
      <c r="A42" s="64">
        <v>41</v>
      </c>
      <c r="B42" s="88" t="s">
        <v>117</v>
      </c>
      <c r="C42" s="88" t="s">
        <v>117</v>
      </c>
      <c r="D42" s="64">
        <f>VLOOKUP(C42,DaysSince100!H:I,2,FALSE)</f>
        <v>101</v>
      </c>
      <c r="E42" s="89">
        <f ca="1">OFFSET(CumulativeTotal!A42,-A42,MATCH('Country Summary'!D42,CumulativeTotal!B42:BT42,0))</f>
        <v>43905</v>
      </c>
      <c r="F42" s="43">
        <f>MAX(CumulativeTotal!42:42)</f>
        <v>109</v>
      </c>
      <c r="G42" s="43">
        <f>MAX(CumulativeRecovered!42:42)</f>
        <v>4</v>
      </c>
      <c r="H42" s="43">
        <f>MAX(CumulativeDead!42:42)</f>
        <v>7</v>
      </c>
    </row>
    <row r="43" spans="1:10" x14ac:dyDescent="0.3">
      <c r="A43" s="64">
        <v>42</v>
      </c>
      <c r="B43" s="88" t="s">
        <v>115</v>
      </c>
      <c r="C43" s="88" t="s">
        <v>115</v>
      </c>
      <c r="D43" s="64">
        <f>VLOOKUP(C43,DaysSince100!H:I,2,FALSE)</f>
        <v>115</v>
      </c>
      <c r="E43" s="89">
        <f ca="1">OFFSET(CumulativeTotal!A43,-A43,MATCH('Country Summary'!D43,CumulativeTotal!B43:BT43,0))</f>
        <v>43904</v>
      </c>
      <c r="F43" s="43">
        <f>MAX(CumulativeTotal!43:43)</f>
        <v>225</v>
      </c>
      <c r="G43" s="43">
        <f>MAX(CumulativeRecovered!43:43)</f>
        <v>1</v>
      </c>
      <c r="H43" s="43">
        <f>MAX(CumulativeDead!43:43)</f>
        <v>0</v>
      </c>
    </row>
    <row r="44" spans="1:10" x14ac:dyDescent="0.3">
      <c r="A44" s="64">
        <v>43</v>
      </c>
      <c r="B44" s="88" t="s">
        <v>94</v>
      </c>
      <c r="C44" s="88" t="s">
        <v>94</v>
      </c>
      <c r="D44" s="64">
        <f>VLOOKUP(C44,DaysSince100!H:I,2,FALSE)</f>
        <v>110</v>
      </c>
      <c r="E44" s="89">
        <f ca="1">OFFSET(CumulativeTotal!A44,-A44,MATCH('Country Summary'!D44,CumulativeTotal!B44:BT44,0))</f>
        <v>43905</v>
      </c>
      <c r="F44" s="43">
        <f>MAX(CumulativeTotal!44:44)</f>
        <v>120</v>
      </c>
      <c r="G44" s="43">
        <f>MAX(CumulativeRecovered!44:44)</f>
        <v>3</v>
      </c>
      <c r="H44" s="43">
        <f>MAX(CumulativeDead!44:44)</f>
        <v>3</v>
      </c>
    </row>
    <row r="45" spans="1:10" x14ac:dyDescent="0.3">
      <c r="A45" s="64">
        <v>44</v>
      </c>
      <c r="B45" s="88" t="s">
        <v>62</v>
      </c>
      <c r="C45" s="88" t="s">
        <v>62</v>
      </c>
      <c r="D45" s="64">
        <f>VLOOKUP(C45,DaysSince100!H:I,2,FALSE)</f>
        <v>114</v>
      </c>
      <c r="E45" s="89">
        <f ca="1">OFFSET(CumulativeTotal!A45,-A45,MATCH('Country Summary'!D45,CumulativeTotal!B45:BT45,0))</f>
        <v>43905</v>
      </c>
      <c r="F45" s="43">
        <f>MAX(CumulativeTotal!45:45)</f>
        <v>177</v>
      </c>
      <c r="G45" s="43">
        <f>MAX(CumulativeRecovered!45:45)</f>
        <v>41</v>
      </c>
      <c r="H45" s="43">
        <f>MAX(CumulativeDead!45:45)</f>
        <v>1</v>
      </c>
    </row>
    <row r="46" spans="1:10" x14ac:dyDescent="0.3">
      <c r="A46" s="64">
        <v>45</v>
      </c>
      <c r="B46" s="88" t="s">
        <v>134</v>
      </c>
      <c r="C46" s="88" t="s">
        <v>134</v>
      </c>
      <c r="D46" s="64">
        <f>VLOOKUP(C46,DaysSince100!H:I,2,FALSE)</f>
        <v>117</v>
      </c>
      <c r="E46" s="89">
        <f ca="1">OFFSET(CumulativeTotal!A46,-A46,MATCH('Country Summary'!D46,CumulativeTotal!B46:BT46,0))</f>
        <v>43905</v>
      </c>
      <c r="F46" s="43">
        <f>MAX(CumulativeTotal!46:46)</f>
        <v>172</v>
      </c>
      <c r="G46" s="43">
        <f>MAX(CumulativeRecovered!46:46)</f>
        <v>8</v>
      </c>
      <c r="H46" s="43">
        <f>MAX(CumulativeDead!46:46)</f>
        <v>5</v>
      </c>
    </row>
    <row r="47" spans="1:10" x14ac:dyDescent="0.3">
      <c r="A47" s="64">
        <v>46</v>
      </c>
      <c r="B47" s="88" t="s">
        <v>164</v>
      </c>
      <c r="C47" s="88" t="s">
        <v>164</v>
      </c>
      <c r="D47" s="64">
        <f>VLOOKUP(C47,DaysSince100!H:I,2,FALSE)</f>
        <v>103</v>
      </c>
      <c r="E47" s="89">
        <f ca="1">OFFSET(CumulativeTotal!A47,-A47,MATCH('Country Summary'!D47,CumulativeTotal!B47:BT47,0))</f>
        <v>43904</v>
      </c>
      <c r="F47" s="43">
        <f>MAX(CumulativeTotal!47:47)</f>
        <v>238</v>
      </c>
      <c r="G47" s="43">
        <f>MAX(CumulativeRecovered!47:47)</f>
        <v>13</v>
      </c>
      <c r="H47" s="43">
        <f>MAX(CumulativeDead!47:47)</f>
        <v>5</v>
      </c>
      <c r="I47" s="89">
        <v>43901</v>
      </c>
      <c r="J47" s="89">
        <v>43901</v>
      </c>
    </row>
    <row r="48" spans="1:10" x14ac:dyDescent="0.3">
      <c r="A48" s="64">
        <v>47</v>
      </c>
      <c r="B48" s="88" t="s">
        <v>83</v>
      </c>
      <c r="C48" s="88" t="s">
        <v>83</v>
      </c>
      <c r="D48" s="64">
        <f>VLOOKUP(C48,DaysSince100!H:I,2,FALSE)</f>
        <v>111</v>
      </c>
      <c r="E48" s="89">
        <f ca="1">OFFSET(CumulativeTotal!A48,-A48,MATCH('Country Summary'!D48,CumulativeTotal!B48:BT48,0))</f>
        <v>43904</v>
      </c>
      <c r="F48" s="43">
        <f>MAX(CumulativeTotal!48:48)</f>
        <v>187</v>
      </c>
      <c r="G48" s="43">
        <f>MAX(CumulativeRecovered!48:48)</f>
        <v>5</v>
      </c>
      <c r="H48" s="43">
        <f>MAX(CumulativeDead!48:48)</f>
        <v>12</v>
      </c>
    </row>
    <row r="49" spans="1:10" x14ac:dyDescent="0.3">
      <c r="A49" s="64">
        <v>48</v>
      </c>
      <c r="B49" s="88" t="s">
        <v>370</v>
      </c>
      <c r="C49" s="88" t="s">
        <v>370</v>
      </c>
      <c r="D49" s="64" t="e">
        <f>VLOOKUP(C49,DaysSince100!H:I,2,FALSE)</f>
        <v>#N/A</v>
      </c>
      <c r="E49" s="89" t="e">
        <f ca="1">OFFSET(CumulativeTotal!A49,-A49,MATCH('Country Summary'!D49,CumulativeTotal!B49:BT49,0))</f>
        <v>#N/A</v>
      </c>
      <c r="F49" s="43">
        <f>MAX(CumulativeTotal!49:49)</f>
        <v>77</v>
      </c>
      <c r="G49" s="43">
        <f>MAX(CumulativeRecovered!49:49)</f>
        <v>22</v>
      </c>
      <c r="H49" s="43">
        <f>MAX(CumulativeDead!49:49)</f>
        <v>1</v>
      </c>
    </row>
    <row r="50" spans="1:10" x14ac:dyDescent="0.3">
      <c r="A50" s="64">
        <v>49</v>
      </c>
      <c r="B50" s="88" t="s">
        <v>371</v>
      </c>
      <c r="C50" s="88" t="s">
        <v>371</v>
      </c>
      <c r="D50" s="64" t="e">
        <f>VLOOKUP(C50,DaysSince100!H:I,2,FALSE)</f>
        <v>#N/A</v>
      </c>
      <c r="E50" s="89" t="e">
        <f ca="1">OFFSET(CumulativeTotal!A50,-A50,MATCH('Country Summary'!D50,CumulativeTotal!B50:BT50,0))</f>
        <v>#N/A</v>
      </c>
      <c r="F50" s="43">
        <f>MAX(CumulativeTotal!50:50)</f>
        <v>66</v>
      </c>
      <c r="G50" s="43">
        <f>MAX(CumulativeRecovered!50:50)</f>
        <v>16</v>
      </c>
      <c r="H50" s="43">
        <f>MAX(CumulativeDead!50:50)</f>
        <v>0</v>
      </c>
    </row>
    <row r="51" spans="1:10" x14ac:dyDescent="0.3">
      <c r="A51" s="64">
        <v>50</v>
      </c>
      <c r="B51" s="88" t="s">
        <v>372</v>
      </c>
      <c r="C51" s="88" t="s">
        <v>372</v>
      </c>
      <c r="D51" s="64">
        <f>VLOOKUP(C51,DaysSince100!H:I,2,FALSE)</f>
        <v>114</v>
      </c>
      <c r="E51" s="89">
        <f ca="1">OFFSET(CumulativeTotal!A51,-A51,MATCH('Country Summary'!D51,CumulativeTotal!B51:BT51,0))</f>
        <v>43907</v>
      </c>
      <c r="F51" s="43">
        <f>MAX(CumulativeTotal!51:51)</f>
        <v>114</v>
      </c>
      <c r="G51" s="43">
        <f>MAX(CumulativeRecovered!51:51)</f>
        <v>8</v>
      </c>
      <c r="H51" s="43">
        <f>MAX(CumulativeDead!51:51)</f>
        <v>0</v>
      </c>
    </row>
    <row r="52" spans="1:10" x14ac:dyDescent="0.3">
      <c r="A52" s="64">
        <v>51</v>
      </c>
      <c r="B52" s="88" t="s">
        <v>151</v>
      </c>
      <c r="C52" s="88" t="s">
        <v>151</v>
      </c>
      <c r="D52" s="64">
        <f>VLOOKUP(C52,DaysSince100!H:I,2,FALSE)</f>
        <v>155</v>
      </c>
      <c r="E52" s="89">
        <f ca="1">OFFSET(CumulativeTotal!A52,-A52,MATCH('Country Summary'!D52,CumulativeTotal!B52:BT52,0))</f>
        <v>43906</v>
      </c>
      <c r="F52" s="43">
        <f>MAX(CumulativeTotal!52:52)</f>
        <v>201</v>
      </c>
      <c r="G52" s="43">
        <f>MAX(CumulativeRecovered!52:52)</f>
        <v>0</v>
      </c>
      <c r="H52" s="43">
        <f>MAX(CumulativeDead!52:52)</f>
        <v>0</v>
      </c>
      <c r="I52" s="89">
        <v>43905</v>
      </c>
      <c r="J52" s="89">
        <v>43905</v>
      </c>
    </row>
    <row r="53" spans="1:10" x14ac:dyDescent="0.3">
      <c r="A53" s="64">
        <v>52</v>
      </c>
      <c r="B53" s="88" t="s">
        <v>260</v>
      </c>
      <c r="C53" s="88" t="s">
        <v>260</v>
      </c>
      <c r="D53" s="64" t="e">
        <f>VLOOKUP(C53,DaysSince100!H:I,2,FALSE)</f>
        <v>#N/A</v>
      </c>
      <c r="E53" s="89" t="e">
        <f ca="1">OFFSET(CumulativeTotal!A53,-A53,MATCH('Country Summary'!D53,CumulativeTotal!B53:BT53,0))</f>
        <v>#N/A</v>
      </c>
      <c r="F53" s="43">
        <f>MAX(CumulativeTotal!53:53)</f>
        <v>56</v>
      </c>
      <c r="G53" s="43">
        <f>MAX(CumulativeRecovered!53:53)</f>
        <v>0</v>
      </c>
      <c r="H53" s="43">
        <f>MAX(CumulativeDead!53:53)</f>
        <v>0</v>
      </c>
    </row>
    <row r="54" spans="1:10" x14ac:dyDescent="0.3">
      <c r="A54" s="64">
        <v>53</v>
      </c>
      <c r="B54" s="88" t="s">
        <v>188</v>
      </c>
      <c r="C54" s="88" t="s">
        <v>188</v>
      </c>
      <c r="D54" s="64" t="e">
        <f>VLOOKUP(C54,DaysSince100!H:I,2,FALSE)</f>
        <v>#N/A</v>
      </c>
      <c r="E54" s="89" t="e">
        <f ca="1">OFFSET(CumulativeTotal!A54,-A54,MATCH('Country Summary'!D54,CumulativeTotal!B54:BT54,0))</f>
        <v>#N/A</v>
      </c>
      <c r="F54" s="43">
        <f>MAX(CumulativeTotal!54:54)</f>
        <v>65</v>
      </c>
      <c r="G54" s="43">
        <f>MAX(CumulativeRecovered!54:54)</f>
        <v>1</v>
      </c>
      <c r="H54" s="43">
        <f>MAX(CumulativeDead!54:54)</f>
        <v>0</v>
      </c>
    </row>
    <row r="55" spans="1:10" x14ac:dyDescent="0.3">
      <c r="A55" s="64">
        <v>54</v>
      </c>
      <c r="B55" s="88" t="s">
        <v>126</v>
      </c>
      <c r="C55" s="88" t="s">
        <v>126</v>
      </c>
      <c r="D55" s="64">
        <f>VLOOKUP(C55,DaysSince100!H:I,2,FALSE)</f>
        <v>140</v>
      </c>
      <c r="E55" s="89">
        <f ca="1">OFFSET(CumulativeTotal!A55,-A55,MATCH('Country Summary'!D55,CumulativeTotal!B55:BT55,0))</f>
        <v>43907</v>
      </c>
      <c r="F55" s="43">
        <f>MAX(CumulativeTotal!55:55)</f>
        <v>140</v>
      </c>
      <c r="G55" s="43">
        <f>MAX(CumulativeRecovered!55:55)</f>
        <v>0</v>
      </c>
      <c r="H55" s="43">
        <f>MAX(CumulativeDead!55:55)</f>
        <v>1</v>
      </c>
    </row>
    <row r="56" spans="1:10" x14ac:dyDescent="0.3">
      <c r="A56" s="64">
        <v>55</v>
      </c>
      <c r="B56" s="88" t="s">
        <v>257</v>
      </c>
      <c r="C56" s="88" t="s">
        <v>257</v>
      </c>
      <c r="D56" s="64" t="e">
        <f>VLOOKUP(C56,DaysSince100!H:I,2,FALSE)</f>
        <v>#N/A</v>
      </c>
      <c r="E56" s="89" t="e">
        <f ca="1">OFFSET(CumulativeTotal!A56,-A56,MATCH('Country Summary'!D56,CumulativeTotal!B56:BT56,0))</f>
        <v>#N/A</v>
      </c>
      <c r="F56" s="43">
        <f>MAX(CumulativeTotal!56:56)</f>
        <v>55</v>
      </c>
      <c r="G56" s="43">
        <f>MAX(CumulativeRecovered!56:56)</f>
        <v>0</v>
      </c>
      <c r="H56" s="43">
        <f>MAX(CumulativeDead!56:56)</f>
        <v>1</v>
      </c>
    </row>
    <row r="57" spans="1:10" x14ac:dyDescent="0.3">
      <c r="A57" s="64">
        <v>56</v>
      </c>
      <c r="B57" s="88" t="s">
        <v>103</v>
      </c>
      <c r="C57" s="88" t="s">
        <v>103</v>
      </c>
      <c r="D57" s="64" t="e">
        <f>VLOOKUP(C57,DaysSince100!H:I,2,FALSE)</f>
        <v>#N/A</v>
      </c>
      <c r="E57" s="89" t="e">
        <f ca="1">OFFSET(CumulativeTotal!A57,-A57,MATCH('Country Summary'!D57,CumulativeTotal!B57:BT57,0))</f>
        <v>#N/A</v>
      </c>
      <c r="F57" s="43">
        <f>MAX(CumulativeTotal!57:57)</f>
        <v>65</v>
      </c>
      <c r="G57" s="43">
        <f>MAX(CumulativeRecovered!57:57)</f>
        <v>4</v>
      </c>
      <c r="H57" s="43">
        <f>MAX(CumulativeDead!57:57)</f>
        <v>0</v>
      </c>
    </row>
    <row r="58" spans="1:10" x14ac:dyDescent="0.3">
      <c r="A58" s="64">
        <v>57</v>
      </c>
      <c r="B58" s="88" t="s">
        <v>189</v>
      </c>
      <c r="C58" s="88" t="s">
        <v>189</v>
      </c>
      <c r="D58" s="64" t="e">
        <f>VLOOKUP(C58,DaysSince100!H:I,2,FALSE)</f>
        <v>#N/A</v>
      </c>
      <c r="E58" s="89" t="e">
        <f ca="1">OFFSET(CumulativeTotal!A58,-A58,MATCH('Country Summary'!D58,CumulativeTotal!B58:BT58,0))</f>
        <v>#N/A</v>
      </c>
      <c r="F58" s="43">
        <f>MAX(CumulativeTotal!58:58)</f>
        <v>72</v>
      </c>
      <c r="G58" s="43">
        <f>MAX(CumulativeRecovered!58:58)</f>
        <v>0</v>
      </c>
      <c r="H58" s="43">
        <f>MAX(CumulativeDead!58:58)</f>
        <v>0</v>
      </c>
    </row>
    <row r="59" spans="1:10" x14ac:dyDescent="0.3">
      <c r="A59" s="64">
        <v>58</v>
      </c>
      <c r="B59" s="88" t="s">
        <v>150</v>
      </c>
      <c r="C59" s="88" t="s">
        <v>150</v>
      </c>
      <c r="D59" s="64" t="e">
        <f>VLOOKUP(C59,DaysSince100!H:I,2,FALSE)</f>
        <v>#N/A</v>
      </c>
      <c r="E59" s="89" t="e">
        <f ca="1">OFFSET(CumulativeTotal!A59,-A59,MATCH('Country Summary'!D59,CumulativeTotal!B59:BT59,0))</f>
        <v>#N/A</v>
      </c>
      <c r="F59" s="43">
        <f>MAX(CumulativeTotal!59:59)</f>
        <v>68</v>
      </c>
      <c r="G59" s="43">
        <f>MAX(CumulativeRecovered!59:59)</f>
        <v>3</v>
      </c>
      <c r="H59" s="43">
        <f>MAX(CumulativeDead!59:59)</f>
        <v>2</v>
      </c>
    </row>
    <row r="60" spans="1:10" x14ac:dyDescent="0.3">
      <c r="A60" s="64">
        <v>59</v>
      </c>
      <c r="B60" s="88" t="s">
        <v>107</v>
      </c>
      <c r="C60" s="88" t="s">
        <v>107</v>
      </c>
      <c r="D60" s="64">
        <f>VLOOKUP(C60,DaysSince100!H:I,2,FALSE)</f>
        <v>136</v>
      </c>
      <c r="E60" s="89">
        <f ca="1">OFFSET(CumulativeTotal!A60,-A60,MATCH('Country Summary'!D60,CumulativeTotal!B60:BT60,0))</f>
        <v>43906</v>
      </c>
      <c r="F60" s="43">
        <f>MAX(CumulativeTotal!60:60)</f>
        <v>236</v>
      </c>
      <c r="G60" s="43">
        <f>MAX(CumulativeRecovered!60:60)</f>
        <v>2</v>
      </c>
      <c r="H60" s="43">
        <f>MAX(CumulativeDead!60:60)</f>
        <v>0</v>
      </c>
    </row>
    <row r="61" spans="1:10" x14ac:dyDescent="0.3">
      <c r="A61" s="64">
        <v>60</v>
      </c>
      <c r="B61" s="88" t="s">
        <v>187</v>
      </c>
      <c r="C61" s="88" t="s">
        <v>187</v>
      </c>
      <c r="D61" s="64">
        <f>VLOOKUP(C61,DaysSince100!H:I,2,FALSE)</f>
        <v>117</v>
      </c>
      <c r="E61" s="89">
        <f ca="1">OFFSET(CumulativeTotal!A61,-A61,MATCH('Country Summary'!D61,CumulativeTotal!B61:BT61,0))</f>
        <v>43907</v>
      </c>
      <c r="F61" s="43">
        <f>MAX(CumulativeTotal!61:61)</f>
        <v>117</v>
      </c>
      <c r="G61" s="43">
        <f>MAX(CumulativeRecovered!61:61)</f>
        <v>1</v>
      </c>
      <c r="H61" s="43">
        <f>MAX(CumulativeDead!61:61)</f>
        <v>0</v>
      </c>
    </row>
    <row r="62" spans="1:10" x14ac:dyDescent="0.3">
      <c r="A62" s="64">
        <v>61</v>
      </c>
      <c r="B62" s="88" t="s">
        <v>118</v>
      </c>
      <c r="C62" s="88" t="s">
        <v>118</v>
      </c>
      <c r="D62" s="64" t="e">
        <f>VLOOKUP(C62,DaysSince100!H:I,2,FALSE)</f>
        <v>#N/A</v>
      </c>
      <c r="E62" s="89" t="e">
        <f ca="1">OFFSET(CumulativeTotal!A62,-A62,MATCH('Country Summary'!D62,CumulativeTotal!B62:BT62,0))</f>
        <v>#N/A</v>
      </c>
      <c r="F62" s="43">
        <f>MAX(CumulativeTotal!62:62)</f>
        <v>36</v>
      </c>
      <c r="G62" s="43">
        <f>MAX(CumulativeRecovered!62:62)</f>
        <v>3</v>
      </c>
      <c r="H62" s="43">
        <f>MAX(CumulativeDead!62:62)</f>
        <v>0</v>
      </c>
    </row>
    <row r="63" spans="1:10" x14ac:dyDescent="0.3">
      <c r="A63" s="64">
        <v>62</v>
      </c>
      <c r="B63" s="88" t="s">
        <v>310</v>
      </c>
      <c r="C63" s="88" t="s">
        <v>310</v>
      </c>
      <c r="D63" s="64" t="e">
        <f>VLOOKUP(C63,DaysSince100!H:I,2,FALSE)</f>
        <v>#N/A</v>
      </c>
      <c r="E63" s="89" t="e">
        <f ca="1">OFFSET(CumulativeTotal!A63,-A63,MATCH('Country Summary'!D63,CumulativeTotal!B63:BT63,0))</f>
        <v>#N/A</v>
      </c>
      <c r="F63" s="43">
        <f>MAX(CumulativeTotal!63:63)</f>
        <v>69</v>
      </c>
      <c r="G63" s="43">
        <f>MAX(CumulativeRecovered!63:63)</f>
        <v>0</v>
      </c>
      <c r="H63" s="43">
        <f>MAX(CumulativeDead!63:63)</f>
        <v>1</v>
      </c>
    </row>
    <row r="64" spans="1:10" x14ac:dyDescent="0.3">
      <c r="A64" s="64">
        <v>63</v>
      </c>
      <c r="B64" s="88" t="s">
        <v>102</v>
      </c>
      <c r="C64" s="88" t="s">
        <v>102</v>
      </c>
      <c r="D64" s="64" t="e">
        <f>VLOOKUP(C64,DaysSince100!H:I,2,FALSE)</f>
        <v>#N/A</v>
      </c>
      <c r="E64" s="89" t="e">
        <f ca="1">OFFSET(CumulativeTotal!A64,-A64,MATCH('Country Summary'!D64,CumulativeTotal!B64:BT64,0))</f>
        <v>#N/A</v>
      </c>
      <c r="F64" s="43">
        <f>MAX(CumulativeTotal!64:64)</f>
        <v>60</v>
      </c>
      <c r="G64" s="43">
        <f>MAX(CumulativeRecovered!64:64)</f>
        <v>12</v>
      </c>
      <c r="H64" s="43">
        <f>MAX(CumulativeDead!64:64)</f>
        <v>4</v>
      </c>
    </row>
    <row r="65" spans="1:10" x14ac:dyDescent="0.3">
      <c r="A65" s="64">
        <v>64</v>
      </c>
      <c r="B65" s="88" t="s">
        <v>109</v>
      </c>
      <c r="C65" s="88" t="s">
        <v>109</v>
      </c>
      <c r="D65" s="64" t="e">
        <f>VLOOKUP(C65,DaysSince100!H:I,2,FALSE)</f>
        <v>#N/A</v>
      </c>
      <c r="E65" s="89" t="e">
        <f ca="1">OFFSET(CumulativeTotal!A65,-A65,MATCH('Country Summary'!D65,CumulativeTotal!B65:BT65,0))</f>
        <v>#N/A</v>
      </c>
      <c r="F65" s="43">
        <f>MAX(CumulativeTotal!65:65)</f>
        <v>34</v>
      </c>
      <c r="G65" s="43">
        <f>MAX(CumulativeRecovered!65:65)</f>
        <v>1</v>
      </c>
      <c r="H65" s="43">
        <f>MAX(CumulativeDead!65:65)</f>
        <v>0</v>
      </c>
    </row>
    <row r="66" spans="1:10" x14ac:dyDescent="0.3">
      <c r="A66" s="64">
        <v>65</v>
      </c>
      <c r="B66" s="88" t="s">
        <v>172</v>
      </c>
      <c r="C66" s="88" t="s">
        <v>172</v>
      </c>
      <c r="D66" s="64" t="e">
        <f>VLOOKUP(C66,DaysSince100!H:I,2,FALSE)</f>
        <v>#N/A</v>
      </c>
      <c r="E66" s="89" t="e">
        <f ca="1">OFFSET(CumulativeTotal!A66,-A66,MATCH('Country Summary'!D66,CumulativeTotal!B66:BT66,0))</f>
        <v>#N/A</v>
      </c>
      <c r="F66" s="43">
        <f>MAX(CumulativeTotal!66:66)</f>
        <v>62</v>
      </c>
      <c r="G66" s="43">
        <f>MAX(CumulativeRecovered!66:66)</f>
        <v>0</v>
      </c>
      <c r="H66" s="43">
        <f>MAX(CumulativeDead!66:66)</f>
        <v>0</v>
      </c>
    </row>
    <row r="67" spans="1:10" x14ac:dyDescent="0.3">
      <c r="A67" s="64">
        <v>66</v>
      </c>
      <c r="B67" s="88" t="s">
        <v>226</v>
      </c>
      <c r="C67" s="88" t="s">
        <v>226</v>
      </c>
      <c r="D67" s="64" t="e">
        <f>VLOOKUP(C67,DaysSince100!H:I,2,FALSE)</f>
        <v>#N/A</v>
      </c>
      <c r="E67" s="89" t="e">
        <f ca="1">OFFSET(CumulativeTotal!A67,-A67,MATCH('Country Summary'!D67,CumulativeTotal!B67:BT67,0))</f>
        <v>#N/A</v>
      </c>
      <c r="F67" s="43">
        <f>MAX(CumulativeTotal!67:67)</f>
        <v>67</v>
      </c>
      <c r="G67" s="43">
        <f>MAX(CumulativeRecovered!67:67)</f>
        <v>0</v>
      </c>
      <c r="H67" s="43">
        <f>MAX(CumulativeDead!67:67)</f>
        <v>2</v>
      </c>
    </row>
    <row r="68" spans="1:10" x14ac:dyDescent="0.3">
      <c r="A68" s="64">
        <v>67</v>
      </c>
      <c r="B68" s="88" t="s">
        <v>186</v>
      </c>
      <c r="C68" s="88" t="s">
        <v>186</v>
      </c>
      <c r="D68" s="64" t="e">
        <f>VLOOKUP(C68,DaysSince100!H:I,2,FALSE)</f>
        <v>#N/A</v>
      </c>
      <c r="E68" s="89" t="e">
        <f ca="1">OFFSET(CumulativeTotal!A68,-A68,MATCH('Country Summary'!D68,CumulativeTotal!B68:BT68,0))</f>
        <v>#N/A</v>
      </c>
      <c r="F68" s="43">
        <f>MAX(CumulativeTotal!68:68)</f>
        <v>41</v>
      </c>
      <c r="G68" s="43">
        <f>MAX(CumulativeRecovered!68:68)</f>
        <v>0</v>
      </c>
      <c r="H68" s="43">
        <f>MAX(CumulativeDead!68:68)</f>
        <v>0</v>
      </c>
    </row>
    <row r="69" spans="1:10" x14ac:dyDescent="0.3">
      <c r="A69" s="64">
        <v>68</v>
      </c>
      <c r="B69" s="88" t="s">
        <v>159</v>
      </c>
      <c r="C69" s="88" t="s">
        <v>159</v>
      </c>
      <c r="D69" s="64" t="e">
        <f>VLOOKUP(C69,DaysSince100!H:I,2,FALSE)</f>
        <v>#N/A</v>
      </c>
      <c r="E69" s="89" t="e">
        <f ca="1">OFFSET(CumulativeTotal!A69,-A69,MATCH('Country Summary'!D69,CumulativeTotal!B69:BT69,0))</f>
        <v>#N/A</v>
      </c>
      <c r="F69" s="43">
        <f>MAX(CumulativeTotal!69:69)</f>
        <v>50</v>
      </c>
      <c r="G69" s="43">
        <f>MAX(CumulativeRecovered!69:69)</f>
        <v>2</v>
      </c>
      <c r="H69" s="43">
        <f>MAX(CumulativeDead!69:69)</f>
        <v>1</v>
      </c>
      <c r="I69" s="89">
        <v>43913</v>
      </c>
      <c r="J69" s="89">
        <v>43913</v>
      </c>
    </row>
    <row r="70" spans="1:10" x14ac:dyDescent="0.3">
      <c r="A70" s="64">
        <v>69</v>
      </c>
      <c r="B70" s="88" t="s">
        <v>98</v>
      </c>
      <c r="C70" s="88" t="s">
        <v>98</v>
      </c>
      <c r="D70" s="64" t="e">
        <f>VLOOKUP(C70,DaysSince100!H:I,2,FALSE)</f>
        <v>#N/A</v>
      </c>
      <c r="E70" s="89" t="e">
        <f ca="1">OFFSET(CumulativeTotal!A70,-A70,MATCH('Country Summary'!D70,CumulativeTotal!B70:BT70,0))</f>
        <v>#N/A</v>
      </c>
      <c r="F70" s="43">
        <f>MAX(CumulativeTotal!70:70)</f>
        <v>24</v>
      </c>
      <c r="G70" s="43">
        <f>MAX(CumulativeRecovered!70:70)</f>
        <v>9</v>
      </c>
      <c r="H70" s="43">
        <f>MAX(CumulativeDead!70:70)</f>
        <v>0</v>
      </c>
    </row>
    <row r="71" spans="1:10" x14ac:dyDescent="0.3">
      <c r="A71" s="64">
        <v>70</v>
      </c>
      <c r="B71" s="88" t="s">
        <v>130</v>
      </c>
      <c r="C71" s="88" t="s">
        <v>130</v>
      </c>
      <c r="D71" s="64" t="e">
        <f>VLOOKUP(C71,DaysSince100!H:I,2,FALSE)</f>
        <v>#N/A</v>
      </c>
      <c r="E71" s="89" t="e">
        <f ca="1">OFFSET(CumulativeTotal!A71,-A71,MATCH('Country Summary'!D71,CumulativeTotal!B71:BT71,0))</f>
        <v>#N/A</v>
      </c>
      <c r="F71" s="43">
        <f>MAX(CumulativeTotal!71:71)</f>
        <v>58</v>
      </c>
      <c r="G71" s="43">
        <f>MAX(CumulativeRecovered!71:71)</f>
        <v>0</v>
      </c>
      <c r="H71" s="43">
        <f>MAX(CumulativeDead!71:71)</f>
        <v>2</v>
      </c>
    </row>
    <row r="72" spans="1:10" x14ac:dyDescent="0.3">
      <c r="A72" s="64">
        <v>71</v>
      </c>
      <c r="B72" s="88" t="s">
        <v>138</v>
      </c>
      <c r="C72" s="88" t="s">
        <v>138</v>
      </c>
      <c r="D72" s="64" t="e">
        <f>VLOOKUP(C72,DaysSince100!H:I,2,FALSE)</f>
        <v>#N/A</v>
      </c>
      <c r="E72" s="89" t="e">
        <f ca="1">OFFSET(CumulativeTotal!A72,-A72,MATCH('Country Summary'!D72,CumulativeTotal!B72:BT72,0))</f>
        <v>#N/A</v>
      </c>
      <c r="F72" s="43">
        <f>MAX(CumulativeTotal!72:72)</f>
        <v>49</v>
      </c>
      <c r="G72" s="43">
        <f>MAX(CumulativeRecovered!72:72)</f>
        <v>1</v>
      </c>
      <c r="H72" s="43">
        <f>MAX(CumulativeDead!72:72)</f>
        <v>0</v>
      </c>
    </row>
    <row r="73" spans="1:10" x14ac:dyDescent="0.3">
      <c r="A73" s="64">
        <v>72</v>
      </c>
      <c r="B73" s="88" t="s">
        <v>165</v>
      </c>
      <c r="C73" s="88" t="s">
        <v>165</v>
      </c>
      <c r="D73" s="64" t="e">
        <f>VLOOKUP(C73,DaysSince100!H:I,2,FALSE)</f>
        <v>#N/A</v>
      </c>
      <c r="E73" s="89" t="e">
        <f ca="1">OFFSET(CumulativeTotal!A73,-A73,MATCH('Country Summary'!D73,CumulativeTotal!B73:BT73,0))</f>
        <v>#N/A</v>
      </c>
      <c r="F73" s="43">
        <f>MAX(CumulativeTotal!73:73)</f>
        <v>24</v>
      </c>
      <c r="G73" s="43">
        <f>MAX(CumulativeRecovered!73:73)</f>
        <v>0</v>
      </c>
      <c r="H73" s="43">
        <f>MAX(CumulativeDead!73:73)</f>
        <v>0</v>
      </c>
    </row>
    <row r="74" spans="1:10" x14ac:dyDescent="0.3">
      <c r="A74" s="64">
        <v>73</v>
      </c>
      <c r="B74" s="88" t="s">
        <v>131</v>
      </c>
      <c r="C74" s="88" t="s">
        <v>131</v>
      </c>
      <c r="D74" s="64" t="e">
        <f>VLOOKUP(C74,DaysSince100!H:I,2,FALSE)</f>
        <v>#N/A</v>
      </c>
      <c r="E74" s="89" t="e">
        <f ca="1">OFFSET(CumulativeTotal!A74,-A74,MATCH('Country Summary'!D74,CumulativeTotal!B74:BT74,0))</f>
        <v>#N/A</v>
      </c>
      <c r="F74" s="43">
        <f>MAX(CumulativeTotal!74:74)</f>
        <v>28</v>
      </c>
      <c r="G74" s="43">
        <f>MAX(CumulativeRecovered!74:74)</f>
        <v>6</v>
      </c>
      <c r="H74" s="43">
        <f>MAX(CumulativeDead!74:74)</f>
        <v>1</v>
      </c>
    </row>
    <row r="75" spans="1:10" x14ac:dyDescent="0.3">
      <c r="A75" s="64">
        <v>74</v>
      </c>
      <c r="B75" s="88" t="s">
        <v>258</v>
      </c>
      <c r="C75" s="88" t="s">
        <v>258</v>
      </c>
      <c r="D75" s="64" t="e">
        <f>VLOOKUP(C75,DaysSince100!H:I,2,FALSE)</f>
        <v>#N/A</v>
      </c>
      <c r="E75" s="89" t="e">
        <f ca="1">OFFSET(CumulativeTotal!A75,-A75,MATCH('Country Summary'!D75,CumulativeTotal!B75:BT75,0))</f>
        <v>#N/A</v>
      </c>
      <c r="F75" s="43">
        <f>MAX(CumulativeTotal!75:75)</f>
        <v>46</v>
      </c>
      <c r="G75" s="43">
        <f>MAX(CumulativeRecovered!75:75)</f>
        <v>0</v>
      </c>
      <c r="H75" s="43">
        <f>MAX(CumulativeDead!75:75)</f>
        <v>0</v>
      </c>
    </row>
    <row r="76" spans="1:10" x14ac:dyDescent="0.3">
      <c r="A76" s="64">
        <v>75</v>
      </c>
      <c r="B76" s="88" t="s">
        <v>111</v>
      </c>
      <c r="C76" s="88" t="s">
        <v>111</v>
      </c>
      <c r="D76" s="64" t="e">
        <f>VLOOKUP(C76,DaysSince100!H:I,2,FALSE)</f>
        <v>#N/A</v>
      </c>
      <c r="E76" s="89" t="e">
        <f ca="1">OFFSET(CumulativeTotal!A76,-A76,MATCH('Country Summary'!D76,CumulativeTotal!B76:BT76,0))</f>
        <v>#N/A</v>
      </c>
      <c r="F76" s="43">
        <f>MAX(CumulativeTotal!76:76)</f>
        <v>26</v>
      </c>
      <c r="G76" s="43">
        <f>MAX(CumulativeRecovered!76:76)</f>
        <v>1</v>
      </c>
      <c r="H76" s="43">
        <f>MAX(CumulativeDead!76:76)</f>
        <v>0</v>
      </c>
    </row>
    <row r="77" spans="1:10" x14ac:dyDescent="0.3">
      <c r="A77" s="64">
        <v>76</v>
      </c>
      <c r="B77" s="88" t="s">
        <v>167</v>
      </c>
      <c r="C77" s="88" t="s">
        <v>167</v>
      </c>
      <c r="D77" s="64" t="e">
        <f>VLOOKUP(C77,DaysSince100!H:I,2,FALSE)</f>
        <v>#N/A</v>
      </c>
      <c r="E77" s="89" t="e">
        <f ca="1">OFFSET(CumulativeTotal!A77,-A77,MATCH('Country Summary'!D77,CumulativeTotal!B77:BT77,0))</f>
        <v>#N/A</v>
      </c>
      <c r="F77" s="43">
        <f>MAX(CumulativeTotal!77:77)</f>
        <v>26</v>
      </c>
      <c r="G77" s="43">
        <f>MAX(CumulativeRecovered!77:77)</f>
        <v>2</v>
      </c>
      <c r="H77" s="43">
        <f>MAX(CumulativeDead!77:77)</f>
        <v>0</v>
      </c>
    </row>
    <row r="78" spans="1:10" x14ac:dyDescent="0.3">
      <c r="A78" s="64">
        <v>77</v>
      </c>
      <c r="B78" s="88" t="s">
        <v>185</v>
      </c>
      <c r="C78" s="88" t="s">
        <v>185</v>
      </c>
      <c r="D78" s="64" t="e">
        <f>VLOOKUP(C78,DaysSince100!H:I,2,FALSE)</f>
        <v>#N/A</v>
      </c>
      <c r="E78" s="89" t="e">
        <f ca="1">OFFSET(CumulativeTotal!A78,-A78,MATCH('Country Summary'!D78,CumulativeTotal!B78:BT78,0))</f>
        <v>#N/A</v>
      </c>
      <c r="F78" s="43">
        <f>MAX(CumulativeTotal!78:78)</f>
        <v>65</v>
      </c>
      <c r="G78" s="43">
        <f>MAX(CumulativeRecovered!78:78)</f>
        <v>1</v>
      </c>
      <c r="H78" s="43">
        <f>MAX(CumulativeDead!78:78)</f>
        <v>0</v>
      </c>
    </row>
    <row r="79" spans="1:10" x14ac:dyDescent="0.3">
      <c r="A79" s="64">
        <v>78</v>
      </c>
      <c r="B79" s="88" t="s">
        <v>204</v>
      </c>
      <c r="C79" s="88" t="s">
        <v>204</v>
      </c>
      <c r="D79" s="64" t="e">
        <f>VLOOKUP(C79,DaysSince100!H:I,2,FALSE)</f>
        <v>#N/A</v>
      </c>
      <c r="E79" s="89" t="e">
        <f ca="1">OFFSET(CumulativeTotal!A79,-A79,MATCH('Country Summary'!D79,CumulativeTotal!B79:BT79,0))</f>
        <v>#N/A</v>
      </c>
      <c r="F79" s="43">
        <f>MAX(CumulativeTotal!79:79)</f>
        <v>38</v>
      </c>
      <c r="G79" s="43">
        <f>MAX(CumulativeRecovered!79:79)</f>
        <v>2</v>
      </c>
      <c r="H79" s="43">
        <f>MAX(CumulativeDead!79:79)</f>
        <v>0</v>
      </c>
    </row>
    <row r="80" spans="1:10" x14ac:dyDescent="0.3">
      <c r="A80" s="64">
        <v>79</v>
      </c>
      <c r="B80" s="88" t="s">
        <v>121</v>
      </c>
      <c r="C80" s="88" t="s">
        <v>121</v>
      </c>
      <c r="D80" s="64" t="e">
        <f>VLOOKUP(C80,DaysSince100!H:I,2,FALSE)</f>
        <v>#N/A</v>
      </c>
      <c r="E80" s="89" t="e">
        <f ca="1">OFFSET(CumulativeTotal!A80,-A80,MATCH('Country Summary'!D80,CumulativeTotal!B80:BT80,0))</f>
        <v>#N/A</v>
      </c>
      <c r="F80" s="43">
        <f>MAX(CumulativeTotal!80:80)</f>
        <v>82</v>
      </c>
      <c r="G80" s="43">
        <f>MAX(CumulativeRecovered!80:80)</f>
        <v>4</v>
      </c>
      <c r="H80" s="43">
        <f>MAX(CumulativeDead!80:80)</f>
        <v>0</v>
      </c>
    </row>
    <row r="81" spans="1:8" x14ac:dyDescent="0.3">
      <c r="A81" s="64">
        <v>80</v>
      </c>
      <c r="B81" s="88" t="s">
        <v>141</v>
      </c>
      <c r="C81" s="88" t="s">
        <v>141</v>
      </c>
      <c r="D81" s="64" t="e">
        <f>VLOOKUP(C81,DaysSince100!H:I,2,FALSE)</f>
        <v>#N/A</v>
      </c>
      <c r="E81" s="89" t="e">
        <f ca="1">OFFSET(CumulativeTotal!A81,-A81,MATCH('Country Summary'!D81,CumulativeTotal!B81:BT81,0))</f>
        <v>#N/A</v>
      </c>
      <c r="F81" s="43">
        <f>MAX(CumulativeTotal!81:81)</f>
        <v>26</v>
      </c>
      <c r="G81" s="43">
        <f>MAX(CumulativeRecovered!81:81)</f>
        <v>2</v>
      </c>
      <c r="H81" s="43">
        <f>MAX(CumulativeDead!81:81)</f>
        <v>0</v>
      </c>
    </row>
    <row r="82" spans="1:8" x14ac:dyDescent="0.3">
      <c r="A82" s="64">
        <v>81</v>
      </c>
      <c r="B82" s="88" t="s">
        <v>227</v>
      </c>
      <c r="C82" s="88" t="s">
        <v>227</v>
      </c>
      <c r="D82" s="64" t="e">
        <f>VLOOKUP(C82,DaysSince100!H:I,2,FALSE)</f>
        <v>#N/A</v>
      </c>
      <c r="E82" s="89" t="e">
        <f ca="1">OFFSET(CumulativeTotal!A82,-A82,MATCH('Country Summary'!D82,CumulativeTotal!B82:BT82,0))</f>
        <v>#N/A</v>
      </c>
      <c r="F82" s="43">
        <f>MAX(CumulativeTotal!82:82)</f>
        <v>13</v>
      </c>
      <c r="G82" s="43">
        <f>MAX(CumulativeRecovered!82:82)</f>
        <v>0</v>
      </c>
      <c r="H82" s="43">
        <f>MAX(CumulativeDead!82:82)</f>
        <v>0</v>
      </c>
    </row>
    <row r="83" spans="1:8" x14ac:dyDescent="0.3">
      <c r="A83" s="64">
        <v>82</v>
      </c>
      <c r="B83" s="88" t="s">
        <v>132</v>
      </c>
      <c r="C83" s="88" t="s">
        <v>132</v>
      </c>
      <c r="D83" s="64" t="e">
        <f>VLOOKUP(C83,DaysSince100!H:I,2,FALSE)</f>
        <v>#N/A</v>
      </c>
      <c r="E83" s="89" t="e">
        <f ca="1">OFFSET(CumulativeTotal!A83,-A83,MATCH('Country Summary'!D83,CumulativeTotal!B83:BT83,0))</f>
        <v>#N/A</v>
      </c>
      <c r="F83" s="43">
        <f>MAX(CumulativeTotal!83:83)</f>
        <v>78</v>
      </c>
      <c r="G83" s="43">
        <f>MAX(CumulativeRecovered!83:83)</f>
        <v>1</v>
      </c>
      <c r="H83" s="43">
        <f>MAX(CumulativeDead!83:83)</f>
        <v>0</v>
      </c>
    </row>
    <row r="84" spans="1:8" x14ac:dyDescent="0.3">
      <c r="A84" s="64">
        <v>83</v>
      </c>
      <c r="B84" s="88" t="s">
        <v>381</v>
      </c>
      <c r="C84" s="88" t="s">
        <v>381</v>
      </c>
      <c r="D84" s="64" t="e">
        <f>VLOOKUP(C84,DaysSince100!H:I,2,FALSE)</f>
        <v>#N/A</v>
      </c>
      <c r="E84" s="89" t="e">
        <f ca="1">OFFSET(CumulativeTotal!A84,-A84,MATCH('Country Summary'!D84,CumulativeTotal!B84:BT84,0))</f>
        <v>#N/A</v>
      </c>
      <c r="F84" s="43">
        <f>MAX(CumulativeTotal!84:84)</f>
        <v>12</v>
      </c>
      <c r="G84" s="43">
        <f>MAX(CumulativeRecovered!84:84)</f>
        <v>2</v>
      </c>
      <c r="H84" s="43">
        <f>MAX(CumulativeDead!84:84)</f>
        <v>0</v>
      </c>
    </row>
    <row r="85" spans="1:8" x14ac:dyDescent="0.3">
      <c r="A85" s="64">
        <v>84</v>
      </c>
      <c r="B85" s="88" t="s">
        <v>99</v>
      </c>
      <c r="C85" s="88" t="s">
        <v>99</v>
      </c>
      <c r="D85" s="64" t="e">
        <f>VLOOKUP(C85,DaysSince100!H:I,2,FALSE)</f>
        <v>#N/A</v>
      </c>
      <c r="E85" s="89" t="e">
        <f ca="1">OFFSET(CumulativeTotal!A85,-A85,MATCH('Country Summary'!D85,CumulativeTotal!B85:BT85,0))</f>
        <v>#N/A</v>
      </c>
      <c r="F85" s="43">
        <f>MAX(CumulativeTotal!85:85)</f>
        <v>22</v>
      </c>
      <c r="G85" s="43">
        <f>MAX(CumulativeRecovered!85:85)</f>
        <v>1</v>
      </c>
      <c r="H85" s="43">
        <f>MAX(CumulativeDead!85:85)</f>
        <v>0</v>
      </c>
    </row>
    <row r="86" spans="1:8" x14ac:dyDescent="0.3">
      <c r="A86" s="64">
        <v>85</v>
      </c>
      <c r="B86" s="88" t="s">
        <v>139</v>
      </c>
      <c r="C86" s="88" t="s">
        <v>139</v>
      </c>
      <c r="D86" s="64" t="e">
        <f>VLOOKUP(C86,DaysSince100!H:I,2,FALSE)</f>
        <v>#N/A</v>
      </c>
      <c r="E86" s="89" t="e">
        <f ca="1">OFFSET(CumulativeTotal!A86,-A86,MATCH('Country Summary'!D86,CumulativeTotal!B86:BT86,0))</f>
        <v>#N/A</v>
      </c>
      <c r="F86" s="43">
        <f>MAX(CumulativeTotal!86:86)</f>
        <v>38</v>
      </c>
      <c r="G86" s="43">
        <f>MAX(CumulativeRecovered!86:86)</f>
        <v>1</v>
      </c>
      <c r="H86" s="43">
        <f>MAX(CumulativeDead!86:86)</f>
        <v>2</v>
      </c>
    </row>
    <row r="87" spans="1:8" x14ac:dyDescent="0.3">
      <c r="A87" s="64">
        <v>86</v>
      </c>
      <c r="B87" s="88" t="s">
        <v>120</v>
      </c>
      <c r="C87" s="88" t="s">
        <v>120</v>
      </c>
      <c r="D87" s="64" t="e">
        <f>VLOOKUP(C87,DaysSince100!H:I,2,FALSE)</f>
        <v>#N/A</v>
      </c>
      <c r="E87" s="89" t="e">
        <f ca="1">OFFSET(CumulativeTotal!A87,-A87,MATCH('Country Summary'!D87,CumulativeTotal!B87:BT87,0))</f>
        <v>#N/A</v>
      </c>
      <c r="F87" s="43">
        <f>MAX(CumulativeTotal!87:87)</f>
        <v>25</v>
      </c>
      <c r="G87" s="43">
        <f>MAX(CumulativeRecovered!87:87)</f>
        <v>1</v>
      </c>
      <c r="H87" s="43">
        <f>MAX(CumulativeDead!87:87)</f>
        <v>0</v>
      </c>
    </row>
    <row r="88" spans="1:8" x14ac:dyDescent="0.3">
      <c r="A88" s="64">
        <v>87</v>
      </c>
      <c r="B88" s="88" t="s">
        <v>373</v>
      </c>
      <c r="C88" s="88" t="s">
        <v>373</v>
      </c>
      <c r="D88" s="64" t="e">
        <f>VLOOKUP(C88,DaysSince100!H:I,2,FALSE)</f>
        <v>#N/A</v>
      </c>
      <c r="E88" s="89" t="e">
        <f ca="1">OFFSET(CumulativeTotal!A88,-A88,MATCH('Country Summary'!D88,CumulativeTotal!B88:BT88,0))</f>
        <v>#N/A</v>
      </c>
      <c r="F88" s="43">
        <f>MAX(CumulativeTotal!88:88)</f>
        <v>30</v>
      </c>
      <c r="G88" s="43">
        <f>MAX(CumulativeRecovered!88:88)</f>
        <v>1</v>
      </c>
      <c r="H88" s="43">
        <f>MAX(CumulativeDead!88:88)</f>
        <v>0</v>
      </c>
    </row>
    <row r="89" spans="1:8" x14ac:dyDescent="0.3">
      <c r="A89" s="64">
        <v>88</v>
      </c>
      <c r="B89" s="88" t="s">
        <v>233</v>
      </c>
      <c r="C89" s="88" t="s">
        <v>233</v>
      </c>
      <c r="D89" s="64" t="e">
        <f>VLOOKUP(C89,DaysSince100!H:I,2,FALSE)</f>
        <v>#N/A</v>
      </c>
      <c r="E89" s="89" t="e">
        <f ca="1">OFFSET(CumulativeTotal!A89,-A89,MATCH('Country Summary'!D89,CumulativeTotal!B89:BT89,0))</f>
        <v>#N/A</v>
      </c>
      <c r="F89" s="43">
        <f>MAX(CumulativeTotal!89:89)</f>
        <v>9</v>
      </c>
      <c r="G89" s="43">
        <f>MAX(CumulativeRecovered!89:89)</f>
        <v>0</v>
      </c>
      <c r="H89" s="43">
        <f>MAX(CumulativeDead!89:89)</f>
        <v>0</v>
      </c>
    </row>
    <row r="90" spans="1:8" x14ac:dyDescent="0.3">
      <c r="A90" s="64">
        <v>89</v>
      </c>
      <c r="B90" s="88" t="s">
        <v>79</v>
      </c>
      <c r="C90" s="88" t="s">
        <v>79</v>
      </c>
      <c r="D90" s="64" t="e">
        <f>VLOOKUP(C90,DaysSince100!H:I,2,FALSE)</f>
        <v>#N/A</v>
      </c>
      <c r="E90" s="89" t="e">
        <f ca="1">OFFSET(CumulativeTotal!A90,-A90,MATCH('Country Summary'!D90,CumulativeTotal!B90:BT90,0))</f>
        <v>#N/A</v>
      </c>
      <c r="F90" s="43">
        <f>MAX(CumulativeTotal!90:90)</f>
        <v>44</v>
      </c>
      <c r="G90" s="43">
        <f>MAX(CumulativeRecovered!90:90)</f>
        <v>1</v>
      </c>
      <c r="H90" s="43">
        <f>MAX(CumulativeDead!90:90)</f>
        <v>0</v>
      </c>
    </row>
    <row r="91" spans="1:8" x14ac:dyDescent="0.3">
      <c r="A91" s="64">
        <v>90</v>
      </c>
      <c r="B91" s="88" t="s">
        <v>78</v>
      </c>
      <c r="C91" s="88" t="s">
        <v>78</v>
      </c>
      <c r="D91" s="64" t="e">
        <f>VLOOKUP(C91,DaysSince100!H:I,2,FALSE)</f>
        <v>#N/A</v>
      </c>
      <c r="E91" s="89" t="e">
        <f ca="1">OFFSET(CumulativeTotal!A91,-A91,MATCH('Country Summary'!D91,CumulativeTotal!B91:BT91,0))</f>
        <v>#N/A</v>
      </c>
      <c r="F91" s="43">
        <f>MAX(CumulativeTotal!91:91)</f>
        <v>33</v>
      </c>
      <c r="G91" s="43">
        <f>MAX(CumulativeRecovered!91:91)</f>
        <v>1</v>
      </c>
      <c r="H91" s="43">
        <f>MAX(CumulativeDead!91:91)</f>
        <v>0</v>
      </c>
    </row>
    <row r="92" spans="1:8" x14ac:dyDescent="0.3">
      <c r="A92" s="64">
        <v>91</v>
      </c>
      <c r="B92" s="88" t="s">
        <v>133</v>
      </c>
      <c r="C92" s="88" t="s">
        <v>133</v>
      </c>
      <c r="D92" s="64" t="e">
        <f>VLOOKUP(C92,DaysSince100!H:I,2,FALSE)</f>
        <v>#N/A</v>
      </c>
      <c r="E92" s="89" t="e">
        <f ca="1">OFFSET(CumulativeTotal!A92,-A92,MATCH('Country Summary'!D92,CumulativeTotal!B92:BT92,0))</f>
        <v>#N/A</v>
      </c>
      <c r="F92" s="43">
        <f>MAX(CumulativeTotal!92:92)</f>
        <v>21</v>
      </c>
      <c r="G92" s="43">
        <f>MAX(CumulativeRecovered!92:92)</f>
        <v>0</v>
      </c>
      <c r="H92" s="43">
        <f>MAX(CumulativeDead!92:92)</f>
        <v>1</v>
      </c>
    </row>
    <row r="93" spans="1:8" x14ac:dyDescent="0.3">
      <c r="A93" s="64">
        <v>92</v>
      </c>
      <c r="B93" s="88" t="s">
        <v>203</v>
      </c>
      <c r="C93" s="88" t="s">
        <v>203</v>
      </c>
      <c r="D93" s="64" t="e">
        <f>VLOOKUP(C93,DaysSince100!H:I,2,FALSE)</f>
        <v>#N/A</v>
      </c>
      <c r="E93" s="89" t="e">
        <f ca="1">OFFSET(CumulativeTotal!A93,-A93,MATCH('Country Summary'!D93,CumulativeTotal!B93:BT93,0))</f>
        <v>#N/A</v>
      </c>
      <c r="F93" s="43">
        <f>MAX(CumulativeTotal!93:93)</f>
        <v>0</v>
      </c>
      <c r="G93" s="43">
        <f>MAX(CumulativeRecovered!93:93)</f>
        <v>0</v>
      </c>
      <c r="H93" s="43">
        <f>MAX(CumulativeDead!93:93)</f>
        <v>0</v>
      </c>
    </row>
    <row r="94" spans="1:8" x14ac:dyDescent="0.3">
      <c r="A94" s="64">
        <v>93</v>
      </c>
      <c r="B94" s="88" t="s">
        <v>122</v>
      </c>
      <c r="C94" s="88" t="s">
        <v>122</v>
      </c>
      <c r="D94" s="64" t="e">
        <f>VLOOKUP(C94,DaysSince100!H:I,2,FALSE)</f>
        <v>#N/A</v>
      </c>
      <c r="E94" s="89" t="e">
        <f ca="1">OFFSET(CumulativeTotal!A94,-A94,MATCH('Country Summary'!D94,CumulativeTotal!B94:BT94,0))</f>
        <v>#N/A</v>
      </c>
      <c r="F94" s="43">
        <f>MAX(CumulativeTotal!94:94)</f>
        <v>12</v>
      </c>
      <c r="G94" s="43">
        <f>MAX(CumulativeRecovered!94:94)</f>
        <v>0</v>
      </c>
      <c r="H94" s="43">
        <f>MAX(CumulativeDead!94:94)</f>
        <v>0</v>
      </c>
    </row>
    <row r="95" spans="1:8" x14ac:dyDescent="0.3">
      <c r="A95" s="64">
        <v>94</v>
      </c>
      <c r="B95" s="88" t="s">
        <v>382</v>
      </c>
      <c r="C95" s="88" t="s">
        <v>382</v>
      </c>
      <c r="D95" s="64" t="e">
        <f>VLOOKUP(C95,DaysSince100!H:I,2,FALSE)</f>
        <v>#N/A</v>
      </c>
      <c r="E95" s="89" t="e">
        <f ca="1">OFFSET(CumulativeTotal!A95,-A95,MATCH('Country Summary'!D95,CumulativeTotal!B95:BT95,0))</f>
        <v>#N/A</v>
      </c>
      <c r="F95" s="43">
        <f>MAX(CumulativeTotal!95:95)</f>
        <v>0</v>
      </c>
      <c r="G95" s="43">
        <f>MAX(CumulativeRecovered!95:95)</f>
        <v>0</v>
      </c>
      <c r="H95" s="43">
        <f>MAX(CumulativeDead!95:95)</f>
        <v>0</v>
      </c>
    </row>
    <row r="96" spans="1:8" x14ac:dyDescent="0.3">
      <c r="A96" s="64">
        <v>95</v>
      </c>
      <c r="B96" s="88" t="s">
        <v>383</v>
      </c>
      <c r="C96" s="88" t="s">
        <v>383</v>
      </c>
      <c r="D96" s="64" t="e">
        <f>VLOOKUP(C96,DaysSince100!H:I,2,FALSE)</f>
        <v>#N/A</v>
      </c>
      <c r="E96" s="89" t="e">
        <f ca="1">OFFSET(CumulativeTotal!A96,-A96,MATCH('Country Summary'!D96,CumulativeTotal!B96:BT96,0))</f>
        <v>#N/A</v>
      </c>
      <c r="F96" s="43">
        <f>MAX(CumulativeTotal!96:96)</f>
        <v>47</v>
      </c>
      <c r="G96" s="43">
        <f>MAX(CumulativeRecovered!96:96)</f>
        <v>0</v>
      </c>
      <c r="H96" s="43">
        <f>MAX(CumulativeDead!96:96)</f>
        <v>1</v>
      </c>
    </row>
    <row r="97" spans="1:8" x14ac:dyDescent="0.3">
      <c r="A97" s="64">
        <v>96</v>
      </c>
      <c r="B97" s="88" t="s">
        <v>438</v>
      </c>
      <c r="C97" s="88" t="s">
        <v>438</v>
      </c>
      <c r="D97" s="64" t="e">
        <f>VLOOKUP(C97,DaysSince100!H:I,2,FALSE)</f>
        <v>#N/A</v>
      </c>
      <c r="E97" s="89" t="e">
        <f ca="1">OFFSET(CumulativeTotal!A97,-A97,MATCH('Country Summary'!D97,CumulativeTotal!B97:BT97,0))</f>
        <v>#N/A</v>
      </c>
      <c r="F97" s="43">
        <f>MAX(CumulativeTotal!97:97)</f>
        <v>5</v>
      </c>
      <c r="G97" s="43">
        <f>MAX(CumulativeRecovered!97:97)</f>
        <v>0</v>
      </c>
      <c r="H97" s="43">
        <f>MAX(CumulativeDead!97:97)</f>
        <v>0</v>
      </c>
    </row>
    <row r="98" spans="1:8" x14ac:dyDescent="0.3">
      <c r="A98" s="64">
        <v>97</v>
      </c>
      <c r="B98" s="88" t="s">
        <v>441</v>
      </c>
      <c r="C98" s="88" t="s">
        <v>441</v>
      </c>
      <c r="D98" s="64" t="e">
        <f>VLOOKUP(C98,DaysSince100!H:I,2,FALSE)</f>
        <v>#N/A</v>
      </c>
      <c r="E98" s="89" t="e">
        <f ca="1">OFFSET(CumulativeTotal!A98,-A98,MATCH('Country Summary'!D98,CumulativeTotal!B98:BT98,0))</f>
        <v>#N/A</v>
      </c>
      <c r="F98" s="43">
        <f>MAX(CumulativeTotal!98:98)</f>
        <v>33</v>
      </c>
      <c r="G98" s="43">
        <f>MAX(CumulativeRecovered!98:98)</f>
        <v>0</v>
      </c>
      <c r="H98" s="43">
        <f>MAX(CumulativeDead!98:98)</f>
        <v>0</v>
      </c>
    </row>
    <row r="99" spans="1:8" x14ac:dyDescent="0.3">
      <c r="A99" s="64">
        <v>98</v>
      </c>
      <c r="B99" s="88" t="s">
        <v>229</v>
      </c>
      <c r="C99" s="88" t="s">
        <v>229</v>
      </c>
      <c r="D99" s="64" t="e">
        <f>VLOOKUP(C99,DaysSince100!H:I,2,FALSE)</f>
        <v>#N/A</v>
      </c>
      <c r="E99" s="89" t="e">
        <f ca="1">OFFSET(CumulativeTotal!A99,-A99,MATCH('Country Summary'!D99,CumulativeTotal!B99:BT99,0))</f>
        <v>#N/A</v>
      </c>
      <c r="F99" s="43">
        <f>MAX(CumulativeTotal!99:99)</f>
        <v>10</v>
      </c>
      <c r="G99" s="43">
        <f>MAX(CumulativeRecovered!99:99)</f>
        <v>3</v>
      </c>
      <c r="H99" s="43">
        <f>MAX(CumulativeDead!99:99)</f>
        <v>0</v>
      </c>
    </row>
    <row r="100" spans="1:8" x14ac:dyDescent="0.3">
      <c r="A100" s="64">
        <v>99</v>
      </c>
      <c r="B100" s="88" t="s">
        <v>374</v>
      </c>
      <c r="C100" s="88" t="s">
        <v>374</v>
      </c>
      <c r="D100" s="64" t="e">
        <f>VLOOKUP(C100,DaysSince100!H:I,2,FALSE)</f>
        <v>#N/A</v>
      </c>
      <c r="E100" s="89" t="e">
        <f ca="1">OFFSET(CumulativeTotal!A100,-A100,MATCH('Country Summary'!D100,CumulativeTotal!B100:BT100,0))</f>
        <v>#N/A</v>
      </c>
      <c r="F100" s="43">
        <f>MAX(CumulativeTotal!100:100)</f>
        <v>11</v>
      </c>
      <c r="G100" s="43">
        <f>MAX(CumulativeRecovered!100:100)</f>
        <v>0</v>
      </c>
      <c r="H100" s="43">
        <f>MAX(CumulativeDead!100:100)</f>
        <v>0</v>
      </c>
    </row>
    <row r="101" spans="1:8" x14ac:dyDescent="0.3">
      <c r="A101" s="64">
        <v>100</v>
      </c>
      <c r="B101" s="88" t="s">
        <v>207</v>
      </c>
      <c r="C101" s="88" t="s">
        <v>207</v>
      </c>
      <c r="D101" s="64" t="e">
        <f>VLOOKUP(C101,DaysSince100!H:I,2,FALSE)</f>
        <v>#N/A</v>
      </c>
      <c r="E101" s="89" t="e">
        <f ca="1">OFFSET(CumulativeTotal!A101,-A101,MATCH('Country Summary'!D101,CumulativeTotal!B101:BT101,0))</f>
        <v>#N/A</v>
      </c>
      <c r="F101" s="43">
        <f>MAX(CumulativeTotal!101:101)</f>
        <v>16</v>
      </c>
      <c r="G101" s="43">
        <f>MAX(CumulativeRecovered!101:101)</f>
        <v>0</v>
      </c>
      <c r="H101" s="43">
        <f>MAX(CumulativeDead!101:101)</f>
        <v>1</v>
      </c>
    </row>
    <row r="102" spans="1:8" x14ac:dyDescent="0.3">
      <c r="A102" s="64">
        <v>101</v>
      </c>
      <c r="B102" s="88" t="s">
        <v>156</v>
      </c>
      <c r="C102" s="88" t="s">
        <v>156</v>
      </c>
      <c r="D102" s="64" t="e">
        <f>VLOOKUP(C102,DaysSince100!H:I,2,FALSE)</f>
        <v>#N/A</v>
      </c>
      <c r="E102" s="89" t="e">
        <f ca="1">OFFSET(CumulativeTotal!A102,-A102,MATCH('Country Summary'!D102,CumulativeTotal!B102:BT102,0))</f>
        <v>#N/A</v>
      </c>
      <c r="F102" s="43">
        <f>MAX(CumulativeTotal!102:102)</f>
        <v>14</v>
      </c>
      <c r="G102" s="43">
        <f>MAX(CumulativeRecovered!102:102)</f>
        <v>0</v>
      </c>
      <c r="H102" s="43">
        <f>MAX(CumulativeDead!102:102)</f>
        <v>2</v>
      </c>
    </row>
    <row r="103" spans="1:8" x14ac:dyDescent="0.3">
      <c r="A103" s="64">
        <v>102</v>
      </c>
      <c r="B103" s="88" t="s">
        <v>450</v>
      </c>
      <c r="C103" s="88" t="s">
        <v>450</v>
      </c>
      <c r="D103" s="64" t="e">
        <f>VLOOKUP(C103,DaysSince100!H:I,2,FALSE)</f>
        <v>#N/A</v>
      </c>
      <c r="E103" s="89" t="e">
        <f ca="1">OFFSET(CumulativeTotal!A103,-A103,MATCH('Country Summary'!D103,CumulativeTotal!B103:BT103,0))</f>
        <v>#N/A</v>
      </c>
      <c r="F103" s="43">
        <f>MAX(CumulativeTotal!103:103)</f>
        <v>3</v>
      </c>
      <c r="G103" s="43">
        <f>MAX(CumulativeRecovered!103:103)</f>
        <v>0</v>
      </c>
      <c r="H103" s="43">
        <f>MAX(CumulativeDead!103:103)</f>
        <v>0</v>
      </c>
    </row>
    <row r="104" spans="1:8" x14ac:dyDescent="0.3">
      <c r="A104" s="64">
        <v>103</v>
      </c>
      <c r="B104" s="88" t="s">
        <v>306</v>
      </c>
      <c r="C104" s="88" t="s">
        <v>306</v>
      </c>
      <c r="D104" s="64" t="e">
        <f>VLOOKUP(C104,DaysSince100!H:I,2,FALSE)</f>
        <v>#N/A</v>
      </c>
      <c r="E104" s="89" t="e">
        <f ca="1">OFFSET(CumulativeTotal!A104,-A104,MATCH('Country Summary'!D104,CumulativeTotal!B104:BT104,0))</f>
        <v>#N/A</v>
      </c>
      <c r="F104" s="43">
        <f>MAX(CumulativeTotal!104:104)</f>
        <v>15</v>
      </c>
      <c r="G104" s="43">
        <f>MAX(CumulativeRecovered!104:104)</f>
        <v>0</v>
      </c>
      <c r="H104" s="43">
        <f>MAX(CumulativeDead!104:104)</f>
        <v>0</v>
      </c>
    </row>
    <row r="105" spans="1:8" x14ac:dyDescent="0.3">
      <c r="A105" s="64">
        <v>104</v>
      </c>
      <c r="B105" s="88" t="s">
        <v>184</v>
      </c>
      <c r="C105" s="88" t="s">
        <v>184</v>
      </c>
      <c r="D105" s="64" t="e">
        <f>VLOOKUP(C105,DaysSince100!H:I,2,FALSE)</f>
        <v>#N/A</v>
      </c>
      <c r="E105" s="89" t="e">
        <f ca="1">OFFSET(CumulativeTotal!A105,-A105,MATCH('Country Summary'!D105,CumulativeTotal!B105:BT105,0))</f>
        <v>#N/A</v>
      </c>
      <c r="F105" s="43">
        <f>MAX(CumulativeTotal!105:105)</f>
        <v>10</v>
      </c>
      <c r="G105" s="43">
        <f>MAX(CumulativeRecovered!105:105)</f>
        <v>0</v>
      </c>
      <c r="H105" s="43">
        <f>MAX(CumulativeDead!105:105)</f>
        <v>0</v>
      </c>
    </row>
    <row r="106" spans="1:8" x14ac:dyDescent="0.3">
      <c r="A106" s="64">
        <v>105</v>
      </c>
      <c r="B106" s="88" t="s">
        <v>379</v>
      </c>
      <c r="C106" s="88" t="s">
        <v>379</v>
      </c>
      <c r="D106" s="64" t="e">
        <f>VLOOKUP(C106,DaysSince100!H:I,2,FALSE)</f>
        <v>#N/A</v>
      </c>
      <c r="E106" s="89" t="e">
        <f ca="1">OFFSET(CumulativeTotal!A106,-A106,MATCH('Country Summary'!D106,CumulativeTotal!B106:BT106,0))</f>
        <v>#N/A</v>
      </c>
      <c r="F106" s="43">
        <f>MAX(CumulativeTotal!106:106)</f>
        <v>3</v>
      </c>
      <c r="G106" s="43">
        <f>MAX(CumulativeRecovered!106:106)</f>
        <v>0</v>
      </c>
      <c r="H106" s="43">
        <f>MAX(CumulativeDead!106:106)</f>
        <v>0</v>
      </c>
    </row>
    <row r="107" spans="1:8" x14ac:dyDescent="0.3">
      <c r="A107" s="64">
        <v>106</v>
      </c>
      <c r="B107" s="88" t="s">
        <v>376</v>
      </c>
      <c r="C107" s="88" t="s">
        <v>376</v>
      </c>
      <c r="D107" s="64" t="e">
        <f>VLOOKUP(C107,DaysSince100!H:I,2,FALSE)</f>
        <v>#N/A</v>
      </c>
      <c r="E107" s="89" t="e">
        <f ca="1">OFFSET(CumulativeTotal!A107,-A107,MATCH('Country Summary'!D107,CumulativeTotal!B107:BT107,0))</f>
        <v>#N/A</v>
      </c>
      <c r="F107" s="43">
        <f>MAX(CumulativeTotal!107:107)</f>
        <v>8</v>
      </c>
      <c r="G107" s="43">
        <f>MAX(CumulativeRecovered!107:107)</f>
        <v>0</v>
      </c>
      <c r="H107" s="43">
        <f>MAX(CumulativeDead!107:107)</f>
        <v>0</v>
      </c>
    </row>
    <row r="108" spans="1:8" x14ac:dyDescent="0.3">
      <c r="A108" s="64">
        <v>107</v>
      </c>
      <c r="B108" s="88" t="s">
        <v>127</v>
      </c>
      <c r="C108" s="88" t="s">
        <v>127</v>
      </c>
      <c r="D108" s="64" t="e">
        <f>VLOOKUP(C108,DaysSince100!H:I,2,FALSE)</f>
        <v>#N/A</v>
      </c>
      <c r="E108" s="89" t="e">
        <f ca="1">OFFSET(CumulativeTotal!A108,-A108,MATCH('Country Summary'!D108,CumulativeTotal!B108:BT108,0))</f>
        <v>#N/A</v>
      </c>
      <c r="F108" s="43">
        <f>MAX(CumulativeTotal!108:108)</f>
        <v>7</v>
      </c>
      <c r="G108" s="43">
        <f>MAX(CumulativeRecovered!108:108)</f>
        <v>0</v>
      </c>
      <c r="H108" s="43">
        <f>MAX(CumulativeDead!108:108)</f>
        <v>0</v>
      </c>
    </row>
    <row r="109" spans="1:8" x14ac:dyDescent="0.3">
      <c r="A109" s="64">
        <v>108</v>
      </c>
      <c r="B109" s="88" t="s">
        <v>123</v>
      </c>
      <c r="C109" s="88" t="s">
        <v>123</v>
      </c>
      <c r="D109" s="64" t="e">
        <f>VLOOKUP(C109,DaysSince100!H:I,2,FALSE)</f>
        <v>#N/A</v>
      </c>
      <c r="E109" s="89" t="e">
        <f ca="1">OFFSET(CumulativeTotal!A109,-A109,MATCH('Country Summary'!D109,CumulativeTotal!B109:BT109,0))</f>
        <v>#N/A</v>
      </c>
      <c r="F109" s="43">
        <f>MAX(CumulativeTotal!109:109)</f>
        <v>3</v>
      </c>
      <c r="G109" s="43">
        <f>MAX(CumulativeRecovered!109:109)</f>
        <v>0</v>
      </c>
      <c r="H109" s="43">
        <f>MAX(CumulativeDead!109:109)</f>
        <v>0</v>
      </c>
    </row>
    <row r="110" spans="1:8" x14ac:dyDescent="0.3">
      <c r="A110" s="64">
        <v>109</v>
      </c>
      <c r="B110" s="88" t="s">
        <v>136</v>
      </c>
      <c r="C110" s="88" t="s">
        <v>136</v>
      </c>
      <c r="D110" s="64" t="e">
        <f>VLOOKUP(C110,DaysSince100!H:I,2,FALSE)</f>
        <v>#N/A</v>
      </c>
      <c r="E110" s="89" t="e">
        <f ca="1">OFFSET(CumulativeTotal!A110,-A110,MATCH('Country Summary'!D110,CumulativeTotal!B110:BT110,0))</f>
        <v>#N/A</v>
      </c>
      <c r="F110" s="43">
        <f>MAX(CumulativeTotal!110:110)</f>
        <v>39</v>
      </c>
      <c r="G110" s="43">
        <f>MAX(CumulativeRecovered!110:110)</f>
        <v>1</v>
      </c>
      <c r="H110" s="43">
        <f>MAX(CumulativeDead!110:110)</f>
        <v>0</v>
      </c>
    </row>
    <row r="111" spans="1:8" x14ac:dyDescent="0.3">
      <c r="A111" s="64">
        <v>110</v>
      </c>
      <c r="B111" s="88" t="s">
        <v>452</v>
      </c>
      <c r="C111" s="88" t="s">
        <v>452</v>
      </c>
      <c r="D111" s="64" t="e">
        <f>VLOOKUP(C111,DaysSince100!H:I,2,FALSE)</f>
        <v>#N/A</v>
      </c>
      <c r="E111" s="89" t="e">
        <f ca="1">OFFSET(CumulativeTotal!A111,-A111,MATCH('Country Summary'!D111,CumulativeTotal!B111:BT111,0))</f>
        <v>#N/A</v>
      </c>
      <c r="F111" s="43">
        <f>MAX(CumulativeTotal!111:111)</f>
        <v>1</v>
      </c>
      <c r="G111" s="43">
        <f>MAX(CumulativeRecovered!111:111)</f>
        <v>0</v>
      </c>
      <c r="H111" s="43">
        <f>MAX(CumulativeDead!111:111)</f>
        <v>0</v>
      </c>
    </row>
    <row r="112" spans="1:8" x14ac:dyDescent="0.3">
      <c r="A112" s="64">
        <v>111</v>
      </c>
      <c r="B112" s="88" t="s">
        <v>183</v>
      </c>
      <c r="C112" s="88" t="s">
        <v>183</v>
      </c>
      <c r="D112" s="64" t="e">
        <f>VLOOKUP(C112,DaysSince100!H:I,2,FALSE)</f>
        <v>#N/A</v>
      </c>
      <c r="E112" s="89" t="e">
        <f ca="1">OFFSET(CumulativeTotal!A112,-A112,MATCH('Country Summary'!D112,CumulativeTotal!B112:BT112,0))</f>
        <v>#N/A</v>
      </c>
      <c r="F112" s="43">
        <f>MAX(CumulativeTotal!112:112)</f>
        <v>1</v>
      </c>
      <c r="G112" s="43">
        <f>MAX(CumulativeRecovered!112:112)</f>
        <v>0</v>
      </c>
      <c r="H112" s="43">
        <f>MAX(CumulativeDead!112:112)</f>
        <v>0</v>
      </c>
    </row>
    <row r="113" spans="1:8" x14ac:dyDescent="0.3">
      <c r="A113" s="64">
        <v>112</v>
      </c>
      <c r="B113" s="88" t="s">
        <v>443</v>
      </c>
      <c r="C113" s="88" t="s">
        <v>443</v>
      </c>
      <c r="D113" s="64" t="e">
        <f>VLOOKUP(C113,DaysSince100!H:I,2,FALSE)</f>
        <v>#N/A</v>
      </c>
      <c r="E113" s="89" t="e">
        <f ca="1">OFFSET(CumulativeTotal!A113,-A113,MATCH('Country Summary'!D113,CumulativeTotal!B113:BT113,0))</f>
        <v>#N/A</v>
      </c>
      <c r="F113" s="43">
        <f>MAX(CumulativeTotal!113:113)</f>
        <v>0</v>
      </c>
      <c r="G113" s="43">
        <f>MAX(CumulativeRecovered!113:113)</f>
        <v>0</v>
      </c>
      <c r="H113" s="43">
        <f>MAX(CumulativeDead!113:113)</f>
        <v>0</v>
      </c>
    </row>
    <row r="114" spans="1:8" x14ac:dyDescent="0.3">
      <c r="A114" s="64">
        <v>113</v>
      </c>
      <c r="B114" s="88" t="s">
        <v>380</v>
      </c>
      <c r="C114" s="88" t="s">
        <v>380</v>
      </c>
      <c r="D114" s="64" t="e">
        <f>VLOOKUP(C114,DaysSince100!H:I,2,FALSE)</f>
        <v>#N/A</v>
      </c>
      <c r="E114" s="89" t="e">
        <f ca="1">OFFSET(CumulativeTotal!A114,-A114,MATCH('Country Summary'!D114,CumulativeTotal!B114:BT114,0))</f>
        <v>#N/A</v>
      </c>
      <c r="F114" s="43">
        <f>MAX(CumulativeTotal!114:114)</f>
        <v>5</v>
      </c>
      <c r="G114" s="43">
        <f>MAX(CumulativeRecovered!114:114)</f>
        <v>1</v>
      </c>
      <c r="H114" s="43">
        <f>MAX(CumulativeDead!114:114)</f>
        <v>0</v>
      </c>
    </row>
    <row r="115" spans="1:8" x14ac:dyDescent="0.3">
      <c r="A115" s="64">
        <v>114</v>
      </c>
      <c r="B115" s="88" t="s">
        <v>447</v>
      </c>
      <c r="C115" s="88" t="s">
        <v>447</v>
      </c>
      <c r="D115" s="64" t="e">
        <f>VLOOKUP(C115,DaysSince100!H:I,2,FALSE)</f>
        <v>#N/A</v>
      </c>
      <c r="E115" s="89" t="e">
        <f ca="1">OFFSET(CumulativeTotal!A115,-A115,MATCH('Country Summary'!D115,CumulativeTotal!B115:BT115,0))</f>
        <v>#N/A</v>
      </c>
      <c r="F115" s="43">
        <f>MAX(CumulativeTotal!115:115)</f>
        <v>5</v>
      </c>
      <c r="G115" s="43">
        <f>MAX(CumulativeRecovered!115:115)</f>
        <v>0</v>
      </c>
      <c r="H115" s="43">
        <f>MAX(CumulativeDead!115:115)</f>
        <v>0</v>
      </c>
    </row>
    <row r="116" spans="1:8" x14ac:dyDescent="0.3">
      <c r="A116" s="64">
        <v>115</v>
      </c>
      <c r="B116" s="88" t="s">
        <v>444</v>
      </c>
      <c r="C116" s="88" t="s">
        <v>444</v>
      </c>
      <c r="D116" s="64" t="e">
        <f>VLOOKUP(C116,DaysSince100!H:I,2,FALSE)</f>
        <v>#N/A</v>
      </c>
      <c r="E116" s="89" t="e">
        <f ca="1">OFFSET(CumulativeTotal!A116,-A116,MATCH('Country Summary'!D116,CumulativeTotal!B116:BT116,0))</f>
        <v>#N/A</v>
      </c>
      <c r="F116" s="43">
        <f>MAX(CumulativeTotal!116:116)</f>
        <v>0</v>
      </c>
      <c r="G116" s="43">
        <f>MAX(CumulativeRecovered!116:116)</f>
        <v>0</v>
      </c>
      <c r="H116" s="43">
        <f>MAX(CumulativeDead!116:116)</f>
        <v>0</v>
      </c>
    </row>
    <row r="117" spans="1:8" x14ac:dyDescent="0.3">
      <c r="A117" s="64">
        <v>116</v>
      </c>
      <c r="B117" s="88" t="s">
        <v>449</v>
      </c>
      <c r="C117" s="88" t="s">
        <v>449</v>
      </c>
      <c r="D117" s="64" t="e">
        <f>VLOOKUP(C117,DaysSince100!H:I,2,FALSE)</f>
        <v>#N/A</v>
      </c>
      <c r="E117" s="89" t="e">
        <f ca="1">OFFSET(CumulativeTotal!A117,-A117,MATCH('Country Summary'!D117,CumulativeTotal!B117:BT117,0))</f>
        <v>#N/A</v>
      </c>
      <c r="F117" s="43">
        <f>MAX(CumulativeTotal!117:117)</f>
        <v>1</v>
      </c>
      <c r="G117" s="43">
        <f>MAX(CumulativeRecovered!117:117)</f>
        <v>0</v>
      </c>
      <c r="H117" s="43">
        <f>MAX(CumulativeDead!117:117)</f>
        <v>0</v>
      </c>
    </row>
    <row r="118" spans="1:8" x14ac:dyDescent="0.3">
      <c r="A118" s="64">
        <v>117</v>
      </c>
      <c r="B118" s="88" t="s">
        <v>439</v>
      </c>
      <c r="C118" s="88" t="s">
        <v>439</v>
      </c>
      <c r="D118" s="64" t="e">
        <f>VLOOKUP(C118,DaysSince100!H:I,2,FALSE)</f>
        <v>#N/A</v>
      </c>
      <c r="E118" s="89" t="e">
        <f ca="1">OFFSET(CumulativeTotal!A118,-A118,MATCH('Country Summary'!D118,CumulativeTotal!B118:BT118,0))</f>
        <v>#N/A</v>
      </c>
      <c r="F118" s="43">
        <f>MAX(CumulativeTotal!118:118)</f>
        <v>7</v>
      </c>
      <c r="G118" s="43">
        <f>MAX(CumulativeRecovered!118:118)</f>
        <v>0</v>
      </c>
      <c r="H118" s="43">
        <f>MAX(CumulativeDead!118:118)</f>
        <v>1</v>
      </c>
    </row>
    <row r="119" spans="1:8" x14ac:dyDescent="0.3">
      <c r="A119" s="64">
        <v>118</v>
      </c>
      <c r="B119" s="88" t="s">
        <v>308</v>
      </c>
      <c r="C119" s="88" t="s">
        <v>308</v>
      </c>
      <c r="D119" s="64" t="e">
        <f>VLOOKUP(C119,DaysSince100!H:I,2,FALSE)</f>
        <v>#N/A</v>
      </c>
      <c r="E119" s="89" t="e">
        <f ca="1">OFFSET(CumulativeTotal!A119,-A119,MATCH('Country Summary'!D119,CumulativeTotal!B119:BT119,0))</f>
        <v>#N/A</v>
      </c>
      <c r="F119" s="43">
        <f>MAX(CumulativeTotal!119:119)</f>
        <v>1</v>
      </c>
      <c r="G119" s="43">
        <f>MAX(CumulativeRecovered!119:119)</f>
        <v>0</v>
      </c>
      <c r="H119" s="43">
        <f>MAX(CumulativeDead!119:119)</f>
        <v>0</v>
      </c>
    </row>
    <row r="120" spans="1:8" x14ac:dyDescent="0.3">
      <c r="A120" s="64">
        <v>119</v>
      </c>
      <c r="B120" s="88" t="s">
        <v>152</v>
      </c>
      <c r="C120" s="88" t="s">
        <v>152</v>
      </c>
      <c r="D120" s="64" t="e">
        <f>VLOOKUP(C120,DaysSince100!H:I,2,FALSE)</f>
        <v>#N/A</v>
      </c>
      <c r="E120" s="89" t="e">
        <f ca="1">OFFSET(CumulativeTotal!A120,-A120,MATCH('Country Summary'!D120,CumulativeTotal!B120:BT120,0))</f>
        <v>#N/A</v>
      </c>
      <c r="F120" s="43">
        <f>MAX(CumulativeTotal!120:120)</f>
        <v>34</v>
      </c>
      <c r="G120" s="43">
        <f>MAX(CumulativeRecovered!120:120)</f>
        <v>1</v>
      </c>
      <c r="H120" s="43">
        <f>MAX(CumulativeDead!120:120)</f>
        <v>0</v>
      </c>
    </row>
    <row r="121" spans="1:8" x14ac:dyDescent="0.3">
      <c r="A121" s="64">
        <v>120</v>
      </c>
      <c r="B121" s="88" t="s">
        <v>451</v>
      </c>
      <c r="C121" s="88" t="s">
        <v>451</v>
      </c>
      <c r="D121" s="64" t="e">
        <f>VLOOKUP(C121,DaysSince100!H:I,2,FALSE)</f>
        <v>#N/A</v>
      </c>
      <c r="E121" s="89" t="e">
        <f ca="1">OFFSET(CumulativeTotal!A121,-A121,MATCH('Country Summary'!D121,CumulativeTotal!B121:BT121,0))</f>
        <v>#N/A</v>
      </c>
      <c r="F121" s="43">
        <f>MAX(CumulativeTotal!121:121)</f>
        <v>3</v>
      </c>
      <c r="G121" s="43">
        <f>MAX(CumulativeRecovered!121:121)</f>
        <v>0</v>
      </c>
      <c r="H121" s="43">
        <f>MAX(CumulativeDead!121:121)</f>
        <v>0</v>
      </c>
    </row>
    <row r="122" spans="1:8" x14ac:dyDescent="0.3">
      <c r="A122" s="64">
        <v>121</v>
      </c>
      <c r="B122" s="88" t="s">
        <v>163</v>
      </c>
      <c r="C122" s="88" t="s">
        <v>163</v>
      </c>
      <c r="D122" s="64" t="e">
        <f>VLOOKUP(C122,DaysSince100!H:I,2,FALSE)</f>
        <v>#N/A</v>
      </c>
      <c r="E122" s="89" t="e">
        <f ca="1">OFFSET(CumulativeTotal!A122,-A122,MATCH('Country Summary'!D122,CumulativeTotal!B122:BT122,0))</f>
        <v>#N/A</v>
      </c>
      <c r="F122" s="43">
        <f>MAX(CumulativeTotal!122:122)</f>
        <v>7</v>
      </c>
      <c r="G122" s="43">
        <f>MAX(CumulativeRecovered!122:122)</f>
        <v>0</v>
      </c>
      <c r="H122" s="43">
        <f>MAX(CumulativeDead!122:122)</f>
        <v>0</v>
      </c>
    </row>
    <row r="123" spans="1:8" x14ac:dyDescent="0.3">
      <c r="A123" s="64">
        <v>122</v>
      </c>
      <c r="B123" s="88" t="s">
        <v>309</v>
      </c>
      <c r="C123" s="88" t="s">
        <v>309</v>
      </c>
      <c r="D123" s="64" t="e">
        <f>VLOOKUP(C123,DaysSince100!H:I,2,FALSE)</f>
        <v>#N/A</v>
      </c>
      <c r="E123" s="89" t="e">
        <f ca="1">OFFSET(CumulativeTotal!A123,-A123,MATCH('Country Summary'!D123,CumulativeTotal!B123:BT123,0))</f>
        <v>#N/A</v>
      </c>
      <c r="F123" s="43">
        <f>MAX(CumulativeTotal!123:123)</f>
        <v>5</v>
      </c>
      <c r="G123" s="43">
        <f>MAX(CumulativeRecovered!123:123)</f>
        <v>0</v>
      </c>
      <c r="H123" s="43">
        <f>MAX(CumulativeDead!123:123)</f>
        <v>0</v>
      </c>
    </row>
    <row r="124" spans="1:8" x14ac:dyDescent="0.3">
      <c r="A124" s="64">
        <v>123</v>
      </c>
      <c r="B124" s="88" t="s">
        <v>69</v>
      </c>
      <c r="C124" s="88" t="s">
        <v>69</v>
      </c>
      <c r="D124" s="64" t="e">
        <f>VLOOKUP(C124,DaysSince100!H:I,2,FALSE)</f>
        <v>#N/A</v>
      </c>
      <c r="E124" s="89" t="e">
        <f ca="1">OFFSET(CumulativeTotal!A124,-A124,MATCH('Country Summary'!D124,CumulativeTotal!B124:BT124,0))</f>
        <v>#N/A</v>
      </c>
      <c r="F124" s="43">
        <f>MAX(CumulativeTotal!124:124)</f>
        <v>1</v>
      </c>
      <c r="G124" s="43">
        <f>MAX(CumulativeRecovered!124:124)</f>
        <v>1</v>
      </c>
      <c r="H124" s="43">
        <f>MAX(CumulativeDead!124:124)</f>
        <v>0</v>
      </c>
    </row>
    <row r="125" spans="1:8" x14ac:dyDescent="0.3">
      <c r="A125" s="64">
        <v>124</v>
      </c>
      <c r="B125" s="88" t="s">
        <v>448</v>
      </c>
      <c r="C125" s="88" t="s">
        <v>448</v>
      </c>
      <c r="D125" s="64" t="e">
        <f>VLOOKUP(C125,DaysSince100!H:I,2,FALSE)</f>
        <v>#N/A</v>
      </c>
      <c r="E125" s="89" t="e">
        <f ca="1">OFFSET(CumulativeTotal!A125,-A125,MATCH('Country Summary'!D125,CumulativeTotal!B125:BT125,0))</f>
        <v>#N/A</v>
      </c>
      <c r="F125" s="43">
        <f>MAX(CumulativeTotal!125:125)</f>
        <v>1</v>
      </c>
      <c r="G125" s="43">
        <f>MAX(CumulativeRecovered!125:125)</f>
        <v>0</v>
      </c>
      <c r="H125" s="43">
        <f>MAX(CumulativeDead!125:125)</f>
        <v>1</v>
      </c>
    </row>
    <row r="126" spans="1:8" x14ac:dyDescent="0.3">
      <c r="A126" s="64">
        <v>125</v>
      </c>
      <c r="B126" s="64" t="e">
        <f>VLOOKUP(A125,DaysSince100!G:H,2,FALSE)</f>
        <v>#N/A</v>
      </c>
      <c r="C126" s="64" t="e">
        <f>VLOOKUP(B127,DaysSince100!H:I,2,FALSE)</f>
        <v>#N/A</v>
      </c>
      <c r="D126" s="89" t="e">
        <f ca="1">OFFSET(CumulativeTotal!A126,-A126,MATCH('Country Summary'!C126,CumulativeTotal!B126:BT126,0))</f>
        <v>#N/A</v>
      </c>
      <c r="E126" s="43">
        <f>MAX(CumulativeTotal!126:126)</f>
        <v>1</v>
      </c>
      <c r="G126" s="43">
        <f>MAX(CumulativeRecovered!126:126)</f>
        <v>0</v>
      </c>
      <c r="H126" s="43">
        <f>MAX(CumulativeDead!126:126)</f>
        <v>0</v>
      </c>
    </row>
    <row r="127" spans="1:8" x14ac:dyDescent="0.3">
      <c r="B127" s="88" t="s">
        <v>190</v>
      </c>
      <c r="G127" s="43">
        <f>MAX(CumulativeRecovered!127:127)</f>
        <v>0</v>
      </c>
      <c r="H127" s="43">
        <f>MAX(CumulativeDead!127:127)</f>
        <v>0</v>
      </c>
    </row>
  </sheetData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T12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V4" sqref="AV4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365</v>
      </c>
      <c r="B2">
        <f>SUMIF(RawDataTotal!$B:$B,$A2,RawDataTotal!E:E)</f>
        <v>548</v>
      </c>
      <c r="C2">
        <f>SUMIF(RawDataTotal!$B:$B,$A2,RawDataTotal!F:F)</f>
        <v>643</v>
      </c>
      <c r="D2">
        <f>SUMIF(RawDataTotal!$B:$B,$A2,RawDataTotal!G:G)</f>
        <v>920</v>
      </c>
      <c r="E2">
        <f>SUMIF(RawDataTotal!$B:$B,$A2,RawDataTotal!H:H)</f>
        <v>1406</v>
      </c>
      <c r="F2">
        <f>SUMIF(RawDataTotal!$B:$B,$A2,RawDataTotal!I:I)</f>
        <v>2075</v>
      </c>
      <c r="G2">
        <f>SUMIF(RawDataTotal!$B:$B,$A2,RawDataTotal!J:J)</f>
        <v>2877</v>
      </c>
      <c r="H2">
        <f>SUMIF(RawDataTotal!$B:$B,$A2,RawDataTotal!K:K)</f>
        <v>5509</v>
      </c>
      <c r="I2">
        <f>SUMIF(RawDataTotal!$B:$B,$A2,RawDataTotal!L:L)</f>
        <v>6087</v>
      </c>
      <c r="J2">
        <f>SUMIF(RawDataTotal!$B:$B,$A2,RawDataTotal!M:M)</f>
        <v>8141</v>
      </c>
      <c r="K2">
        <f>SUMIF(RawDataTotal!$B:$B,$A2,RawDataTotal!N:N)</f>
        <v>9802</v>
      </c>
      <c r="L2">
        <f>SUMIF(RawDataTotal!$B:$B,$A2,RawDataTotal!O:O)</f>
        <v>11891</v>
      </c>
      <c r="M2">
        <f>SUMIF(RawDataTotal!$B:$B,$A2,RawDataTotal!P:P)</f>
        <v>16630</v>
      </c>
      <c r="N2">
        <f>SUMIF(RawDataTotal!$B:$B,$A2,RawDataTotal!Q:Q)</f>
        <v>19716</v>
      </c>
      <c r="O2">
        <f>SUMIF(RawDataTotal!$B:$B,$A2,RawDataTotal!R:R)</f>
        <v>23707</v>
      </c>
      <c r="P2">
        <f>SUMIF(RawDataTotal!$B:$B,$A2,RawDataTotal!S:S)</f>
        <v>27440</v>
      </c>
      <c r="Q2">
        <f>SUMIF(RawDataTotal!$B:$B,$A2,RawDataTotal!T:T)</f>
        <v>30587</v>
      </c>
      <c r="R2">
        <f>SUMIF(RawDataTotal!$B:$B,$A2,RawDataTotal!U:U)</f>
        <v>34110</v>
      </c>
      <c r="S2">
        <f>SUMIF(RawDataTotal!$B:$B,$A2,RawDataTotal!V:V)</f>
        <v>36814</v>
      </c>
      <c r="T2">
        <f>SUMIF(RawDataTotal!$B:$B,$A2,RawDataTotal!W:W)</f>
        <v>39829</v>
      </c>
      <c r="U2">
        <f>SUMIF(RawDataTotal!$B:$B,$A2,RawDataTotal!X:X)</f>
        <v>42354</v>
      </c>
      <c r="V2">
        <f>SUMIF(RawDataTotal!$B:$B,$A2,RawDataTotal!Y:Y)</f>
        <v>44386</v>
      </c>
      <c r="W2">
        <f>SUMIF(RawDataTotal!$B:$B,$A2,RawDataTotal!Z:Z)</f>
        <v>44759</v>
      </c>
      <c r="X2">
        <f>SUMIF(RawDataTotal!$B:$B,$A2,RawDataTotal!AA:AA)</f>
        <v>59895</v>
      </c>
      <c r="Y2">
        <f>SUMIF(RawDataTotal!$B:$B,$A2,RawDataTotal!AB:AB)</f>
        <v>66358</v>
      </c>
      <c r="Z2">
        <f>SUMIF(RawDataTotal!$B:$B,$A2,RawDataTotal!AC:AC)</f>
        <v>68413</v>
      </c>
      <c r="AA2">
        <f>SUMIF(RawDataTotal!$B:$B,$A2,RawDataTotal!AD:AD)</f>
        <v>70513</v>
      </c>
      <c r="AB2">
        <f>SUMIF(RawDataTotal!$B:$B,$A2,RawDataTotal!AE:AE)</f>
        <v>72434</v>
      </c>
      <c r="AC2">
        <f>SUMIF(RawDataTotal!$B:$B,$A2,RawDataTotal!AF:AF)</f>
        <v>74211</v>
      </c>
      <c r="AD2">
        <f>SUMIF(RawDataTotal!$B:$B,$A2,RawDataTotal!AG:AG)</f>
        <v>74619</v>
      </c>
      <c r="AE2">
        <f>SUMIF(RawDataTotal!$B:$B,$A2,RawDataTotal!AH:AH)</f>
        <v>75077</v>
      </c>
      <c r="AF2">
        <f>SUMIF(RawDataTotal!$B:$B,$A2,RawDataTotal!AI:AI)</f>
        <v>75550</v>
      </c>
      <c r="AG2">
        <f>SUMIF(RawDataTotal!$B:$B,$A2,RawDataTotal!AJ:AJ)</f>
        <v>77001</v>
      </c>
      <c r="AH2">
        <f>SUMIF(RawDataTotal!$B:$B,$A2,RawDataTotal!AK:AK)</f>
        <v>77022</v>
      </c>
      <c r="AI2">
        <f>SUMIF(RawDataTotal!$B:$B,$A2,RawDataTotal!AL:AL)</f>
        <v>77241</v>
      </c>
      <c r="AJ2">
        <f>SUMIF(RawDataTotal!$B:$B,$A2,RawDataTotal!AM:AM)</f>
        <v>77754</v>
      </c>
      <c r="AK2">
        <f>SUMIF(RawDataTotal!$B:$B,$A2,RawDataTotal!AN:AN)</f>
        <v>78166</v>
      </c>
      <c r="AL2">
        <f>SUMIF(RawDataTotal!$B:$B,$A2,RawDataTotal!AO:AO)</f>
        <v>78600</v>
      </c>
      <c r="AM2">
        <f>SUMIF(RawDataTotal!$B:$B,$A2,RawDataTotal!AP:AP)</f>
        <v>78928</v>
      </c>
      <c r="AN2">
        <f>SUMIF(RawDataTotal!$B:$B,$A2,RawDataTotal!AQ:AQ)</f>
        <v>79356</v>
      </c>
      <c r="AO2">
        <f>SUMIF(RawDataTotal!$B:$B,$A2,RawDataTotal!AR:AR)</f>
        <v>79932</v>
      </c>
      <c r="AP2">
        <f>SUMIF(RawDataTotal!$B:$B,$A2,RawDataTotal!AS:AS)</f>
        <v>80136</v>
      </c>
      <c r="AQ2">
        <f>SUMIF(RawDataTotal!$B:$B,$A2,RawDataTotal!AT:AT)</f>
        <v>80261</v>
      </c>
      <c r="AR2">
        <f>SUMIF(RawDataTotal!$B:$B,$A2,RawDataTotal!AU:AU)</f>
        <v>80386</v>
      </c>
      <c r="AS2">
        <f>SUMIF(RawDataTotal!$B:$B,$A2,RawDataTotal!AV:AV)</f>
        <v>80537</v>
      </c>
      <c r="AT2">
        <f>SUMIF(RawDataTotal!$B:$B,$A2,RawDataTotal!AW:AW)</f>
        <v>80690</v>
      </c>
      <c r="AU2">
        <f>SUMIF(RawDataTotal!$B:$B,$A2,RawDataTotal!AX:AX)</f>
        <v>80770</v>
      </c>
      <c r="AV2">
        <f>SUMIF(RawDataTotal!$B:$B,$A2,RawDataTotal!AY:AY)</f>
        <v>80823</v>
      </c>
      <c r="AW2">
        <f>SUMIF(RawDataTotal!$B:$B,$A2,RawDataTotal!AZ:AZ)</f>
        <v>80860</v>
      </c>
      <c r="AX2">
        <f>SUMIF(RawDataTotal!$B:$B,$A2,RawDataTotal!BA:BA)</f>
        <v>80887</v>
      </c>
      <c r="AY2">
        <f>SUMIF(RawDataTotal!$B:$B,$A2,RawDataTotal!BB:BB)</f>
        <v>80921</v>
      </c>
      <c r="AZ2">
        <f>SUMIF(RawDataTotal!$B:$B,$A2,RawDataTotal!BC:BC)</f>
        <v>80932</v>
      </c>
      <c r="BA2">
        <f>SUMIF(RawDataTotal!$B:$B,$A2,RawDataTotal!BD:BD)</f>
        <v>80945</v>
      </c>
      <c r="BB2">
        <f>SUMIF(RawDataTotal!$B:$B,$A2,RawDataTotal!BE:BE)</f>
        <v>80977</v>
      </c>
      <c r="BC2">
        <f>SUMIF(RawDataTotal!$B:$B,$A2,RawDataTotal!BF:BF)</f>
        <v>81003</v>
      </c>
      <c r="BD2">
        <f>SUMIF(RawDataTotal!$B:$B,$A2,RawDataTotal!BG:BG)</f>
        <v>81033</v>
      </c>
      <c r="BE2">
        <f>SUMIF(RawDataTotal!$B:$B,$A2,RawDataTotal!BH:BH)</f>
        <v>81058</v>
      </c>
      <c r="BF2">
        <f>SUMIF(RawDataTotal!$B:$B,$A2,RawDataTotal!BI:BI)</f>
        <v>0</v>
      </c>
      <c r="BG2">
        <f>SUMIF(RawDataTotal!$B:$B,$A2,RawDataTotal!BJ:BJ)</f>
        <v>0</v>
      </c>
      <c r="BH2">
        <f>SUMIF(RawDataTotal!$B:$B,$A2,RawDataTotal!BK:BK)</f>
        <v>0</v>
      </c>
      <c r="BI2">
        <f>SUMIF(RawDataTotal!$B:$B,$A2,RawDataTotal!BL:BL)</f>
        <v>0</v>
      </c>
      <c r="BJ2">
        <f>SUMIF(RawDataTotal!$B:$B,$A2,RawDataTotal!BM:BM)</f>
        <v>0</v>
      </c>
      <c r="BK2">
        <f>SUMIF(RawDataTotal!$B:$B,$A2,RawDataTotal!BN:BN)</f>
        <v>0</v>
      </c>
      <c r="BL2">
        <f>SUMIF(RawDataTotal!$B:$B,$A2,RawDataTotal!BO:BO)</f>
        <v>0</v>
      </c>
      <c r="BM2">
        <f>SUMIF(RawDataTotal!$B:$B,$A2,RawDataTotal!BP:BP)</f>
        <v>0</v>
      </c>
      <c r="BN2">
        <f>SUMIF(RawDataTotal!$B:$B,$A2,RawDataTotal!BQ:BQ)</f>
        <v>0</v>
      </c>
      <c r="BO2">
        <f>SUMIF(RawDataTotal!$B:$B,$A2,RawDataTotal!BR:BR)</f>
        <v>0</v>
      </c>
      <c r="BP2">
        <f>SUMIF(RawDataTotal!$B:$B,$A2,RawDataTotal!BS:BS)</f>
        <v>0</v>
      </c>
      <c r="BQ2">
        <f>SUMIF(RawDataTotal!$B:$B,$A2,RawDataTotal!BT:BT)</f>
        <v>0</v>
      </c>
      <c r="BR2">
        <f>SUMIF(RawDataTotal!$B:$B,$A2,RawDataTotal!BU:BU)</f>
        <v>0</v>
      </c>
      <c r="BS2">
        <f>SUMIF(RawDataTotal!$B:$B,$A2,RawDataTotal!BV:BV)</f>
        <v>0</v>
      </c>
      <c r="BT2">
        <f>SUMIF(RawDataTotal!$B:$B,$A2,RawDataTotal!BW:BW)</f>
        <v>0</v>
      </c>
    </row>
    <row r="3" spans="1:72" ht="15" thickBot="1" x14ac:dyDescent="0.35">
      <c r="A3" s="3" t="s">
        <v>85</v>
      </c>
      <c r="B3">
        <f>SUMIF(RawDataTotal!$B:$B,$A3,RawDataTotal!E:E)</f>
        <v>0</v>
      </c>
      <c r="C3">
        <f>SUMIF(RawDataTotal!$B:$B,$A3,RawDataTotal!F:F)</f>
        <v>0</v>
      </c>
      <c r="D3">
        <f>SUMIF(RawDataTotal!$B:$B,$A3,RawDataTotal!G:G)</f>
        <v>0</v>
      </c>
      <c r="E3">
        <f>SUMIF(RawDataTotal!$B:$B,$A3,RawDataTotal!H:H)</f>
        <v>0</v>
      </c>
      <c r="F3">
        <f>SUMIF(RawDataTotal!$B:$B,$A3,RawDataTotal!I:I)</f>
        <v>0</v>
      </c>
      <c r="G3">
        <f>SUMIF(RawDataTotal!$B:$B,$A3,RawDataTotal!J:J)</f>
        <v>0</v>
      </c>
      <c r="H3">
        <f>SUMIF(RawDataTotal!$B:$B,$A3,RawDataTotal!K:K)</f>
        <v>0</v>
      </c>
      <c r="I3">
        <f>SUMIF(RawDataTotal!$B:$B,$A3,RawDataTotal!L:L)</f>
        <v>0</v>
      </c>
      <c r="J3">
        <f>SUMIF(RawDataTotal!$B:$B,$A3,RawDataTotal!M:M)</f>
        <v>0</v>
      </c>
      <c r="K3">
        <f>SUMIF(RawDataTotal!$B:$B,$A3,RawDataTotal!N:N)</f>
        <v>2</v>
      </c>
      <c r="L3">
        <f>SUMIF(RawDataTotal!$B:$B,$A3,RawDataTotal!O:O)</f>
        <v>2</v>
      </c>
      <c r="M3">
        <f>SUMIF(RawDataTotal!$B:$B,$A3,RawDataTotal!P:P)</f>
        <v>2</v>
      </c>
      <c r="N3">
        <f>SUMIF(RawDataTotal!$B:$B,$A3,RawDataTotal!Q:Q)</f>
        <v>2</v>
      </c>
      <c r="O3">
        <f>SUMIF(RawDataTotal!$B:$B,$A3,RawDataTotal!R:R)</f>
        <v>2</v>
      </c>
      <c r="P3">
        <f>SUMIF(RawDataTotal!$B:$B,$A3,RawDataTotal!S:S)</f>
        <v>2</v>
      </c>
      <c r="Q3">
        <f>SUMIF(RawDataTotal!$B:$B,$A3,RawDataTotal!T:T)</f>
        <v>2</v>
      </c>
      <c r="R3">
        <f>SUMIF(RawDataTotal!$B:$B,$A3,RawDataTotal!U:U)</f>
        <v>3</v>
      </c>
      <c r="S3">
        <f>SUMIF(RawDataTotal!$B:$B,$A3,RawDataTotal!V:V)</f>
        <v>3</v>
      </c>
      <c r="T3">
        <f>SUMIF(RawDataTotal!$B:$B,$A3,RawDataTotal!W:W)</f>
        <v>3</v>
      </c>
      <c r="U3">
        <f>SUMIF(RawDataTotal!$B:$B,$A3,RawDataTotal!X:X)</f>
        <v>3</v>
      </c>
      <c r="V3">
        <f>SUMIF(RawDataTotal!$B:$B,$A3,RawDataTotal!Y:Y)</f>
        <v>3</v>
      </c>
      <c r="W3">
        <f>SUMIF(RawDataTotal!$B:$B,$A3,RawDataTotal!Z:Z)</f>
        <v>3</v>
      </c>
      <c r="X3">
        <f>SUMIF(RawDataTotal!$B:$B,$A3,RawDataTotal!AA:AA)</f>
        <v>3</v>
      </c>
      <c r="Y3">
        <f>SUMIF(RawDataTotal!$B:$B,$A3,RawDataTotal!AB:AB)</f>
        <v>3</v>
      </c>
      <c r="Z3">
        <f>SUMIF(RawDataTotal!$B:$B,$A3,RawDataTotal!AC:AC)</f>
        <v>3</v>
      </c>
      <c r="AA3">
        <f>SUMIF(RawDataTotal!$B:$B,$A3,RawDataTotal!AD:AD)</f>
        <v>3</v>
      </c>
      <c r="AB3">
        <f>SUMIF(RawDataTotal!$B:$B,$A3,RawDataTotal!AE:AE)</f>
        <v>3</v>
      </c>
      <c r="AC3">
        <f>SUMIF(RawDataTotal!$B:$B,$A3,RawDataTotal!AF:AF)</f>
        <v>3</v>
      </c>
      <c r="AD3">
        <f>SUMIF(RawDataTotal!$B:$B,$A3,RawDataTotal!AG:AG)</f>
        <v>3</v>
      </c>
      <c r="AE3">
        <f>SUMIF(RawDataTotal!$B:$B,$A3,RawDataTotal!AH:AH)</f>
        <v>3</v>
      </c>
      <c r="AF3">
        <f>SUMIF(RawDataTotal!$B:$B,$A3,RawDataTotal!AI:AI)</f>
        <v>20</v>
      </c>
      <c r="AG3">
        <f>SUMIF(RawDataTotal!$B:$B,$A3,RawDataTotal!AJ:AJ)</f>
        <v>62</v>
      </c>
      <c r="AH3">
        <f>SUMIF(RawDataTotal!$B:$B,$A3,RawDataTotal!AK:AK)</f>
        <v>155</v>
      </c>
      <c r="AI3">
        <f>SUMIF(RawDataTotal!$B:$B,$A3,RawDataTotal!AL:AL)</f>
        <v>229</v>
      </c>
      <c r="AJ3">
        <f>SUMIF(RawDataTotal!$B:$B,$A3,RawDataTotal!AM:AM)</f>
        <v>322</v>
      </c>
      <c r="AK3">
        <f>SUMIF(RawDataTotal!$B:$B,$A3,RawDataTotal!AN:AN)</f>
        <v>453</v>
      </c>
      <c r="AL3">
        <f>SUMIF(RawDataTotal!$B:$B,$A3,RawDataTotal!AO:AO)</f>
        <v>655</v>
      </c>
      <c r="AM3">
        <f>SUMIF(RawDataTotal!$B:$B,$A3,RawDataTotal!AP:AP)</f>
        <v>888</v>
      </c>
      <c r="AN3">
        <f>SUMIF(RawDataTotal!$B:$B,$A3,RawDataTotal!AQ:AQ)</f>
        <v>1128</v>
      </c>
      <c r="AO3">
        <f>SUMIF(RawDataTotal!$B:$B,$A3,RawDataTotal!AR:AR)</f>
        <v>1694</v>
      </c>
      <c r="AP3">
        <f>SUMIF(RawDataTotal!$B:$B,$A3,RawDataTotal!AS:AS)</f>
        <v>2036</v>
      </c>
      <c r="AQ3">
        <f>SUMIF(RawDataTotal!$B:$B,$A3,RawDataTotal!AT:AT)</f>
        <v>2502</v>
      </c>
      <c r="AR3">
        <f>SUMIF(RawDataTotal!$B:$B,$A3,RawDataTotal!AU:AU)</f>
        <v>3089</v>
      </c>
      <c r="AS3">
        <f>SUMIF(RawDataTotal!$B:$B,$A3,RawDataTotal!AV:AV)</f>
        <v>3858</v>
      </c>
      <c r="AT3">
        <f>SUMIF(RawDataTotal!$B:$B,$A3,RawDataTotal!AW:AW)</f>
        <v>4636</v>
      </c>
      <c r="AU3">
        <f>SUMIF(RawDataTotal!$B:$B,$A3,RawDataTotal!AX:AX)</f>
        <v>5883</v>
      </c>
      <c r="AV3">
        <f>SUMIF(RawDataTotal!$B:$B,$A3,RawDataTotal!AY:AY)</f>
        <v>7375</v>
      </c>
      <c r="AW3">
        <f>SUMIF(RawDataTotal!$B:$B,$A3,RawDataTotal!AZ:AZ)</f>
        <v>9172</v>
      </c>
      <c r="AX3">
        <f>SUMIF(RawDataTotal!$B:$B,$A3,RawDataTotal!BA:BA)</f>
        <v>10149</v>
      </c>
      <c r="AY3">
        <f>SUMIF(RawDataTotal!$B:$B,$A3,RawDataTotal!BB:BB)</f>
        <v>12462</v>
      </c>
      <c r="AZ3">
        <f>SUMIF(RawDataTotal!$B:$B,$A3,RawDataTotal!BC:BC)</f>
        <v>12462</v>
      </c>
      <c r="BA3">
        <f>SUMIF(RawDataTotal!$B:$B,$A3,RawDataTotal!BD:BD)</f>
        <v>17660</v>
      </c>
      <c r="BB3">
        <f>SUMIF(RawDataTotal!$B:$B,$A3,RawDataTotal!BE:BE)</f>
        <v>21157</v>
      </c>
      <c r="BC3">
        <f>SUMIF(RawDataTotal!$B:$B,$A3,RawDataTotal!BF:BF)</f>
        <v>24747</v>
      </c>
      <c r="BD3">
        <f>SUMIF(RawDataTotal!$B:$B,$A3,RawDataTotal!BG:BG)</f>
        <v>27980</v>
      </c>
      <c r="BE3">
        <f>SUMIF(RawDataTotal!$B:$B,$A3,RawDataTotal!BH:BH)</f>
        <v>31506</v>
      </c>
      <c r="BF3">
        <f>SUMIF(RawDataTotal!$B:$B,$A3,RawDataTotal!BI:BI)</f>
        <v>0</v>
      </c>
      <c r="BG3">
        <f>SUMIF(RawDataTotal!$B:$B,$A3,RawDataTotal!BJ:BJ)</f>
        <v>0</v>
      </c>
      <c r="BH3">
        <f>SUMIF(RawDataTotal!$B:$B,$A3,RawDataTotal!BK:BK)</f>
        <v>0</v>
      </c>
      <c r="BI3">
        <f>SUMIF(RawDataTotal!$B:$B,$A3,RawDataTotal!BL:BL)</f>
        <v>0</v>
      </c>
      <c r="BJ3">
        <f>SUMIF(RawDataTotal!$B:$B,$A3,RawDataTotal!BM:BM)</f>
        <v>0</v>
      </c>
      <c r="BK3">
        <f>SUMIF(RawDataTotal!$B:$B,$A3,RawDataTotal!BN:BN)</f>
        <v>0</v>
      </c>
      <c r="BL3">
        <f>SUMIF(RawDataTotal!$B:$B,$A3,RawDataTotal!BO:BO)</f>
        <v>0</v>
      </c>
      <c r="BM3">
        <f>SUMIF(RawDataTotal!$B:$B,$A3,RawDataTotal!BP:BP)</f>
        <v>0</v>
      </c>
      <c r="BN3">
        <f>SUMIF(RawDataTotal!$B:$B,$A3,RawDataTotal!BQ:BQ)</f>
        <v>0</v>
      </c>
      <c r="BO3">
        <f>SUMIF(RawDataTotal!$B:$B,$A3,RawDataTotal!BR:BR)</f>
        <v>0</v>
      </c>
      <c r="BP3">
        <f>SUMIF(RawDataTotal!$B:$B,$A3,RawDataTotal!BS:BS)</f>
        <v>0</v>
      </c>
      <c r="BQ3">
        <f>SUMIF(RawDataTotal!$B:$B,$A3,RawDataTotal!BT:BT)</f>
        <v>0</v>
      </c>
      <c r="BR3">
        <f>SUMIF(RawDataTotal!$B:$B,$A3,RawDataTotal!BU:BU)</f>
        <v>0</v>
      </c>
      <c r="BS3">
        <f>SUMIF(RawDataTotal!$B:$B,$A3,RawDataTotal!BV:BV)</f>
        <v>0</v>
      </c>
      <c r="BT3">
        <f>SUMIF(RawDataTotal!$B:$B,$A3,RawDataTotal!BW:BW)</f>
        <v>0</v>
      </c>
    </row>
    <row r="4" spans="1:72" ht="15" thickBot="1" x14ac:dyDescent="0.35">
      <c r="A4" s="4" t="s">
        <v>366</v>
      </c>
      <c r="B4">
        <f>SUMIF(RawDataTotal!$B:$B,$A4,RawDataTotal!E:E)</f>
        <v>0</v>
      </c>
      <c r="C4">
        <f>SUMIF(RawDataTotal!$B:$B,$A4,RawDataTotal!F:F)</f>
        <v>0</v>
      </c>
      <c r="D4">
        <f>SUMIF(RawDataTotal!$B:$B,$A4,RawDataTotal!G:G)</f>
        <v>0</v>
      </c>
      <c r="E4">
        <f>SUMIF(RawDataTotal!$B:$B,$A4,RawDataTotal!H:H)</f>
        <v>0</v>
      </c>
      <c r="F4">
        <f>SUMIF(RawDataTotal!$B:$B,$A4,RawDataTotal!I:I)</f>
        <v>0</v>
      </c>
      <c r="G4">
        <f>SUMIF(RawDataTotal!$B:$B,$A4,RawDataTotal!J:J)</f>
        <v>0</v>
      </c>
      <c r="H4">
        <f>SUMIF(RawDataTotal!$B:$B,$A4,RawDataTotal!K:K)</f>
        <v>0</v>
      </c>
      <c r="I4">
        <f>SUMIF(RawDataTotal!$B:$B,$A4,RawDataTotal!L:L)</f>
        <v>0</v>
      </c>
      <c r="J4">
        <f>SUMIF(RawDataTotal!$B:$B,$A4,RawDataTotal!M:M)</f>
        <v>0</v>
      </c>
      <c r="K4">
        <f>SUMIF(RawDataTotal!$B:$B,$A4,RawDataTotal!N:N)</f>
        <v>0</v>
      </c>
      <c r="L4">
        <f>SUMIF(RawDataTotal!$B:$B,$A4,RawDataTotal!O:O)</f>
        <v>0</v>
      </c>
      <c r="M4">
        <f>SUMIF(RawDataTotal!$B:$B,$A4,RawDataTotal!P:P)</f>
        <v>0</v>
      </c>
      <c r="N4">
        <f>SUMIF(RawDataTotal!$B:$B,$A4,RawDataTotal!Q:Q)</f>
        <v>0</v>
      </c>
      <c r="O4">
        <f>SUMIF(RawDataTotal!$B:$B,$A4,RawDataTotal!R:R)</f>
        <v>0</v>
      </c>
      <c r="P4">
        <f>SUMIF(RawDataTotal!$B:$B,$A4,RawDataTotal!S:S)</f>
        <v>0</v>
      </c>
      <c r="Q4">
        <f>SUMIF(RawDataTotal!$B:$B,$A4,RawDataTotal!T:T)</f>
        <v>0</v>
      </c>
      <c r="R4">
        <f>SUMIF(RawDataTotal!$B:$B,$A4,RawDataTotal!U:U)</f>
        <v>0</v>
      </c>
      <c r="S4">
        <f>SUMIF(RawDataTotal!$B:$B,$A4,RawDataTotal!V:V)</f>
        <v>0</v>
      </c>
      <c r="T4">
        <f>SUMIF(RawDataTotal!$B:$B,$A4,RawDataTotal!W:W)</f>
        <v>0</v>
      </c>
      <c r="U4">
        <f>SUMIF(RawDataTotal!$B:$B,$A4,RawDataTotal!X:X)</f>
        <v>0</v>
      </c>
      <c r="V4">
        <f>SUMIF(RawDataTotal!$B:$B,$A4,RawDataTotal!Y:Y)</f>
        <v>0</v>
      </c>
      <c r="W4">
        <f>SUMIF(RawDataTotal!$B:$B,$A4,RawDataTotal!Z:Z)</f>
        <v>0</v>
      </c>
      <c r="X4">
        <f>SUMIF(RawDataTotal!$B:$B,$A4,RawDataTotal!AA:AA)</f>
        <v>0</v>
      </c>
      <c r="Y4">
        <f>SUMIF(RawDataTotal!$B:$B,$A4,RawDataTotal!AB:AB)</f>
        <v>0</v>
      </c>
      <c r="Z4">
        <f>SUMIF(RawDataTotal!$B:$B,$A4,RawDataTotal!AC:AC)</f>
        <v>0</v>
      </c>
      <c r="AA4">
        <f>SUMIF(RawDataTotal!$B:$B,$A4,RawDataTotal!AD:AD)</f>
        <v>0</v>
      </c>
      <c r="AB4">
        <f>SUMIF(RawDataTotal!$B:$B,$A4,RawDataTotal!AE:AE)</f>
        <v>0</v>
      </c>
      <c r="AC4">
        <f>SUMIF(RawDataTotal!$B:$B,$A4,RawDataTotal!AF:AF)</f>
        <v>0</v>
      </c>
      <c r="AD4">
        <f>SUMIF(RawDataTotal!$B:$B,$A4,RawDataTotal!AG:AG)</f>
        <v>2</v>
      </c>
      <c r="AE4">
        <f>SUMIF(RawDataTotal!$B:$B,$A4,RawDataTotal!AH:AH)</f>
        <v>5</v>
      </c>
      <c r="AF4">
        <f>SUMIF(RawDataTotal!$B:$B,$A4,RawDataTotal!AI:AI)</f>
        <v>18</v>
      </c>
      <c r="AG4">
        <f>SUMIF(RawDataTotal!$B:$B,$A4,RawDataTotal!AJ:AJ)</f>
        <v>28</v>
      </c>
      <c r="AH4">
        <f>SUMIF(RawDataTotal!$B:$B,$A4,RawDataTotal!AK:AK)</f>
        <v>43</v>
      </c>
      <c r="AI4">
        <f>SUMIF(RawDataTotal!$B:$B,$A4,RawDataTotal!AL:AL)</f>
        <v>61</v>
      </c>
      <c r="AJ4">
        <f>SUMIF(RawDataTotal!$B:$B,$A4,RawDataTotal!AM:AM)</f>
        <v>95</v>
      </c>
      <c r="AK4">
        <f>SUMIF(RawDataTotal!$B:$B,$A4,RawDataTotal!AN:AN)</f>
        <v>139</v>
      </c>
      <c r="AL4">
        <f>SUMIF(RawDataTotal!$B:$B,$A4,RawDataTotal!AO:AO)</f>
        <v>245</v>
      </c>
      <c r="AM4">
        <f>SUMIF(RawDataTotal!$B:$B,$A4,RawDataTotal!AP:AP)</f>
        <v>388</v>
      </c>
      <c r="AN4">
        <f>SUMIF(RawDataTotal!$B:$B,$A4,RawDataTotal!AQ:AQ)</f>
        <v>593</v>
      </c>
      <c r="AO4">
        <f>SUMIF(RawDataTotal!$B:$B,$A4,RawDataTotal!AR:AR)</f>
        <v>978</v>
      </c>
      <c r="AP4">
        <f>SUMIF(RawDataTotal!$B:$B,$A4,RawDataTotal!AS:AS)</f>
        <v>1501</v>
      </c>
      <c r="AQ4">
        <f>SUMIF(RawDataTotal!$B:$B,$A4,RawDataTotal!AT:AT)</f>
        <v>2336</v>
      </c>
      <c r="AR4">
        <f>SUMIF(RawDataTotal!$B:$B,$A4,RawDataTotal!AU:AU)</f>
        <v>2922</v>
      </c>
      <c r="AS4">
        <f>SUMIF(RawDataTotal!$B:$B,$A4,RawDataTotal!AV:AV)</f>
        <v>3513</v>
      </c>
      <c r="AT4">
        <f>SUMIF(RawDataTotal!$B:$B,$A4,RawDataTotal!AW:AW)</f>
        <v>4747</v>
      </c>
      <c r="AU4">
        <f>SUMIF(RawDataTotal!$B:$B,$A4,RawDataTotal!AX:AX)</f>
        <v>5823</v>
      </c>
      <c r="AV4">
        <f>SUMIF(RawDataTotal!$B:$B,$A4,RawDataTotal!AY:AY)</f>
        <v>6566</v>
      </c>
      <c r="AW4">
        <f>SUMIF(RawDataTotal!$B:$B,$A4,RawDataTotal!AZ:AZ)</f>
        <v>7161</v>
      </c>
      <c r="AX4">
        <f>SUMIF(RawDataTotal!$B:$B,$A4,RawDataTotal!BA:BA)</f>
        <v>8042</v>
      </c>
      <c r="AY4">
        <f>SUMIF(RawDataTotal!$B:$B,$A4,RawDataTotal!BB:BB)</f>
        <v>9000</v>
      </c>
      <c r="AZ4">
        <f>SUMIF(RawDataTotal!$B:$B,$A4,RawDataTotal!BC:BC)</f>
        <v>10075</v>
      </c>
      <c r="BA4">
        <f>SUMIF(RawDataTotal!$B:$B,$A4,RawDataTotal!BD:BD)</f>
        <v>11364</v>
      </c>
      <c r="BB4">
        <f>SUMIF(RawDataTotal!$B:$B,$A4,RawDataTotal!BE:BE)</f>
        <v>12729</v>
      </c>
      <c r="BC4">
        <f>SUMIF(RawDataTotal!$B:$B,$A4,RawDataTotal!BF:BF)</f>
        <v>13938</v>
      </c>
      <c r="BD4">
        <f>SUMIF(RawDataTotal!$B:$B,$A4,RawDataTotal!BG:BG)</f>
        <v>14991</v>
      </c>
      <c r="BE4">
        <f>SUMIF(RawDataTotal!$B:$B,$A4,RawDataTotal!BH:BH)</f>
        <v>16169</v>
      </c>
      <c r="BF4">
        <f>SUMIF(RawDataTotal!$B:$B,$A4,RawDataTotal!BI:BI)</f>
        <v>0</v>
      </c>
      <c r="BG4">
        <f>SUMIF(RawDataTotal!$B:$B,$A4,RawDataTotal!BJ:BJ)</f>
        <v>0</v>
      </c>
      <c r="BH4">
        <f>SUMIF(RawDataTotal!$B:$B,$A4,RawDataTotal!BK:BK)</f>
        <v>0</v>
      </c>
      <c r="BI4">
        <f>SUMIF(RawDataTotal!$B:$B,$A4,RawDataTotal!BL:BL)</f>
        <v>0</v>
      </c>
      <c r="BJ4">
        <f>SUMIF(RawDataTotal!$B:$B,$A4,RawDataTotal!BM:BM)</f>
        <v>0</v>
      </c>
      <c r="BK4">
        <f>SUMIF(RawDataTotal!$B:$B,$A4,RawDataTotal!BN:BN)</f>
        <v>0</v>
      </c>
      <c r="BL4">
        <f>SUMIF(RawDataTotal!$B:$B,$A4,RawDataTotal!BO:BO)</f>
        <v>0</v>
      </c>
      <c r="BM4">
        <f>SUMIF(RawDataTotal!$B:$B,$A4,RawDataTotal!BP:BP)</f>
        <v>0</v>
      </c>
      <c r="BN4">
        <f>SUMIF(RawDataTotal!$B:$B,$A4,RawDataTotal!BQ:BQ)</f>
        <v>0</v>
      </c>
      <c r="BO4">
        <f>SUMIF(RawDataTotal!$B:$B,$A4,RawDataTotal!BR:BR)</f>
        <v>0</v>
      </c>
      <c r="BP4">
        <f>SUMIF(RawDataTotal!$B:$B,$A4,RawDataTotal!BS:BS)</f>
        <v>0</v>
      </c>
      <c r="BQ4">
        <f>SUMIF(RawDataTotal!$B:$B,$A4,RawDataTotal!BT:BT)</f>
        <v>0</v>
      </c>
      <c r="BR4">
        <f>SUMIF(RawDataTotal!$B:$B,$A4,RawDataTotal!BU:BU)</f>
        <v>0</v>
      </c>
      <c r="BS4">
        <f>SUMIF(RawDataTotal!$B:$B,$A4,RawDataTotal!BV:BV)</f>
        <v>0</v>
      </c>
      <c r="BT4">
        <f>SUMIF(RawDataTotal!$B:$B,$A4,RawDataTotal!BW:BW)</f>
        <v>0</v>
      </c>
    </row>
    <row r="5" spans="1:72" ht="15" thickBot="1" x14ac:dyDescent="0.35">
      <c r="A5" s="3" t="s">
        <v>367</v>
      </c>
      <c r="B5">
        <f>SUMIF(RawDataTotal!$B:$B,$A5,RawDataTotal!E:E)</f>
        <v>1</v>
      </c>
      <c r="C5">
        <f>SUMIF(RawDataTotal!$B:$B,$A5,RawDataTotal!F:F)</f>
        <v>1</v>
      </c>
      <c r="D5">
        <f>SUMIF(RawDataTotal!$B:$B,$A5,RawDataTotal!G:G)</f>
        <v>2</v>
      </c>
      <c r="E5">
        <f>SUMIF(RawDataTotal!$B:$B,$A5,RawDataTotal!H:H)</f>
        <v>2</v>
      </c>
      <c r="F5">
        <f>SUMIF(RawDataTotal!$B:$B,$A5,RawDataTotal!I:I)</f>
        <v>3</v>
      </c>
      <c r="G5">
        <f>SUMIF(RawDataTotal!$B:$B,$A5,RawDataTotal!J:J)</f>
        <v>4</v>
      </c>
      <c r="H5">
        <f>SUMIF(RawDataTotal!$B:$B,$A5,RawDataTotal!K:K)</f>
        <v>4</v>
      </c>
      <c r="I5">
        <f>SUMIF(RawDataTotal!$B:$B,$A5,RawDataTotal!L:L)</f>
        <v>4</v>
      </c>
      <c r="J5">
        <f>SUMIF(RawDataTotal!$B:$B,$A5,RawDataTotal!M:M)</f>
        <v>4</v>
      </c>
      <c r="K5">
        <f>SUMIF(RawDataTotal!$B:$B,$A5,RawDataTotal!N:N)</f>
        <v>11</v>
      </c>
      <c r="L5">
        <f>SUMIF(RawDataTotal!$B:$B,$A5,RawDataTotal!O:O)</f>
        <v>12</v>
      </c>
      <c r="M5">
        <f>SUMIF(RawDataTotal!$B:$B,$A5,RawDataTotal!P:P)</f>
        <v>15</v>
      </c>
      <c r="N5">
        <f>SUMIF(RawDataTotal!$B:$B,$A5,RawDataTotal!Q:Q)</f>
        <v>15</v>
      </c>
      <c r="O5">
        <f>SUMIF(RawDataTotal!$B:$B,$A5,RawDataTotal!R:R)</f>
        <v>16</v>
      </c>
      <c r="P5">
        <f>SUMIF(RawDataTotal!$B:$B,$A5,RawDataTotal!S:S)</f>
        <v>19</v>
      </c>
      <c r="Q5">
        <f>SUMIF(RawDataTotal!$B:$B,$A5,RawDataTotal!T:T)</f>
        <v>23</v>
      </c>
      <c r="R5">
        <f>SUMIF(RawDataTotal!$B:$B,$A5,RawDataTotal!U:U)</f>
        <v>24</v>
      </c>
      <c r="S5">
        <f>SUMIF(RawDataTotal!$B:$B,$A5,RawDataTotal!V:V)</f>
        <v>24</v>
      </c>
      <c r="T5">
        <f>SUMIF(RawDataTotal!$B:$B,$A5,RawDataTotal!W:W)</f>
        <v>25</v>
      </c>
      <c r="U5">
        <f>SUMIF(RawDataTotal!$B:$B,$A5,RawDataTotal!X:X)</f>
        <v>27</v>
      </c>
      <c r="V5">
        <f>SUMIF(RawDataTotal!$B:$B,$A5,RawDataTotal!Y:Y)</f>
        <v>28</v>
      </c>
      <c r="W5">
        <f>SUMIF(RawDataTotal!$B:$B,$A5,RawDataTotal!Z:Z)</f>
        <v>28</v>
      </c>
      <c r="X5">
        <f>SUMIF(RawDataTotal!$B:$B,$A5,RawDataTotal!AA:AA)</f>
        <v>28</v>
      </c>
      <c r="Y5">
        <f>SUMIF(RawDataTotal!$B:$B,$A5,RawDataTotal!AB:AB)</f>
        <v>28</v>
      </c>
      <c r="Z5">
        <f>SUMIF(RawDataTotal!$B:$B,$A5,RawDataTotal!AC:AC)</f>
        <v>28</v>
      </c>
      <c r="AA5">
        <f>SUMIF(RawDataTotal!$B:$B,$A5,RawDataTotal!AD:AD)</f>
        <v>29</v>
      </c>
      <c r="AB5">
        <f>SUMIF(RawDataTotal!$B:$B,$A5,RawDataTotal!AE:AE)</f>
        <v>30</v>
      </c>
      <c r="AC5">
        <f>SUMIF(RawDataTotal!$B:$B,$A5,RawDataTotal!AF:AF)</f>
        <v>31</v>
      </c>
      <c r="AD5">
        <f>SUMIF(RawDataTotal!$B:$B,$A5,RawDataTotal!AG:AG)</f>
        <v>31</v>
      </c>
      <c r="AE5">
        <f>SUMIF(RawDataTotal!$B:$B,$A5,RawDataTotal!AH:AH)</f>
        <v>104</v>
      </c>
      <c r="AF5">
        <f>SUMIF(RawDataTotal!$B:$B,$A5,RawDataTotal!AI:AI)</f>
        <v>204</v>
      </c>
      <c r="AG5">
        <f>SUMIF(RawDataTotal!$B:$B,$A5,RawDataTotal!AJ:AJ)</f>
        <v>433</v>
      </c>
      <c r="AH5">
        <f>SUMIF(RawDataTotal!$B:$B,$A5,RawDataTotal!AK:AK)</f>
        <v>602</v>
      </c>
      <c r="AI5">
        <f>SUMIF(RawDataTotal!$B:$B,$A5,RawDataTotal!AL:AL)</f>
        <v>833</v>
      </c>
      <c r="AJ5">
        <f>SUMIF(RawDataTotal!$B:$B,$A5,RawDataTotal!AM:AM)</f>
        <v>977</v>
      </c>
      <c r="AK5">
        <f>SUMIF(RawDataTotal!$B:$B,$A5,RawDataTotal!AN:AN)</f>
        <v>1261</v>
      </c>
      <c r="AL5">
        <f>SUMIF(RawDataTotal!$B:$B,$A5,RawDataTotal!AO:AO)</f>
        <v>1766</v>
      </c>
      <c r="AM5">
        <f>SUMIF(RawDataTotal!$B:$B,$A5,RawDataTotal!AP:AP)</f>
        <v>2337</v>
      </c>
      <c r="AN5">
        <f>SUMIF(RawDataTotal!$B:$B,$A5,RawDataTotal!AQ:AQ)</f>
        <v>3150</v>
      </c>
      <c r="AO5">
        <f>SUMIF(RawDataTotal!$B:$B,$A5,RawDataTotal!AR:AR)</f>
        <v>3736</v>
      </c>
      <c r="AP5">
        <f>SUMIF(RawDataTotal!$B:$B,$A5,RawDataTotal!AS:AS)</f>
        <v>4335</v>
      </c>
      <c r="AQ5">
        <f>SUMIF(RawDataTotal!$B:$B,$A5,RawDataTotal!AT:AT)</f>
        <v>5186</v>
      </c>
      <c r="AR5">
        <f>SUMIF(RawDataTotal!$B:$B,$A5,RawDataTotal!AU:AU)</f>
        <v>5621</v>
      </c>
      <c r="AS5">
        <f>SUMIF(RawDataTotal!$B:$B,$A5,RawDataTotal!AV:AV)</f>
        <v>6088</v>
      </c>
      <c r="AT5">
        <f>SUMIF(RawDataTotal!$B:$B,$A5,RawDataTotal!AW:AW)</f>
        <v>6593</v>
      </c>
      <c r="AU5">
        <f>SUMIF(RawDataTotal!$B:$B,$A5,RawDataTotal!AX:AX)</f>
        <v>7041</v>
      </c>
      <c r="AV5">
        <f>SUMIF(RawDataTotal!$B:$B,$A5,RawDataTotal!AY:AY)</f>
        <v>7314</v>
      </c>
      <c r="AW5">
        <f>SUMIF(RawDataTotal!$B:$B,$A5,RawDataTotal!AZ:AZ)</f>
        <v>7478</v>
      </c>
      <c r="AX5">
        <f>SUMIF(RawDataTotal!$B:$B,$A5,RawDataTotal!BA:BA)</f>
        <v>7513</v>
      </c>
      <c r="AY5">
        <f>SUMIF(RawDataTotal!$B:$B,$A5,RawDataTotal!BB:BB)</f>
        <v>7755</v>
      </c>
      <c r="AZ5">
        <f>SUMIF(RawDataTotal!$B:$B,$A5,RawDataTotal!BC:BC)</f>
        <v>7869</v>
      </c>
      <c r="BA5">
        <f>SUMIF(RawDataTotal!$B:$B,$A5,RawDataTotal!BD:BD)</f>
        <v>7979</v>
      </c>
      <c r="BB5">
        <f>SUMIF(RawDataTotal!$B:$B,$A5,RawDataTotal!BE:BE)</f>
        <v>8086</v>
      </c>
      <c r="BC5">
        <f>SUMIF(RawDataTotal!$B:$B,$A5,RawDataTotal!BF:BF)</f>
        <v>8162</v>
      </c>
      <c r="BD5">
        <f>SUMIF(RawDataTotal!$B:$B,$A5,RawDataTotal!BG:BG)</f>
        <v>8236</v>
      </c>
      <c r="BE5">
        <f>SUMIF(RawDataTotal!$B:$B,$A5,RawDataTotal!BH:BH)</f>
        <v>8320</v>
      </c>
      <c r="BF5">
        <f>SUMIF(RawDataTotal!$B:$B,$A5,RawDataTotal!BI:BI)</f>
        <v>0</v>
      </c>
      <c r="BG5">
        <f>SUMIF(RawDataTotal!$B:$B,$A5,RawDataTotal!BJ:BJ)</f>
        <v>0</v>
      </c>
      <c r="BH5">
        <f>SUMIF(RawDataTotal!$B:$B,$A5,RawDataTotal!BK:BK)</f>
        <v>0</v>
      </c>
      <c r="BI5">
        <f>SUMIF(RawDataTotal!$B:$B,$A5,RawDataTotal!BL:BL)</f>
        <v>0</v>
      </c>
      <c r="BJ5">
        <f>SUMIF(RawDataTotal!$B:$B,$A5,RawDataTotal!BM:BM)</f>
        <v>0</v>
      </c>
      <c r="BK5">
        <f>SUMIF(RawDataTotal!$B:$B,$A5,RawDataTotal!BN:BN)</f>
        <v>0</v>
      </c>
      <c r="BL5">
        <f>SUMIF(RawDataTotal!$B:$B,$A5,RawDataTotal!BO:BO)</f>
        <v>0</v>
      </c>
      <c r="BM5">
        <f>SUMIF(RawDataTotal!$B:$B,$A5,RawDataTotal!BP:BP)</f>
        <v>0</v>
      </c>
      <c r="BN5">
        <f>SUMIF(RawDataTotal!$B:$B,$A5,RawDataTotal!BQ:BQ)</f>
        <v>0</v>
      </c>
      <c r="BO5">
        <f>SUMIF(RawDataTotal!$B:$B,$A5,RawDataTotal!BR:BR)</f>
        <v>0</v>
      </c>
      <c r="BP5">
        <f>SUMIF(RawDataTotal!$B:$B,$A5,RawDataTotal!BS:BS)</f>
        <v>0</v>
      </c>
      <c r="BQ5">
        <f>SUMIF(RawDataTotal!$B:$B,$A5,RawDataTotal!BT:BT)</f>
        <v>0</v>
      </c>
      <c r="BR5">
        <f>SUMIF(RawDataTotal!$B:$B,$A5,RawDataTotal!BU:BU)</f>
        <v>0</v>
      </c>
      <c r="BS5">
        <f>SUMIF(RawDataTotal!$B:$B,$A5,RawDataTotal!BV:BV)</f>
        <v>0</v>
      </c>
      <c r="BT5">
        <f>SUMIF(RawDataTotal!$B:$B,$A5,RawDataTotal!BW:BW)</f>
        <v>0</v>
      </c>
    </row>
    <row r="6" spans="1:72" ht="15" thickBot="1" x14ac:dyDescent="0.35">
      <c r="A6" s="3" t="s">
        <v>87</v>
      </c>
      <c r="B6">
        <f>SUMIF(RawDataTotal!$B:$B,$A6,RawDataTotal!E:E)</f>
        <v>0</v>
      </c>
      <c r="C6">
        <f>SUMIF(RawDataTotal!$B:$B,$A6,RawDataTotal!F:F)</f>
        <v>0</v>
      </c>
      <c r="D6">
        <f>SUMIF(RawDataTotal!$B:$B,$A6,RawDataTotal!G:G)</f>
        <v>0</v>
      </c>
      <c r="E6">
        <f>SUMIF(RawDataTotal!$B:$B,$A6,RawDataTotal!H:H)</f>
        <v>0</v>
      </c>
      <c r="F6">
        <f>SUMIF(RawDataTotal!$B:$B,$A6,RawDataTotal!I:I)</f>
        <v>0</v>
      </c>
      <c r="G6">
        <f>SUMIF(RawDataTotal!$B:$B,$A6,RawDataTotal!J:J)</f>
        <v>0</v>
      </c>
      <c r="H6">
        <f>SUMIF(RawDataTotal!$B:$B,$A6,RawDataTotal!K:K)</f>
        <v>0</v>
      </c>
      <c r="I6">
        <f>SUMIF(RawDataTotal!$B:$B,$A6,RawDataTotal!L:L)</f>
        <v>0</v>
      </c>
      <c r="J6">
        <f>SUMIF(RawDataTotal!$B:$B,$A6,RawDataTotal!M:M)</f>
        <v>0</v>
      </c>
      <c r="K6">
        <f>SUMIF(RawDataTotal!$B:$B,$A6,RawDataTotal!N:N)</f>
        <v>0</v>
      </c>
      <c r="L6">
        <f>SUMIF(RawDataTotal!$B:$B,$A6,RawDataTotal!O:O)</f>
        <v>1</v>
      </c>
      <c r="M6">
        <f>SUMIF(RawDataTotal!$B:$B,$A6,RawDataTotal!P:P)</f>
        <v>1</v>
      </c>
      <c r="N6">
        <f>SUMIF(RawDataTotal!$B:$B,$A6,RawDataTotal!Q:Q)</f>
        <v>1</v>
      </c>
      <c r="O6">
        <f>SUMIF(RawDataTotal!$B:$B,$A6,RawDataTotal!R:R)</f>
        <v>1</v>
      </c>
      <c r="P6">
        <f>SUMIF(RawDataTotal!$B:$B,$A6,RawDataTotal!S:S)</f>
        <v>1</v>
      </c>
      <c r="Q6">
        <f>SUMIF(RawDataTotal!$B:$B,$A6,RawDataTotal!T:T)</f>
        <v>1</v>
      </c>
      <c r="R6">
        <f>SUMIF(RawDataTotal!$B:$B,$A6,RawDataTotal!U:U)</f>
        <v>1</v>
      </c>
      <c r="S6">
        <f>SUMIF(RawDataTotal!$B:$B,$A6,RawDataTotal!V:V)</f>
        <v>1</v>
      </c>
      <c r="T6">
        <f>SUMIF(RawDataTotal!$B:$B,$A6,RawDataTotal!W:W)</f>
        <v>2</v>
      </c>
      <c r="U6">
        <f>SUMIF(RawDataTotal!$B:$B,$A6,RawDataTotal!X:X)</f>
        <v>2</v>
      </c>
      <c r="V6">
        <f>SUMIF(RawDataTotal!$B:$B,$A6,RawDataTotal!Y:Y)</f>
        <v>2</v>
      </c>
      <c r="W6">
        <f>SUMIF(RawDataTotal!$B:$B,$A6,RawDataTotal!Z:Z)</f>
        <v>2</v>
      </c>
      <c r="X6">
        <f>SUMIF(RawDataTotal!$B:$B,$A6,RawDataTotal!AA:AA)</f>
        <v>2</v>
      </c>
      <c r="Y6">
        <f>SUMIF(RawDataTotal!$B:$B,$A6,RawDataTotal!AB:AB)</f>
        <v>2</v>
      </c>
      <c r="Z6">
        <f>SUMIF(RawDataTotal!$B:$B,$A6,RawDataTotal!AC:AC)</f>
        <v>2</v>
      </c>
      <c r="AA6">
        <f>SUMIF(RawDataTotal!$B:$B,$A6,RawDataTotal!AD:AD)</f>
        <v>2</v>
      </c>
      <c r="AB6">
        <f>SUMIF(RawDataTotal!$B:$B,$A6,RawDataTotal!AE:AE)</f>
        <v>2</v>
      </c>
      <c r="AC6">
        <f>SUMIF(RawDataTotal!$B:$B,$A6,RawDataTotal!AF:AF)</f>
        <v>2</v>
      </c>
      <c r="AD6">
        <f>SUMIF(RawDataTotal!$B:$B,$A6,RawDataTotal!AG:AG)</f>
        <v>2</v>
      </c>
      <c r="AE6">
        <f>SUMIF(RawDataTotal!$B:$B,$A6,RawDataTotal!AH:AH)</f>
        <v>2</v>
      </c>
      <c r="AF6">
        <f>SUMIF(RawDataTotal!$B:$B,$A6,RawDataTotal!AI:AI)</f>
        <v>2</v>
      </c>
      <c r="AG6">
        <f>SUMIF(RawDataTotal!$B:$B,$A6,RawDataTotal!AJ:AJ)</f>
        <v>2</v>
      </c>
      <c r="AH6">
        <f>SUMIF(RawDataTotal!$B:$B,$A6,RawDataTotal!AK:AK)</f>
        <v>2</v>
      </c>
      <c r="AI6">
        <f>SUMIF(RawDataTotal!$B:$B,$A6,RawDataTotal!AL:AL)</f>
        <v>2</v>
      </c>
      <c r="AJ6">
        <f>SUMIF(RawDataTotal!$B:$B,$A6,RawDataTotal!AM:AM)</f>
        <v>6</v>
      </c>
      <c r="AK6">
        <f>SUMIF(RawDataTotal!$B:$B,$A6,RawDataTotal!AN:AN)</f>
        <v>13</v>
      </c>
      <c r="AL6">
        <f>SUMIF(RawDataTotal!$B:$B,$A6,RawDataTotal!AO:AO)</f>
        <v>15</v>
      </c>
      <c r="AM6">
        <f>SUMIF(RawDataTotal!$B:$B,$A6,RawDataTotal!AP:AP)</f>
        <v>32</v>
      </c>
      <c r="AN6">
        <f>SUMIF(RawDataTotal!$B:$B,$A6,RawDataTotal!AQ:AQ)</f>
        <v>45</v>
      </c>
      <c r="AO6">
        <f>SUMIF(RawDataTotal!$B:$B,$A6,RawDataTotal!AR:AR)</f>
        <v>84</v>
      </c>
      <c r="AP6">
        <f>SUMIF(RawDataTotal!$B:$B,$A6,RawDataTotal!AS:AS)</f>
        <v>120</v>
      </c>
      <c r="AQ6">
        <f>SUMIF(RawDataTotal!$B:$B,$A6,RawDataTotal!AT:AT)</f>
        <v>165</v>
      </c>
      <c r="AR6">
        <f>SUMIF(RawDataTotal!$B:$B,$A6,RawDataTotal!AU:AU)</f>
        <v>222</v>
      </c>
      <c r="AS6">
        <f>SUMIF(RawDataTotal!$B:$B,$A6,RawDataTotal!AV:AV)</f>
        <v>259</v>
      </c>
      <c r="AT6">
        <f>SUMIF(RawDataTotal!$B:$B,$A6,RawDataTotal!AW:AW)</f>
        <v>400</v>
      </c>
      <c r="AU6">
        <f>SUMIF(RawDataTotal!$B:$B,$A6,RawDataTotal!AX:AX)</f>
        <v>500</v>
      </c>
      <c r="AV6">
        <f>SUMIF(RawDataTotal!$B:$B,$A6,RawDataTotal!AY:AY)</f>
        <v>673</v>
      </c>
      <c r="AW6">
        <f>SUMIF(RawDataTotal!$B:$B,$A6,RawDataTotal!AZ:AZ)</f>
        <v>1073</v>
      </c>
      <c r="AX6">
        <f>SUMIF(RawDataTotal!$B:$B,$A6,RawDataTotal!BA:BA)</f>
        <v>1695</v>
      </c>
      <c r="AY6">
        <f>SUMIF(RawDataTotal!$B:$B,$A6,RawDataTotal!BB:BB)</f>
        <v>2277</v>
      </c>
      <c r="AZ6">
        <f>SUMIF(RawDataTotal!$B:$B,$A6,RawDataTotal!BC:BC)</f>
        <v>2277</v>
      </c>
      <c r="BA6">
        <f>SUMIF(RawDataTotal!$B:$B,$A6,RawDataTotal!BD:BD)</f>
        <v>5232</v>
      </c>
      <c r="BB6">
        <f>SUMIF(RawDataTotal!$B:$B,$A6,RawDataTotal!BE:BE)</f>
        <v>6391</v>
      </c>
      <c r="BC6">
        <f>SUMIF(RawDataTotal!$B:$B,$A6,RawDataTotal!BF:BF)</f>
        <v>7798</v>
      </c>
      <c r="BD6">
        <f>SUMIF(RawDataTotal!$B:$B,$A6,RawDataTotal!BG:BG)</f>
        <v>9942</v>
      </c>
      <c r="BE6">
        <f>SUMIF(RawDataTotal!$B:$B,$A6,RawDataTotal!BH:BH)</f>
        <v>11748</v>
      </c>
      <c r="BF6">
        <f>SUMIF(RawDataTotal!$B:$B,$A6,RawDataTotal!BI:BI)</f>
        <v>0</v>
      </c>
      <c r="BG6">
        <f>SUMIF(RawDataTotal!$B:$B,$A6,RawDataTotal!BJ:BJ)</f>
        <v>0</v>
      </c>
      <c r="BH6">
        <f>SUMIF(RawDataTotal!$B:$B,$A6,RawDataTotal!BK:BK)</f>
        <v>0</v>
      </c>
      <c r="BI6">
        <f>SUMIF(RawDataTotal!$B:$B,$A6,RawDataTotal!BL:BL)</f>
        <v>0</v>
      </c>
      <c r="BJ6">
        <f>SUMIF(RawDataTotal!$B:$B,$A6,RawDataTotal!BM:BM)</f>
        <v>0</v>
      </c>
      <c r="BK6">
        <f>SUMIF(RawDataTotal!$B:$B,$A6,RawDataTotal!BN:BN)</f>
        <v>0</v>
      </c>
      <c r="BL6">
        <f>SUMIF(RawDataTotal!$B:$B,$A6,RawDataTotal!BO:BO)</f>
        <v>0</v>
      </c>
      <c r="BM6">
        <f>SUMIF(RawDataTotal!$B:$B,$A6,RawDataTotal!BP:BP)</f>
        <v>0</v>
      </c>
      <c r="BN6">
        <f>SUMIF(RawDataTotal!$B:$B,$A6,RawDataTotal!BQ:BQ)</f>
        <v>0</v>
      </c>
      <c r="BO6">
        <f>SUMIF(RawDataTotal!$B:$B,$A6,RawDataTotal!BR:BR)</f>
        <v>0</v>
      </c>
      <c r="BP6">
        <f>SUMIF(RawDataTotal!$B:$B,$A6,RawDataTotal!BS:BS)</f>
        <v>0</v>
      </c>
      <c r="BQ6">
        <f>SUMIF(RawDataTotal!$B:$B,$A6,RawDataTotal!BT:BT)</f>
        <v>0</v>
      </c>
      <c r="BR6">
        <f>SUMIF(RawDataTotal!$B:$B,$A6,RawDataTotal!BU:BU)</f>
        <v>0</v>
      </c>
      <c r="BS6">
        <f>SUMIF(RawDataTotal!$B:$B,$A6,RawDataTotal!BV:BV)</f>
        <v>0</v>
      </c>
      <c r="BT6">
        <f>SUMIF(RawDataTotal!$B:$B,$A6,RawDataTotal!BW:BW)</f>
        <v>0</v>
      </c>
    </row>
    <row r="7" spans="1:72" ht="15" thickBot="1" x14ac:dyDescent="0.35">
      <c r="A7" s="4" t="s">
        <v>80</v>
      </c>
      <c r="B7">
        <f>SUMIF(RawDataTotal!$B:$B,$A7,RawDataTotal!E:E)</f>
        <v>0</v>
      </c>
      <c r="C7">
        <f>SUMIF(RawDataTotal!$B:$B,$A7,RawDataTotal!F:F)</f>
        <v>0</v>
      </c>
      <c r="D7">
        <f>SUMIF(RawDataTotal!$B:$B,$A7,RawDataTotal!G:G)</f>
        <v>0</v>
      </c>
      <c r="E7">
        <f>SUMIF(RawDataTotal!$B:$B,$A7,RawDataTotal!H:H)</f>
        <v>0</v>
      </c>
      <c r="F7">
        <f>SUMIF(RawDataTotal!$B:$B,$A7,RawDataTotal!I:I)</f>
        <v>0</v>
      </c>
      <c r="G7">
        <f>SUMIF(RawDataTotal!$B:$B,$A7,RawDataTotal!J:J)</f>
        <v>1</v>
      </c>
      <c r="H7">
        <f>SUMIF(RawDataTotal!$B:$B,$A7,RawDataTotal!K:K)</f>
        <v>4</v>
      </c>
      <c r="I7">
        <f>SUMIF(RawDataTotal!$B:$B,$A7,RawDataTotal!L:L)</f>
        <v>4</v>
      </c>
      <c r="J7">
        <f>SUMIF(RawDataTotal!$B:$B,$A7,RawDataTotal!M:M)</f>
        <v>4</v>
      </c>
      <c r="K7">
        <f>SUMIF(RawDataTotal!$B:$B,$A7,RawDataTotal!N:N)</f>
        <v>5</v>
      </c>
      <c r="L7">
        <f>SUMIF(RawDataTotal!$B:$B,$A7,RawDataTotal!O:O)</f>
        <v>8</v>
      </c>
      <c r="M7">
        <f>SUMIF(RawDataTotal!$B:$B,$A7,RawDataTotal!P:P)</f>
        <v>10</v>
      </c>
      <c r="N7">
        <f>SUMIF(RawDataTotal!$B:$B,$A7,RawDataTotal!Q:Q)</f>
        <v>12</v>
      </c>
      <c r="O7">
        <f>SUMIF(RawDataTotal!$B:$B,$A7,RawDataTotal!R:R)</f>
        <v>12</v>
      </c>
      <c r="P7">
        <f>SUMIF(RawDataTotal!$B:$B,$A7,RawDataTotal!S:S)</f>
        <v>12</v>
      </c>
      <c r="Q7">
        <f>SUMIF(RawDataTotal!$B:$B,$A7,RawDataTotal!T:T)</f>
        <v>12</v>
      </c>
      <c r="R7">
        <f>SUMIF(RawDataTotal!$B:$B,$A7,RawDataTotal!U:U)</f>
        <v>13</v>
      </c>
      <c r="S7">
        <f>SUMIF(RawDataTotal!$B:$B,$A7,RawDataTotal!V:V)</f>
        <v>13</v>
      </c>
      <c r="T7">
        <f>SUMIF(RawDataTotal!$B:$B,$A7,RawDataTotal!W:W)</f>
        <v>14</v>
      </c>
      <c r="U7">
        <f>SUMIF(RawDataTotal!$B:$B,$A7,RawDataTotal!X:X)</f>
        <v>14</v>
      </c>
      <c r="V7">
        <f>SUMIF(RawDataTotal!$B:$B,$A7,RawDataTotal!Y:Y)</f>
        <v>16</v>
      </c>
      <c r="W7">
        <f>SUMIF(RawDataTotal!$B:$B,$A7,RawDataTotal!Z:Z)</f>
        <v>16</v>
      </c>
      <c r="X7">
        <f>SUMIF(RawDataTotal!$B:$B,$A7,RawDataTotal!AA:AA)</f>
        <v>16</v>
      </c>
      <c r="Y7">
        <f>SUMIF(RawDataTotal!$B:$B,$A7,RawDataTotal!AB:AB)</f>
        <v>16</v>
      </c>
      <c r="Z7">
        <f>SUMIF(RawDataTotal!$B:$B,$A7,RawDataTotal!AC:AC)</f>
        <v>16</v>
      </c>
      <c r="AA7">
        <f>SUMIF(RawDataTotal!$B:$B,$A7,RawDataTotal!AD:AD)</f>
        <v>16</v>
      </c>
      <c r="AB7">
        <f>SUMIF(RawDataTotal!$B:$B,$A7,RawDataTotal!AE:AE)</f>
        <v>16</v>
      </c>
      <c r="AC7">
        <f>SUMIF(RawDataTotal!$B:$B,$A7,RawDataTotal!AF:AF)</f>
        <v>16</v>
      </c>
      <c r="AD7">
        <f>SUMIF(RawDataTotal!$B:$B,$A7,RawDataTotal!AG:AG)</f>
        <v>16</v>
      </c>
      <c r="AE7">
        <f>SUMIF(RawDataTotal!$B:$B,$A7,RawDataTotal!AH:AH)</f>
        <v>16</v>
      </c>
      <c r="AF7">
        <f>SUMIF(RawDataTotal!$B:$B,$A7,RawDataTotal!AI:AI)</f>
        <v>16</v>
      </c>
      <c r="AG7">
        <f>SUMIF(RawDataTotal!$B:$B,$A7,RawDataTotal!AJ:AJ)</f>
        <v>16</v>
      </c>
      <c r="AH7">
        <f>SUMIF(RawDataTotal!$B:$B,$A7,RawDataTotal!AK:AK)</f>
        <v>16</v>
      </c>
      <c r="AI7">
        <f>SUMIF(RawDataTotal!$B:$B,$A7,RawDataTotal!AL:AL)</f>
        <v>16</v>
      </c>
      <c r="AJ7">
        <f>SUMIF(RawDataTotal!$B:$B,$A7,RawDataTotal!AM:AM)</f>
        <v>17</v>
      </c>
      <c r="AK7">
        <f>SUMIF(RawDataTotal!$B:$B,$A7,RawDataTotal!AN:AN)</f>
        <v>27</v>
      </c>
      <c r="AL7">
        <f>SUMIF(RawDataTotal!$B:$B,$A7,RawDataTotal!AO:AO)</f>
        <v>46</v>
      </c>
      <c r="AM7">
        <f>SUMIF(RawDataTotal!$B:$B,$A7,RawDataTotal!AP:AP)</f>
        <v>48</v>
      </c>
      <c r="AN7">
        <f>SUMIF(RawDataTotal!$B:$B,$A7,RawDataTotal!AQ:AQ)</f>
        <v>79</v>
      </c>
      <c r="AO7">
        <f>SUMIF(RawDataTotal!$B:$B,$A7,RawDataTotal!AR:AR)</f>
        <v>130</v>
      </c>
      <c r="AP7">
        <f>SUMIF(RawDataTotal!$B:$B,$A7,RawDataTotal!AS:AS)</f>
        <v>159</v>
      </c>
      <c r="AQ7">
        <f>SUMIF(RawDataTotal!$B:$B,$A7,RawDataTotal!AT:AT)</f>
        <v>196</v>
      </c>
      <c r="AR7">
        <f>SUMIF(RawDataTotal!$B:$B,$A7,RawDataTotal!AU:AU)</f>
        <v>262</v>
      </c>
      <c r="AS7">
        <f>SUMIF(RawDataTotal!$B:$B,$A7,RawDataTotal!AV:AV)</f>
        <v>482</v>
      </c>
      <c r="AT7">
        <f>SUMIF(RawDataTotal!$B:$B,$A7,RawDataTotal!AW:AW)</f>
        <v>670</v>
      </c>
      <c r="AU7">
        <f>SUMIF(RawDataTotal!$B:$B,$A7,RawDataTotal!AX:AX)</f>
        <v>799</v>
      </c>
      <c r="AV7">
        <f>SUMIF(RawDataTotal!$B:$B,$A7,RawDataTotal!AY:AY)</f>
        <v>1040</v>
      </c>
      <c r="AW7">
        <f>SUMIF(RawDataTotal!$B:$B,$A7,RawDataTotal!AZ:AZ)</f>
        <v>1176</v>
      </c>
      <c r="AX7">
        <f>SUMIF(RawDataTotal!$B:$B,$A7,RawDataTotal!BA:BA)</f>
        <v>1457</v>
      </c>
      <c r="AY7">
        <f>SUMIF(RawDataTotal!$B:$B,$A7,RawDataTotal!BB:BB)</f>
        <v>1908</v>
      </c>
      <c r="AZ7">
        <f>SUMIF(RawDataTotal!$B:$B,$A7,RawDataTotal!BC:BC)</f>
        <v>2078</v>
      </c>
      <c r="BA7">
        <f>SUMIF(RawDataTotal!$B:$B,$A7,RawDataTotal!BD:BD)</f>
        <v>3675</v>
      </c>
      <c r="BB7">
        <f>SUMIF(RawDataTotal!$B:$B,$A7,RawDataTotal!BE:BE)</f>
        <v>4585</v>
      </c>
      <c r="BC7">
        <f>SUMIF(RawDataTotal!$B:$B,$A7,RawDataTotal!BF:BF)</f>
        <v>5795</v>
      </c>
      <c r="BD7">
        <f>SUMIF(RawDataTotal!$B:$B,$A7,RawDataTotal!BG:BG)</f>
        <v>7272</v>
      </c>
      <c r="BE7">
        <f>SUMIF(RawDataTotal!$B:$B,$A7,RawDataTotal!BH:BH)</f>
        <v>9257</v>
      </c>
      <c r="BF7">
        <f>SUMIF(RawDataTotal!$B:$B,$A7,RawDataTotal!BI:BI)</f>
        <v>0</v>
      </c>
      <c r="BG7">
        <f>SUMIF(RawDataTotal!$B:$B,$A7,RawDataTotal!BJ:BJ)</f>
        <v>0</v>
      </c>
      <c r="BH7">
        <f>SUMIF(RawDataTotal!$B:$B,$A7,RawDataTotal!BK:BK)</f>
        <v>0</v>
      </c>
      <c r="BI7">
        <f>SUMIF(RawDataTotal!$B:$B,$A7,RawDataTotal!BL:BL)</f>
        <v>0</v>
      </c>
      <c r="BJ7">
        <f>SUMIF(RawDataTotal!$B:$B,$A7,RawDataTotal!BM:BM)</f>
        <v>0</v>
      </c>
      <c r="BK7">
        <f>SUMIF(RawDataTotal!$B:$B,$A7,RawDataTotal!BN:BN)</f>
        <v>0</v>
      </c>
      <c r="BL7">
        <f>SUMIF(RawDataTotal!$B:$B,$A7,RawDataTotal!BO:BO)</f>
        <v>0</v>
      </c>
      <c r="BM7">
        <f>SUMIF(RawDataTotal!$B:$B,$A7,RawDataTotal!BP:BP)</f>
        <v>0</v>
      </c>
      <c r="BN7">
        <f>SUMIF(RawDataTotal!$B:$B,$A7,RawDataTotal!BQ:BQ)</f>
        <v>0</v>
      </c>
      <c r="BO7">
        <f>SUMIF(RawDataTotal!$B:$B,$A7,RawDataTotal!BR:BR)</f>
        <v>0</v>
      </c>
      <c r="BP7">
        <f>SUMIF(RawDataTotal!$B:$B,$A7,RawDataTotal!BS:BS)</f>
        <v>0</v>
      </c>
      <c r="BQ7">
        <f>SUMIF(RawDataTotal!$B:$B,$A7,RawDataTotal!BT:BT)</f>
        <v>0</v>
      </c>
      <c r="BR7">
        <f>SUMIF(RawDataTotal!$B:$B,$A7,RawDataTotal!BU:BU)</f>
        <v>0</v>
      </c>
      <c r="BS7">
        <f>SUMIF(RawDataTotal!$B:$B,$A7,RawDataTotal!BV:BV)</f>
        <v>0</v>
      </c>
      <c r="BT7">
        <f>SUMIF(RawDataTotal!$B:$B,$A7,RawDataTotal!BW:BW)</f>
        <v>0</v>
      </c>
    </row>
    <row r="8" spans="1:72" ht="15" thickBot="1" x14ac:dyDescent="0.35">
      <c r="A8" s="4" t="s">
        <v>68</v>
      </c>
      <c r="B8">
        <f>SUMIF(RawDataTotal!$B:$B,$A8,RawDataTotal!E:E)</f>
        <v>0</v>
      </c>
      <c r="C8">
        <f>SUMIF(RawDataTotal!$B:$B,$A8,RawDataTotal!F:F)</f>
        <v>0</v>
      </c>
      <c r="D8">
        <f>SUMIF(RawDataTotal!$B:$B,$A8,RawDataTotal!G:G)</f>
        <v>2</v>
      </c>
      <c r="E8">
        <f>SUMIF(RawDataTotal!$B:$B,$A8,RawDataTotal!H:H)</f>
        <v>3</v>
      </c>
      <c r="F8">
        <f>SUMIF(RawDataTotal!$B:$B,$A8,RawDataTotal!I:I)</f>
        <v>3</v>
      </c>
      <c r="G8">
        <f>SUMIF(RawDataTotal!$B:$B,$A8,RawDataTotal!J:J)</f>
        <v>3</v>
      </c>
      <c r="H8">
        <f>SUMIF(RawDataTotal!$B:$B,$A8,RawDataTotal!K:K)</f>
        <v>4</v>
      </c>
      <c r="I8">
        <f>SUMIF(RawDataTotal!$B:$B,$A8,RawDataTotal!L:L)</f>
        <v>5</v>
      </c>
      <c r="J8">
        <f>SUMIF(RawDataTotal!$B:$B,$A8,RawDataTotal!M:M)</f>
        <v>5</v>
      </c>
      <c r="K8">
        <f>SUMIF(RawDataTotal!$B:$B,$A8,RawDataTotal!N:N)</f>
        <v>5</v>
      </c>
      <c r="L8">
        <f>SUMIF(RawDataTotal!$B:$B,$A8,RawDataTotal!O:O)</f>
        <v>6</v>
      </c>
      <c r="M8">
        <f>SUMIF(RawDataTotal!$B:$B,$A8,RawDataTotal!P:P)</f>
        <v>6</v>
      </c>
      <c r="N8">
        <f>SUMIF(RawDataTotal!$B:$B,$A8,RawDataTotal!Q:Q)</f>
        <v>6</v>
      </c>
      <c r="O8">
        <f>SUMIF(RawDataTotal!$B:$B,$A8,RawDataTotal!R:R)</f>
        <v>6</v>
      </c>
      <c r="P8">
        <f>SUMIF(RawDataTotal!$B:$B,$A8,RawDataTotal!S:S)</f>
        <v>6</v>
      </c>
      <c r="Q8">
        <f>SUMIF(RawDataTotal!$B:$B,$A8,RawDataTotal!T:T)</f>
        <v>6</v>
      </c>
      <c r="R8">
        <f>SUMIF(RawDataTotal!$B:$B,$A8,RawDataTotal!U:U)</f>
        <v>6</v>
      </c>
      <c r="S8">
        <f>SUMIF(RawDataTotal!$B:$B,$A8,RawDataTotal!V:V)</f>
        <v>11</v>
      </c>
      <c r="T8">
        <f>SUMIF(RawDataTotal!$B:$B,$A8,RawDataTotal!W:W)</f>
        <v>11</v>
      </c>
      <c r="U8">
        <f>SUMIF(RawDataTotal!$B:$B,$A8,RawDataTotal!X:X)</f>
        <v>11</v>
      </c>
      <c r="V8">
        <f>SUMIF(RawDataTotal!$B:$B,$A8,RawDataTotal!Y:Y)</f>
        <v>11</v>
      </c>
      <c r="W8">
        <f>SUMIF(RawDataTotal!$B:$B,$A8,RawDataTotal!Z:Z)</f>
        <v>11</v>
      </c>
      <c r="X8">
        <f>SUMIF(RawDataTotal!$B:$B,$A8,RawDataTotal!AA:AA)</f>
        <v>11</v>
      </c>
      <c r="Y8">
        <f>SUMIF(RawDataTotal!$B:$B,$A8,RawDataTotal!AB:AB)</f>
        <v>11</v>
      </c>
      <c r="Z8">
        <f>SUMIF(RawDataTotal!$B:$B,$A8,RawDataTotal!AC:AC)</f>
        <v>12</v>
      </c>
      <c r="AA8">
        <f>SUMIF(RawDataTotal!$B:$B,$A8,RawDataTotal!AD:AD)</f>
        <v>12</v>
      </c>
      <c r="AB8">
        <f>SUMIF(RawDataTotal!$B:$B,$A8,RawDataTotal!AE:AE)</f>
        <v>12</v>
      </c>
      <c r="AC8">
        <f>SUMIF(RawDataTotal!$B:$B,$A8,RawDataTotal!AF:AF)</f>
        <v>12</v>
      </c>
      <c r="AD8">
        <f>SUMIF(RawDataTotal!$B:$B,$A8,RawDataTotal!AG:AG)</f>
        <v>12</v>
      </c>
      <c r="AE8">
        <f>SUMIF(RawDataTotal!$B:$B,$A8,RawDataTotal!AH:AH)</f>
        <v>12</v>
      </c>
      <c r="AF8">
        <f>SUMIF(RawDataTotal!$B:$B,$A8,RawDataTotal!AI:AI)</f>
        <v>12</v>
      </c>
      <c r="AG8">
        <f>SUMIF(RawDataTotal!$B:$B,$A8,RawDataTotal!AJ:AJ)</f>
        <v>12</v>
      </c>
      <c r="AH8">
        <f>SUMIF(RawDataTotal!$B:$B,$A8,RawDataTotal!AK:AK)</f>
        <v>12</v>
      </c>
      <c r="AI8">
        <f>SUMIF(RawDataTotal!$B:$B,$A8,RawDataTotal!AL:AL)</f>
        <v>12</v>
      </c>
      <c r="AJ8">
        <f>SUMIF(RawDataTotal!$B:$B,$A8,RawDataTotal!AM:AM)</f>
        <v>14</v>
      </c>
      <c r="AK8">
        <f>SUMIF(RawDataTotal!$B:$B,$A8,RawDataTotal!AN:AN)</f>
        <v>18</v>
      </c>
      <c r="AL8">
        <f>SUMIF(RawDataTotal!$B:$B,$A8,RawDataTotal!AO:AO)</f>
        <v>38</v>
      </c>
      <c r="AM8">
        <f>SUMIF(RawDataTotal!$B:$B,$A8,RawDataTotal!AP:AP)</f>
        <v>57</v>
      </c>
      <c r="AN8">
        <f>SUMIF(RawDataTotal!$B:$B,$A8,RawDataTotal!AQ:AQ)</f>
        <v>100</v>
      </c>
      <c r="AO8">
        <f>SUMIF(RawDataTotal!$B:$B,$A8,RawDataTotal!AR:AR)</f>
        <v>130</v>
      </c>
      <c r="AP8">
        <f>SUMIF(RawDataTotal!$B:$B,$A8,RawDataTotal!AS:AS)</f>
        <v>191</v>
      </c>
      <c r="AQ8">
        <f>SUMIF(RawDataTotal!$B:$B,$A8,RawDataTotal!AT:AT)</f>
        <v>204</v>
      </c>
      <c r="AR8">
        <f>SUMIF(RawDataTotal!$B:$B,$A8,RawDataTotal!AU:AU)</f>
        <v>288</v>
      </c>
      <c r="AS8">
        <f>SUMIF(RawDataTotal!$B:$B,$A8,RawDataTotal!AV:AV)</f>
        <v>380</v>
      </c>
      <c r="AT8">
        <f>SUMIF(RawDataTotal!$B:$B,$A8,RawDataTotal!AW:AW)</f>
        <v>656</v>
      </c>
      <c r="AU8">
        <f>SUMIF(RawDataTotal!$B:$B,$A8,RawDataTotal!AX:AX)</f>
        <v>957</v>
      </c>
      <c r="AV8">
        <f>SUMIF(RawDataTotal!$B:$B,$A8,RawDataTotal!AY:AY)</f>
        <v>1134</v>
      </c>
      <c r="AW8">
        <f>SUMIF(RawDataTotal!$B:$B,$A8,RawDataTotal!AZ:AZ)</f>
        <v>1217</v>
      </c>
      <c r="AX8">
        <f>SUMIF(RawDataTotal!$B:$B,$A8,RawDataTotal!BA:BA)</f>
        <v>1792</v>
      </c>
      <c r="AY8">
        <f>SUMIF(RawDataTotal!$B:$B,$A8,RawDataTotal!BB:BB)</f>
        <v>2290</v>
      </c>
      <c r="AZ8">
        <f>SUMIF(RawDataTotal!$B:$B,$A8,RawDataTotal!BC:BC)</f>
        <v>2290</v>
      </c>
      <c r="BA8">
        <f>SUMIF(RawDataTotal!$B:$B,$A8,RawDataTotal!BD:BD)</f>
        <v>3678</v>
      </c>
      <c r="BB8">
        <f>SUMIF(RawDataTotal!$B:$B,$A8,RawDataTotal!BE:BE)</f>
        <v>4487</v>
      </c>
      <c r="BC8">
        <f>SUMIF(RawDataTotal!$B:$B,$A8,RawDataTotal!BF:BF)</f>
        <v>4523</v>
      </c>
      <c r="BD8">
        <f>SUMIF(RawDataTotal!$B:$B,$A8,RawDataTotal!BG:BG)</f>
        <v>6668</v>
      </c>
      <c r="BE8">
        <f>SUMIF(RawDataTotal!$B:$B,$A8,RawDataTotal!BH:BH)</f>
        <v>7699</v>
      </c>
      <c r="BF8">
        <f>SUMIF(RawDataTotal!$B:$B,$A8,RawDataTotal!BI:BI)</f>
        <v>0</v>
      </c>
      <c r="BG8">
        <f>SUMIF(RawDataTotal!$B:$B,$A8,RawDataTotal!BJ:BJ)</f>
        <v>0</v>
      </c>
      <c r="BH8">
        <f>SUMIF(RawDataTotal!$B:$B,$A8,RawDataTotal!BK:BK)</f>
        <v>0</v>
      </c>
      <c r="BI8">
        <f>SUMIF(RawDataTotal!$B:$B,$A8,RawDataTotal!BL:BL)</f>
        <v>0</v>
      </c>
      <c r="BJ8">
        <f>SUMIF(RawDataTotal!$B:$B,$A8,RawDataTotal!BM:BM)</f>
        <v>0</v>
      </c>
      <c r="BK8">
        <f>SUMIF(RawDataTotal!$B:$B,$A8,RawDataTotal!BN:BN)</f>
        <v>0</v>
      </c>
      <c r="BL8">
        <f>SUMIF(RawDataTotal!$B:$B,$A8,RawDataTotal!BO:BO)</f>
        <v>0</v>
      </c>
      <c r="BM8">
        <f>SUMIF(RawDataTotal!$B:$B,$A8,RawDataTotal!BP:BP)</f>
        <v>0</v>
      </c>
      <c r="BN8">
        <f>SUMIF(RawDataTotal!$B:$B,$A8,RawDataTotal!BQ:BQ)</f>
        <v>0</v>
      </c>
      <c r="BO8">
        <f>SUMIF(RawDataTotal!$B:$B,$A8,RawDataTotal!BR:BR)</f>
        <v>0</v>
      </c>
      <c r="BP8">
        <f>SUMIF(RawDataTotal!$B:$B,$A8,RawDataTotal!BS:BS)</f>
        <v>0</v>
      </c>
      <c r="BQ8">
        <f>SUMIF(RawDataTotal!$B:$B,$A8,RawDataTotal!BT:BT)</f>
        <v>0</v>
      </c>
      <c r="BR8">
        <f>SUMIF(RawDataTotal!$B:$B,$A8,RawDataTotal!BU:BU)</f>
        <v>0</v>
      </c>
      <c r="BS8">
        <f>SUMIF(RawDataTotal!$B:$B,$A8,RawDataTotal!BV:BV)</f>
        <v>0</v>
      </c>
      <c r="BT8">
        <f>SUMIF(RawDataTotal!$B:$B,$A8,RawDataTotal!BW:BW)</f>
        <v>0</v>
      </c>
    </row>
    <row r="9" spans="1:72" ht="15" thickBot="1" x14ac:dyDescent="0.35">
      <c r="A9" s="3" t="s">
        <v>65</v>
      </c>
      <c r="B9">
        <f>SUMIF(RawDataTotal!$B:$B,$A9,RawDataTotal!E:E)</f>
        <v>1</v>
      </c>
      <c r="C9">
        <f>SUMIF(RawDataTotal!$B:$B,$A9,RawDataTotal!F:F)</f>
        <v>1</v>
      </c>
      <c r="D9">
        <f>SUMIF(RawDataTotal!$B:$B,$A9,RawDataTotal!G:G)</f>
        <v>2</v>
      </c>
      <c r="E9">
        <f>SUMIF(RawDataTotal!$B:$B,$A9,RawDataTotal!H:H)</f>
        <v>2</v>
      </c>
      <c r="F9">
        <f>SUMIF(RawDataTotal!$B:$B,$A9,RawDataTotal!I:I)</f>
        <v>5</v>
      </c>
      <c r="G9">
        <f>SUMIF(RawDataTotal!$B:$B,$A9,RawDataTotal!J:J)</f>
        <v>5</v>
      </c>
      <c r="H9">
        <f>SUMIF(RawDataTotal!$B:$B,$A9,RawDataTotal!K:K)</f>
        <v>5</v>
      </c>
      <c r="I9">
        <f>SUMIF(RawDataTotal!$B:$B,$A9,RawDataTotal!L:L)</f>
        <v>5</v>
      </c>
      <c r="J9">
        <f>SUMIF(RawDataTotal!$B:$B,$A9,RawDataTotal!M:M)</f>
        <v>5</v>
      </c>
      <c r="K9">
        <f>SUMIF(RawDataTotal!$B:$B,$A9,RawDataTotal!N:N)</f>
        <v>7</v>
      </c>
      <c r="L9">
        <f>SUMIF(RawDataTotal!$B:$B,$A9,RawDataTotal!O:O)</f>
        <v>8</v>
      </c>
      <c r="M9">
        <f>SUMIF(RawDataTotal!$B:$B,$A9,RawDataTotal!P:P)</f>
        <v>8</v>
      </c>
      <c r="N9">
        <f>SUMIF(RawDataTotal!$B:$B,$A9,RawDataTotal!Q:Q)</f>
        <v>11</v>
      </c>
      <c r="O9">
        <f>SUMIF(RawDataTotal!$B:$B,$A9,RawDataTotal!R:R)</f>
        <v>11</v>
      </c>
      <c r="P9">
        <f>SUMIF(RawDataTotal!$B:$B,$A9,RawDataTotal!S:S)</f>
        <v>11</v>
      </c>
      <c r="Q9">
        <f>SUMIF(RawDataTotal!$B:$B,$A9,RawDataTotal!T:T)</f>
        <v>11</v>
      </c>
      <c r="R9">
        <f>SUMIF(RawDataTotal!$B:$B,$A9,RawDataTotal!U:U)</f>
        <v>11</v>
      </c>
      <c r="S9">
        <f>SUMIF(RawDataTotal!$B:$B,$A9,RawDataTotal!V:V)</f>
        <v>11</v>
      </c>
      <c r="T9">
        <f>SUMIF(RawDataTotal!$B:$B,$A9,RawDataTotal!W:W)</f>
        <v>11</v>
      </c>
      <c r="U9">
        <f>SUMIF(RawDataTotal!$B:$B,$A9,RawDataTotal!X:X)</f>
        <v>11</v>
      </c>
      <c r="V9">
        <f>SUMIF(RawDataTotal!$B:$B,$A9,RawDataTotal!Y:Y)</f>
        <v>12</v>
      </c>
      <c r="W9">
        <f>SUMIF(RawDataTotal!$B:$B,$A9,RawDataTotal!Z:Z)</f>
        <v>12</v>
      </c>
      <c r="X9">
        <f>SUMIF(RawDataTotal!$B:$B,$A9,RawDataTotal!AA:AA)</f>
        <v>13</v>
      </c>
      <c r="Y9">
        <f>SUMIF(RawDataTotal!$B:$B,$A9,RawDataTotal!AB:AB)</f>
        <v>13</v>
      </c>
      <c r="Z9">
        <f>SUMIF(RawDataTotal!$B:$B,$A9,RawDataTotal!AC:AC)</f>
        <v>13</v>
      </c>
      <c r="AA9">
        <f>SUMIF(RawDataTotal!$B:$B,$A9,RawDataTotal!AD:AD)</f>
        <v>13</v>
      </c>
      <c r="AB9">
        <f>SUMIF(RawDataTotal!$B:$B,$A9,RawDataTotal!AE:AE)</f>
        <v>13</v>
      </c>
      <c r="AC9">
        <f>SUMIF(RawDataTotal!$B:$B,$A9,RawDataTotal!AF:AF)</f>
        <v>13</v>
      </c>
      <c r="AD9">
        <f>SUMIF(RawDataTotal!$B:$B,$A9,RawDataTotal!AG:AG)</f>
        <v>13</v>
      </c>
      <c r="AE9">
        <f>SUMIF(RawDataTotal!$B:$B,$A9,RawDataTotal!AH:AH)</f>
        <v>13</v>
      </c>
      <c r="AF9">
        <f>SUMIF(RawDataTotal!$B:$B,$A9,RawDataTotal!AI:AI)</f>
        <v>15</v>
      </c>
      <c r="AG9">
        <f>SUMIF(RawDataTotal!$B:$B,$A9,RawDataTotal!AJ:AJ)</f>
        <v>15</v>
      </c>
      <c r="AH9">
        <f>SUMIF(RawDataTotal!$B:$B,$A9,RawDataTotal!AK:AK)</f>
        <v>15</v>
      </c>
      <c r="AI9">
        <f>SUMIF(RawDataTotal!$B:$B,$A9,RawDataTotal!AL:AL)</f>
        <v>51</v>
      </c>
      <c r="AJ9">
        <f>SUMIF(RawDataTotal!$B:$B,$A9,RawDataTotal!AM:AM)</f>
        <v>51</v>
      </c>
      <c r="AK9">
        <f>SUMIF(RawDataTotal!$B:$B,$A9,RawDataTotal!AN:AN)</f>
        <v>57</v>
      </c>
      <c r="AL9">
        <f>SUMIF(RawDataTotal!$B:$B,$A9,RawDataTotal!AO:AO)</f>
        <v>58</v>
      </c>
      <c r="AM9">
        <f>SUMIF(RawDataTotal!$B:$B,$A9,RawDataTotal!AP:AP)</f>
        <v>60</v>
      </c>
      <c r="AN9">
        <f>SUMIF(RawDataTotal!$B:$B,$A9,RawDataTotal!AQ:AQ)</f>
        <v>68</v>
      </c>
      <c r="AO9">
        <f>SUMIF(RawDataTotal!$B:$B,$A9,RawDataTotal!AR:AR)</f>
        <v>74</v>
      </c>
      <c r="AP9">
        <f>SUMIF(RawDataTotal!$B:$B,$A9,RawDataTotal!AS:AS)</f>
        <v>98</v>
      </c>
      <c r="AQ9">
        <f>SUMIF(RawDataTotal!$B:$B,$A9,RawDataTotal!AT:AT)</f>
        <v>118</v>
      </c>
      <c r="AR9">
        <f>SUMIF(RawDataTotal!$B:$B,$A9,RawDataTotal!AU:AU)</f>
        <v>149</v>
      </c>
      <c r="AS9">
        <f>SUMIF(RawDataTotal!$B:$B,$A9,RawDataTotal!AV:AV)</f>
        <v>217</v>
      </c>
      <c r="AT9">
        <f>SUMIF(RawDataTotal!$B:$B,$A9,RawDataTotal!AW:AW)</f>
        <v>262</v>
      </c>
      <c r="AU9">
        <f>SUMIF(RawDataTotal!$B:$B,$A9,RawDataTotal!AX:AX)</f>
        <v>402</v>
      </c>
      <c r="AV9">
        <f>SUMIF(RawDataTotal!$B:$B,$A9,RawDataTotal!AY:AY)</f>
        <v>518</v>
      </c>
      <c r="AW9">
        <f>SUMIF(RawDataTotal!$B:$B,$A9,RawDataTotal!AZ:AZ)</f>
        <v>583</v>
      </c>
      <c r="AX9">
        <f>SUMIF(RawDataTotal!$B:$B,$A9,RawDataTotal!BA:BA)</f>
        <v>959</v>
      </c>
      <c r="AY9">
        <f>SUMIF(RawDataTotal!$B:$B,$A9,RawDataTotal!BB:BB)</f>
        <v>1281</v>
      </c>
      <c r="AZ9">
        <f>SUMIF(RawDataTotal!$B:$B,$A9,RawDataTotal!BC:BC)</f>
        <v>1663</v>
      </c>
      <c r="BA9">
        <f>SUMIF(RawDataTotal!$B:$B,$A9,RawDataTotal!BD:BD)</f>
        <v>2179</v>
      </c>
      <c r="BB9">
        <f>SUMIF(RawDataTotal!$B:$B,$A9,RawDataTotal!BE:BE)</f>
        <v>2728</v>
      </c>
      <c r="BC9">
        <f>SUMIF(RawDataTotal!$B:$B,$A9,RawDataTotal!BF:BF)</f>
        <v>3500</v>
      </c>
      <c r="BD9">
        <f>SUMIF(RawDataTotal!$B:$B,$A9,RawDataTotal!BG:BG)</f>
        <v>4633</v>
      </c>
      <c r="BE9">
        <f>SUMIF(RawDataTotal!$B:$B,$A9,RawDataTotal!BH:BH)</f>
        <v>6421</v>
      </c>
      <c r="BF9">
        <f>SUMIF(RawDataTotal!$B:$B,$A9,RawDataTotal!BI:BI)</f>
        <v>0</v>
      </c>
      <c r="BG9">
        <f>SUMIF(RawDataTotal!$B:$B,$A9,RawDataTotal!BJ:BJ)</f>
        <v>0</v>
      </c>
      <c r="BH9">
        <f>SUMIF(RawDataTotal!$B:$B,$A9,RawDataTotal!BK:BK)</f>
        <v>0</v>
      </c>
      <c r="BI9">
        <f>SUMIF(RawDataTotal!$B:$B,$A9,RawDataTotal!BL:BL)</f>
        <v>0</v>
      </c>
      <c r="BJ9">
        <f>SUMIF(RawDataTotal!$B:$B,$A9,RawDataTotal!BM:BM)</f>
        <v>0</v>
      </c>
      <c r="BK9">
        <f>SUMIF(RawDataTotal!$B:$B,$A9,RawDataTotal!BN:BN)</f>
        <v>0</v>
      </c>
      <c r="BL9">
        <f>SUMIF(RawDataTotal!$B:$B,$A9,RawDataTotal!BO:BO)</f>
        <v>0</v>
      </c>
      <c r="BM9">
        <f>SUMIF(RawDataTotal!$B:$B,$A9,RawDataTotal!BP:BP)</f>
        <v>0</v>
      </c>
      <c r="BN9">
        <f>SUMIF(RawDataTotal!$B:$B,$A9,RawDataTotal!BQ:BQ)</f>
        <v>0</v>
      </c>
      <c r="BO9">
        <f>SUMIF(RawDataTotal!$B:$B,$A9,RawDataTotal!BR:BR)</f>
        <v>0</v>
      </c>
      <c r="BP9">
        <f>SUMIF(RawDataTotal!$B:$B,$A9,RawDataTotal!BS:BS)</f>
        <v>0</v>
      </c>
      <c r="BQ9">
        <f>SUMIF(RawDataTotal!$B:$B,$A9,RawDataTotal!BT:BT)</f>
        <v>0</v>
      </c>
      <c r="BR9">
        <f>SUMIF(RawDataTotal!$B:$B,$A9,RawDataTotal!BU:BU)</f>
        <v>0</v>
      </c>
      <c r="BS9">
        <f>SUMIF(RawDataTotal!$B:$B,$A9,RawDataTotal!BV:BV)</f>
        <v>0</v>
      </c>
      <c r="BT9">
        <f>SUMIF(RawDataTotal!$B:$B,$A9,RawDataTotal!BW:BW)</f>
        <v>0</v>
      </c>
    </row>
    <row r="10" spans="1:72" ht="15" thickBot="1" x14ac:dyDescent="0.35">
      <c r="A10" s="4" t="s">
        <v>104</v>
      </c>
      <c r="B10">
        <f>SUMIF(RawDataTotal!$B:$B,$A10,RawDataTotal!E:E)</f>
        <v>0</v>
      </c>
      <c r="C10">
        <f>SUMIF(RawDataTotal!$B:$B,$A10,RawDataTotal!F:F)</f>
        <v>0</v>
      </c>
      <c r="D10">
        <f>SUMIF(RawDataTotal!$B:$B,$A10,RawDataTotal!G:G)</f>
        <v>0</v>
      </c>
      <c r="E10">
        <f>SUMIF(RawDataTotal!$B:$B,$A10,RawDataTotal!H:H)</f>
        <v>0</v>
      </c>
      <c r="F10">
        <f>SUMIF(RawDataTotal!$B:$B,$A10,RawDataTotal!I:I)</f>
        <v>0</v>
      </c>
      <c r="G10">
        <f>SUMIF(RawDataTotal!$B:$B,$A10,RawDataTotal!J:J)</f>
        <v>0</v>
      </c>
      <c r="H10">
        <f>SUMIF(RawDataTotal!$B:$B,$A10,RawDataTotal!K:K)</f>
        <v>0</v>
      </c>
      <c r="I10">
        <f>SUMIF(RawDataTotal!$B:$B,$A10,RawDataTotal!L:L)</f>
        <v>0</v>
      </c>
      <c r="J10">
        <f>SUMIF(RawDataTotal!$B:$B,$A10,RawDataTotal!M:M)</f>
        <v>0</v>
      </c>
      <c r="K10">
        <f>SUMIF(RawDataTotal!$B:$B,$A10,RawDataTotal!N:N)</f>
        <v>0</v>
      </c>
      <c r="L10">
        <f>SUMIF(RawDataTotal!$B:$B,$A10,RawDataTotal!O:O)</f>
        <v>0</v>
      </c>
      <c r="M10">
        <f>SUMIF(RawDataTotal!$B:$B,$A10,RawDataTotal!P:P)</f>
        <v>0</v>
      </c>
      <c r="N10">
        <f>SUMIF(RawDataTotal!$B:$B,$A10,RawDataTotal!Q:Q)</f>
        <v>0</v>
      </c>
      <c r="O10">
        <f>SUMIF(RawDataTotal!$B:$B,$A10,RawDataTotal!R:R)</f>
        <v>0</v>
      </c>
      <c r="P10">
        <f>SUMIF(RawDataTotal!$B:$B,$A10,RawDataTotal!S:S)</f>
        <v>0</v>
      </c>
      <c r="Q10">
        <f>SUMIF(RawDataTotal!$B:$B,$A10,RawDataTotal!T:T)</f>
        <v>0</v>
      </c>
      <c r="R10">
        <f>SUMIF(RawDataTotal!$B:$B,$A10,RawDataTotal!U:U)</f>
        <v>0</v>
      </c>
      <c r="S10">
        <f>SUMIF(RawDataTotal!$B:$B,$A10,RawDataTotal!V:V)</f>
        <v>0</v>
      </c>
      <c r="T10">
        <f>SUMIF(RawDataTotal!$B:$B,$A10,RawDataTotal!W:W)</f>
        <v>0</v>
      </c>
      <c r="U10">
        <f>SUMIF(RawDataTotal!$B:$B,$A10,RawDataTotal!X:X)</f>
        <v>0</v>
      </c>
      <c r="V10">
        <f>SUMIF(RawDataTotal!$B:$B,$A10,RawDataTotal!Y:Y)</f>
        <v>0</v>
      </c>
      <c r="W10">
        <f>SUMIF(RawDataTotal!$B:$B,$A10,RawDataTotal!Z:Z)</f>
        <v>0</v>
      </c>
      <c r="X10">
        <f>SUMIF(RawDataTotal!$B:$B,$A10,RawDataTotal!AA:AA)</f>
        <v>0</v>
      </c>
      <c r="Y10">
        <f>SUMIF(RawDataTotal!$B:$B,$A10,RawDataTotal!AB:AB)</f>
        <v>0</v>
      </c>
      <c r="Z10">
        <f>SUMIF(RawDataTotal!$B:$B,$A10,RawDataTotal!AC:AC)</f>
        <v>0</v>
      </c>
      <c r="AA10">
        <f>SUMIF(RawDataTotal!$B:$B,$A10,RawDataTotal!AD:AD)</f>
        <v>0</v>
      </c>
      <c r="AB10">
        <f>SUMIF(RawDataTotal!$B:$B,$A10,RawDataTotal!AE:AE)</f>
        <v>0</v>
      </c>
      <c r="AC10">
        <f>SUMIF(RawDataTotal!$B:$B,$A10,RawDataTotal!AF:AF)</f>
        <v>0</v>
      </c>
      <c r="AD10">
        <f>SUMIF(RawDataTotal!$B:$B,$A10,RawDataTotal!AG:AG)</f>
        <v>0</v>
      </c>
      <c r="AE10">
        <f>SUMIF(RawDataTotal!$B:$B,$A10,RawDataTotal!AH:AH)</f>
        <v>0</v>
      </c>
      <c r="AF10">
        <f>SUMIF(RawDataTotal!$B:$B,$A10,RawDataTotal!AI:AI)</f>
        <v>0</v>
      </c>
      <c r="AG10">
        <f>SUMIF(RawDataTotal!$B:$B,$A10,RawDataTotal!AJ:AJ)</f>
        <v>0</v>
      </c>
      <c r="AH10">
        <f>SUMIF(RawDataTotal!$B:$B,$A10,RawDataTotal!AK:AK)</f>
        <v>0</v>
      </c>
      <c r="AI10">
        <f>SUMIF(RawDataTotal!$B:$B,$A10,RawDataTotal!AL:AL)</f>
        <v>0</v>
      </c>
      <c r="AJ10">
        <f>SUMIF(RawDataTotal!$B:$B,$A10,RawDataTotal!AM:AM)</f>
        <v>1</v>
      </c>
      <c r="AK10">
        <f>SUMIF(RawDataTotal!$B:$B,$A10,RawDataTotal!AN:AN)</f>
        <v>1</v>
      </c>
      <c r="AL10">
        <f>SUMIF(RawDataTotal!$B:$B,$A10,RawDataTotal!AO:AO)</f>
        <v>8</v>
      </c>
      <c r="AM10">
        <f>SUMIF(RawDataTotal!$B:$B,$A10,RawDataTotal!AP:AP)</f>
        <v>8</v>
      </c>
      <c r="AN10">
        <f>SUMIF(RawDataTotal!$B:$B,$A10,RawDataTotal!AQ:AQ)</f>
        <v>18</v>
      </c>
      <c r="AO10">
        <f>SUMIF(RawDataTotal!$B:$B,$A10,RawDataTotal!AR:AR)</f>
        <v>27</v>
      </c>
      <c r="AP10">
        <f>SUMIF(RawDataTotal!$B:$B,$A10,RawDataTotal!AS:AS)</f>
        <v>42</v>
      </c>
      <c r="AQ10">
        <f>SUMIF(RawDataTotal!$B:$B,$A10,RawDataTotal!AT:AT)</f>
        <v>56</v>
      </c>
      <c r="AR10">
        <f>SUMIF(RawDataTotal!$B:$B,$A10,RawDataTotal!AU:AU)</f>
        <v>90</v>
      </c>
      <c r="AS10">
        <f>SUMIF(RawDataTotal!$B:$B,$A10,RawDataTotal!AV:AV)</f>
        <v>114</v>
      </c>
      <c r="AT10">
        <f>SUMIF(RawDataTotal!$B:$B,$A10,RawDataTotal!AW:AW)</f>
        <v>214</v>
      </c>
      <c r="AU10">
        <f>SUMIF(RawDataTotal!$B:$B,$A10,RawDataTotal!AX:AX)</f>
        <v>268</v>
      </c>
      <c r="AV10">
        <f>SUMIF(RawDataTotal!$B:$B,$A10,RawDataTotal!AY:AY)</f>
        <v>337</v>
      </c>
      <c r="AW10">
        <f>SUMIF(RawDataTotal!$B:$B,$A10,RawDataTotal!AZ:AZ)</f>
        <v>374</v>
      </c>
      <c r="AX10">
        <f>SUMIF(RawDataTotal!$B:$B,$A10,RawDataTotal!BA:BA)</f>
        <v>491</v>
      </c>
      <c r="AY10">
        <f>SUMIF(RawDataTotal!$B:$B,$A10,RawDataTotal!BB:BB)</f>
        <v>652</v>
      </c>
      <c r="AZ10">
        <f>SUMIF(RawDataTotal!$B:$B,$A10,RawDataTotal!BC:BC)</f>
        <v>652</v>
      </c>
      <c r="BA10">
        <f>SUMIF(RawDataTotal!$B:$B,$A10,RawDataTotal!BD:BD)</f>
        <v>1139</v>
      </c>
      <c r="BB10">
        <f>SUMIF(RawDataTotal!$B:$B,$A10,RawDataTotal!BE:BE)</f>
        <v>1359</v>
      </c>
      <c r="BC10">
        <f>SUMIF(RawDataTotal!$B:$B,$A10,RawDataTotal!BF:BF)</f>
        <v>2200</v>
      </c>
      <c r="BD10">
        <f>SUMIF(RawDataTotal!$B:$B,$A10,RawDataTotal!BG:BG)</f>
        <v>2200</v>
      </c>
      <c r="BE10">
        <f>SUMIF(RawDataTotal!$B:$B,$A10,RawDataTotal!BH:BH)</f>
        <v>2700</v>
      </c>
      <c r="BF10">
        <f>SUMIF(RawDataTotal!$B:$B,$A10,RawDataTotal!BI:BI)</f>
        <v>0</v>
      </c>
      <c r="BG10">
        <f>SUMIF(RawDataTotal!$B:$B,$A10,RawDataTotal!BJ:BJ)</f>
        <v>0</v>
      </c>
      <c r="BH10">
        <f>SUMIF(RawDataTotal!$B:$B,$A10,RawDataTotal!BK:BK)</f>
        <v>0</v>
      </c>
      <c r="BI10">
        <f>SUMIF(RawDataTotal!$B:$B,$A10,RawDataTotal!BL:BL)</f>
        <v>0</v>
      </c>
      <c r="BJ10">
        <f>SUMIF(RawDataTotal!$B:$B,$A10,RawDataTotal!BM:BM)</f>
        <v>0</v>
      </c>
      <c r="BK10">
        <f>SUMIF(RawDataTotal!$B:$B,$A10,RawDataTotal!BN:BN)</f>
        <v>0</v>
      </c>
      <c r="BL10">
        <f>SUMIF(RawDataTotal!$B:$B,$A10,RawDataTotal!BO:BO)</f>
        <v>0</v>
      </c>
      <c r="BM10">
        <f>SUMIF(RawDataTotal!$B:$B,$A10,RawDataTotal!BP:BP)</f>
        <v>0</v>
      </c>
      <c r="BN10">
        <f>SUMIF(RawDataTotal!$B:$B,$A10,RawDataTotal!BQ:BQ)</f>
        <v>0</v>
      </c>
      <c r="BO10">
        <f>SUMIF(RawDataTotal!$B:$B,$A10,RawDataTotal!BR:BR)</f>
        <v>0</v>
      </c>
      <c r="BP10">
        <f>SUMIF(RawDataTotal!$B:$B,$A10,RawDataTotal!BS:BS)</f>
        <v>0</v>
      </c>
      <c r="BQ10">
        <f>SUMIF(RawDataTotal!$B:$B,$A10,RawDataTotal!BT:BT)</f>
        <v>0</v>
      </c>
      <c r="BR10">
        <f>SUMIF(RawDataTotal!$B:$B,$A10,RawDataTotal!BU:BU)</f>
        <v>0</v>
      </c>
      <c r="BS10">
        <f>SUMIF(RawDataTotal!$B:$B,$A10,RawDataTotal!BV:BV)</f>
        <v>0</v>
      </c>
      <c r="BT10">
        <f>SUMIF(RawDataTotal!$B:$B,$A10,RawDataTotal!BW:BW)</f>
        <v>0</v>
      </c>
    </row>
    <row r="11" spans="1:72" ht="15" thickBot="1" x14ac:dyDescent="0.35">
      <c r="A11" s="4" t="s">
        <v>112</v>
      </c>
      <c r="B11">
        <f>SUMIF(RawDataTotal!$B:$B,$A11,RawDataTotal!E:E)</f>
        <v>0</v>
      </c>
      <c r="C11">
        <f>SUMIF(RawDataTotal!$B:$B,$A11,RawDataTotal!F:F)</f>
        <v>0</v>
      </c>
      <c r="D11">
        <f>SUMIF(RawDataTotal!$B:$B,$A11,RawDataTotal!G:G)</f>
        <v>0</v>
      </c>
      <c r="E11">
        <f>SUMIF(RawDataTotal!$B:$B,$A11,RawDataTotal!H:H)</f>
        <v>0</v>
      </c>
      <c r="F11">
        <f>SUMIF(RawDataTotal!$B:$B,$A11,RawDataTotal!I:I)</f>
        <v>0</v>
      </c>
      <c r="G11">
        <f>SUMIF(RawDataTotal!$B:$B,$A11,RawDataTotal!J:J)</f>
        <v>0</v>
      </c>
      <c r="H11">
        <f>SUMIF(RawDataTotal!$B:$B,$A11,RawDataTotal!K:K)</f>
        <v>0</v>
      </c>
      <c r="I11">
        <f>SUMIF(RawDataTotal!$B:$B,$A11,RawDataTotal!L:L)</f>
        <v>0</v>
      </c>
      <c r="J11">
        <f>SUMIF(RawDataTotal!$B:$B,$A11,RawDataTotal!M:M)</f>
        <v>0</v>
      </c>
      <c r="K11">
        <f>SUMIF(RawDataTotal!$B:$B,$A11,RawDataTotal!N:N)</f>
        <v>0</v>
      </c>
      <c r="L11">
        <f>SUMIF(RawDataTotal!$B:$B,$A11,RawDataTotal!O:O)</f>
        <v>0</v>
      </c>
      <c r="M11">
        <f>SUMIF(RawDataTotal!$B:$B,$A11,RawDataTotal!P:P)</f>
        <v>0</v>
      </c>
      <c r="N11">
        <f>SUMIF(RawDataTotal!$B:$B,$A11,RawDataTotal!Q:Q)</f>
        <v>0</v>
      </c>
      <c r="O11">
        <f>SUMIF(RawDataTotal!$B:$B,$A11,RawDataTotal!R:R)</f>
        <v>0</v>
      </c>
      <c r="P11">
        <f>SUMIF(RawDataTotal!$B:$B,$A11,RawDataTotal!S:S)</f>
        <v>0</v>
      </c>
      <c r="Q11">
        <f>SUMIF(RawDataTotal!$B:$B,$A11,RawDataTotal!T:T)</f>
        <v>0</v>
      </c>
      <c r="R11">
        <f>SUMIF(RawDataTotal!$B:$B,$A11,RawDataTotal!U:U)</f>
        <v>0</v>
      </c>
      <c r="S11">
        <f>SUMIF(RawDataTotal!$B:$B,$A11,RawDataTotal!V:V)</f>
        <v>0</v>
      </c>
      <c r="T11">
        <f>SUMIF(RawDataTotal!$B:$B,$A11,RawDataTotal!W:W)</f>
        <v>0</v>
      </c>
      <c r="U11">
        <f>SUMIF(RawDataTotal!$B:$B,$A11,RawDataTotal!X:X)</f>
        <v>0</v>
      </c>
      <c r="V11">
        <f>SUMIF(RawDataTotal!$B:$B,$A11,RawDataTotal!Y:Y)</f>
        <v>0</v>
      </c>
      <c r="W11">
        <f>SUMIF(RawDataTotal!$B:$B,$A11,RawDataTotal!Z:Z)</f>
        <v>0</v>
      </c>
      <c r="X11">
        <f>SUMIF(RawDataTotal!$B:$B,$A11,RawDataTotal!AA:AA)</f>
        <v>0</v>
      </c>
      <c r="Y11">
        <f>SUMIF(RawDataTotal!$B:$B,$A11,RawDataTotal!AB:AB)</f>
        <v>0</v>
      </c>
      <c r="Z11">
        <f>SUMIF(RawDataTotal!$B:$B,$A11,RawDataTotal!AC:AC)</f>
        <v>0</v>
      </c>
      <c r="AA11">
        <f>SUMIF(RawDataTotal!$B:$B,$A11,RawDataTotal!AD:AD)</f>
        <v>0</v>
      </c>
      <c r="AB11">
        <f>SUMIF(RawDataTotal!$B:$B,$A11,RawDataTotal!AE:AE)</f>
        <v>0</v>
      </c>
      <c r="AC11">
        <f>SUMIF(RawDataTotal!$B:$B,$A11,RawDataTotal!AF:AF)</f>
        <v>0</v>
      </c>
      <c r="AD11">
        <f>SUMIF(RawDataTotal!$B:$B,$A11,RawDataTotal!AG:AG)</f>
        <v>0</v>
      </c>
      <c r="AE11">
        <f>SUMIF(RawDataTotal!$B:$B,$A11,RawDataTotal!AH:AH)</f>
        <v>0</v>
      </c>
      <c r="AF11">
        <f>SUMIF(RawDataTotal!$B:$B,$A11,RawDataTotal!AI:AI)</f>
        <v>0</v>
      </c>
      <c r="AG11">
        <f>SUMIF(RawDataTotal!$B:$B,$A11,RawDataTotal!AJ:AJ)</f>
        <v>0</v>
      </c>
      <c r="AH11">
        <f>SUMIF(RawDataTotal!$B:$B,$A11,RawDataTotal!AK:AK)</f>
        <v>0</v>
      </c>
      <c r="AI11">
        <f>SUMIF(RawDataTotal!$B:$B,$A11,RawDataTotal!AL:AL)</f>
        <v>0</v>
      </c>
      <c r="AJ11">
        <f>SUMIF(RawDataTotal!$B:$B,$A11,RawDataTotal!AM:AM)</f>
        <v>0</v>
      </c>
      <c r="AK11">
        <f>SUMIF(RawDataTotal!$B:$B,$A11,RawDataTotal!AN:AN)</f>
        <v>1</v>
      </c>
      <c r="AL11">
        <f>SUMIF(RawDataTotal!$B:$B,$A11,RawDataTotal!AO:AO)</f>
        <v>1</v>
      </c>
      <c r="AM11">
        <f>SUMIF(RawDataTotal!$B:$B,$A11,RawDataTotal!AP:AP)</f>
        <v>6</v>
      </c>
      <c r="AN11">
        <f>SUMIF(RawDataTotal!$B:$B,$A11,RawDataTotal!AQ:AQ)</f>
        <v>15</v>
      </c>
      <c r="AO11">
        <f>SUMIF(RawDataTotal!$B:$B,$A11,RawDataTotal!AR:AR)</f>
        <v>19</v>
      </c>
      <c r="AP11">
        <f>SUMIF(RawDataTotal!$B:$B,$A11,RawDataTotal!AS:AS)</f>
        <v>25</v>
      </c>
      <c r="AQ11">
        <f>SUMIF(RawDataTotal!$B:$B,$A11,RawDataTotal!AT:AT)</f>
        <v>32</v>
      </c>
      <c r="AR11">
        <f>SUMIF(RawDataTotal!$B:$B,$A11,RawDataTotal!AU:AU)</f>
        <v>56</v>
      </c>
      <c r="AS11">
        <f>SUMIF(RawDataTotal!$B:$B,$A11,RawDataTotal!AV:AV)</f>
        <v>87</v>
      </c>
      <c r="AT11">
        <f>SUMIF(RawDataTotal!$B:$B,$A11,RawDataTotal!AW:AW)</f>
        <v>108</v>
      </c>
      <c r="AU11">
        <f>SUMIF(RawDataTotal!$B:$B,$A11,RawDataTotal!AX:AX)</f>
        <v>147</v>
      </c>
      <c r="AV11">
        <f>SUMIF(RawDataTotal!$B:$B,$A11,RawDataTotal!AY:AY)</f>
        <v>176</v>
      </c>
      <c r="AW11">
        <f>SUMIF(RawDataTotal!$B:$B,$A11,RawDataTotal!AZ:AZ)</f>
        <v>205</v>
      </c>
      <c r="AX11">
        <f>SUMIF(RawDataTotal!$B:$B,$A11,RawDataTotal!BA:BA)</f>
        <v>400</v>
      </c>
      <c r="AY11">
        <f>SUMIF(RawDataTotal!$B:$B,$A11,RawDataTotal!BB:BB)</f>
        <v>598</v>
      </c>
      <c r="AZ11">
        <f>SUMIF(RawDataTotal!$B:$B,$A11,RawDataTotal!BC:BC)</f>
        <v>702</v>
      </c>
      <c r="BA11">
        <f>SUMIF(RawDataTotal!$B:$B,$A11,RawDataTotal!BD:BD)</f>
        <v>996</v>
      </c>
      <c r="BB11">
        <f>SUMIF(RawDataTotal!$B:$B,$A11,RawDataTotal!BE:BE)</f>
        <v>1090</v>
      </c>
      <c r="BC11">
        <f>SUMIF(RawDataTotal!$B:$B,$A11,RawDataTotal!BF:BF)</f>
        <v>1221</v>
      </c>
      <c r="BD11">
        <f>SUMIF(RawDataTotal!$B:$B,$A11,RawDataTotal!BG:BG)</f>
        <v>1333</v>
      </c>
      <c r="BE11">
        <f>SUMIF(RawDataTotal!$B:$B,$A11,RawDataTotal!BH:BH)</f>
        <v>1463</v>
      </c>
      <c r="BF11">
        <f>SUMIF(RawDataTotal!$B:$B,$A11,RawDataTotal!BI:BI)</f>
        <v>0</v>
      </c>
      <c r="BG11">
        <f>SUMIF(RawDataTotal!$B:$B,$A11,RawDataTotal!BJ:BJ)</f>
        <v>0</v>
      </c>
      <c r="BH11">
        <f>SUMIF(RawDataTotal!$B:$B,$A11,RawDataTotal!BK:BK)</f>
        <v>0</v>
      </c>
      <c r="BI11">
        <f>SUMIF(RawDataTotal!$B:$B,$A11,RawDataTotal!BL:BL)</f>
        <v>0</v>
      </c>
      <c r="BJ11">
        <f>SUMIF(RawDataTotal!$B:$B,$A11,RawDataTotal!BM:BM)</f>
        <v>0</v>
      </c>
      <c r="BK11">
        <f>SUMIF(RawDataTotal!$B:$B,$A11,RawDataTotal!BN:BN)</f>
        <v>0</v>
      </c>
      <c r="BL11">
        <f>SUMIF(RawDataTotal!$B:$B,$A11,RawDataTotal!BO:BO)</f>
        <v>0</v>
      </c>
      <c r="BM11">
        <f>SUMIF(RawDataTotal!$B:$B,$A11,RawDataTotal!BP:BP)</f>
        <v>0</v>
      </c>
      <c r="BN11">
        <f>SUMIF(RawDataTotal!$B:$B,$A11,RawDataTotal!BQ:BQ)</f>
        <v>0</v>
      </c>
      <c r="BO11">
        <f>SUMIF(RawDataTotal!$B:$B,$A11,RawDataTotal!BR:BR)</f>
        <v>0</v>
      </c>
      <c r="BP11">
        <f>SUMIF(RawDataTotal!$B:$B,$A11,RawDataTotal!BS:BS)</f>
        <v>0</v>
      </c>
      <c r="BQ11">
        <f>SUMIF(RawDataTotal!$B:$B,$A11,RawDataTotal!BT:BT)</f>
        <v>0</v>
      </c>
      <c r="BR11">
        <f>SUMIF(RawDataTotal!$B:$B,$A11,RawDataTotal!BU:BU)</f>
        <v>0</v>
      </c>
      <c r="BS11">
        <f>SUMIF(RawDataTotal!$B:$B,$A11,RawDataTotal!BV:BV)</f>
        <v>0</v>
      </c>
      <c r="BT11">
        <f>SUMIF(RawDataTotal!$B:$B,$A11,RawDataTotal!BW:BW)</f>
        <v>0</v>
      </c>
    </row>
    <row r="12" spans="1:72" ht="15" thickBot="1" x14ac:dyDescent="0.35">
      <c r="A12" s="4" t="s">
        <v>86</v>
      </c>
      <c r="B12">
        <f>SUMIF(RawDataTotal!$B:$B,$A12,RawDataTotal!E:E)</f>
        <v>0</v>
      </c>
      <c r="C12">
        <f>SUMIF(RawDataTotal!$B:$B,$A12,RawDataTotal!F:F)</f>
        <v>0</v>
      </c>
      <c r="D12">
        <f>SUMIF(RawDataTotal!$B:$B,$A12,RawDataTotal!G:G)</f>
        <v>0</v>
      </c>
      <c r="E12">
        <f>SUMIF(RawDataTotal!$B:$B,$A12,RawDataTotal!H:H)</f>
        <v>0</v>
      </c>
      <c r="F12">
        <f>SUMIF(RawDataTotal!$B:$B,$A12,RawDataTotal!I:I)</f>
        <v>0</v>
      </c>
      <c r="G12">
        <f>SUMIF(RawDataTotal!$B:$B,$A12,RawDataTotal!J:J)</f>
        <v>0</v>
      </c>
      <c r="H12">
        <f>SUMIF(RawDataTotal!$B:$B,$A12,RawDataTotal!K:K)</f>
        <v>0</v>
      </c>
      <c r="I12">
        <f>SUMIF(RawDataTotal!$B:$B,$A12,RawDataTotal!L:L)</f>
        <v>0</v>
      </c>
      <c r="J12">
        <f>SUMIF(RawDataTotal!$B:$B,$A12,RawDataTotal!M:M)</f>
        <v>0</v>
      </c>
      <c r="K12">
        <f>SUMIF(RawDataTotal!$B:$B,$A12,RawDataTotal!N:N)</f>
        <v>1</v>
      </c>
      <c r="L12">
        <f>SUMIF(RawDataTotal!$B:$B,$A12,RawDataTotal!O:O)</f>
        <v>1</v>
      </c>
      <c r="M12">
        <f>SUMIF(RawDataTotal!$B:$B,$A12,RawDataTotal!P:P)</f>
        <v>1</v>
      </c>
      <c r="N12">
        <f>SUMIF(RawDataTotal!$B:$B,$A12,RawDataTotal!Q:Q)</f>
        <v>1</v>
      </c>
      <c r="O12">
        <f>SUMIF(RawDataTotal!$B:$B,$A12,RawDataTotal!R:R)</f>
        <v>1</v>
      </c>
      <c r="P12">
        <f>SUMIF(RawDataTotal!$B:$B,$A12,RawDataTotal!S:S)</f>
        <v>1</v>
      </c>
      <c r="Q12">
        <f>SUMIF(RawDataTotal!$B:$B,$A12,RawDataTotal!T:T)</f>
        <v>1</v>
      </c>
      <c r="R12">
        <f>SUMIF(RawDataTotal!$B:$B,$A12,RawDataTotal!U:U)</f>
        <v>1</v>
      </c>
      <c r="S12">
        <f>SUMIF(RawDataTotal!$B:$B,$A12,RawDataTotal!V:V)</f>
        <v>1</v>
      </c>
      <c r="T12">
        <f>SUMIF(RawDataTotal!$B:$B,$A12,RawDataTotal!W:W)</f>
        <v>1</v>
      </c>
      <c r="U12">
        <f>SUMIF(RawDataTotal!$B:$B,$A12,RawDataTotal!X:X)</f>
        <v>1</v>
      </c>
      <c r="V12">
        <f>SUMIF(RawDataTotal!$B:$B,$A12,RawDataTotal!Y:Y)</f>
        <v>1</v>
      </c>
      <c r="W12">
        <f>SUMIF(RawDataTotal!$B:$B,$A12,RawDataTotal!Z:Z)</f>
        <v>1</v>
      </c>
      <c r="X12">
        <f>SUMIF(RawDataTotal!$B:$B,$A12,RawDataTotal!AA:AA)</f>
        <v>1</v>
      </c>
      <c r="Y12">
        <f>SUMIF(RawDataTotal!$B:$B,$A12,RawDataTotal!AB:AB)</f>
        <v>1</v>
      </c>
      <c r="Z12">
        <f>SUMIF(RawDataTotal!$B:$B,$A12,RawDataTotal!AC:AC)</f>
        <v>1</v>
      </c>
      <c r="AA12">
        <f>SUMIF(RawDataTotal!$B:$B,$A12,RawDataTotal!AD:AD)</f>
        <v>1</v>
      </c>
      <c r="AB12">
        <f>SUMIF(RawDataTotal!$B:$B,$A12,RawDataTotal!AE:AE)</f>
        <v>1</v>
      </c>
      <c r="AC12">
        <f>SUMIF(RawDataTotal!$B:$B,$A12,RawDataTotal!AF:AF)</f>
        <v>1</v>
      </c>
      <c r="AD12">
        <f>SUMIF(RawDataTotal!$B:$B,$A12,RawDataTotal!AG:AG)</f>
        <v>1</v>
      </c>
      <c r="AE12">
        <f>SUMIF(RawDataTotal!$B:$B,$A12,RawDataTotal!AH:AH)</f>
        <v>1</v>
      </c>
      <c r="AF12">
        <f>SUMIF(RawDataTotal!$B:$B,$A12,RawDataTotal!AI:AI)</f>
        <v>1</v>
      </c>
      <c r="AG12">
        <f>SUMIF(RawDataTotal!$B:$B,$A12,RawDataTotal!AJ:AJ)</f>
        <v>1</v>
      </c>
      <c r="AH12">
        <f>SUMIF(RawDataTotal!$B:$B,$A12,RawDataTotal!AK:AK)</f>
        <v>1</v>
      </c>
      <c r="AI12">
        <f>SUMIF(RawDataTotal!$B:$B,$A12,RawDataTotal!AL:AL)</f>
        <v>1</v>
      </c>
      <c r="AJ12">
        <f>SUMIF(RawDataTotal!$B:$B,$A12,RawDataTotal!AM:AM)</f>
        <v>1</v>
      </c>
      <c r="AK12">
        <f>SUMIF(RawDataTotal!$B:$B,$A12,RawDataTotal!AN:AN)</f>
        <v>2</v>
      </c>
      <c r="AL12">
        <f>SUMIF(RawDataTotal!$B:$B,$A12,RawDataTotal!AO:AO)</f>
        <v>7</v>
      </c>
      <c r="AM12">
        <f>SUMIF(RawDataTotal!$B:$B,$A12,RawDataTotal!AP:AP)</f>
        <v>7</v>
      </c>
      <c r="AN12">
        <f>SUMIF(RawDataTotal!$B:$B,$A12,RawDataTotal!AQ:AQ)</f>
        <v>12</v>
      </c>
      <c r="AO12">
        <f>SUMIF(RawDataTotal!$B:$B,$A12,RawDataTotal!AR:AR)</f>
        <v>14</v>
      </c>
      <c r="AP12">
        <f>SUMIF(RawDataTotal!$B:$B,$A12,RawDataTotal!AS:AS)</f>
        <v>15</v>
      </c>
      <c r="AQ12">
        <f>SUMIF(RawDataTotal!$B:$B,$A12,RawDataTotal!AT:AT)</f>
        <v>21</v>
      </c>
      <c r="AR12">
        <f>SUMIF(RawDataTotal!$B:$B,$A12,RawDataTotal!AU:AU)</f>
        <v>35</v>
      </c>
      <c r="AS12">
        <f>SUMIF(RawDataTotal!$B:$B,$A12,RawDataTotal!AV:AV)</f>
        <v>94</v>
      </c>
      <c r="AT12">
        <f>SUMIF(RawDataTotal!$B:$B,$A12,RawDataTotal!AW:AW)</f>
        <v>101</v>
      </c>
      <c r="AU12">
        <f>SUMIF(RawDataTotal!$B:$B,$A12,RawDataTotal!AX:AX)</f>
        <v>161</v>
      </c>
      <c r="AV12">
        <f>SUMIF(RawDataTotal!$B:$B,$A12,RawDataTotal!AY:AY)</f>
        <v>203</v>
      </c>
      <c r="AW12">
        <f>SUMIF(RawDataTotal!$B:$B,$A12,RawDataTotal!AZ:AZ)</f>
        <v>248</v>
      </c>
      <c r="AX12">
        <f>SUMIF(RawDataTotal!$B:$B,$A12,RawDataTotal!BA:BA)</f>
        <v>355</v>
      </c>
      <c r="AY12">
        <f>SUMIF(RawDataTotal!$B:$B,$A12,RawDataTotal!BB:BB)</f>
        <v>500</v>
      </c>
      <c r="AZ12">
        <f>SUMIF(RawDataTotal!$B:$B,$A12,RawDataTotal!BC:BC)</f>
        <v>599</v>
      </c>
      <c r="BA12">
        <f>SUMIF(RawDataTotal!$B:$B,$A12,RawDataTotal!BD:BD)</f>
        <v>814</v>
      </c>
      <c r="BB12">
        <f>SUMIF(RawDataTotal!$B:$B,$A12,RawDataTotal!BE:BE)</f>
        <v>961</v>
      </c>
      <c r="BC12">
        <f>SUMIF(RawDataTotal!$B:$B,$A12,RawDataTotal!BF:BF)</f>
        <v>1022</v>
      </c>
      <c r="BD12">
        <f>SUMIF(RawDataTotal!$B:$B,$A12,RawDataTotal!BG:BG)</f>
        <v>1103</v>
      </c>
      <c r="BE12">
        <f>SUMIF(RawDataTotal!$B:$B,$A12,RawDataTotal!BH:BH)</f>
        <v>1190</v>
      </c>
      <c r="BF12">
        <f>SUMIF(RawDataTotal!$B:$B,$A12,RawDataTotal!BI:BI)</f>
        <v>0</v>
      </c>
      <c r="BG12">
        <f>SUMIF(RawDataTotal!$B:$B,$A12,RawDataTotal!BJ:BJ)</f>
        <v>0</v>
      </c>
      <c r="BH12">
        <f>SUMIF(RawDataTotal!$B:$B,$A12,RawDataTotal!BK:BK)</f>
        <v>0</v>
      </c>
      <c r="BI12">
        <f>SUMIF(RawDataTotal!$B:$B,$A12,RawDataTotal!BL:BL)</f>
        <v>0</v>
      </c>
      <c r="BJ12">
        <f>SUMIF(RawDataTotal!$B:$B,$A12,RawDataTotal!BM:BM)</f>
        <v>0</v>
      </c>
      <c r="BK12">
        <f>SUMIF(RawDataTotal!$B:$B,$A12,RawDataTotal!BN:BN)</f>
        <v>0</v>
      </c>
      <c r="BL12">
        <f>SUMIF(RawDataTotal!$B:$B,$A12,RawDataTotal!BO:BO)</f>
        <v>0</v>
      </c>
      <c r="BM12">
        <f>SUMIF(RawDataTotal!$B:$B,$A12,RawDataTotal!BP:BP)</f>
        <v>0</v>
      </c>
      <c r="BN12">
        <f>SUMIF(RawDataTotal!$B:$B,$A12,RawDataTotal!BQ:BQ)</f>
        <v>0</v>
      </c>
      <c r="BO12">
        <f>SUMIF(RawDataTotal!$B:$B,$A12,RawDataTotal!BR:BR)</f>
        <v>0</v>
      </c>
      <c r="BP12">
        <f>SUMIF(RawDataTotal!$B:$B,$A12,RawDataTotal!BS:BS)</f>
        <v>0</v>
      </c>
      <c r="BQ12">
        <f>SUMIF(RawDataTotal!$B:$B,$A12,RawDataTotal!BT:BT)</f>
        <v>0</v>
      </c>
      <c r="BR12">
        <f>SUMIF(RawDataTotal!$B:$B,$A12,RawDataTotal!BU:BU)</f>
        <v>0</v>
      </c>
      <c r="BS12">
        <f>SUMIF(RawDataTotal!$B:$B,$A12,RawDataTotal!BV:BV)</f>
        <v>0</v>
      </c>
      <c r="BT12">
        <f>SUMIF(RawDataTotal!$B:$B,$A12,RawDataTotal!BW:BW)</f>
        <v>0</v>
      </c>
    </row>
    <row r="13" spans="1:72" ht="15" thickBot="1" x14ac:dyDescent="0.35">
      <c r="A13" s="3" t="s">
        <v>114</v>
      </c>
      <c r="B13">
        <f>SUMIF(RawDataTotal!$B:$B,$A13,RawDataTotal!E:E)</f>
        <v>0</v>
      </c>
      <c r="C13">
        <f>SUMIF(RawDataTotal!$B:$B,$A13,RawDataTotal!F:F)</f>
        <v>0</v>
      </c>
      <c r="D13">
        <f>SUMIF(RawDataTotal!$B:$B,$A13,RawDataTotal!G:G)</f>
        <v>0</v>
      </c>
      <c r="E13">
        <f>SUMIF(RawDataTotal!$B:$B,$A13,RawDataTotal!H:H)</f>
        <v>0</v>
      </c>
      <c r="F13">
        <f>SUMIF(RawDataTotal!$B:$B,$A13,RawDataTotal!I:I)</f>
        <v>0</v>
      </c>
      <c r="G13">
        <f>SUMIF(RawDataTotal!$B:$B,$A13,RawDataTotal!J:J)</f>
        <v>0</v>
      </c>
      <c r="H13">
        <f>SUMIF(RawDataTotal!$B:$B,$A13,RawDataTotal!K:K)</f>
        <v>0</v>
      </c>
      <c r="I13">
        <f>SUMIF(RawDataTotal!$B:$B,$A13,RawDataTotal!L:L)</f>
        <v>0</v>
      </c>
      <c r="J13">
        <f>SUMIF(RawDataTotal!$B:$B,$A13,RawDataTotal!M:M)</f>
        <v>0</v>
      </c>
      <c r="K13">
        <f>SUMIF(RawDataTotal!$B:$B,$A13,RawDataTotal!N:N)</f>
        <v>0</v>
      </c>
      <c r="L13">
        <f>SUMIF(RawDataTotal!$B:$B,$A13,RawDataTotal!O:O)</f>
        <v>0</v>
      </c>
      <c r="M13">
        <f>SUMIF(RawDataTotal!$B:$B,$A13,RawDataTotal!P:P)</f>
        <v>0</v>
      </c>
      <c r="N13">
        <f>SUMIF(RawDataTotal!$B:$B,$A13,RawDataTotal!Q:Q)</f>
        <v>0</v>
      </c>
      <c r="O13">
        <f>SUMIF(RawDataTotal!$B:$B,$A13,RawDataTotal!R:R)</f>
        <v>0</v>
      </c>
      <c r="P13">
        <f>SUMIF(RawDataTotal!$B:$B,$A13,RawDataTotal!S:S)</f>
        <v>0</v>
      </c>
      <c r="Q13">
        <f>SUMIF(RawDataTotal!$B:$B,$A13,RawDataTotal!T:T)</f>
        <v>0</v>
      </c>
      <c r="R13">
        <f>SUMIF(RawDataTotal!$B:$B,$A13,RawDataTotal!U:U)</f>
        <v>0</v>
      </c>
      <c r="S13">
        <f>SUMIF(RawDataTotal!$B:$B,$A13,RawDataTotal!V:V)</f>
        <v>0</v>
      </c>
      <c r="T13">
        <f>SUMIF(RawDataTotal!$B:$B,$A13,RawDataTotal!W:W)</f>
        <v>0</v>
      </c>
      <c r="U13">
        <f>SUMIF(RawDataTotal!$B:$B,$A13,RawDataTotal!X:X)</f>
        <v>0</v>
      </c>
      <c r="V13">
        <f>SUMIF(RawDataTotal!$B:$B,$A13,RawDataTotal!Y:Y)</f>
        <v>0</v>
      </c>
      <c r="W13">
        <f>SUMIF(RawDataTotal!$B:$B,$A13,RawDataTotal!Z:Z)</f>
        <v>0</v>
      </c>
      <c r="X13">
        <f>SUMIF(RawDataTotal!$B:$B,$A13,RawDataTotal!AA:AA)</f>
        <v>0</v>
      </c>
      <c r="Y13">
        <f>SUMIF(RawDataTotal!$B:$B,$A13,RawDataTotal!AB:AB)</f>
        <v>0</v>
      </c>
      <c r="Z13">
        <f>SUMIF(RawDataTotal!$B:$B,$A13,RawDataTotal!AC:AC)</f>
        <v>0</v>
      </c>
      <c r="AA13">
        <f>SUMIF(RawDataTotal!$B:$B,$A13,RawDataTotal!AD:AD)</f>
        <v>0</v>
      </c>
      <c r="AB13">
        <f>SUMIF(RawDataTotal!$B:$B,$A13,RawDataTotal!AE:AE)</f>
        <v>0</v>
      </c>
      <c r="AC13">
        <f>SUMIF(RawDataTotal!$B:$B,$A13,RawDataTotal!AF:AF)</f>
        <v>0</v>
      </c>
      <c r="AD13">
        <f>SUMIF(RawDataTotal!$B:$B,$A13,RawDataTotal!AG:AG)</f>
        <v>0</v>
      </c>
      <c r="AE13">
        <f>SUMIF(RawDataTotal!$B:$B,$A13,RawDataTotal!AH:AH)</f>
        <v>0</v>
      </c>
      <c r="AF13">
        <f>SUMIF(RawDataTotal!$B:$B,$A13,RawDataTotal!AI:AI)</f>
        <v>0</v>
      </c>
      <c r="AG13">
        <f>SUMIF(RawDataTotal!$B:$B,$A13,RawDataTotal!AJ:AJ)</f>
        <v>0</v>
      </c>
      <c r="AH13">
        <f>SUMIF(RawDataTotal!$B:$B,$A13,RawDataTotal!AK:AK)</f>
        <v>0</v>
      </c>
      <c r="AI13">
        <f>SUMIF(RawDataTotal!$B:$B,$A13,RawDataTotal!AL:AL)</f>
        <v>0</v>
      </c>
      <c r="AJ13">
        <f>SUMIF(RawDataTotal!$B:$B,$A13,RawDataTotal!AM:AM)</f>
        <v>0</v>
      </c>
      <c r="AK13">
        <f>SUMIF(RawDataTotal!$B:$B,$A13,RawDataTotal!AN:AN)</f>
        <v>0</v>
      </c>
      <c r="AL13">
        <f>SUMIF(RawDataTotal!$B:$B,$A13,RawDataTotal!AO:AO)</f>
        <v>1</v>
      </c>
      <c r="AM13">
        <f>SUMIF(RawDataTotal!$B:$B,$A13,RawDataTotal!AP:AP)</f>
        <v>1</v>
      </c>
      <c r="AN13">
        <f>SUMIF(RawDataTotal!$B:$B,$A13,RawDataTotal!AQ:AQ)</f>
        <v>3</v>
      </c>
      <c r="AO13">
        <f>SUMIF(RawDataTotal!$B:$B,$A13,RawDataTotal!AR:AR)</f>
        <v>4</v>
      </c>
      <c r="AP13">
        <f>SUMIF(RawDataTotal!$B:$B,$A13,RawDataTotal!AS:AS)</f>
        <v>4</v>
      </c>
      <c r="AQ13">
        <f>SUMIF(RawDataTotal!$B:$B,$A13,RawDataTotal!AT:AT)</f>
        <v>6</v>
      </c>
      <c r="AR13">
        <f>SUMIF(RawDataTotal!$B:$B,$A13,RawDataTotal!AU:AU)</f>
        <v>11</v>
      </c>
      <c r="AS13">
        <f>SUMIF(RawDataTotal!$B:$B,$A13,RawDataTotal!AV:AV)</f>
        <v>11</v>
      </c>
      <c r="AT13">
        <f>SUMIF(RawDataTotal!$B:$B,$A13,RawDataTotal!AW:AW)</f>
        <v>24</v>
      </c>
      <c r="AU13">
        <f>SUMIF(RawDataTotal!$B:$B,$A13,RawDataTotal!AX:AX)</f>
        <v>24</v>
      </c>
      <c r="AV13">
        <f>SUMIF(RawDataTotal!$B:$B,$A13,RawDataTotal!AY:AY)</f>
        <v>37</v>
      </c>
      <c r="AW13">
        <f>SUMIF(RawDataTotal!$B:$B,$A13,RawDataTotal!AZ:AZ)</f>
        <v>92</v>
      </c>
      <c r="AX13">
        <f>SUMIF(RawDataTotal!$B:$B,$A13,RawDataTotal!BA:BA)</f>
        <v>264</v>
      </c>
      <c r="AY13">
        <f>SUMIF(RawDataTotal!$B:$B,$A13,RawDataTotal!BB:BB)</f>
        <v>444</v>
      </c>
      <c r="AZ13">
        <f>SUMIF(RawDataTotal!$B:$B,$A13,RawDataTotal!BC:BC)</f>
        <v>617</v>
      </c>
      <c r="BA13">
        <f>SUMIF(RawDataTotal!$B:$B,$A13,RawDataTotal!BD:BD)</f>
        <v>804</v>
      </c>
      <c r="BB13">
        <f>SUMIF(RawDataTotal!$B:$B,$A13,RawDataTotal!BE:BE)</f>
        <v>836</v>
      </c>
      <c r="BC13">
        <f>SUMIF(RawDataTotal!$B:$B,$A13,RawDataTotal!BF:BF)</f>
        <v>875</v>
      </c>
      <c r="BD13">
        <f>SUMIF(RawDataTotal!$B:$B,$A13,RawDataTotal!BG:BG)</f>
        <v>932</v>
      </c>
      <c r="BE13">
        <f>SUMIF(RawDataTotal!$B:$B,$A13,RawDataTotal!BH:BH)</f>
        <v>1024</v>
      </c>
      <c r="BF13">
        <f>SUMIF(RawDataTotal!$B:$B,$A13,RawDataTotal!BI:BI)</f>
        <v>0</v>
      </c>
      <c r="BG13">
        <f>SUMIF(RawDataTotal!$B:$B,$A13,RawDataTotal!BJ:BJ)</f>
        <v>0</v>
      </c>
      <c r="BH13">
        <f>SUMIF(RawDataTotal!$B:$B,$A13,RawDataTotal!BK:BK)</f>
        <v>0</v>
      </c>
      <c r="BI13">
        <f>SUMIF(RawDataTotal!$B:$B,$A13,RawDataTotal!BL:BL)</f>
        <v>0</v>
      </c>
      <c r="BJ13">
        <f>SUMIF(RawDataTotal!$B:$B,$A13,RawDataTotal!BM:BM)</f>
        <v>0</v>
      </c>
      <c r="BK13">
        <f>SUMIF(RawDataTotal!$B:$B,$A13,RawDataTotal!BN:BN)</f>
        <v>0</v>
      </c>
      <c r="BL13">
        <f>SUMIF(RawDataTotal!$B:$B,$A13,RawDataTotal!BO:BO)</f>
        <v>0</v>
      </c>
      <c r="BM13">
        <f>SUMIF(RawDataTotal!$B:$B,$A13,RawDataTotal!BP:BP)</f>
        <v>0</v>
      </c>
      <c r="BN13">
        <f>SUMIF(RawDataTotal!$B:$B,$A13,RawDataTotal!BQ:BQ)</f>
        <v>0</v>
      </c>
      <c r="BO13">
        <f>SUMIF(RawDataTotal!$B:$B,$A13,RawDataTotal!BR:BR)</f>
        <v>0</v>
      </c>
      <c r="BP13">
        <f>SUMIF(RawDataTotal!$B:$B,$A13,RawDataTotal!BS:BS)</f>
        <v>0</v>
      </c>
      <c r="BQ13">
        <f>SUMIF(RawDataTotal!$B:$B,$A13,RawDataTotal!BT:BT)</f>
        <v>0</v>
      </c>
      <c r="BR13">
        <f>SUMIF(RawDataTotal!$B:$B,$A13,RawDataTotal!BU:BU)</f>
        <v>0</v>
      </c>
      <c r="BS13">
        <f>SUMIF(RawDataTotal!$B:$B,$A13,RawDataTotal!BV:BV)</f>
        <v>0</v>
      </c>
      <c r="BT13">
        <f>SUMIF(RawDataTotal!$B:$B,$A13,RawDataTotal!BW:BW)</f>
        <v>0</v>
      </c>
    </row>
    <row r="14" spans="1:72" ht="15" thickBot="1" x14ac:dyDescent="0.35">
      <c r="A14" s="3" t="s">
        <v>116</v>
      </c>
      <c r="B14">
        <f>SUMIF(RawDataTotal!$B:$B,$A14,RawDataTotal!E:E)</f>
        <v>0</v>
      </c>
      <c r="C14">
        <f>SUMIF(RawDataTotal!$B:$B,$A14,RawDataTotal!F:F)</f>
        <v>0</v>
      </c>
      <c r="D14">
        <f>SUMIF(RawDataTotal!$B:$B,$A14,RawDataTotal!G:G)</f>
        <v>0</v>
      </c>
      <c r="E14">
        <f>SUMIF(RawDataTotal!$B:$B,$A14,RawDataTotal!H:H)</f>
        <v>0</v>
      </c>
      <c r="F14">
        <f>SUMIF(RawDataTotal!$B:$B,$A14,RawDataTotal!I:I)</f>
        <v>0</v>
      </c>
      <c r="G14">
        <f>SUMIF(RawDataTotal!$B:$B,$A14,RawDataTotal!J:J)</f>
        <v>0</v>
      </c>
      <c r="H14">
        <f>SUMIF(RawDataTotal!$B:$B,$A14,RawDataTotal!K:K)</f>
        <v>0</v>
      </c>
      <c r="I14">
        <f>SUMIF(RawDataTotal!$B:$B,$A14,RawDataTotal!L:L)</f>
        <v>0</v>
      </c>
      <c r="J14">
        <f>SUMIF(RawDataTotal!$B:$B,$A14,RawDataTotal!M:M)</f>
        <v>0</v>
      </c>
      <c r="K14">
        <f>SUMIF(RawDataTotal!$B:$B,$A14,RawDataTotal!N:N)</f>
        <v>0</v>
      </c>
      <c r="L14">
        <f>SUMIF(RawDataTotal!$B:$B,$A14,RawDataTotal!O:O)</f>
        <v>0</v>
      </c>
      <c r="M14">
        <f>SUMIF(RawDataTotal!$B:$B,$A14,RawDataTotal!P:P)</f>
        <v>0</v>
      </c>
      <c r="N14">
        <f>SUMIF(RawDataTotal!$B:$B,$A14,RawDataTotal!Q:Q)</f>
        <v>0</v>
      </c>
      <c r="O14">
        <f>SUMIF(RawDataTotal!$B:$B,$A14,RawDataTotal!R:R)</f>
        <v>0</v>
      </c>
      <c r="P14">
        <f>SUMIF(RawDataTotal!$B:$B,$A14,RawDataTotal!S:S)</f>
        <v>0</v>
      </c>
      <c r="Q14">
        <f>SUMIF(RawDataTotal!$B:$B,$A14,RawDataTotal!T:T)</f>
        <v>0</v>
      </c>
      <c r="R14">
        <f>SUMIF(RawDataTotal!$B:$B,$A14,RawDataTotal!U:U)</f>
        <v>0</v>
      </c>
      <c r="S14">
        <f>SUMIF(RawDataTotal!$B:$B,$A14,RawDataTotal!V:V)</f>
        <v>0</v>
      </c>
      <c r="T14">
        <f>SUMIF(RawDataTotal!$B:$B,$A14,RawDataTotal!W:W)</f>
        <v>0</v>
      </c>
      <c r="U14">
        <f>SUMIF(RawDataTotal!$B:$B,$A14,RawDataTotal!X:X)</f>
        <v>0</v>
      </c>
      <c r="V14">
        <f>SUMIF(RawDataTotal!$B:$B,$A14,RawDataTotal!Y:Y)</f>
        <v>0</v>
      </c>
      <c r="W14">
        <f>SUMIF(RawDataTotal!$B:$B,$A14,RawDataTotal!Z:Z)</f>
        <v>0</v>
      </c>
      <c r="X14">
        <f>SUMIF(RawDataTotal!$B:$B,$A14,RawDataTotal!AA:AA)</f>
        <v>0</v>
      </c>
      <c r="Y14">
        <f>SUMIF(RawDataTotal!$B:$B,$A14,RawDataTotal!AB:AB)</f>
        <v>0</v>
      </c>
      <c r="Z14">
        <f>SUMIF(RawDataTotal!$B:$B,$A14,RawDataTotal!AC:AC)</f>
        <v>0</v>
      </c>
      <c r="AA14">
        <f>SUMIF(RawDataTotal!$B:$B,$A14,RawDataTotal!AD:AD)</f>
        <v>0</v>
      </c>
      <c r="AB14">
        <f>SUMIF(RawDataTotal!$B:$B,$A14,RawDataTotal!AE:AE)</f>
        <v>0</v>
      </c>
      <c r="AC14">
        <f>SUMIF(RawDataTotal!$B:$B,$A14,RawDataTotal!AF:AF)</f>
        <v>0</v>
      </c>
      <c r="AD14">
        <f>SUMIF(RawDataTotal!$B:$B,$A14,RawDataTotal!AG:AG)</f>
        <v>0</v>
      </c>
      <c r="AE14">
        <f>SUMIF(RawDataTotal!$B:$B,$A14,RawDataTotal!AH:AH)</f>
        <v>0</v>
      </c>
      <c r="AF14">
        <f>SUMIF(RawDataTotal!$B:$B,$A14,RawDataTotal!AI:AI)</f>
        <v>0</v>
      </c>
      <c r="AG14">
        <f>SUMIF(RawDataTotal!$B:$B,$A14,RawDataTotal!AJ:AJ)</f>
        <v>0</v>
      </c>
      <c r="AH14">
        <f>SUMIF(RawDataTotal!$B:$B,$A14,RawDataTotal!AK:AK)</f>
        <v>0</v>
      </c>
      <c r="AI14">
        <f>SUMIF(RawDataTotal!$B:$B,$A14,RawDataTotal!AL:AL)</f>
        <v>0</v>
      </c>
      <c r="AJ14">
        <f>SUMIF(RawDataTotal!$B:$B,$A14,RawDataTotal!AM:AM)</f>
        <v>0</v>
      </c>
      <c r="AK14">
        <f>SUMIF(RawDataTotal!$B:$B,$A14,RawDataTotal!AN:AN)</f>
        <v>0</v>
      </c>
      <c r="AL14">
        <f>SUMIF(RawDataTotal!$B:$B,$A14,RawDataTotal!AO:AO)</f>
        <v>1</v>
      </c>
      <c r="AM14">
        <f>SUMIF(RawDataTotal!$B:$B,$A14,RawDataTotal!AP:AP)</f>
        <v>1</v>
      </c>
      <c r="AN14">
        <f>SUMIF(RawDataTotal!$B:$B,$A14,RawDataTotal!AQ:AQ)</f>
        <v>6</v>
      </c>
      <c r="AO14">
        <f>SUMIF(RawDataTotal!$B:$B,$A14,RawDataTotal!AR:AR)</f>
        <v>10</v>
      </c>
      <c r="AP14">
        <f>SUMIF(RawDataTotal!$B:$B,$A14,RawDataTotal!AS:AS)</f>
        <v>18</v>
      </c>
      <c r="AQ14">
        <f>SUMIF(RawDataTotal!$B:$B,$A14,RawDataTotal!AT:AT)</f>
        <v>24</v>
      </c>
      <c r="AR14">
        <f>SUMIF(RawDataTotal!$B:$B,$A14,RawDataTotal!AU:AU)</f>
        <v>38</v>
      </c>
      <c r="AS14">
        <f>SUMIF(RawDataTotal!$B:$B,$A14,RawDataTotal!AV:AV)</f>
        <v>82</v>
      </c>
      <c r="AT14">
        <f>SUMIF(RawDataTotal!$B:$B,$A14,RawDataTotal!AW:AW)</f>
        <v>128</v>
      </c>
      <c r="AU14">
        <f>SUMIF(RawDataTotal!$B:$B,$A14,RawDataTotal!AX:AX)</f>
        <v>188</v>
      </c>
      <c r="AV14">
        <f>SUMIF(RawDataTotal!$B:$B,$A14,RawDataTotal!AY:AY)</f>
        <v>265</v>
      </c>
      <c r="AW14">
        <f>SUMIF(RawDataTotal!$B:$B,$A14,RawDataTotal!AZ:AZ)</f>
        <v>321</v>
      </c>
      <c r="AX14">
        <f>SUMIF(RawDataTotal!$B:$B,$A14,RawDataTotal!BA:BA)</f>
        <v>382</v>
      </c>
      <c r="AY14">
        <f>SUMIF(RawDataTotal!$B:$B,$A14,RawDataTotal!BB:BB)</f>
        <v>503</v>
      </c>
      <c r="AZ14">
        <f>SUMIF(RawDataTotal!$B:$B,$A14,RawDataTotal!BC:BC)</f>
        <v>503</v>
      </c>
      <c r="BA14">
        <f>SUMIF(RawDataTotal!$B:$B,$A14,RawDataTotal!BD:BD)</f>
        <v>804</v>
      </c>
      <c r="BB14">
        <f>SUMIF(RawDataTotal!$B:$B,$A14,RawDataTotal!BE:BE)</f>
        <v>960</v>
      </c>
      <c r="BC14">
        <f>SUMIF(RawDataTotal!$B:$B,$A14,RawDataTotal!BF:BF)</f>
        <v>1136</v>
      </c>
      <c r="BD14">
        <f>SUMIF(RawDataTotal!$B:$B,$A14,RawDataTotal!BG:BG)</f>
        <v>1414</v>
      </c>
      <c r="BE14">
        <f>SUMIF(RawDataTotal!$B:$B,$A14,RawDataTotal!BH:BH)</f>
        <v>1708</v>
      </c>
      <c r="BF14">
        <f>SUMIF(RawDataTotal!$B:$B,$A14,RawDataTotal!BI:BI)</f>
        <v>0</v>
      </c>
      <c r="BG14">
        <f>SUMIF(RawDataTotal!$B:$B,$A14,RawDataTotal!BJ:BJ)</f>
        <v>0</v>
      </c>
      <c r="BH14">
        <f>SUMIF(RawDataTotal!$B:$B,$A14,RawDataTotal!BK:BK)</f>
        <v>0</v>
      </c>
      <c r="BI14">
        <f>SUMIF(RawDataTotal!$B:$B,$A14,RawDataTotal!BL:BL)</f>
        <v>0</v>
      </c>
      <c r="BJ14">
        <f>SUMIF(RawDataTotal!$B:$B,$A14,RawDataTotal!BM:BM)</f>
        <v>0</v>
      </c>
      <c r="BK14">
        <f>SUMIF(RawDataTotal!$B:$B,$A14,RawDataTotal!BN:BN)</f>
        <v>0</v>
      </c>
      <c r="BL14">
        <f>SUMIF(RawDataTotal!$B:$B,$A14,RawDataTotal!BO:BO)</f>
        <v>0</v>
      </c>
      <c r="BM14">
        <f>SUMIF(RawDataTotal!$B:$B,$A14,RawDataTotal!BP:BP)</f>
        <v>0</v>
      </c>
      <c r="BN14">
        <f>SUMIF(RawDataTotal!$B:$B,$A14,RawDataTotal!BQ:BQ)</f>
        <v>0</v>
      </c>
      <c r="BO14">
        <f>SUMIF(RawDataTotal!$B:$B,$A14,RawDataTotal!BR:BR)</f>
        <v>0</v>
      </c>
      <c r="BP14">
        <f>SUMIF(RawDataTotal!$B:$B,$A14,RawDataTotal!BS:BS)</f>
        <v>0</v>
      </c>
      <c r="BQ14">
        <f>SUMIF(RawDataTotal!$B:$B,$A14,RawDataTotal!BT:BT)</f>
        <v>0</v>
      </c>
      <c r="BR14">
        <f>SUMIF(RawDataTotal!$B:$B,$A14,RawDataTotal!BU:BU)</f>
        <v>0</v>
      </c>
      <c r="BS14">
        <f>SUMIF(RawDataTotal!$B:$B,$A14,RawDataTotal!BV:BV)</f>
        <v>0</v>
      </c>
      <c r="BT14">
        <f>SUMIF(RawDataTotal!$B:$B,$A14,RawDataTotal!BW:BW)</f>
        <v>0</v>
      </c>
    </row>
    <row r="15" spans="1:72" ht="15" thickBot="1" x14ac:dyDescent="0.35">
      <c r="A15" s="3" t="s">
        <v>377</v>
      </c>
      <c r="B15">
        <f>SUMIF(RawDataTotal!$B:$B,$A15,RawDataTotal!E:E)</f>
        <v>0</v>
      </c>
      <c r="C15">
        <f>SUMIF(RawDataTotal!$B:$B,$A15,RawDataTotal!F:F)</f>
        <v>0</v>
      </c>
      <c r="D15">
        <f>SUMIF(RawDataTotal!$B:$B,$A15,RawDataTotal!G:G)</f>
        <v>0</v>
      </c>
      <c r="E15">
        <f>SUMIF(RawDataTotal!$B:$B,$A15,RawDataTotal!H:H)</f>
        <v>0</v>
      </c>
      <c r="F15">
        <f>SUMIF(RawDataTotal!$B:$B,$A15,RawDataTotal!I:I)</f>
        <v>0</v>
      </c>
      <c r="G15">
        <f>SUMIF(RawDataTotal!$B:$B,$A15,RawDataTotal!J:J)</f>
        <v>0</v>
      </c>
      <c r="H15">
        <f>SUMIF(RawDataTotal!$B:$B,$A15,RawDataTotal!K:K)</f>
        <v>0</v>
      </c>
      <c r="I15">
        <f>SUMIF(RawDataTotal!$B:$B,$A15,RawDataTotal!L:L)</f>
        <v>0</v>
      </c>
      <c r="J15">
        <f>SUMIF(RawDataTotal!$B:$B,$A15,RawDataTotal!M:M)</f>
        <v>0</v>
      </c>
      <c r="K15">
        <f>SUMIF(RawDataTotal!$B:$B,$A15,RawDataTotal!N:N)</f>
        <v>2</v>
      </c>
      <c r="L15">
        <f>SUMIF(RawDataTotal!$B:$B,$A15,RawDataTotal!O:O)</f>
        <v>2</v>
      </c>
      <c r="M15">
        <f>SUMIF(RawDataTotal!$B:$B,$A15,RawDataTotal!P:P)</f>
        <v>2</v>
      </c>
      <c r="N15">
        <f>SUMIF(RawDataTotal!$B:$B,$A15,RawDataTotal!Q:Q)</f>
        <v>2</v>
      </c>
      <c r="O15">
        <f>SUMIF(RawDataTotal!$B:$B,$A15,RawDataTotal!R:R)</f>
        <v>2</v>
      </c>
      <c r="P15">
        <f>SUMIF(RawDataTotal!$B:$B,$A15,RawDataTotal!S:S)</f>
        <v>2</v>
      </c>
      <c r="Q15">
        <f>SUMIF(RawDataTotal!$B:$B,$A15,RawDataTotal!T:T)</f>
        <v>2</v>
      </c>
      <c r="R15">
        <f>SUMIF(RawDataTotal!$B:$B,$A15,RawDataTotal!U:U)</f>
        <v>3</v>
      </c>
      <c r="S15">
        <f>SUMIF(RawDataTotal!$B:$B,$A15,RawDataTotal!V:V)</f>
        <v>3</v>
      </c>
      <c r="T15">
        <f>SUMIF(RawDataTotal!$B:$B,$A15,RawDataTotal!W:W)</f>
        <v>3</v>
      </c>
      <c r="U15">
        <f>SUMIF(RawDataTotal!$B:$B,$A15,RawDataTotal!X:X)</f>
        <v>8</v>
      </c>
      <c r="V15">
        <f>SUMIF(RawDataTotal!$B:$B,$A15,RawDataTotal!Y:Y)</f>
        <v>8</v>
      </c>
      <c r="W15">
        <f>SUMIF(RawDataTotal!$B:$B,$A15,RawDataTotal!Z:Z)</f>
        <v>9</v>
      </c>
      <c r="X15">
        <f>SUMIF(RawDataTotal!$B:$B,$A15,RawDataTotal!AA:AA)</f>
        <v>9</v>
      </c>
      <c r="Y15">
        <f>SUMIF(RawDataTotal!$B:$B,$A15,RawDataTotal!AB:AB)</f>
        <v>9</v>
      </c>
      <c r="Z15">
        <f>SUMIF(RawDataTotal!$B:$B,$A15,RawDataTotal!AC:AC)</f>
        <v>9</v>
      </c>
      <c r="AA15">
        <f>SUMIF(RawDataTotal!$B:$B,$A15,RawDataTotal!AD:AD)</f>
        <v>9</v>
      </c>
      <c r="AB15">
        <f>SUMIF(RawDataTotal!$B:$B,$A15,RawDataTotal!AE:AE)</f>
        <v>9</v>
      </c>
      <c r="AC15">
        <f>SUMIF(RawDataTotal!$B:$B,$A15,RawDataTotal!AF:AF)</f>
        <v>9</v>
      </c>
      <c r="AD15">
        <f>SUMIF(RawDataTotal!$B:$B,$A15,RawDataTotal!AG:AG)</f>
        <v>9</v>
      </c>
      <c r="AE15">
        <f>SUMIF(RawDataTotal!$B:$B,$A15,RawDataTotal!AH:AH)</f>
        <v>9</v>
      </c>
      <c r="AF15">
        <f>SUMIF(RawDataTotal!$B:$B,$A15,RawDataTotal!AI:AI)</f>
        <v>9</v>
      </c>
      <c r="AG15">
        <f>SUMIF(RawDataTotal!$B:$B,$A15,RawDataTotal!AJ:AJ)</f>
        <v>9</v>
      </c>
      <c r="AH15">
        <f>SUMIF(RawDataTotal!$B:$B,$A15,RawDataTotal!AK:AK)</f>
        <v>9</v>
      </c>
      <c r="AI15">
        <f>SUMIF(RawDataTotal!$B:$B,$A15,RawDataTotal!AL:AL)</f>
        <v>13</v>
      </c>
      <c r="AJ15">
        <f>SUMIF(RawDataTotal!$B:$B,$A15,RawDataTotal!AM:AM)</f>
        <v>13</v>
      </c>
      <c r="AK15">
        <f>SUMIF(RawDataTotal!$B:$B,$A15,RawDataTotal!AN:AN)</f>
        <v>13</v>
      </c>
      <c r="AL15">
        <f>SUMIF(RawDataTotal!$B:$B,$A15,RawDataTotal!AO:AO)</f>
        <v>15</v>
      </c>
      <c r="AM15">
        <f>SUMIF(RawDataTotal!$B:$B,$A15,RawDataTotal!AP:AP)</f>
        <v>20</v>
      </c>
      <c r="AN15">
        <f>SUMIF(RawDataTotal!$B:$B,$A15,RawDataTotal!AQ:AQ)</f>
        <v>23</v>
      </c>
      <c r="AO15">
        <f>SUMIF(RawDataTotal!$B:$B,$A15,RawDataTotal!AR:AR)</f>
        <v>36</v>
      </c>
      <c r="AP15">
        <f>SUMIF(RawDataTotal!$B:$B,$A15,RawDataTotal!AS:AS)</f>
        <v>40</v>
      </c>
      <c r="AQ15">
        <f>SUMIF(RawDataTotal!$B:$B,$A15,RawDataTotal!AT:AT)</f>
        <v>51</v>
      </c>
      <c r="AR15">
        <f>SUMIF(RawDataTotal!$B:$B,$A15,RawDataTotal!AU:AU)</f>
        <v>86</v>
      </c>
      <c r="AS15">
        <f>SUMIF(RawDataTotal!$B:$B,$A15,RawDataTotal!AV:AV)</f>
        <v>116</v>
      </c>
      <c r="AT15">
        <f>SUMIF(RawDataTotal!$B:$B,$A15,RawDataTotal!AW:AW)</f>
        <v>164</v>
      </c>
      <c r="AU15">
        <f>SUMIF(RawDataTotal!$B:$B,$A15,RawDataTotal!AX:AX)</f>
        <v>207</v>
      </c>
      <c r="AV15">
        <f>SUMIF(RawDataTotal!$B:$B,$A15,RawDataTotal!AY:AY)</f>
        <v>274</v>
      </c>
      <c r="AW15">
        <f>SUMIF(RawDataTotal!$B:$B,$A15,RawDataTotal!AZ:AZ)</f>
        <v>322</v>
      </c>
      <c r="AX15">
        <f>SUMIF(RawDataTotal!$B:$B,$A15,RawDataTotal!BA:BA)</f>
        <v>384</v>
      </c>
      <c r="AY15">
        <f>SUMIF(RawDataTotal!$B:$B,$A15,RawDataTotal!BB:BB)</f>
        <v>459</v>
      </c>
      <c r="AZ15">
        <v>590</v>
      </c>
      <c r="BA15">
        <f>SUMIF(RawDataTotal!$B:$B,$A15,RawDataTotal!BD:BD)</f>
        <v>803</v>
      </c>
      <c r="BB15">
        <f>SUMIF(RawDataTotal!$B:$B,$A15,RawDataTotal!BE:BE)</f>
        <v>1145</v>
      </c>
      <c r="BC15">
        <v>1355</v>
      </c>
      <c r="BD15">
        <f>SUMIF(RawDataTotal!$B:$B,$A15,RawDataTotal!BG:BG)</f>
        <v>1552</v>
      </c>
      <c r="BE15">
        <f>SUMIF(RawDataTotal!$B:$B,$A15,RawDataTotal!BH:BH)</f>
        <v>1960</v>
      </c>
      <c r="BF15">
        <f>SUMIF(RawDataTotal!$B:$B,$A15,RawDataTotal!BI:BI)</f>
        <v>2626</v>
      </c>
      <c r="BG15">
        <f>SUMIF(RawDataTotal!$B:$B,$A15,RawDataTotal!BJ:BJ)</f>
        <v>0</v>
      </c>
      <c r="BH15">
        <f>SUMIF(RawDataTotal!$B:$B,$A15,RawDataTotal!BK:BK)</f>
        <v>0</v>
      </c>
      <c r="BI15">
        <f>SUMIF(RawDataTotal!$B:$B,$A15,RawDataTotal!BL:BL)</f>
        <v>0</v>
      </c>
      <c r="BJ15">
        <f>SUMIF(RawDataTotal!$B:$B,$A15,RawDataTotal!BM:BM)</f>
        <v>0</v>
      </c>
      <c r="BK15">
        <f>SUMIF(RawDataTotal!$B:$B,$A15,RawDataTotal!BN:BN)</f>
        <v>0</v>
      </c>
      <c r="BL15">
        <f>SUMIF(RawDataTotal!$B:$B,$A15,RawDataTotal!BO:BO)</f>
        <v>0</v>
      </c>
      <c r="BM15">
        <f>SUMIF(RawDataTotal!$B:$B,$A15,RawDataTotal!BP:BP)</f>
        <v>0</v>
      </c>
      <c r="BN15">
        <f>SUMIF(RawDataTotal!$B:$B,$A15,RawDataTotal!BQ:BQ)</f>
        <v>0</v>
      </c>
      <c r="BO15">
        <f>SUMIF(RawDataTotal!$B:$B,$A15,RawDataTotal!BR:BR)</f>
        <v>0</v>
      </c>
      <c r="BP15">
        <f>SUMIF(RawDataTotal!$B:$B,$A15,RawDataTotal!BS:BS)</f>
        <v>0</v>
      </c>
      <c r="BQ15">
        <f>SUMIF(RawDataTotal!$B:$B,$A15,RawDataTotal!BT:BT)</f>
        <v>0</v>
      </c>
      <c r="BR15">
        <f>SUMIF(RawDataTotal!$B:$B,$A15,RawDataTotal!BU:BU)</f>
        <v>0</v>
      </c>
      <c r="BS15">
        <f>SUMIF(RawDataTotal!$B:$B,$A15,RawDataTotal!BV:BV)</f>
        <v>0</v>
      </c>
      <c r="BT15">
        <f>SUMIF(RawDataTotal!$B:$B,$A15,RawDataTotal!BW:BW)</f>
        <v>0</v>
      </c>
    </row>
    <row r="16" spans="1:72" ht="15" thickBot="1" x14ac:dyDescent="0.35">
      <c r="A16" s="4" t="s">
        <v>63</v>
      </c>
      <c r="B16">
        <f>SUMIF(RawDataTotal!$B:$B,$A16,RawDataTotal!E:E)</f>
        <v>2</v>
      </c>
      <c r="C16">
        <f>SUMIF(RawDataTotal!$B:$B,$A16,RawDataTotal!F:F)</f>
        <v>1</v>
      </c>
      <c r="D16">
        <f>SUMIF(RawDataTotal!$B:$B,$A16,RawDataTotal!G:G)</f>
        <v>2</v>
      </c>
      <c r="E16">
        <f>SUMIF(RawDataTotal!$B:$B,$A16,RawDataTotal!H:H)</f>
        <v>2</v>
      </c>
      <c r="F16">
        <f>SUMIF(RawDataTotal!$B:$B,$A16,RawDataTotal!I:I)</f>
        <v>4</v>
      </c>
      <c r="G16">
        <f>SUMIF(RawDataTotal!$B:$B,$A16,RawDataTotal!J:J)</f>
        <v>4</v>
      </c>
      <c r="H16">
        <f>SUMIF(RawDataTotal!$B:$B,$A16,RawDataTotal!K:K)</f>
        <v>7</v>
      </c>
      <c r="I16">
        <f>SUMIF(RawDataTotal!$B:$B,$A16,RawDataTotal!L:L)</f>
        <v>7</v>
      </c>
      <c r="J16">
        <f>SUMIF(RawDataTotal!$B:$B,$A16,RawDataTotal!M:M)</f>
        <v>11</v>
      </c>
      <c r="K16">
        <f>SUMIF(RawDataTotal!$B:$B,$A16,RawDataTotal!N:N)</f>
        <v>15</v>
      </c>
      <c r="L16">
        <f>SUMIF(RawDataTotal!$B:$B,$A16,RawDataTotal!O:O)</f>
        <v>20</v>
      </c>
      <c r="M16">
        <f>SUMIF(RawDataTotal!$B:$B,$A16,RawDataTotal!P:P)</f>
        <v>20</v>
      </c>
      <c r="N16">
        <f>SUMIF(RawDataTotal!$B:$B,$A16,RawDataTotal!Q:Q)</f>
        <v>20</v>
      </c>
      <c r="O16">
        <f>SUMIF(RawDataTotal!$B:$B,$A16,RawDataTotal!R:R)</f>
        <v>22</v>
      </c>
      <c r="P16">
        <f>SUMIF(RawDataTotal!$B:$B,$A16,RawDataTotal!S:S)</f>
        <v>22</v>
      </c>
      <c r="Q16">
        <f>SUMIF(RawDataTotal!$B:$B,$A16,RawDataTotal!T:T)</f>
        <v>45</v>
      </c>
      <c r="R16">
        <f>SUMIF(RawDataTotal!$B:$B,$A16,RawDataTotal!U:U)</f>
        <v>25</v>
      </c>
      <c r="S16">
        <f>SUMIF(RawDataTotal!$B:$B,$A16,RawDataTotal!V:V)</f>
        <v>25</v>
      </c>
      <c r="T16">
        <f>SUMIF(RawDataTotal!$B:$B,$A16,RawDataTotal!W:W)</f>
        <v>26</v>
      </c>
      <c r="U16">
        <f>SUMIF(RawDataTotal!$B:$B,$A16,RawDataTotal!X:X)</f>
        <v>26</v>
      </c>
      <c r="V16">
        <f>SUMIF(RawDataTotal!$B:$B,$A16,RawDataTotal!Y:Y)</f>
        <v>26</v>
      </c>
      <c r="W16">
        <f>SUMIF(RawDataTotal!$B:$B,$A16,RawDataTotal!Z:Z)</f>
        <v>28</v>
      </c>
      <c r="X16">
        <f>SUMIF(RawDataTotal!$B:$B,$A16,RawDataTotal!AA:AA)</f>
        <v>28</v>
      </c>
      <c r="Y16">
        <f>SUMIF(RawDataTotal!$B:$B,$A16,RawDataTotal!AB:AB)</f>
        <v>29</v>
      </c>
      <c r="Z16">
        <f>SUMIF(RawDataTotal!$B:$B,$A16,RawDataTotal!AC:AC)</f>
        <v>43</v>
      </c>
      <c r="AA16">
        <f>SUMIF(RawDataTotal!$B:$B,$A16,RawDataTotal!AD:AD)</f>
        <v>59</v>
      </c>
      <c r="AB16">
        <f>SUMIF(RawDataTotal!$B:$B,$A16,RawDataTotal!AE:AE)</f>
        <v>66</v>
      </c>
      <c r="AC16">
        <f>SUMIF(RawDataTotal!$B:$B,$A16,RawDataTotal!AF:AF)</f>
        <v>74</v>
      </c>
      <c r="AD16">
        <f>SUMIF(RawDataTotal!$B:$B,$A16,RawDataTotal!AG:AG)</f>
        <v>84</v>
      </c>
      <c r="AE16">
        <f>SUMIF(RawDataTotal!$B:$B,$A16,RawDataTotal!AH:AH)</f>
        <v>94</v>
      </c>
      <c r="AF16">
        <f>SUMIF(RawDataTotal!$B:$B,$A16,RawDataTotal!AI:AI)</f>
        <v>105</v>
      </c>
      <c r="AG16">
        <f>SUMIF(RawDataTotal!$B:$B,$A16,RawDataTotal!AJ:AJ)</f>
        <v>122</v>
      </c>
      <c r="AH16">
        <f>SUMIF(RawDataTotal!$B:$B,$A16,RawDataTotal!AK:AK)</f>
        <v>147</v>
      </c>
      <c r="AI16">
        <f>SUMIF(RawDataTotal!$B:$B,$A16,RawDataTotal!AL:AL)</f>
        <v>159</v>
      </c>
      <c r="AJ16">
        <f>SUMIF(RawDataTotal!$B:$B,$A16,RawDataTotal!AM:AM)</f>
        <v>170</v>
      </c>
      <c r="AK16">
        <f>SUMIF(RawDataTotal!$B:$B,$A16,RawDataTotal!AN:AN)</f>
        <v>189</v>
      </c>
      <c r="AL16">
        <f>SUMIF(RawDataTotal!$B:$B,$A16,RawDataTotal!AO:AO)</f>
        <v>214</v>
      </c>
      <c r="AM16">
        <f>SUMIF(RawDataTotal!$B:$B,$A16,RawDataTotal!AP:AP)</f>
        <v>228</v>
      </c>
      <c r="AN16">
        <f>SUMIF(RawDataTotal!$B:$B,$A16,RawDataTotal!AQ:AQ)</f>
        <v>241</v>
      </c>
      <c r="AO16">
        <f>SUMIF(RawDataTotal!$B:$B,$A16,RawDataTotal!AR:AR)</f>
        <v>256</v>
      </c>
      <c r="AP16">
        <f>SUMIF(RawDataTotal!$B:$B,$A16,RawDataTotal!AS:AS)</f>
        <v>274</v>
      </c>
      <c r="AQ16">
        <f>SUMIF(RawDataTotal!$B:$B,$A16,RawDataTotal!AT:AT)</f>
        <v>293</v>
      </c>
      <c r="AR16">
        <f>SUMIF(RawDataTotal!$B:$B,$A16,RawDataTotal!AU:AU)</f>
        <v>331</v>
      </c>
      <c r="AS16">
        <f>SUMIF(RawDataTotal!$B:$B,$A16,RawDataTotal!AV:AV)</f>
        <v>360</v>
      </c>
      <c r="AT16">
        <f>SUMIF(RawDataTotal!$B:$B,$A16,RawDataTotal!AW:AW)</f>
        <v>420</v>
      </c>
      <c r="AU16">
        <f>SUMIF(RawDataTotal!$B:$B,$A16,RawDataTotal!AX:AX)</f>
        <v>461</v>
      </c>
      <c r="AV16">
        <f>SUMIF(RawDataTotal!$B:$B,$A16,RawDataTotal!AY:AY)</f>
        <v>502</v>
      </c>
      <c r="AW16">
        <f>SUMIF(RawDataTotal!$B:$B,$A16,RawDataTotal!AZ:AZ)</f>
        <v>511</v>
      </c>
      <c r="AX16">
        <f>SUMIF(RawDataTotal!$B:$B,$A16,RawDataTotal!BA:BA)</f>
        <v>581</v>
      </c>
      <c r="AY16">
        <f>SUMIF(RawDataTotal!$B:$B,$A16,RawDataTotal!BB:BB)</f>
        <v>639</v>
      </c>
      <c r="AZ16">
        <f>SUMIF(RawDataTotal!$B:$B,$A16,RawDataTotal!BC:BC)</f>
        <v>639</v>
      </c>
      <c r="BA16">
        <f>SUMIF(RawDataTotal!$B:$B,$A16,RawDataTotal!BD:BD)</f>
        <v>701</v>
      </c>
      <c r="BB16">
        <f>SUMIF(RawDataTotal!$B:$B,$A16,RawDataTotal!BE:BE)</f>
        <v>773</v>
      </c>
      <c r="BC16">
        <f>SUMIF(RawDataTotal!$B:$B,$A16,RawDataTotal!BF:BF)</f>
        <v>839</v>
      </c>
      <c r="BD16">
        <f>SUMIF(RawDataTotal!$B:$B,$A16,RawDataTotal!BG:BG)</f>
        <v>825</v>
      </c>
      <c r="BE16">
        <f>SUMIF(RawDataTotal!$B:$B,$A16,RawDataTotal!BH:BH)</f>
        <v>878</v>
      </c>
      <c r="BF16">
        <f>SUMIF(RawDataTotal!$B:$B,$A16,RawDataTotal!BI:BI)</f>
        <v>0</v>
      </c>
      <c r="BG16">
        <f>SUMIF(RawDataTotal!$B:$B,$A16,RawDataTotal!BJ:BJ)</f>
        <v>0</v>
      </c>
      <c r="BH16">
        <f>SUMIF(RawDataTotal!$B:$B,$A16,RawDataTotal!BK:BK)</f>
        <v>0</v>
      </c>
      <c r="BI16">
        <f>SUMIF(RawDataTotal!$B:$B,$A16,RawDataTotal!BL:BL)</f>
        <v>0</v>
      </c>
      <c r="BJ16">
        <f>SUMIF(RawDataTotal!$B:$B,$A16,RawDataTotal!BM:BM)</f>
        <v>0</v>
      </c>
      <c r="BK16">
        <f>SUMIF(RawDataTotal!$B:$B,$A16,RawDataTotal!BN:BN)</f>
        <v>0</v>
      </c>
      <c r="BL16">
        <f>SUMIF(RawDataTotal!$B:$B,$A16,RawDataTotal!BO:BO)</f>
        <v>0</v>
      </c>
      <c r="BM16">
        <f>SUMIF(RawDataTotal!$B:$B,$A16,RawDataTotal!BP:BP)</f>
        <v>0</v>
      </c>
      <c r="BN16">
        <f>SUMIF(RawDataTotal!$B:$B,$A16,RawDataTotal!BQ:BQ)</f>
        <v>0</v>
      </c>
      <c r="BO16">
        <f>SUMIF(RawDataTotal!$B:$B,$A16,RawDataTotal!BR:BR)</f>
        <v>0</v>
      </c>
      <c r="BP16">
        <f>SUMIF(RawDataTotal!$B:$B,$A16,RawDataTotal!BS:BS)</f>
        <v>0</v>
      </c>
      <c r="BQ16">
        <f>SUMIF(RawDataTotal!$B:$B,$A16,RawDataTotal!BT:BT)</f>
        <v>0</v>
      </c>
      <c r="BR16">
        <f>SUMIF(RawDataTotal!$B:$B,$A16,RawDataTotal!BU:BU)</f>
        <v>0</v>
      </c>
      <c r="BS16">
        <f>SUMIF(RawDataTotal!$B:$B,$A16,RawDataTotal!BV:BV)</f>
        <v>0</v>
      </c>
      <c r="BT16">
        <f>SUMIF(RawDataTotal!$B:$B,$A16,RawDataTotal!BW:BW)</f>
        <v>0</v>
      </c>
    </row>
    <row r="17" spans="1:72" ht="15" thickBot="1" x14ac:dyDescent="0.35">
      <c r="A17" s="4" t="s">
        <v>368</v>
      </c>
      <c r="B17">
        <f>SUMIF(RawDataTotal!$B:$B,$A17,RawDataTotal!E:E)</f>
        <v>0</v>
      </c>
      <c r="C17">
        <f>SUMIF(RawDataTotal!$B:$B,$A17,RawDataTotal!F:F)</f>
        <v>0</v>
      </c>
      <c r="D17">
        <f>SUMIF(RawDataTotal!$B:$B,$A17,RawDataTotal!G:G)</f>
        <v>0</v>
      </c>
      <c r="E17">
        <f>SUMIF(RawDataTotal!$B:$B,$A17,RawDataTotal!H:H)</f>
        <v>0</v>
      </c>
      <c r="F17">
        <f>SUMIF(RawDataTotal!$B:$B,$A17,RawDataTotal!I:I)</f>
        <v>0</v>
      </c>
      <c r="G17">
        <f>SUMIF(RawDataTotal!$B:$B,$A17,RawDataTotal!J:J)</f>
        <v>0</v>
      </c>
      <c r="H17">
        <f>SUMIF(RawDataTotal!$B:$B,$A17,RawDataTotal!K:K)</f>
        <v>0</v>
      </c>
      <c r="I17">
        <f>SUMIF(RawDataTotal!$B:$B,$A17,RawDataTotal!L:L)</f>
        <v>0</v>
      </c>
      <c r="J17">
        <f>SUMIF(RawDataTotal!$B:$B,$A17,RawDataTotal!M:M)</f>
        <v>0</v>
      </c>
      <c r="K17">
        <f>SUMIF(RawDataTotal!$B:$B,$A17,RawDataTotal!N:N)</f>
        <v>0</v>
      </c>
      <c r="L17">
        <f>SUMIF(RawDataTotal!$B:$B,$A17,RawDataTotal!O:O)</f>
        <v>0</v>
      </c>
      <c r="M17">
        <f>SUMIF(RawDataTotal!$B:$B,$A17,RawDataTotal!P:P)</f>
        <v>0</v>
      </c>
      <c r="N17">
        <f>SUMIF(RawDataTotal!$B:$B,$A17,RawDataTotal!Q:Q)</f>
        <v>0</v>
      </c>
      <c r="O17">
        <f>SUMIF(RawDataTotal!$B:$B,$A17,RawDataTotal!R:R)</f>
        <v>0</v>
      </c>
      <c r="P17">
        <f>SUMIF(RawDataTotal!$B:$B,$A17,RawDataTotal!S:S)</f>
        <v>0</v>
      </c>
      <c r="Q17">
        <f>SUMIF(RawDataTotal!$B:$B,$A17,RawDataTotal!T:T)</f>
        <v>0</v>
      </c>
      <c r="R17">
        <f>SUMIF(RawDataTotal!$B:$B,$A17,RawDataTotal!U:U)</f>
        <v>61</v>
      </c>
      <c r="S17">
        <f>SUMIF(RawDataTotal!$B:$B,$A17,RawDataTotal!V:V)</f>
        <v>61</v>
      </c>
      <c r="T17">
        <f>SUMIF(RawDataTotal!$B:$B,$A17,RawDataTotal!W:W)</f>
        <v>64</v>
      </c>
      <c r="U17">
        <f>SUMIF(RawDataTotal!$B:$B,$A17,RawDataTotal!X:X)</f>
        <v>135</v>
      </c>
      <c r="V17">
        <f>SUMIF(RawDataTotal!$B:$B,$A17,RawDataTotal!Y:Y)</f>
        <v>135</v>
      </c>
      <c r="W17">
        <f>SUMIF(RawDataTotal!$B:$B,$A17,RawDataTotal!Z:Z)</f>
        <v>175</v>
      </c>
      <c r="X17">
        <f>SUMIF(RawDataTotal!$B:$B,$A17,RawDataTotal!AA:AA)</f>
        <v>175</v>
      </c>
      <c r="Y17">
        <f>SUMIF(RawDataTotal!$B:$B,$A17,RawDataTotal!AB:AB)</f>
        <v>218</v>
      </c>
      <c r="Z17">
        <f>SUMIF(RawDataTotal!$B:$B,$A17,RawDataTotal!AC:AC)</f>
        <v>285</v>
      </c>
      <c r="AA17">
        <f>SUMIF(RawDataTotal!$B:$B,$A17,RawDataTotal!AD:AD)</f>
        <v>355</v>
      </c>
      <c r="AB17">
        <f>SUMIF(RawDataTotal!$B:$B,$A17,RawDataTotal!AE:AE)</f>
        <v>454</v>
      </c>
      <c r="AC17">
        <f>SUMIF(RawDataTotal!$B:$B,$A17,RawDataTotal!AF:AF)</f>
        <v>542</v>
      </c>
      <c r="AD17">
        <f>SUMIF(RawDataTotal!$B:$B,$A17,RawDataTotal!AG:AG)</f>
        <v>621</v>
      </c>
      <c r="AE17">
        <f>SUMIF(RawDataTotal!$B:$B,$A17,RawDataTotal!AH:AH)</f>
        <v>634</v>
      </c>
      <c r="AF17">
        <f>SUMIF(RawDataTotal!$B:$B,$A17,RawDataTotal!AI:AI)</f>
        <v>634</v>
      </c>
      <c r="AG17">
        <f>SUMIF(RawDataTotal!$B:$B,$A17,RawDataTotal!AJ:AJ)</f>
        <v>634</v>
      </c>
      <c r="AH17">
        <f>SUMIF(RawDataTotal!$B:$B,$A17,RawDataTotal!AK:AK)</f>
        <v>691</v>
      </c>
      <c r="AI17">
        <f>SUMIF(RawDataTotal!$B:$B,$A17,RawDataTotal!AL:AL)</f>
        <v>691</v>
      </c>
      <c r="AJ17">
        <f>SUMIF(RawDataTotal!$B:$B,$A17,RawDataTotal!AM:AM)</f>
        <v>691</v>
      </c>
      <c r="AK17">
        <f>SUMIF(RawDataTotal!$B:$B,$A17,RawDataTotal!AN:AN)</f>
        <v>705</v>
      </c>
      <c r="AL17">
        <f>SUMIF(RawDataTotal!$B:$B,$A17,RawDataTotal!AO:AO)</f>
        <v>705</v>
      </c>
      <c r="AM17">
        <f>SUMIF(RawDataTotal!$B:$B,$A17,RawDataTotal!AP:AP)</f>
        <v>705</v>
      </c>
      <c r="AN17">
        <f>SUMIF(RawDataTotal!$B:$B,$A17,RawDataTotal!AQ:AQ)</f>
        <v>705</v>
      </c>
      <c r="AO17">
        <f>SUMIF(RawDataTotal!$B:$B,$A17,RawDataTotal!AR:AR)</f>
        <v>705</v>
      </c>
      <c r="AP17">
        <f>SUMIF(RawDataTotal!$B:$B,$A17,RawDataTotal!AS:AS)</f>
        <v>705</v>
      </c>
      <c r="AQ17">
        <f>SUMIF(RawDataTotal!$B:$B,$A17,RawDataTotal!AT:AT)</f>
        <v>706</v>
      </c>
      <c r="AR17">
        <f>SUMIF(RawDataTotal!$B:$B,$A17,RawDataTotal!AU:AU)</f>
        <v>706</v>
      </c>
      <c r="AS17">
        <f>SUMIF(RawDataTotal!$B:$B,$A17,RawDataTotal!AV:AV)</f>
        <v>706</v>
      </c>
      <c r="AT17">
        <f>SUMIF(RawDataTotal!$B:$B,$A17,RawDataTotal!AW:AW)</f>
        <v>696</v>
      </c>
      <c r="AU17">
        <f>SUMIF(RawDataTotal!$B:$B,$A17,RawDataTotal!AX:AX)</f>
        <v>696</v>
      </c>
      <c r="AV17">
        <f>SUMIF(RawDataTotal!$B:$B,$A17,RawDataTotal!AY:AY)</f>
        <v>696</v>
      </c>
      <c r="AW17">
        <f>SUMIF(RawDataTotal!$B:$B,$A17,RawDataTotal!AZ:AZ)</f>
        <v>696</v>
      </c>
      <c r="AX17">
        <f>SUMIF(RawDataTotal!$B:$B,$A17,RawDataTotal!BA:BA)</f>
        <v>696</v>
      </c>
      <c r="AY17">
        <f>SUMIF(RawDataTotal!$B:$B,$A17,RawDataTotal!BB:BB)</f>
        <v>696</v>
      </c>
      <c r="AZ17">
        <f>SUMIF(RawDataTotal!$B:$B,$A17,RawDataTotal!BC:BC)</f>
        <v>696</v>
      </c>
      <c r="BA17">
        <f>SUMIF(RawDataTotal!$B:$B,$A17,RawDataTotal!BD:BD)</f>
        <v>696</v>
      </c>
      <c r="BB17">
        <f>SUMIF(RawDataTotal!$B:$B,$A17,RawDataTotal!BE:BE)</f>
        <v>696</v>
      </c>
      <c r="BC17">
        <f>SUMIF(RawDataTotal!$B:$B,$A17,RawDataTotal!BF:BF)</f>
        <v>696</v>
      </c>
      <c r="BD17">
        <f>SUMIF(RawDataTotal!$B:$B,$A17,RawDataTotal!BG:BG)</f>
        <v>696</v>
      </c>
      <c r="BE17">
        <f>SUMIF(RawDataTotal!$B:$B,$A17,RawDataTotal!BH:BH)</f>
        <v>696</v>
      </c>
      <c r="BF17">
        <f>SUMIF(RawDataTotal!$B:$B,$A17,RawDataTotal!BI:BI)</f>
        <v>0</v>
      </c>
      <c r="BG17">
        <f>SUMIF(RawDataTotal!$B:$B,$A17,RawDataTotal!BJ:BJ)</f>
        <v>0</v>
      </c>
      <c r="BH17">
        <f>SUMIF(RawDataTotal!$B:$B,$A17,RawDataTotal!BK:BK)</f>
        <v>0</v>
      </c>
      <c r="BI17">
        <f>SUMIF(RawDataTotal!$B:$B,$A17,RawDataTotal!BL:BL)</f>
        <v>0</v>
      </c>
      <c r="BJ17">
        <f>SUMIF(RawDataTotal!$B:$B,$A17,RawDataTotal!BM:BM)</f>
        <v>0</v>
      </c>
      <c r="BK17">
        <f>SUMIF(RawDataTotal!$B:$B,$A17,RawDataTotal!BN:BN)</f>
        <v>0</v>
      </c>
      <c r="BL17">
        <f>SUMIF(RawDataTotal!$B:$B,$A17,RawDataTotal!BO:BO)</f>
        <v>0</v>
      </c>
      <c r="BM17">
        <f>SUMIF(RawDataTotal!$B:$B,$A17,RawDataTotal!BP:BP)</f>
        <v>0</v>
      </c>
      <c r="BN17">
        <f>SUMIF(RawDataTotal!$B:$B,$A17,RawDataTotal!BQ:BQ)</f>
        <v>0</v>
      </c>
      <c r="BO17">
        <f>SUMIF(RawDataTotal!$B:$B,$A17,RawDataTotal!BR:BR)</f>
        <v>0</v>
      </c>
      <c r="BP17">
        <f>SUMIF(RawDataTotal!$B:$B,$A17,RawDataTotal!BS:BS)</f>
        <v>0</v>
      </c>
      <c r="BQ17">
        <f>SUMIF(RawDataTotal!$B:$B,$A17,RawDataTotal!BT:BT)</f>
        <v>0</v>
      </c>
      <c r="BR17">
        <f>SUMIF(RawDataTotal!$B:$B,$A17,RawDataTotal!BU:BU)</f>
        <v>0</v>
      </c>
      <c r="BS17">
        <f>SUMIF(RawDataTotal!$B:$B,$A17,RawDataTotal!BV:BV)</f>
        <v>0</v>
      </c>
      <c r="BT17">
        <f>SUMIF(RawDataTotal!$B:$B,$A17,RawDataTotal!BW:BW)</f>
        <v>0</v>
      </c>
    </row>
    <row r="18" spans="1:72" ht="15" thickBot="1" x14ac:dyDescent="0.35">
      <c r="A18" s="3" t="s">
        <v>90</v>
      </c>
      <c r="B18">
        <f>SUMIF(RawDataTotal!$B:$B,$A18,RawDataTotal!E:E)</f>
        <v>0</v>
      </c>
      <c r="C18">
        <f>SUMIF(RawDataTotal!$B:$B,$A18,RawDataTotal!F:F)</f>
        <v>0</v>
      </c>
      <c r="D18">
        <f>SUMIF(RawDataTotal!$B:$B,$A18,RawDataTotal!G:G)</f>
        <v>0</v>
      </c>
      <c r="E18">
        <f>SUMIF(RawDataTotal!$B:$B,$A18,RawDataTotal!H:H)</f>
        <v>0</v>
      </c>
      <c r="F18">
        <f>SUMIF(RawDataTotal!$B:$B,$A18,RawDataTotal!I:I)</f>
        <v>0</v>
      </c>
      <c r="G18">
        <f>SUMIF(RawDataTotal!$B:$B,$A18,RawDataTotal!J:J)</f>
        <v>0</v>
      </c>
      <c r="H18">
        <f>SUMIF(RawDataTotal!$B:$B,$A18,RawDataTotal!K:K)</f>
        <v>0</v>
      </c>
      <c r="I18">
        <f>SUMIF(RawDataTotal!$B:$B,$A18,RawDataTotal!L:L)</f>
        <v>0</v>
      </c>
      <c r="J18">
        <f>SUMIF(RawDataTotal!$B:$B,$A18,RawDataTotal!M:M)</f>
        <v>0</v>
      </c>
      <c r="K18">
        <f>SUMIF(RawDataTotal!$B:$B,$A18,RawDataTotal!N:N)</f>
        <v>0</v>
      </c>
      <c r="L18">
        <f>SUMIF(RawDataTotal!$B:$B,$A18,RawDataTotal!O:O)</f>
        <v>0</v>
      </c>
      <c r="M18">
        <f>SUMIF(RawDataTotal!$B:$B,$A18,RawDataTotal!P:P)</f>
        <v>0</v>
      </c>
      <c r="N18">
        <f>SUMIF(RawDataTotal!$B:$B,$A18,RawDataTotal!Q:Q)</f>
        <v>0</v>
      </c>
      <c r="O18">
        <f>SUMIF(RawDataTotal!$B:$B,$A18,RawDataTotal!R:R)</f>
        <v>1</v>
      </c>
      <c r="P18">
        <f>SUMIF(RawDataTotal!$B:$B,$A18,RawDataTotal!S:S)</f>
        <v>1</v>
      </c>
      <c r="Q18">
        <f>SUMIF(RawDataTotal!$B:$B,$A18,RawDataTotal!T:T)</f>
        <v>1</v>
      </c>
      <c r="R18">
        <f>SUMIF(RawDataTotal!$B:$B,$A18,RawDataTotal!U:U)</f>
        <v>1</v>
      </c>
      <c r="S18">
        <f>SUMIF(RawDataTotal!$B:$B,$A18,RawDataTotal!V:V)</f>
        <v>1</v>
      </c>
      <c r="T18">
        <f>SUMIF(RawDataTotal!$B:$B,$A18,RawDataTotal!W:W)</f>
        <v>1</v>
      </c>
      <c r="U18">
        <f>SUMIF(RawDataTotal!$B:$B,$A18,RawDataTotal!X:X)</f>
        <v>1</v>
      </c>
      <c r="V18">
        <f>SUMIF(RawDataTotal!$B:$B,$A18,RawDataTotal!Y:Y)</f>
        <v>1</v>
      </c>
      <c r="W18">
        <f>SUMIF(RawDataTotal!$B:$B,$A18,RawDataTotal!Z:Z)</f>
        <v>1</v>
      </c>
      <c r="X18">
        <f>SUMIF(RawDataTotal!$B:$B,$A18,RawDataTotal!AA:AA)</f>
        <v>1</v>
      </c>
      <c r="Y18">
        <f>SUMIF(RawDataTotal!$B:$B,$A18,RawDataTotal!AB:AB)</f>
        <v>1</v>
      </c>
      <c r="Z18">
        <f>SUMIF(RawDataTotal!$B:$B,$A18,RawDataTotal!AC:AC)</f>
        <v>1</v>
      </c>
      <c r="AA18">
        <f>SUMIF(RawDataTotal!$B:$B,$A18,RawDataTotal!AD:AD)</f>
        <v>1</v>
      </c>
      <c r="AB18">
        <f>SUMIF(RawDataTotal!$B:$B,$A18,RawDataTotal!AE:AE)</f>
        <v>1</v>
      </c>
      <c r="AC18">
        <f>SUMIF(RawDataTotal!$B:$B,$A18,RawDataTotal!AF:AF)</f>
        <v>1</v>
      </c>
      <c r="AD18">
        <f>SUMIF(RawDataTotal!$B:$B,$A18,RawDataTotal!AG:AG)</f>
        <v>1</v>
      </c>
      <c r="AE18">
        <f>SUMIF(RawDataTotal!$B:$B,$A18,RawDataTotal!AH:AH)</f>
        <v>1</v>
      </c>
      <c r="AF18">
        <f>SUMIF(RawDataTotal!$B:$B,$A18,RawDataTotal!AI:AI)</f>
        <v>1</v>
      </c>
      <c r="AG18">
        <f>SUMIF(RawDataTotal!$B:$B,$A18,RawDataTotal!AJ:AJ)</f>
        <v>1</v>
      </c>
      <c r="AH18">
        <f>SUMIF(RawDataTotal!$B:$B,$A18,RawDataTotal!AK:AK)</f>
        <v>1</v>
      </c>
      <c r="AI18">
        <f>SUMIF(RawDataTotal!$B:$B,$A18,RawDataTotal!AL:AL)</f>
        <v>1</v>
      </c>
      <c r="AJ18">
        <f>SUMIF(RawDataTotal!$B:$B,$A18,RawDataTotal!AM:AM)</f>
        <v>1</v>
      </c>
      <c r="AK18">
        <f>SUMIF(RawDataTotal!$B:$B,$A18,RawDataTotal!AN:AN)</f>
        <v>1</v>
      </c>
      <c r="AL18">
        <f>SUMIF(RawDataTotal!$B:$B,$A18,RawDataTotal!AO:AO)</f>
        <v>1</v>
      </c>
      <c r="AM18">
        <f>SUMIF(RawDataTotal!$B:$B,$A18,RawDataTotal!AP:AP)</f>
        <v>1</v>
      </c>
      <c r="AN18">
        <f>SUMIF(RawDataTotal!$B:$B,$A18,RawDataTotal!AQ:AQ)</f>
        <v>1</v>
      </c>
      <c r="AO18">
        <f>SUMIF(RawDataTotal!$B:$B,$A18,RawDataTotal!AR:AR)</f>
        <v>2</v>
      </c>
      <c r="AP18">
        <f>SUMIF(RawDataTotal!$B:$B,$A18,RawDataTotal!AS:AS)</f>
        <v>8</v>
      </c>
      <c r="AQ18">
        <f>SUMIF(RawDataTotal!$B:$B,$A18,RawDataTotal!AT:AT)</f>
        <v>13</v>
      </c>
      <c r="AR18">
        <f>SUMIF(RawDataTotal!$B:$B,$A18,RawDataTotal!AU:AU)</f>
        <v>23</v>
      </c>
      <c r="AS18">
        <f>SUMIF(RawDataTotal!$B:$B,$A18,RawDataTotal!AV:AV)</f>
        <v>50</v>
      </c>
      <c r="AT18">
        <f>SUMIF(RawDataTotal!$B:$B,$A18,RawDataTotal!AW:AW)</f>
        <v>109</v>
      </c>
      <c r="AU18">
        <f>SUMIF(RawDataTotal!$B:$B,$A18,RawDataTotal!AX:AX)</f>
        <v>169</v>
      </c>
      <c r="AV18">
        <f>SUMIF(RawDataTotal!$B:$B,$A18,RawDataTotal!AY:AY)</f>
        <v>200</v>
      </c>
      <c r="AW18">
        <f>SUMIF(RawDataTotal!$B:$B,$A18,RawDataTotal!AZ:AZ)</f>
        <v>239</v>
      </c>
      <c r="AX18">
        <f>SUMIF(RawDataTotal!$B:$B,$A18,RawDataTotal!BA:BA)</f>
        <v>267</v>
      </c>
      <c r="AY18">
        <f>SUMIF(RawDataTotal!$B:$B,$A18,RawDataTotal!BB:BB)</f>
        <v>314</v>
      </c>
      <c r="AZ18">
        <f>SUMIF(RawDataTotal!$B:$B,$A18,RawDataTotal!BC:BC)</f>
        <v>314</v>
      </c>
      <c r="BA18">
        <f>SUMIF(RawDataTotal!$B:$B,$A18,RawDataTotal!BD:BD)</f>
        <v>559</v>
      </c>
      <c r="BB18">
        <f>SUMIF(RawDataTotal!$B:$B,$A18,RawDataTotal!BE:BE)</f>
        <v>689</v>
      </c>
      <c r="BC18">
        <f>SUMIF(RawDataTotal!$B:$B,$A18,RawDataTotal!BF:BF)</f>
        <v>886</v>
      </c>
      <c r="BD18">
        <f>SUMIF(RawDataTotal!$B:$B,$A18,RawDataTotal!BG:BG)</f>
        <v>1058</v>
      </c>
      <c r="BE18">
        <f>SUMIF(RawDataTotal!$B:$B,$A18,RawDataTotal!BH:BH)</f>
        <v>1243</v>
      </c>
      <c r="BF18">
        <f>SUMIF(RawDataTotal!$B:$B,$A18,RawDataTotal!BI:BI)</f>
        <v>0</v>
      </c>
      <c r="BG18">
        <f>SUMIF(RawDataTotal!$B:$B,$A18,RawDataTotal!BJ:BJ)</f>
        <v>0</v>
      </c>
      <c r="BH18">
        <f>SUMIF(RawDataTotal!$B:$B,$A18,RawDataTotal!BK:BK)</f>
        <v>0</v>
      </c>
      <c r="BI18">
        <f>SUMIF(RawDataTotal!$B:$B,$A18,RawDataTotal!BL:BL)</f>
        <v>0</v>
      </c>
      <c r="BJ18">
        <f>SUMIF(RawDataTotal!$B:$B,$A18,RawDataTotal!BM:BM)</f>
        <v>0</v>
      </c>
      <c r="BK18">
        <f>SUMIF(RawDataTotal!$B:$B,$A18,RawDataTotal!BN:BN)</f>
        <v>0</v>
      </c>
      <c r="BL18">
        <f>SUMIF(RawDataTotal!$B:$B,$A18,RawDataTotal!BO:BO)</f>
        <v>0</v>
      </c>
      <c r="BM18">
        <f>SUMIF(RawDataTotal!$B:$B,$A18,RawDataTotal!BP:BP)</f>
        <v>0</v>
      </c>
      <c r="BN18">
        <f>SUMIF(RawDataTotal!$B:$B,$A18,RawDataTotal!BQ:BQ)</f>
        <v>0</v>
      </c>
      <c r="BO18">
        <f>SUMIF(RawDataTotal!$B:$B,$A18,RawDataTotal!BR:BR)</f>
        <v>0</v>
      </c>
      <c r="BP18">
        <f>SUMIF(RawDataTotal!$B:$B,$A18,RawDataTotal!BS:BS)</f>
        <v>0</v>
      </c>
      <c r="BQ18">
        <f>SUMIF(RawDataTotal!$B:$B,$A18,RawDataTotal!BT:BT)</f>
        <v>0</v>
      </c>
      <c r="BR18">
        <f>SUMIF(RawDataTotal!$B:$B,$A18,RawDataTotal!BU:BU)</f>
        <v>0</v>
      </c>
      <c r="BS18">
        <f>SUMIF(RawDataTotal!$B:$B,$A18,RawDataTotal!BV:BV)</f>
        <v>0</v>
      </c>
      <c r="BT18">
        <f>SUMIF(RawDataTotal!$B:$B,$A18,RawDataTotal!BW:BW)</f>
        <v>0</v>
      </c>
    </row>
    <row r="19" spans="1:72" ht="15" thickBot="1" x14ac:dyDescent="0.35">
      <c r="A19" s="3" t="s">
        <v>105</v>
      </c>
      <c r="B19">
        <f>SUMIF(RawDataTotal!$B:$B,$A19,RawDataTotal!E:E)</f>
        <v>0</v>
      </c>
      <c r="C19">
        <f>SUMIF(RawDataTotal!$B:$B,$A19,RawDataTotal!F:F)</f>
        <v>0</v>
      </c>
      <c r="D19">
        <f>SUMIF(RawDataTotal!$B:$B,$A19,RawDataTotal!G:G)</f>
        <v>0</v>
      </c>
      <c r="E19">
        <f>SUMIF(RawDataTotal!$B:$B,$A19,RawDataTotal!H:H)</f>
        <v>0</v>
      </c>
      <c r="F19">
        <f>SUMIF(RawDataTotal!$B:$B,$A19,RawDataTotal!I:I)</f>
        <v>0</v>
      </c>
      <c r="G19">
        <f>SUMIF(RawDataTotal!$B:$B,$A19,RawDataTotal!J:J)</f>
        <v>0</v>
      </c>
      <c r="H19">
        <f>SUMIF(RawDataTotal!$B:$B,$A19,RawDataTotal!K:K)</f>
        <v>0</v>
      </c>
      <c r="I19">
        <f>SUMIF(RawDataTotal!$B:$B,$A19,RawDataTotal!L:L)</f>
        <v>0</v>
      </c>
      <c r="J19">
        <f>SUMIF(RawDataTotal!$B:$B,$A19,RawDataTotal!M:M)</f>
        <v>0</v>
      </c>
      <c r="K19">
        <f>SUMIF(RawDataTotal!$B:$B,$A19,RawDataTotal!N:N)</f>
        <v>0</v>
      </c>
      <c r="L19">
        <f>SUMIF(RawDataTotal!$B:$B,$A19,RawDataTotal!O:O)</f>
        <v>0</v>
      </c>
      <c r="M19">
        <f>SUMIF(RawDataTotal!$B:$B,$A19,RawDataTotal!P:P)</f>
        <v>0</v>
      </c>
      <c r="N19">
        <f>SUMIF(RawDataTotal!$B:$B,$A19,RawDataTotal!Q:Q)</f>
        <v>0</v>
      </c>
      <c r="O19">
        <f>SUMIF(RawDataTotal!$B:$B,$A19,RawDataTotal!R:R)</f>
        <v>0</v>
      </c>
      <c r="P19">
        <f>SUMIF(RawDataTotal!$B:$B,$A19,RawDataTotal!S:S)</f>
        <v>0</v>
      </c>
      <c r="Q19">
        <f>SUMIF(RawDataTotal!$B:$B,$A19,RawDataTotal!T:T)</f>
        <v>0</v>
      </c>
      <c r="R19">
        <f>SUMIF(RawDataTotal!$B:$B,$A19,RawDataTotal!U:U)</f>
        <v>0</v>
      </c>
      <c r="S19">
        <f>SUMIF(RawDataTotal!$B:$B,$A19,RawDataTotal!V:V)</f>
        <v>0</v>
      </c>
      <c r="T19">
        <f>SUMIF(RawDataTotal!$B:$B,$A19,RawDataTotal!W:W)</f>
        <v>0</v>
      </c>
      <c r="U19">
        <f>SUMIF(RawDataTotal!$B:$B,$A19,RawDataTotal!X:X)</f>
        <v>0</v>
      </c>
      <c r="V19">
        <f>SUMIF(RawDataTotal!$B:$B,$A19,RawDataTotal!Y:Y)</f>
        <v>0</v>
      </c>
      <c r="W19">
        <f>SUMIF(RawDataTotal!$B:$B,$A19,RawDataTotal!Z:Z)</f>
        <v>0</v>
      </c>
      <c r="X19">
        <f>SUMIF(RawDataTotal!$B:$B,$A19,RawDataTotal!AA:AA)</f>
        <v>0</v>
      </c>
      <c r="Y19">
        <f>SUMIF(RawDataTotal!$B:$B,$A19,RawDataTotal!AB:AB)</f>
        <v>0</v>
      </c>
      <c r="Z19">
        <f>SUMIF(RawDataTotal!$B:$B,$A19,RawDataTotal!AC:AC)</f>
        <v>0</v>
      </c>
      <c r="AA19">
        <f>SUMIF(RawDataTotal!$B:$B,$A19,RawDataTotal!AD:AD)</f>
        <v>0</v>
      </c>
      <c r="AB19">
        <f>SUMIF(RawDataTotal!$B:$B,$A19,RawDataTotal!AE:AE)</f>
        <v>0</v>
      </c>
      <c r="AC19">
        <f>SUMIF(RawDataTotal!$B:$B,$A19,RawDataTotal!AF:AF)</f>
        <v>0</v>
      </c>
      <c r="AD19">
        <f>SUMIF(RawDataTotal!$B:$B,$A19,RawDataTotal!AG:AG)</f>
        <v>0</v>
      </c>
      <c r="AE19">
        <f>SUMIF(RawDataTotal!$B:$B,$A19,RawDataTotal!AH:AH)</f>
        <v>0</v>
      </c>
      <c r="AF19">
        <f>SUMIF(RawDataTotal!$B:$B,$A19,RawDataTotal!AI:AI)</f>
        <v>0</v>
      </c>
      <c r="AG19">
        <f>SUMIF(RawDataTotal!$B:$B,$A19,RawDataTotal!AJ:AJ)</f>
        <v>0</v>
      </c>
      <c r="AH19">
        <f>SUMIF(RawDataTotal!$B:$B,$A19,RawDataTotal!AK:AK)</f>
        <v>0</v>
      </c>
      <c r="AI19">
        <f>SUMIF(RawDataTotal!$B:$B,$A19,RawDataTotal!AL:AL)</f>
        <v>0</v>
      </c>
      <c r="AJ19">
        <f>SUMIF(RawDataTotal!$B:$B,$A19,RawDataTotal!AM:AM)</f>
        <v>2</v>
      </c>
      <c r="AK19">
        <f>SUMIF(RawDataTotal!$B:$B,$A19,RawDataTotal!AN:AN)</f>
        <v>2</v>
      </c>
      <c r="AL19">
        <f>SUMIF(RawDataTotal!$B:$B,$A19,RawDataTotal!AO:AO)</f>
        <v>3</v>
      </c>
      <c r="AM19">
        <f>SUMIF(RawDataTotal!$B:$B,$A19,RawDataTotal!AP:AP)</f>
        <v>3</v>
      </c>
      <c r="AN19">
        <f>SUMIF(RawDataTotal!$B:$B,$A19,RawDataTotal!AQ:AQ)</f>
        <v>9</v>
      </c>
      <c r="AO19">
        <f>SUMIF(RawDataTotal!$B:$B,$A19,RawDataTotal!AR:AR)</f>
        <v>14</v>
      </c>
      <c r="AP19">
        <f>SUMIF(RawDataTotal!$B:$B,$A19,RawDataTotal!AS:AS)</f>
        <v>18</v>
      </c>
      <c r="AQ19">
        <f>SUMIF(RawDataTotal!$B:$B,$A19,RawDataTotal!AT:AT)</f>
        <v>21</v>
      </c>
      <c r="AR19">
        <f>SUMIF(RawDataTotal!$B:$B,$A19,RawDataTotal!AU:AU)</f>
        <v>29</v>
      </c>
      <c r="AS19">
        <f>SUMIF(RawDataTotal!$B:$B,$A19,RawDataTotal!AV:AV)</f>
        <v>41</v>
      </c>
      <c r="AT19">
        <f>SUMIF(RawDataTotal!$B:$B,$A19,RawDataTotal!AW:AW)</f>
        <v>55</v>
      </c>
      <c r="AU19">
        <f>SUMIF(RawDataTotal!$B:$B,$A19,RawDataTotal!AX:AX)</f>
        <v>79</v>
      </c>
      <c r="AV19">
        <f>SUMIF(RawDataTotal!$B:$B,$A19,RawDataTotal!AY:AY)</f>
        <v>104</v>
      </c>
      <c r="AW19">
        <f>SUMIF(RawDataTotal!$B:$B,$A19,RawDataTotal!AZ:AZ)</f>
        <v>131</v>
      </c>
      <c r="AX19">
        <f>SUMIF(RawDataTotal!$B:$B,$A19,RawDataTotal!BA:BA)</f>
        <v>182</v>
      </c>
      <c r="AY19">
        <f>SUMIF(RawDataTotal!$B:$B,$A19,RawDataTotal!BB:BB)</f>
        <v>246</v>
      </c>
      <c r="AZ19">
        <f>SUMIF(RawDataTotal!$B:$B,$A19,RawDataTotal!BC:BC)</f>
        <v>302</v>
      </c>
      <c r="BA19">
        <f>SUMIF(RawDataTotal!$B:$B,$A19,RawDataTotal!BD:BD)</f>
        <v>504</v>
      </c>
      <c r="BB19">
        <f>SUMIF(RawDataTotal!$B:$B,$A19,RawDataTotal!BE:BE)</f>
        <v>655</v>
      </c>
      <c r="BC19">
        <f>SUMIF(RawDataTotal!$B:$B,$A19,RawDataTotal!BF:BF)</f>
        <v>860</v>
      </c>
      <c r="BD19">
        <f>SUMIF(RawDataTotal!$B:$B,$A19,RawDataTotal!BG:BG)</f>
        <v>1018</v>
      </c>
      <c r="BE19">
        <f>SUMIF(RawDataTotal!$B:$B,$A19,RawDataTotal!BH:BH)</f>
        <v>1332</v>
      </c>
      <c r="BF19">
        <f>SUMIF(RawDataTotal!$B:$B,$A19,RawDataTotal!BI:BI)</f>
        <v>0</v>
      </c>
      <c r="BG19">
        <f>SUMIF(RawDataTotal!$B:$B,$A19,RawDataTotal!BJ:BJ)</f>
        <v>0</v>
      </c>
      <c r="BH19">
        <f>SUMIF(RawDataTotal!$B:$B,$A19,RawDataTotal!BK:BK)</f>
        <v>0</v>
      </c>
      <c r="BI19">
        <f>SUMIF(RawDataTotal!$B:$B,$A19,RawDataTotal!BL:BL)</f>
        <v>0</v>
      </c>
      <c r="BJ19">
        <f>SUMIF(RawDataTotal!$B:$B,$A19,RawDataTotal!BM:BM)</f>
        <v>0</v>
      </c>
      <c r="BK19">
        <f>SUMIF(RawDataTotal!$B:$B,$A19,RawDataTotal!BN:BN)</f>
        <v>0</v>
      </c>
      <c r="BL19">
        <f>SUMIF(RawDataTotal!$B:$B,$A19,RawDataTotal!BO:BO)</f>
        <v>0</v>
      </c>
      <c r="BM19">
        <f>SUMIF(RawDataTotal!$B:$B,$A19,RawDataTotal!BP:BP)</f>
        <v>0</v>
      </c>
      <c r="BN19">
        <f>SUMIF(RawDataTotal!$B:$B,$A19,RawDataTotal!BQ:BQ)</f>
        <v>0</v>
      </c>
      <c r="BO19">
        <f>SUMIF(RawDataTotal!$B:$B,$A19,RawDataTotal!BR:BR)</f>
        <v>0</v>
      </c>
      <c r="BP19">
        <f>SUMIF(RawDataTotal!$B:$B,$A19,RawDataTotal!BS:BS)</f>
        <v>0</v>
      </c>
      <c r="BQ19">
        <f>SUMIF(RawDataTotal!$B:$B,$A19,RawDataTotal!BT:BT)</f>
        <v>0</v>
      </c>
      <c r="BR19">
        <f>SUMIF(RawDataTotal!$B:$B,$A19,RawDataTotal!BU:BU)</f>
        <v>0</v>
      </c>
      <c r="BS19">
        <f>SUMIF(RawDataTotal!$B:$B,$A19,RawDataTotal!BV:BV)</f>
        <v>0</v>
      </c>
      <c r="BT19">
        <f>SUMIF(RawDataTotal!$B:$B,$A19,RawDataTotal!BW:BW)</f>
        <v>0</v>
      </c>
    </row>
    <row r="20" spans="1:72" ht="15" thickBot="1" x14ac:dyDescent="0.35">
      <c r="A20" s="3" t="s">
        <v>128</v>
      </c>
      <c r="B20">
        <f>SUMIF(RawDataTotal!$B:$B,$A20,RawDataTotal!E:E)</f>
        <v>0</v>
      </c>
      <c r="C20">
        <f>SUMIF(RawDataTotal!$B:$B,$A20,RawDataTotal!F:F)</f>
        <v>0</v>
      </c>
      <c r="D20">
        <f>SUMIF(RawDataTotal!$B:$B,$A20,RawDataTotal!G:G)</f>
        <v>0</v>
      </c>
      <c r="E20">
        <f>SUMIF(RawDataTotal!$B:$B,$A20,RawDataTotal!H:H)</f>
        <v>0</v>
      </c>
      <c r="F20">
        <f>SUMIF(RawDataTotal!$B:$B,$A20,RawDataTotal!I:I)</f>
        <v>0</v>
      </c>
      <c r="G20">
        <f>SUMIF(RawDataTotal!$B:$B,$A20,RawDataTotal!J:J)</f>
        <v>0</v>
      </c>
      <c r="H20">
        <f>SUMIF(RawDataTotal!$B:$B,$A20,RawDataTotal!K:K)</f>
        <v>0</v>
      </c>
      <c r="I20">
        <f>SUMIF(RawDataTotal!$B:$B,$A20,RawDataTotal!L:L)</f>
        <v>0</v>
      </c>
      <c r="J20">
        <f>SUMIF(RawDataTotal!$B:$B,$A20,RawDataTotal!M:M)</f>
        <v>0</v>
      </c>
      <c r="K20">
        <f>SUMIF(RawDataTotal!$B:$B,$A20,RawDataTotal!N:N)</f>
        <v>0</v>
      </c>
      <c r="L20">
        <f>SUMIF(RawDataTotal!$B:$B,$A20,RawDataTotal!O:O)</f>
        <v>0</v>
      </c>
      <c r="M20">
        <f>SUMIF(RawDataTotal!$B:$B,$A20,RawDataTotal!P:P)</f>
        <v>0</v>
      </c>
      <c r="N20">
        <f>SUMIF(RawDataTotal!$B:$B,$A20,RawDataTotal!Q:Q)</f>
        <v>0</v>
      </c>
      <c r="O20">
        <f>SUMIF(RawDataTotal!$B:$B,$A20,RawDataTotal!R:R)</f>
        <v>0</v>
      </c>
      <c r="P20">
        <f>SUMIF(RawDataTotal!$B:$B,$A20,RawDataTotal!S:S)</f>
        <v>0</v>
      </c>
      <c r="Q20">
        <f>SUMIF(RawDataTotal!$B:$B,$A20,RawDataTotal!T:T)</f>
        <v>0</v>
      </c>
      <c r="R20">
        <f>SUMIF(RawDataTotal!$B:$B,$A20,RawDataTotal!U:U)</f>
        <v>0</v>
      </c>
      <c r="S20">
        <f>SUMIF(RawDataTotal!$B:$B,$A20,RawDataTotal!V:V)</f>
        <v>0</v>
      </c>
      <c r="T20">
        <f>SUMIF(RawDataTotal!$B:$B,$A20,RawDataTotal!W:W)</f>
        <v>0</v>
      </c>
      <c r="U20">
        <f>SUMIF(RawDataTotal!$B:$B,$A20,RawDataTotal!X:X)</f>
        <v>0</v>
      </c>
      <c r="V20">
        <f>SUMIF(RawDataTotal!$B:$B,$A20,RawDataTotal!Y:Y)</f>
        <v>0</v>
      </c>
      <c r="W20">
        <f>SUMIF(RawDataTotal!$B:$B,$A20,RawDataTotal!Z:Z)</f>
        <v>0</v>
      </c>
      <c r="X20">
        <f>SUMIF(RawDataTotal!$B:$B,$A20,RawDataTotal!AA:AA)</f>
        <v>0</v>
      </c>
      <c r="Y20">
        <f>SUMIF(RawDataTotal!$B:$B,$A20,RawDataTotal!AB:AB)</f>
        <v>0</v>
      </c>
      <c r="Z20">
        <f>SUMIF(RawDataTotal!$B:$B,$A20,RawDataTotal!AC:AC)</f>
        <v>0</v>
      </c>
      <c r="AA20">
        <f>SUMIF(RawDataTotal!$B:$B,$A20,RawDataTotal!AD:AD)</f>
        <v>0</v>
      </c>
      <c r="AB20">
        <f>SUMIF(RawDataTotal!$B:$B,$A20,RawDataTotal!AE:AE)</f>
        <v>0</v>
      </c>
      <c r="AC20">
        <f>SUMIF(RawDataTotal!$B:$B,$A20,RawDataTotal!AF:AF)</f>
        <v>0</v>
      </c>
      <c r="AD20">
        <f>SUMIF(RawDataTotal!$B:$B,$A20,RawDataTotal!AG:AG)</f>
        <v>0</v>
      </c>
      <c r="AE20">
        <f>SUMIF(RawDataTotal!$B:$B,$A20,RawDataTotal!AH:AH)</f>
        <v>0</v>
      </c>
      <c r="AF20">
        <f>SUMIF(RawDataTotal!$B:$B,$A20,RawDataTotal!AI:AI)</f>
        <v>0</v>
      </c>
      <c r="AG20">
        <f>SUMIF(RawDataTotal!$B:$B,$A20,RawDataTotal!AJ:AJ)</f>
        <v>0</v>
      </c>
      <c r="AH20">
        <f>SUMIF(RawDataTotal!$B:$B,$A20,RawDataTotal!AK:AK)</f>
        <v>0</v>
      </c>
      <c r="AI20">
        <f>SUMIF(RawDataTotal!$B:$B,$A20,RawDataTotal!AL:AL)</f>
        <v>0</v>
      </c>
      <c r="AJ20">
        <f>SUMIF(RawDataTotal!$B:$B,$A20,RawDataTotal!AM:AM)</f>
        <v>0</v>
      </c>
      <c r="AK20">
        <f>SUMIF(RawDataTotal!$B:$B,$A20,RawDataTotal!AN:AN)</f>
        <v>0</v>
      </c>
      <c r="AL20">
        <f>SUMIF(RawDataTotal!$B:$B,$A20,RawDataTotal!AO:AO)</f>
        <v>0</v>
      </c>
      <c r="AM20">
        <f>SUMIF(RawDataTotal!$B:$B,$A20,RawDataTotal!AP:AP)</f>
        <v>0</v>
      </c>
      <c r="AN20">
        <f>SUMIF(RawDataTotal!$B:$B,$A20,RawDataTotal!AQ:AQ)</f>
        <v>1</v>
      </c>
      <c r="AO20">
        <f>SUMIF(RawDataTotal!$B:$B,$A20,RawDataTotal!AR:AR)</f>
        <v>3</v>
      </c>
      <c r="AP20">
        <f>SUMIF(RawDataTotal!$B:$B,$A20,RawDataTotal!AS:AS)</f>
        <v>3</v>
      </c>
      <c r="AQ20">
        <f>SUMIF(RawDataTotal!$B:$B,$A20,RawDataTotal!AT:AT)</f>
        <v>7</v>
      </c>
      <c r="AR20">
        <f>SUMIF(RawDataTotal!$B:$B,$A20,RawDataTotal!AU:AU)</f>
        <v>8</v>
      </c>
      <c r="AS20">
        <f>SUMIF(RawDataTotal!$B:$B,$A20,RawDataTotal!AV:AV)</f>
        <v>8</v>
      </c>
      <c r="AT20">
        <f>SUMIF(RawDataTotal!$B:$B,$A20,RawDataTotal!AW:AW)</f>
        <v>8</v>
      </c>
      <c r="AU20">
        <f>SUMIF(RawDataTotal!$B:$B,$A20,RawDataTotal!AX:AX)</f>
        <v>8</v>
      </c>
      <c r="AV20">
        <f>SUMIF(RawDataTotal!$B:$B,$A20,RawDataTotal!AY:AY)</f>
        <v>15</v>
      </c>
      <c r="AW20">
        <f>SUMIF(RawDataTotal!$B:$B,$A20,RawDataTotal!AZ:AZ)</f>
        <v>18</v>
      </c>
      <c r="AX20">
        <f>SUMIF(RawDataTotal!$B:$B,$A20,RawDataTotal!BA:BA)</f>
        <v>24</v>
      </c>
      <c r="AY20">
        <f>SUMIF(RawDataTotal!$B:$B,$A20,RawDataTotal!BB:BB)</f>
        <v>262</v>
      </c>
      <c r="AZ20">
        <f>SUMIF(RawDataTotal!$B:$B,$A20,RawDataTotal!BC:BC)</f>
        <v>262</v>
      </c>
      <c r="BA20">
        <f>SUMIF(RawDataTotal!$B:$B,$A20,RawDataTotal!BD:BD)</f>
        <v>320</v>
      </c>
      <c r="BB20">
        <f>SUMIF(RawDataTotal!$B:$B,$A20,RawDataTotal!BE:BE)</f>
        <v>337</v>
      </c>
      <c r="BC20">
        <f>SUMIF(RawDataTotal!$B:$B,$A20,RawDataTotal!BF:BF)</f>
        <v>401</v>
      </c>
      <c r="BD20">
        <f>SUMIF(RawDataTotal!$B:$B,$A20,RawDataTotal!BG:BG)</f>
        <v>439</v>
      </c>
      <c r="BE20">
        <f>SUMIF(RawDataTotal!$B:$B,$A20,RawDataTotal!BH:BH)</f>
        <v>439</v>
      </c>
      <c r="BF20">
        <f>SUMIF(RawDataTotal!$B:$B,$A20,RawDataTotal!BI:BI)</f>
        <v>0</v>
      </c>
      <c r="BG20">
        <f>SUMIF(RawDataTotal!$B:$B,$A20,RawDataTotal!BJ:BJ)</f>
        <v>0</v>
      </c>
      <c r="BH20">
        <f>SUMIF(RawDataTotal!$B:$B,$A20,RawDataTotal!BK:BK)</f>
        <v>0</v>
      </c>
      <c r="BI20">
        <f>SUMIF(RawDataTotal!$B:$B,$A20,RawDataTotal!BL:BL)</f>
        <v>0</v>
      </c>
      <c r="BJ20">
        <f>SUMIF(RawDataTotal!$B:$B,$A20,RawDataTotal!BM:BM)</f>
        <v>0</v>
      </c>
      <c r="BK20">
        <f>SUMIF(RawDataTotal!$B:$B,$A20,RawDataTotal!BN:BN)</f>
        <v>0</v>
      </c>
      <c r="BL20">
        <f>SUMIF(RawDataTotal!$B:$B,$A20,RawDataTotal!BO:BO)</f>
        <v>0</v>
      </c>
      <c r="BM20">
        <f>SUMIF(RawDataTotal!$B:$B,$A20,RawDataTotal!BP:BP)</f>
        <v>0</v>
      </c>
      <c r="BN20">
        <f>SUMIF(RawDataTotal!$B:$B,$A20,RawDataTotal!BQ:BQ)</f>
        <v>0</v>
      </c>
      <c r="BO20">
        <f>SUMIF(RawDataTotal!$B:$B,$A20,RawDataTotal!BR:BR)</f>
        <v>0</v>
      </c>
      <c r="BP20">
        <f>SUMIF(RawDataTotal!$B:$B,$A20,RawDataTotal!BS:BS)</f>
        <v>0</v>
      </c>
      <c r="BQ20">
        <f>SUMIF(RawDataTotal!$B:$B,$A20,RawDataTotal!BT:BT)</f>
        <v>0</v>
      </c>
      <c r="BR20">
        <f>SUMIF(RawDataTotal!$B:$B,$A20,RawDataTotal!BU:BU)</f>
        <v>0</v>
      </c>
      <c r="BS20">
        <f>SUMIF(RawDataTotal!$B:$B,$A20,RawDataTotal!BV:BV)</f>
        <v>0</v>
      </c>
      <c r="BT20">
        <f>SUMIF(RawDataTotal!$B:$B,$A20,RawDataTotal!BW:BW)</f>
        <v>0</v>
      </c>
    </row>
    <row r="21" spans="1:72" ht="15" thickBot="1" x14ac:dyDescent="0.35">
      <c r="A21" s="3" t="s">
        <v>75</v>
      </c>
      <c r="B21">
        <f>SUMIF(RawDataTotal!$B:$B,$A21,RawDataTotal!E:E)</f>
        <v>0</v>
      </c>
      <c r="C21">
        <f>SUMIF(RawDataTotal!$B:$B,$A21,RawDataTotal!F:F)</f>
        <v>0</v>
      </c>
      <c r="D21">
        <f>SUMIF(RawDataTotal!$B:$B,$A21,RawDataTotal!G:G)</f>
        <v>0</v>
      </c>
      <c r="E21">
        <f>SUMIF(RawDataTotal!$B:$B,$A21,RawDataTotal!H:H)</f>
        <v>0</v>
      </c>
      <c r="F21">
        <f>SUMIF(RawDataTotal!$B:$B,$A21,RawDataTotal!I:I)</f>
        <v>4</v>
      </c>
      <c r="G21">
        <f>SUMIF(RawDataTotal!$B:$B,$A21,RawDataTotal!J:J)</f>
        <v>5</v>
      </c>
      <c r="H21">
        <f>SUMIF(RawDataTotal!$B:$B,$A21,RawDataTotal!K:K)</f>
        <v>5</v>
      </c>
      <c r="I21">
        <f>SUMIF(RawDataTotal!$B:$B,$A21,RawDataTotal!L:L)</f>
        <v>6</v>
      </c>
      <c r="J21">
        <f>SUMIF(RawDataTotal!$B:$B,$A21,RawDataTotal!M:M)</f>
        <v>9</v>
      </c>
      <c r="K21">
        <f>SUMIF(RawDataTotal!$B:$B,$A21,RawDataTotal!N:N)</f>
        <v>9</v>
      </c>
      <c r="L21">
        <f>SUMIF(RawDataTotal!$B:$B,$A21,RawDataTotal!O:O)</f>
        <v>12</v>
      </c>
      <c r="M21">
        <f>SUMIF(RawDataTotal!$B:$B,$A21,RawDataTotal!P:P)</f>
        <v>12</v>
      </c>
      <c r="N21">
        <f>SUMIF(RawDataTotal!$B:$B,$A21,RawDataTotal!Q:Q)</f>
        <v>12</v>
      </c>
      <c r="O21">
        <f>SUMIF(RawDataTotal!$B:$B,$A21,RawDataTotal!R:R)</f>
        <v>13</v>
      </c>
      <c r="P21">
        <f>SUMIF(RawDataTotal!$B:$B,$A21,RawDataTotal!S:S)</f>
        <v>13</v>
      </c>
      <c r="Q21">
        <f>SUMIF(RawDataTotal!$B:$B,$A21,RawDataTotal!T:T)</f>
        <v>14</v>
      </c>
      <c r="R21">
        <f>SUMIF(RawDataTotal!$B:$B,$A21,RawDataTotal!U:U)</f>
        <v>15</v>
      </c>
      <c r="S21">
        <f>SUMIF(RawDataTotal!$B:$B,$A21,RawDataTotal!V:V)</f>
        <v>15</v>
      </c>
      <c r="T21">
        <f>SUMIF(RawDataTotal!$B:$B,$A21,RawDataTotal!W:W)</f>
        <v>15</v>
      </c>
      <c r="U21">
        <f>SUMIF(RawDataTotal!$B:$B,$A21,RawDataTotal!X:X)</f>
        <v>15</v>
      </c>
      <c r="V21">
        <f>SUMIF(RawDataTotal!$B:$B,$A21,RawDataTotal!Y:Y)</f>
        <v>15</v>
      </c>
      <c r="W21">
        <f>SUMIF(RawDataTotal!$B:$B,$A21,RawDataTotal!Z:Z)</f>
        <v>15</v>
      </c>
      <c r="X21">
        <f>SUMIF(RawDataTotal!$B:$B,$A21,RawDataTotal!AA:AA)</f>
        <v>15</v>
      </c>
      <c r="Y21">
        <f>SUMIF(RawDataTotal!$B:$B,$A21,RawDataTotal!AB:AB)</f>
        <v>15</v>
      </c>
      <c r="Z21">
        <f>SUMIF(RawDataTotal!$B:$B,$A21,RawDataTotal!AC:AC)</f>
        <v>15</v>
      </c>
      <c r="AA21">
        <f>SUMIF(RawDataTotal!$B:$B,$A21,RawDataTotal!AD:AD)</f>
        <v>15</v>
      </c>
      <c r="AB21">
        <f>SUMIF(RawDataTotal!$B:$B,$A21,RawDataTotal!AE:AE)</f>
        <v>15</v>
      </c>
      <c r="AC21">
        <f>SUMIF(RawDataTotal!$B:$B,$A21,RawDataTotal!AF:AF)</f>
        <v>15</v>
      </c>
      <c r="AD21">
        <f>SUMIF(RawDataTotal!$B:$B,$A21,RawDataTotal!AG:AG)</f>
        <v>15</v>
      </c>
      <c r="AE21">
        <f>SUMIF(RawDataTotal!$B:$B,$A21,RawDataTotal!AH:AH)</f>
        <v>15</v>
      </c>
      <c r="AF21">
        <f>SUMIF(RawDataTotal!$B:$B,$A21,RawDataTotal!AI:AI)</f>
        <v>19</v>
      </c>
      <c r="AG21">
        <f>SUMIF(RawDataTotal!$B:$B,$A21,RawDataTotal!AJ:AJ)</f>
        <v>22</v>
      </c>
      <c r="AH21">
        <f>SUMIF(RawDataTotal!$B:$B,$A21,RawDataTotal!AK:AK)</f>
        <v>22</v>
      </c>
      <c r="AI21">
        <f>SUMIF(RawDataTotal!$B:$B,$A21,RawDataTotal!AL:AL)</f>
        <v>22</v>
      </c>
      <c r="AJ21">
        <f>SUMIF(RawDataTotal!$B:$B,$A21,RawDataTotal!AM:AM)</f>
        <v>22</v>
      </c>
      <c r="AK21">
        <f>SUMIF(RawDataTotal!$B:$B,$A21,RawDataTotal!AN:AN)</f>
        <v>22</v>
      </c>
      <c r="AL21">
        <f>SUMIF(RawDataTotal!$B:$B,$A21,RawDataTotal!AO:AO)</f>
        <v>23</v>
      </c>
      <c r="AM21">
        <f>SUMIF(RawDataTotal!$B:$B,$A21,RawDataTotal!AP:AP)</f>
        <v>23</v>
      </c>
      <c r="AN21">
        <f>SUMIF(RawDataTotal!$B:$B,$A21,RawDataTotal!AQ:AQ)</f>
        <v>25</v>
      </c>
      <c r="AO21">
        <f>SUMIF(RawDataTotal!$B:$B,$A21,RawDataTotal!AR:AR)</f>
        <v>27</v>
      </c>
      <c r="AP21">
        <f>SUMIF(RawDataTotal!$B:$B,$A21,RawDataTotal!AS:AS)</f>
        <v>30</v>
      </c>
      <c r="AQ21">
        <f>SUMIF(RawDataTotal!$B:$B,$A21,RawDataTotal!AT:AT)</f>
        <v>39</v>
      </c>
      <c r="AR21">
        <f>SUMIF(RawDataTotal!$B:$B,$A21,RawDataTotal!AU:AU)</f>
        <v>52</v>
      </c>
      <c r="AS21">
        <f>SUMIF(RawDataTotal!$B:$B,$A21,RawDataTotal!AV:AV)</f>
        <v>55</v>
      </c>
      <c r="AT21">
        <f>SUMIF(RawDataTotal!$B:$B,$A21,RawDataTotal!AW:AW)</f>
        <v>60</v>
      </c>
      <c r="AU21">
        <f>SUMIF(RawDataTotal!$B:$B,$A21,RawDataTotal!AX:AX)</f>
        <v>63</v>
      </c>
      <c r="AV21">
        <f>SUMIF(RawDataTotal!$B:$B,$A21,RawDataTotal!AY:AY)</f>
        <v>76</v>
      </c>
      <c r="AW21">
        <f>SUMIF(RawDataTotal!$B:$B,$A21,RawDataTotal!AZ:AZ)</f>
        <v>91</v>
      </c>
      <c r="AX21">
        <f>SUMIF(RawDataTotal!$B:$B,$A21,RawDataTotal!BA:BA)</f>
        <v>107</v>
      </c>
      <c r="AY21">
        <f>SUMIF(RawDataTotal!$B:$B,$A21,RawDataTotal!BB:BB)</f>
        <v>128</v>
      </c>
      <c r="AZ21">
        <f>SUMIF(RawDataTotal!$B:$B,$A21,RawDataTotal!BC:BC)</f>
        <v>128</v>
      </c>
      <c r="BA21">
        <f>SUMIF(RawDataTotal!$B:$B,$A21,RawDataTotal!BD:BD)</f>
        <v>200</v>
      </c>
      <c r="BB21">
        <f>SUMIF(RawDataTotal!$B:$B,$A21,RawDataTotal!BE:BE)</f>
        <v>250</v>
      </c>
      <c r="BC21">
        <f>SUMIF(RawDataTotal!$B:$B,$A21,RawDataTotal!BF:BF)</f>
        <v>297</v>
      </c>
      <c r="BD21">
        <f>SUMIF(RawDataTotal!$B:$B,$A21,RawDataTotal!BG:BG)</f>
        <v>377</v>
      </c>
      <c r="BE21">
        <f>SUMIF(RawDataTotal!$B:$B,$A21,RawDataTotal!BH:BH)</f>
        <v>452</v>
      </c>
      <c r="BF21">
        <f>SUMIF(RawDataTotal!$B:$B,$A21,RawDataTotal!BI:BI)</f>
        <v>0</v>
      </c>
      <c r="BG21">
        <f>SUMIF(RawDataTotal!$B:$B,$A21,RawDataTotal!BJ:BJ)</f>
        <v>0</v>
      </c>
      <c r="BH21">
        <f>SUMIF(RawDataTotal!$B:$B,$A21,RawDataTotal!BK:BK)</f>
        <v>0</v>
      </c>
      <c r="BI21">
        <f>SUMIF(RawDataTotal!$B:$B,$A21,RawDataTotal!BL:BL)</f>
        <v>0</v>
      </c>
      <c r="BJ21">
        <f>SUMIF(RawDataTotal!$B:$B,$A21,RawDataTotal!BM:BM)</f>
        <v>0</v>
      </c>
      <c r="BK21">
        <f>SUMIF(RawDataTotal!$B:$B,$A21,RawDataTotal!BN:BN)</f>
        <v>0</v>
      </c>
      <c r="BL21">
        <f>SUMIF(RawDataTotal!$B:$B,$A21,RawDataTotal!BO:BO)</f>
        <v>0</v>
      </c>
      <c r="BM21">
        <f>SUMIF(RawDataTotal!$B:$B,$A21,RawDataTotal!BP:BP)</f>
        <v>0</v>
      </c>
      <c r="BN21">
        <f>SUMIF(RawDataTotal!$B:$B,$A21,RawDataTotal!BQ:BQ)</f>
        <v>0</v>
      </c>
      <c r="BO21">
        <f>SUMIF(RawDataTotal!$B:$B,$A21,RawDataTotal!BR:BR)</f>
        <v>0</v>
      </c>
      <c r="BP21">
        <f>SUMIF(RawDataTotal!$B:$B,$A21,RawDataTotal!BS:BS)</f>
        <v>0</v>
      </c>
      <c r="BQ21">
        <f>SUMIF(RawDataTotal!$B:$B,$A21,RawDataTotal!BT:BT)</f>
        <v>0</v>
      </c>
      <c r="BR21">
        <f>SUMIF(RawDataTotal!$B:$B,$A21,RawDataTotal!BU:BU)</f>
        <v>0</v>
      </c>
      <c r="BS21">
        <f>SUMIF(RawDataTotal!$B:$B,$A21,RawDataTotal!BV:BV)</f>
        <v>0</v>
      </c>
      <c r="BT21">
        <f>SUMIF(RawDataTotal!$B:$B,$A21,RawDataTotal!BW:BW)</f>
        <v>0</v>
      </c>
    </row>
    <row r="22" spans="1:72" ht="15" thickBot="1" x14ac:dyDescent="0.35">
      <c r="A22" s="3" t="s">
        <v>67</v>
      </c>
      <c r="B22">
        <f>SUMIF(RawDataTotal!$B:$B,$A22,RawDataTotal!E:E)</f>
        <v>0</v>
      </c>
      <c r="C22">
        <f>SUMIF(RawDataTotal!$B:$B,$A22,RawDataTotal!F:F)</f>
        <v>1</v>
      </c>
      <c r="D22">
        <f>SUMIF(RawDataTotal!$B:$B,$A22,RawDataTotal!G:G)</f>
        <v>3</v>
      </c>
      <c r="E22">
        <f>SUMIF(RawDataTotal!$B:$B,$A22,RawDataTotal!H:H)</f>
        <v>3</v>
      </c>
      <c r="F22">
        <f>SUMIF(RawDataTotal!$B:$B,$A22,RawDataTotal!I:I)</f>
        <v>4</v>
      </c>
      <c r="G22">
        <f>SUMIF(RawDataTotal!$B:$B,$A22,RawDataTotal!J:J)</f>
        <v>5</v>
      </c>
      <c r="H22">
        <f>SUMIF(RawDataTotal!$B:$B,$A22,RawDataTotal!K:K)</f>
        <v>7</v>
      </c>
      <c r="I22">
        <f>SUMIF(RawDataTotal!$B:$B,$A22,RawDataTotal!L:L)</f>
        <v>7</v>
      </c>
      <c r="J22">
        <f>SUMIF(RawDataTotal!$B:$B,$A22,RawDataTotal!M:M)</f>
        <v>10</v>
      </c>
      <c r="K22">
        <f>SUMIF(RawDataTotal!$B:$B,$A22,RawDataTotal!N:N)</f>
        <v>13</v>
      </c>
      <c r="L22">
        <f>SUMIF(RawDataTotal!$B:$B,$A22,RawDataTotal!O:O)</f>
        <v>16</v>
      </c>
      <c r="M22">
        <f>SUMIF(RawDataTotal!$B:$B,$A22,RawDataTotal!P:P)</f>
        <v>18</v>
      </c>
      <c r="N22">
        <f>SUMIF(RawDataTotal!$B:$B,$A22,RawDataTotal!Q:Q)</f>
        <v>18</v>
      </c>
      <c r="O22">
        <f>SUMIF(RawDataTotal!$B:$B,$A22,RawDataTotal!R:R)</f>
        <v>24</v>
      </c>
      <c r="P22">
        <f>SUMIF(RawDataTotal!$B:$B,$A22,RawDataTotal!S:S)</f>
        <v>28</v>
      </c>
      <c r="Q22">
        <f>SUMIF(RawDataTotal!$B:$B,$A22,RawDataTotal!T:T)</f>
        <v>28</v>
      </c>
      <c r="R22">
        <f>SUMIF(RawDataTotal!$B:$B,$A22,RawDataTotal!U:U)</f>
        <v>30</v>
      </c>
      <c r="S22">
        <f>SUMIF(RawDataTotal!$B:$B,$A22,RawDataTotal!V:V)</f>
        <v>33</v>
      </c>
      <c r="T22">
        <f>SUMIF(RawDataTotal!$B:$B,$A22,RawDataTotal!W:W)</f>
        <v>40</v>
      </c>
      <c r="U22">
        <f>SUMIF(RawDataTotal!$B:$B,$A22,RawDataTotal!X:X)</f>
        <v>45</v>
      </c>
      <c r="V22">
        <f>SUMIF(RawDataTotal!$B:$B,$A22,RawDataTotal!Y:Y)</f>
        <v>47</v>
      </c>
      <c r="W22">
        <f>SUMIF(RawDataTotal!$B:$B,$A22,RawDataTotal!Z:Z)</f>
        <v>50</v>
      </c>
      <c r="X22">
        <f>SUMIF(RawDataTotal!$B:$B,$A22,RawDataTotal!AA:AA)</f>
        <v>58</v>
      </c>
      <c r="Y22">
        <f>SUMIF(RawDataTotal!$B:$B,$A22,RawDataTotal!AB:AB)</f>
        <v>67</v>
      </c>
      <c r="Z22">
        <f>SUMIF(RawDataTotal!$B:$B,$A22,RawDataTotal!AC:AC)</f>
        <v>72</v>
      </c>
      <c r="AA22">
        <f>SUMIF(RawDataTotal!$B:$B,$A22,RawDataTotal!AD:AD)</f>
        <v>75</v>
      </c>
      <c r="AB22">
        <f>SUMIF(RawDataTotal!$B:$B,$A22,RawDataTotal!AE:AE)</f>
        <v>77</v>
      </c>
      <c r="AC22">
        <f>SUMIF(RawDataTotal!$B:$B,$A22,RawDataTotal!AF:AF)</f>
        <v>81</v>
      </c>
      <c r="AD22">
        <f>SUMIF(RawDataTotal!$B:$B,$A22,RawDataTotal!AG:AG)</f>
        <v>84</v>
      </c>
      <c r="AE22">
        <f>SUMIF(RawDataTotal!$B:$B,$A22,RawDataTotal!AH:AH)</f>
        <v>84</v>
      </c>
      <c r="AF22">
        <f>SUMIF(RawDataTotal!$B:$B,$A22,RawDataTotal!AI:AI)</f>
        <v>85</v>
      </c>
      <c r="AG22">
        <f>SUMIF(RawDataTotal!$B:$B,$A22,RawDataTotal!AJ:AJ)</f>
        <v>85</v>
      </c>
      <c r="AH22">
        <f>SUMIF(RawDataTotal!$B:$B,$A22,RawDataTotal!AK:AK)</f>
        <v>89</v>
      </c>
      <c r="AI22">
        <f>SUMIF(RawDataTotal!$B:$B,$A22,RawDataTotal!AL:AL)</f>
        <v>89</v>
      </c>
      <c r="AJ22">
        <f>SUMIF(RawDataTotal!$B:$B,$A22,RawDataTotal!AM:AM)</f>
        <v>91</v>
      </c>
      <c r="AK22">
        <f>SUMIF(RawDataTotal!$B:$B,$A22,RawDataTotal!AN:AN)</f>
        <v>93</v>
      </c>
      <c r="AL22">
        <f>SUMIF(RawDataTotal!$B:$B,$A22,RawDataTotal!AO:AO)</f>
        <v>93</v>
      </c>
      <c r="AM22">
        <f>SUMIF(RawDataTotal!$B:$B,$A22,RawDataTotal!AP:AP)</f>
        <v>93</v>
      </c>
      <c r="AN22">
        <f>SUMIF(RawDataTotal!$B:$B,$A22,RawDataTotal!AQ:AQ)</f>
        <v>102</v>
      </c>
      <c r="AO22">
        <f>SUMIF(RawDataTotal!$B:$B,$A22,RawDataTotal!AR:AR)</f>
        <v>106</v>
      </c>
      <c r="AP22">
        <f>SUMIF(RawDataTotal!$B:$B,$A22,RawDataTotal!AS:AS)</f>
        <v>108</v>
      </c>
      <c r="AQ22">
        <f>SUMIF(RawDataTotal!$B:$B,$A22,RawDataTotal!AT:AT)</f>
        <v>110</v>
      </c>
      <c r="AR22">
        <f>SUMIF(RawDataTotal!$B:$B,$A22,RawDataTotal!AU:AU)</f>
        <v>110</v>
      </c>
      <c r="AS22">
        <f>SUMIF(RawDataTotal!$B:$B,$A22,RawDataTotal!AV:AV)</f>
        <v>117</v>
      </c>
      <c r="AT22">
        <f>SUMIF(RawDataTotal!$B:$B,$A22,RawDataTotal!AW:AW)</f>
        <v>130</v>
      </c>
      <c r="AU22">
        <f>SUMIF(RawDataTotal!$B:$B,$A22,RawDataTotal!AX:AX)</f>
        <v>138</v>
      </c>
      <c r="AV22">
        <f>SUMIF(RawDataTotal!$B:$B,$A22,RawDataTotal!AY:AY)</f>
        <v>150</v>
      </c>
      <c r="AW22">
        <f>SUMIF(RawDataTotal!$B:$B,$A22,RawDataTotal!AZ:AZ)</f>
        <v>150</v>
      </c>
      <c r="AX22">
        <f>SUMIF(RawDataTotal!$B:$B,$A22,RawDataTotal!BA:BA)</f>
        <v>160</v>
      </c>
      <c r="AY22">
        <f>SUMIF(RawDataTotal!$B:$B,$A22,RawDataTotal!BB:BB)</f>
        <v>178</v>
      </c>
      <c r="AZ22">
        <f>SUMIF(RawDataTotal!$B:$B,$A22,RawDataTotal!BC:BC)</f>
        <v>178</v>
      </c>
      <c r="BA22">
        <f>SUMIF(RawDataTotal!$B:$B,$A22,RawDataTotal!BD:BD)</f>
        <v>200</v>
      </c>
      <c r="BB22">
        <f>SUMIF(RawDataTotal!$B:$B,$A22,RawDataTotal!BE:BE)</f>
        <v>212</v>
      </c>
      <c r="BC22">
        <f>SUMIF(RawDataTotal!$B:$B,$A22,RawDataTotal!BF:BF)</f>
        <v>226</v>
      </c>
      <c r="BD22">
        <f>SUMIF(RawDataTotal!$B:$B,$A22,RawDataTotal!BG:BG)</f>
        <v>243</v>
      </c>
      <c r="BE22">
        <f>SUMIF(RawDataTotal!$B:$B,$A22,RawDataTotal!BH:BH)</f>
        <v>266</v>
      </c>
      <c r="BF22">
        <f>SUMIF(RawDataTotal!$B:$B,$A22,RawDataTotal!BI:BI)</f>
        <v>0</v>
      </c>
      <c r="BG22">
        <f>SUMIF(RawDataTotal!$B:$B,$A22,RawDataTotal!BJ:BJ)</f>
        <v>0</v>
      </c>
      <c r="BH22">
        <f>SUMIF(RawDataTotal!$B:$B,$A22,RawDataTotal!BK:BK)</f>
        <v>0</v>
      </c>
      <c r="BI22">
        <f>SUMIF(RawDataTotal!$B:$B,$A22,RawDataTotal!BL:BL)</f>
        <v>0</v>
      </c>
      <c r="BJ22">
        <f>SUMIF(RawDataTotal!$B:$B,$A22,RawDataTotal!BM:BM)</f>
        <v>0</v>
      </c>
      <c r="BK22">
        <f>SUMIF(RawDataTotal!$B:$B,$A22,RawDataTotal!BN:BN)</f>
        <v>0</v>
      </c>
      <c r="BL22">
        <f>SUMIF(RawDataTotal!$B:$B,$A22,RawDataTotal!BO:BO)</f>
        <v>0</v>
      </c>
      <c r="BM22">
        <f>SUMIF(RawDataTotal!$B:$B,$A22,RawDataTotal!BP:BP)</f>
        <v>0</v>
      </c>
      <c r="BN22">
        <f>SUMIF(RawDataTotal!$B:$B,$A22,RawDataTotal!BQ:BQ)</f>
        <v>0</v>
      </c>
      <c r="BO22">
        <f>SUMIF(RawDataTotal!$B:$B,$A22,RawDataTotal!BR:BR)</f>
        <v>0</v>
      </c>
      <c r="BP22">
        <f>SUMIF(RawDataTotal!$B:$B,$A22,RawDataTotal!BS:BS)</f>
        <v>0</v>
      </c>
      <c r="BQ22">
        <f>SUMIF(RawDataTotal!$B:$B,$A22,RawDataTotal!BT:BT)</f>
        <v>0</v>
      </c>
      <c r="BR22">
        <f>SUMIF(RawDataTotal!$B:$B,$A22,RawDataTotal!BU:BU)</f>
        <v>0</v>
      </c>
      <c r="BS22">
        <f>SUMIF(RawDataTotal!$B:$B,$A22,RawDataTotal!BV:BV)</f>
        <v>0</v>
      </c>
      <c r="BT22">
        <f>SUMIF(RawDataTotal!$B:$B,$A22,RawDataTotal!BW:BW)</f>
        <v>0</v>
      </c>
    </row>
    <row r="23" spans="1:72" ht="15" thickBot="1" x14ac:dyDescent="0.35">
      <c r="A23" s="3" t="s">
        <v>70</v>
      </c>
      <c r="B23">
        <f>SUMIF(RawDataTotal!$B:$B,$A23,RawDataTotal!E:E)</f>
        <v>0</v>
      </c>
      <c r="C23">
        <f>SUMIF(RawDataTotal!$B:$B,$A23,RawDataTotal!F:F)</f>
        <v>0</v>
      </c>
      <c r="D23">
        <f>SUMIF(RawDataTotal!$B:$B,$A23,RawDataTotal!G:G)</f>
        <v>0</v>
      </c>
      <c r="E23">
        <f>SUMIF(RawDataTotal!$B:$B,$A23,RawDataTotal!H:H)</f>
        <v>3</v>
      </c>
      <c r="F23">
        <f>SUMIF(RawDataTotal!$B:$B,$A23,RawDataTotal!I:I)</f>
        <v>4</v>
      </c>
      <c r="G23">
        <f>SUMIF(RawDataTotal!$B:$B,$A23,RawDataTotal!J:J)</f>
        <v>4</v>
      </c>
      <c r="H23">
        <f>SUMIF(RawDataTotal!$B:$B,$A23,RawDataTotal!K:K)</f>
        <v>4</v>
      </c>
      <c r="I23">
        <f>SUMIF(RawDataTotal!$B:$B,$A23,RawDataTotal!L:L)</f>
        <v>7</v>
      </c>
      <c r="J23">
        <f>SUMIF(RawDataTotal!$B:$B,$A23,RawDataTotal!M:M)</f>
        <v>8</v>
      </c>
      <c r="K23">
        <f>SUMIF(RawDataTotal!$B:$B,$A23,RawDataTotal!N:N)</f>
        <v>8</v>
      </c>
      <c r="L23">
        <f>SUMIF(RawDataTotal!$B:$B,$A23,RawDataTotal!O:O)</f>
        <v>8</v>
      </c>
      <c r="M23">
        <f>SUMIF(RawDataTotal!$B:$B,$A23,RawDataTotal!P:P)</f>
        <v>8</v>
      </c>
      <c r="N23">
        <f>SUMIF(RawDataTotal!$B:$B,$A23,RawDataTotal!Q:Q)</f>
        <v>8</v>
      </c>
      <c r="O23">
        <f>SUMIF(RawDataTotal!$B:$B,$A23,RawDataTotal!R:R)</f>
        <v>10</v>
      </c>
      <c r="P23">
        <f>SUMIF(RawDataTotal!$B:$B,$A23,RawDataTotal!S:S)</f>
        <v>12</v>
      </c>
      <c r="Q23">
        <f>SUMIF(RawDataTotal!$B:$B,$A23,RawDataTotal!T:T)</f>
        <v>12</v>
      </c>
      <c r="R23">
        <f>SUMIF(RawDataTotal!$B:$B,$A23,RawDataTotal!U:U)</f>
        <v>12</v>
      </c>
      <c r="S23">
        <f>SUMIF(RawDataTotal!$B:$B,$A23,RawDataTotal!V:V)</f>
        <v>16</v>
      </c>
      <c r="T23">
        <f>SUMIF(RawDataTotal!$B:$B,$A23,RawDataTotal!W:W)</f>
        <v>16</v>
      </c>
      <c r="U23">
        <f>SUMIF(RawDataTotal!$B:$B,$A23,RawDataTotal!X:X)</f>
        <v>18</v>
      </c>
      <c r="V23">
        <f>SUMIF(RawDataTotal!$B:$B,$A23,RawDataTotal!Y:Y)</f>
        <v>18</v>
      </c>
      <c r="W23">
        <f>SUMIF(RawDataTotal!$B:$B,$A23,RawDataTotal!Z:Z)</f>
        <v>18</v>
      </c>
      <c r="X23">
        <f>SUMIF(RawDataTotal!$B:$B,$A23,RawDataTotal!AA:AA)</f>
        <v>19</v>
      </c>
      <c r="Y23">
        <f>SUMIF(RawDataTotal!$B:$B,$A23,RawDataTotal!AB:AB)</f>
        <v>19</v>
      </c>
      <c r="Z23">
        <f>SUMIF(RawDataTotal!$B:$B,$A23,RawDataTotal!AC:AC)</f>
        <v>22</v>
      </c>
      <c r="AA23">
        <f>SUMIF(RawDataTotal!$B:$B,$A23,RawDataTotal!AD:AD)</f>
        <v>22</v>
      </c>
      <c r="AB23">
        <f>SUMIF(RawDataTotal!$B:$B,$A23,RawDataTotal!AE:AE)</f>
        <v>22</v>
      </c>
      <c r="AC23">
        <f>SUMIF(RawDataTotal!$B:$B,$A23,RawDataTotal!AF:AF)</f>
        <v>22</v>
      </c>
      <c r="AD23">
        <f>SUMIF(RawDataTotal!$B:$B,$A23,RawDataTotal!AG:AG)</f>
        <v>22</v>
      </c>
      <c r="AE23">
        <f>SUMIF(RawDataTotal!$B:$B,$A23,RawDataTotal!AH:AH)</f>
        <v>22</v>
      </c>
      <c r="AF23">
        <f>SUMIF(RawDataTotal!$B:$B,$A23,RawDataTotal!AI:AI)</f>
        <v>22</v>
      </c>
      <c r="AG23">
        <f>SUMIF(RawDataTotal!$B:$B,$A23,RawDataTotal!AJ:AJ)</f>
        <v>22</v>
      </c>
      <c r="AH23">
        <f>SUMIF(RawDataTotal!$B:$B,$A23,RawDataTotal!AK:AK)</f>
        <v>22</v>
      </c>
      <c r="AI23">
        <f>SUMIF(RawDataTotal!$B:$B,$A23,RawDataTotal!AL:AL)</f>
        <v>22</v>
      </c>
      <c r="AJ23">
        <f>SUMIF(RawDataTotal!$B:$B,$A23,RawDataTotal!AM:AM)</f>
        <v>22</v>
      </c>
      <c r="AK23">
        <f>SUMIF(RawDataTotal!$B:$B,$A23,RawDataTotal!AN:AN)</f>
        <v>22</v>
      </c>
      <c r="AL23">
        <f>SUMIF(RawDataTotal!$B:$B,$A23,RawDataTotal!AO:AO)</f>
        <v>23</v>
      </c>
      <c r="AM23">
        <f>SUMIF(RawDataTotal!$B:$B,$A23,RawDataTotal!AP:AP)</f>
        <v>23</v>
      </c>
      <c r="AN23">
        <f>SUMIF(RawDataTotal!$B:$B,$A23,RawDataTotal!AQ:AQ)</f>
        <v>25</v>
      </c>
      <c r="AO23">
        <f>SUMIF(RawDataTotal!$B:$B,$A23,RawDataTotal!AR:AR)</f>
        <v>29</v>
      </c>
      <c r="AP23">
        <f>SUMIF(RawDataTotal!$B:$B,$A23,RawDataTotal!AS:AS)</f>
        <v>29</v>
      </c>
      <c r="AQ23">
        <f>SUMIF(RawDataTotal!$B:$B,$A23,RawDataTotal!AT:AT)</f>
        <v>36</v>
      </c>
      <c r="AR23">
        <f>SUMIF(RawDataTotal!$B:$B,$A23,RawDataTotal!AU:AU)</f>
        <v>50</v>
      </c>
      <c r="AS23">
        <f>SUMIF(RawDataTotal!$B:$B,$A23,RawDataTotal!AV:AV)</f>
        <v>50</v>
      </c>
      <c r="AT23">
        <f>SUMIF(RawDataTotal!$B:$B,$A23,RawDataTotal!AW:AW)</f>
        <v>83</v>
      </c>
      <c r="AU23">
        <f>SUMIF(RawDataTotal!$B:$B,$A23,RawDataTotal!AX:AX)</f>
        <v>93</v>
      </c>
      <c r="AV23">
        <f>SUMIF(RawDataTotal!$B:$B,$A23,RawDataTotal!AY:AY)</f>
        <v>99</v>
      </c>
      <c r="AW23">
        <f>SUMIF(RawDataTotal!$B:$B,$A23,RawDataTotal!AZ:AZ)</f>
        <v>117</v>
      </c>
      <c r="AX23">
        <f>SUMIF(RawDataTotal!$B:$B,$A23,RawDataTotal!BA:BA)</f>
        <v>129</v>
      </c>
      <c r="AY23">
        <f>SUMIF(RawDataTotal!$B:$B,$A23,RawDataTotal!BB:BB)</f>
        <v>149</v>
      </c>
      <c r="AZ23">
        <f>SUMIF(RawDataTotal!$B:$B,$A23,RawDataTotal!BC:BC)</f>
        <v>149</v>
      </c>
      <c r="BA23">
        <f>SUMIF(RawDataTotal!$B:$B,$A23,RawDataTotal!BD:BD)</f>
        <v>197</v>
      </c>
      <c r="BB23">
        <f>SUMIF(RawDataTotal!$B:$B,$A23,RawDataTotal!BE:BE)</f>
        <v>238</v>
      </c>
      <c r="BC23">
        <f>SUMIF(RawDataTotal!$B:$B,$A23,RawDataTotal!BF:BF)</f>
        <v>428</v>
      </c>
      <c r="BD23">
        <f>SUMIF(RawDataTotal!$B:$B,$A23,RawDataTotal!BG:BG)</f>
        <v>566</v>
      </c>
      <c r="BE23">
        <f>SUMIF(RawDataTotal!$B:$B,$A23,RawDataTotal!BH:BH)</f>
        <v>673</v>
      </c>
      <c r="BF23">
        <f>SUMIF(RawDataTotal!$B:$B,$A23,RawDataTotal!BI:BI)</f>
        <v>0</v>
      </c>
      <c r="BG23">
        <f>SUMIF(RawDataTotal!$B:$B,$A23,RawDataTotal!BJ:BJ)</f>
        <v>0</v>
      </c>
      <c r="BH23">
        <f>SUMIF(RawDataTotal!$B:$B,$A23,RawDataTotal!BK:BK)</f>
        <v>0</v>
      </c>
      <c r="BI23">
        <f>SUMIF(RawDataTotal!$B:$B,$A23,RawDataTotal!BL:BL)</f>
        <v>0</v>
      </c>
      <c r="BJ23">
        <f>SUMIF(RawDataTotal!$B:$B,$A23,RawDataTotal!BM:BM)</f>
        <v>0</v>
      </c>
      <c r="BK23">
        <f>SUMIF(RawDataTotal!$B:$B,$A23,RawDataTotal!BN:BN)</f>
        <v>0</v>
      </c>
      <c r="BL23">
        <f>SUMIF(RawDataTotal!$B:$B,$A23,RawDataTotal!BO:BO)</f>
        <v>0</v>
      </c>
      <c r="BM23">
        <f>SUMIF(RawDataTotal!$B:$B,$A23,RawDataTotal!BP:BP)</f>
        <v>0</v>
      </c>
      <c r="BN23">
        <f>SUMIF(RawDataTotal!$B:$B,$A23,RawDataTotal!BQ:BQ)</f>
        <v>0</v>
      </c>
      <c r="BO23">
        <f>SUMIF(RawDataTotal!$B:$B,$A23,RawDataTotal!BR:BR)</f>
        <v>0</v>
      </c>
      <c r="BP23">
        <f>SUMIF(RawDataTotal!$B:$B,$A23,RawDataTotal!BS:BS)</f>
        <v>0</v>
      </c>
      <c r="BQ23">
        <f>SUMIF(RawDataTotal!$B:$B,$A23,RawDataTotal!BT:BT)</f>
        <v>0</v>
      </c>
      <c r="BR23">
        <f>SUMIF(RawDataTotal!$B:$B,$A23,RawDataTotal!BU:BU)</f>
        <v>0</v>
      </c>
      <c r="BS23">
        <f>SUMIF(RawDataTotal!$B:$B,$A23,RawDataTotal!BV:BV)</f>
        <v>0</v>
      </c>
      <c r="BT23">
        <f>SUMIF(RawDataTotal!$B:$B,$A23,RawDataTotal!BW:BW)</f>
        <v>0</v>
      </c>
    </row>
    <row r="24" spans="1:72" ht="15" thickBot="1" x14ac:dyDescent="0.35">
      <c r="A24" s="4" t="s">
        <v>72</v>
      </c>
      <c r="B24">
        <f>SUMIF(RawDataTotal!$B:$B,$A24,RawDataTotal!E:E)</f>
        <v>0</v>
      </c>
      <c r="C24">
        <f>SUMIF(RawDataTotal!$B:$B,$A24,RawDataTotal!F:F)</f>
        <v>0</v>
      </c>
      <c r="D24">
        <f>SUMIF(RawDataTotal!$B:$B,$A24,RawDataTotal!G:G)</f>
        <v>0</v>
      </c>
      <c r="E24">
        <f>SUMIF(RawDataTotal!$B:$B,$A24,RawDataTotal!H:H)</f>
        <v>0</v>
      </c>
      <c r="F24">
        <f>SUMIF(RawDataTotal!$B:$B,$A24,RawDataTotal!I:I)</f>
        <v>1</v>
      </c>
      <c r="G24">
        <f>SUMIF(RawDataTotal!$B:$B,$A24,RawDataTotal!J:J)</f>
        <v>1</v>
      </c>
      <c r="H24">
        <f>SUMIF(RawDataTotal!$B:$B,$A24,RawDataTotal!K:K)</f>
        <v>2</v>
      </c>
      <c r="I24">
        <f>SUMIF(RawDataTotal!$B:$B,$A24,RawDataTotal!L:L)</f>
        <v>2</v>
      </c>
      <c r="J24">
        <f>SUMIF(RawDataTotal!$B:$B,$A24,RawDataTotal!M:M)</f>
        <v>2</v>
      </c>
      <c r="K24">
        <f>SUMIF(RawDataTotal!$B:$B,$A24,RawDataTotal!N:N)</f>
        <v>4</v>
      </c>
      <c r="L24">
        <f>SUMIF(RawDataTotal!$B:$B,$A24,RawDataTotal!O:O)</f>
        <v>4</v>
      </c>
      <c r="M24">
        <f>SUMIF(RawDataTotal!$B:$B,$A24,RawDataTotal!P:P)</f>
        <v>4</v>
      </c>
      <c r="N24">
        <f>SUMIF(RawDataTotal!$B:$B,$A24,RawDataTotal!Q:Q)</f>
        <v>4</v>
      </c>
      <c r="O24">
        <f>SUMIF(RawDataTotal!$B:$B,$A24,RawDataTotal!R:R)</f>
        <v>4</v>
      </c>
      <c r="P24">
        <f>SUMIF(RawDataTotal!$B:$B,$A24,RawDataTotal!S:S)</f>
        <v>5</v>
      </c>
      <c r="Q24">
        <f>SUMIF(RawDataTotal!$B:$B,$A24,RawDataTotal!T:T)</f>
        <v>5</v>
      </c>
      <c r="R24">
        <f>SUMIF(RawDataTotal!$B:$B,$A24,RawDataTotal!U:U)</f>
        <v>7</v>
      </c>
      <c r="S24">
        <f>SUMIF(RawDataTotal!$B:$B,$A24,RawDataTotal!V:V)</f>
        <v>7</v>
      </c>
      <c r="T24">
        <f>SUMIF(RawDataTotal!$B:$B,$A24,RawDataTotal!W:W)</f>
        <v>7</v>
      </c>
      <c r="U24">
        <f>SUMIF(RawDataTotal!$B:$B,$A24,RawDataTotal!X:X)</f>
        <v>7</v>
      </c>
      <c r="V24">
        <f>SUMIF(RawDataTotal!$B:$B,$A24,RawDataTotal!Y:Y)</f>
        <v>7</v>
      </c>
      <c r="W24">
        <f>SUMIF(RawDataTotal!$B:$B,$A24,RawDataTotal!Z:Z)</f>
        <v>7</v>
      </c>
      <c r="X24">
        <f>SUMIF(RawDataTotal!$B:$B,$A24,RawDataTotal!AA:AA)</f>
        <v>7</v>
      </c>
      <c r="Y24">
        <f>SUMIF(RawDataTotal!$B:$B,$A24,RawDataTotal!AB:AB)</f>
        <v>7</v>
      </c>
      <c r="Z24">
        <f>SUMIF(RawDataTotal!$B:$B,$A24,RawDataTotal!AC:AC)</f>
        <v>7</v>
      </c>
      <c r="AA24">
        <f>SUMIF(RawDataTotal!$B:$B,$A24,RawDataTotal!AD:AD)</f>
        <v>7</v>
      </c>
      <c r="AB24">
        <f>SUMIF(RawDataTotal!$B:$B,$A24,RawDataTotal!AE:AE)</f>
        <v>8</v>
      </c>
      <c r="AC24">
        <f>SUMIF(RawDataTotal!$B:$B,$A24,RawDataTotal!AF:AF)</f>
        <v>8</v>
      </c>
      <c r="AD24">
        <f>SUMIF(RawDataTotal!$B:$B,$A24,RawDataTotal!AG:AG)</f>
        <v>8</v>
      </c>
      <c r="AE24">
        <f>SUMIF(RawDataTotal!$B:$B,$A24,RawDataTotal!AH:AH)</f>
        <v>8</v>
      </c>
      <c r="AF24">
        <f>SUMIF(RawDataTotal!$B:$B,$A24,RawDataTotal!AI:AI)</f>
        <v>9</v>
      </c>
      <c r="AG24">
        <f>SUMIF(RawDataTotal!$B:$B,$A24,RawDataTotal!AJ:AJ)</f>
        <v>9</v>
      </c>
      <c r="AH24">
        <f>SUMIF(RawDataTotal!$B:$B,$A24,RawDataTotal!AK:AK)</f>
        <v>9</v>
      </c>
      <c r="AI24">
        <f>SUMIF(RawDataTotal!$B:$B,$A24,RawDataTotal!AL:AL)</f>
        <v>10</v>
      </c>
      <c r="AJ24">
        <f>SUMIF(RawDataTotal!$B:$B,$A24,RawDataTotal!AM:AM)</f>
        <v>11</v>
      </c>
      <c r="AK24">
        <f>SUMIF(RawDataTotal!$B:$B,$A24,RawDataTotal!AN:AN)</f>
        <v>11</v>
      </c>
      <c r="AL24">
        <f>SUMIF(RawDataTotal!$B:$B,$A24,RawDataTotal!AO:AO)</f>
        <v>13</v>
      </c>
      <c r="AM24">
        <f>SUMIF(RawDataTotal!$B:$B,$A24,RawDataTotal!AP:AP)</f>
        <v>14</v>
      </c>
      <c r="AN24">
        <f>SUMIF(RawDataTotal!$B:$B,$A24,RawDataTotal!AQ:AQ)</f>
        <v>20</v>
      </c>
      <c r="AO24">
        <f>SUMIF(RawDataTotal!$B:$B,$A24,RawDataTotal!AR:AR)</f>
        <v>24</v>
      </c>
      <c r="AP24">
        <f>SUMIF(RawDataTotal!$B:$B,$A24,RawDataTotal!AS:AS)</f>
        <v>27</v>
      </c>
      <c r="AQ24">
        <f>SUMIF(RawDataTotal!$B:$B,$A24,RawDataTotal!AT:AT)</f>
        <v>30</v>
      </c>
      <c r="AR24">
        <f>SUMIF(RawDataTotal!$B:$B,$A24,RawDataTotal!AU:AU)</f>
        <v>33</v>
      </c>
      <c r="AS24">
        <f>SUMIF(RawDataTotal!$B:$B,$A24,RawDataTotal!AV:AV)</f>
        <v>37</v>
      </c>
      <c r="AT24">
        <f>SUMIF(RawDataTotal!$B:$B,$A24,RawDataTotal!AW:AW)</f>
        <v>49</v>
      </c>
      <c r="AU24">
        <f>SUMIF(RawDataTotal!$B:$B,$A24,RawDataTotal!AX:AX)</f>
        <v>54</v>
      </c>
      <c r="AV24">
        <f>SUMIF(RawDataTotal!$B:$B,$A24,RawDataTotal!AY:AY)</f>
        <v>64</v>
      </c>
      <c r="AW24">
        <f>SUMIF(RawDataTotal!$B:$B,$A24,RawDataTotal!AZ:AZ)</f>
        <v>77</v>
      </c>
      <c r="AX24">
        <f>SUMIF(RawDataTotal!$B:$B,$A24,RawDataTotal!BA:BA)</f>
        <v>79</v>
      </c>
      <c r="AY24">
        <f>SUMIF(RawDataTotal!$B:$B,$A24,RawDataTotal!BB:BB)</f>
        <v>108</v>
      </c>
      <c r="AZ24">
        <f>SUMIF(RawDataTotal!$B:$B,$A24,RawDataTotal!BC:BC)</f>
        <v>117</v>
      </c>
      <c r="BA24">
        <f>SUMIF(RawDataTotal!$B:$B,$A24,RawDataTotal!BD:BD)</f>
        <v>193</v>
      </c>
      <c r="BB24">
        <f>SUMIF(RawDataTotal!$B:$B,$A24,RawDataTotal!BE:BE)</f>
        <v>198</v>
      </c>
      <c r="BC24">
        <f>SUMIF(RawDataTotal!$B:$B,$A24,RawDataTotal!BF:BF)</f>
        <v>252</v>
      </c>
      <c r="BD24">
        <f>SUMIF(RawDataTotal!$B:$B,$A24,RawDataTotal!BG:BG)</f>
        <v>415</v>
      </c>
      <c r="BE24">
        <f>SUMIF(RawDataTotal!$B:$B,$A24,RawDataTotal!BH:BH)</f>
        <v>478</v>
      </c>
      <c r="BF24">
        <f>SUMIF(RawDataTotal!$B:$B,$A24,RawDataTotal!BI:BI)</f>
        <v>0</v>
      </c>
      <c r="BG24">
        <f>SUMIF(RawDataTotal!$B:$B,$A24,RawDataTotal!BJ:BJ)</f>
        <v>0</v>
      </c>
      <c r="BH24">
        <f>SUMIF(RawDataTotal!$B:$B,$A24,RawDataTotal!BK:BK)</f>
        <v>0</v>
      </c>
      <c r="BI24">
        <f>SUMIF(RawDataTotal!$B:$B,$A24,RawDataTotal!BL:BL)</f>
        <v>0</v>
      </c>
      <c r="BJ24">
        <f>SUMIF(RawDataTotal!$B:$B,$A24,RawDataTotal!BM:BM)</f>
        <v>0</v>
      </c>
      <c r="BK24">
        <f>SUMIF(RawDataTotal!$B:$B,$A24,RawDataTotal!BN:BN)</f>
        <v>0</v>
      </c>
      <c r="BL24">
        <f>SUMIF(RawDataTotal!$B:$B,$A24,RawDataTotal!BO:BO)</f>
        <v>0</v>
      </c>
      <c r="BM24">
        <f>SUMIF(RawDataTotal!$B:$B,$A24,RawDataTotal!BP:BP)</f>
        <v>0</v>
      </c>
      <c r="BN24">
        <f>SUMIF(RawDataTotal!$B:$B,$A24,RawDataTotal!BQ:BQ)</f>
        <v>0</v>
      </c>
      <c r="BO24">
        <f>SUMIF(RawDataTotal!$B:$B,$A24,RawDataTotal!BR:BR)</f>
        <v>0</v>
      </c>
      <c r="BP24">
        <f>SUMIF(RawDataTotal!$B:$B,$A24,RawDataTotal!BS:BS)</f>
        <v>0</v>
      </c>
      <c r="BQ24">
        <f>SUMIF(RawDataTotal!$B:$B,$A24,RawDataTotal!BT:BT)</f>
        <v>0</v>
      </c>
      <c r="BR24">
        <f>SUMIF(RawDataTotal!$B:$B,$A24,RawDataTotal!BU:BU)</f>
        <v>0</v>
      </c>
      <c r="BS24">
        <f>SUMIF(RawDataTotal!$B:$B,$A24,RawDataTotal!BV:BV)</f>
        <v>0</v>
      </c>
      <c r="BT24">
        <f>SUMIF(RawDataTotal!$B:$B,$A24,RawDataTotal!BW:BW)</f>
        <v>0</v>
      </c>
    </row>
    <row r="25" spans="1:72" ht="15" thickBot="1" x14ac:dyDescent="0.35">
      <c r="A25" s="4" t="s">
        <v>110</v>
      </c>
      <c r="B25">
        <f>SUMIF(RawDataTotal!$B:$B,$A25,RawDataTotal!E:E)</f>
        <v>0</v>
      </c>
      <c r="C25">
        <f>SUMIF(RawDataTotal!$B:$B,$A25,RawDataTotal!F:F)</f>
        <v>0</v>
      </c>
      <c r="D25">
        <f>SUMIF(RawDataTotal!$B:$B,$A25,RawDataTotal!G:G)</f>
        <v>0</v>
      </c>
      <c r="E25">
        <f>SUMIF(RawDataTotal!$B:$B,$A25,RawDataTotal!H:H)</f>
        <v>0</v>
      </c>
      <c r="F25">
        <f>SUMIF(RawDataTotal!$B:$B,$A25,RawDataTotal!I:I)</f>
        <v>0</v>
      </c>
      <c r="G25">
        <f>SUMIF(RawDataTotal!$B:$B,$A25,RawDataTotal!J:J)</f>
        <v>0</v>
      </c>
      <c r="H25">
        <f>SUMIF(RawDataTotal!$B:$B,$A25,RawDataTotal!K:K)</f>
        <v>0</v>
      </c>
      <c r="I25">
        <f>SUMIF(RawDataTotal!$B:$B,$A25,RawDataTotal!L:L)</f>
        <v>0</v>
      </c>
      <c r="J25">
        <f>SUMIF(RawDataTotal!$B:$B,$A25,RawDataTotal!M:M)</f>
        <v>0</v>
      </c>
      <c r="K25">
        <f>SUMIF(RawDataTotal!$B:$B,$A25,RawDataTotal!N:N)</f>
        <v>0</v>
      </c>
      <c r="L25">
        <f>SUMIF(RawDataTotal!$B:$B,$A25,RawDataTotal!O:O)</f>
        <v>0</v>
      </c>
      <c r="M25">
        <f>SUMIF(RawDataTotal!$B:$B,$A25,RawDataTotal!P:P)</f>
        <v>0</v>
      </c>
      <c r="N25">
        <f>SUMIF(RawDataTotal!$B:$B,$A25,RawDataTotal!Q:Q)</f>
        <v>0</v>
      </c>
      <c r="O25">
        <f>SUMIF(RawDataTotal!$B:$B,$A25,RawDataTotal!R:R)</f>
        <v>0</v>
      </c>
      <c r="P25">
        <f>SUMIF(RawDataTotal!$B:$B,$A25,RawDataTotal!S:S)</f>
        <v>0</v>
      </c>
      <c r="Q25">
        <f>SUMIF(RawDataTotal!$B:$B,$A25,RawDataTotal!T:T)</f>
        <v>0</v>
      </c>
      <c r="R25">
        <f>SUMIF(RawDataTotal!$B:$B,$A25,RawDataTotal!U:U)</f>
        <v>0</v>
      </c>
      <c r="S25">
        <f>SUMIF(RawDataTotal!$B:$B,$A25,RawDataTotal!V:V)</f>
        <v>0</v>
      </c>
      <c r="T25">
        <f>SUMIF(RawDataTotal!$B:$B,$A25,RawDataTotal!W:W)</f>
        <v>0</v>
      </c>
      <c r="U25">
        <f>SUMIF(RawDataTotal!$B:$B,$A25,RawDataTotal!X:X)</f>
        <v>0</v>
      </c>
      <c r="V25">
        <f>SUMIF(RawDataTotal!$B:$B,$A25,RawDataTotal!Y:Y)</f>
        <v>0</v>
      </c>
      <c r="W25">
        <f>SUMIF(RawDataTotal!$B:$B,$A25,RawDataTotal!Z:Z)</f>
        <v>0</v>
      </c>
      <c r="X25">
        <f>SUMIF(RawDataTotal!$B:$B,$A25,RawDataTotal!AA:AA)</f>
        <v>0</v>
      </c>
      <c r="Y25">
        <f>SUMIF(RawDataTotal!$B:$B,$A25,RawDataTotal!AB:AB)</f>
        <v>0</v>
      </c>
      <c r="Z25">
        <f>SUMIF(RawDataTotal!$B:$B,$A25,RawDataTotal!AC:AC)</f>
        <v>0</v>
      </c>
      <c r="AA25">
        <f>SUMIF(RawDataTotal!$B:$B,$A25,RawDataTotal!AD:AD)</f>
        <v>0</v>
      </c>
      <c r="AB25">
        <f>SUMIF(RawDataTotal!$B:$B,$A25,RawDataTotal!AE:AE)</f>
        <v>0</v>
      </c>
      <c r="AC25">
        <f>SUMIF(RawDataTotal!$B:$B,$A25,RawDataTotal!AF:AF)</f>
        <v>0</v>
      </c>
      <c r="AD25">
        <f>SUMIF(RawDataTotal!$B:$B,$A25,RawDataTotal!AG:AG)</f>
        <v>0</v>
      </c>
      <c r="AE25">
        <f>SUMIF(RawDataTotal!$B:$B,$A25,RawDataTotal!AH:AH)</f>
        <v>0</v>
      </c>
      <c r="AF25">
        <f>SUMIF(RawDataTotal!$B:$B,$A25,RawDataTotal!AI:AI)</f>
        <v>0</v>
      </c>
      <c r="AG25">
        <f>SUMIF(RawDataTotal!$B:$B,$A25,RawDataTotal!AJ:AJ)</f>
        <v>0</v>
      </c>
      <c r="AH25">
        <f>SUMIF(RawDataTotal!$B:$B,$A25,RawDataTotal!AK:AK)</f>
        <v>0</v>
      </c>
      <c r="AI25">
        <f>SUMIF(RawDataTotal!$B:$B,$A25,RawDataTotal!AL:AL)</f>
        <v>0</v>
      </c>
      <c r="AJ25">
        <f>SUMIF(RawDataTotal!$B:$B,$A25,RawDataTotal!AM:AM)</f>
        <v>0</v>
      </c>
      <c r="AK25">
        <f>SUMIF(RawDataTotal!$B:$B,$A25,RawDataTotal!AN:AN)</f>
        <v>1</v>
      </c>
      <c r="AL25">
        <f>SUMIF(RawDataTotal!$B:$B,$A25,RawDataTotal!AO:AO)</f>
        <v>3</v>
      </c>
      <c r="AM25">
        <f>SUMIF(RawDataTotal!$B:$B,$A25,RawDataTotal!AP:AP)</f>
        <v>4</v>
      </c>
      <c r="AN25">
        <f>SUMIF(RawDataTotal!$B:$B,$A25,RawDataTotal!AQ:AQ)</f>
        <v>4</v>
      </c>
      <c r="AO25">
        <f>SUMIF(RawDataTotal!$B:$B,$A25,RawDataTotal!AR:AR)</f>
        <v>7</v>
      </c>
      <c r="AP25">
        <f>SUMIF(RawDataTotal!$B:$B,$A25,RawDataTotal!AS:AS)</f>
        <v>7</v>
      </c>
      <c r="AQ25">
        <f>SUMIF(RawDataTotal!$B:$B,$A25,RawDataTotal!AT:AT)</f>
        <v>7</v>
      </c>
      <c r="AR25">
        <f>SUMIF(RawDataTotal!$B:$B,$A25,RawDataTotal!AU:AU)</f>
        <v>9</v>
      </c>
      <c r="AS25">
        <f>SUMIF(RawDataTotal!$B:$B,$A25,RawDataTotal!AV:AV)</f>
        <v>31</v>
      </c>
      <c r="AT25">
        <f>SUMIF(RawDataTotal!$B:$B,$A25,RawDataTotal!AW:AW)</f>
        <v>45</v>
      </c>
      <c r="AU25">
        <f>SUMIF(RawDataTotal!$B:$B,$A25,RawDataTotal!AX:AX)</f>
        <v>46</v>
      </c>
      <c r="AV25">
        <f>SUMIF(RawDataTotal!$B:$B,$A25,RawDataTotal!AY:AY)</f>
        <v>73</v>
      </c>
      <c r="AW25">
        <f>SUMIF(RawDataTotal!$B:$B,$A25,RawDataTotal!AZ:AZ)</f>
        <v>73</v>
      </c>
      <c r="AX25">
        <f>SUMIF(RawDataTotal!$B:$B,$A25,RawDataTotal!BA:BA)</f>
        <v>89</v>
      </c>
      <c r="AY25">
        <f>SUMIF(RawDataTotal!$B:$B,$A25,RawDataTotal!BB:BB)</f>
        <v>99</v>
      </c>
      <c r="AZ25">
        <f>SUMIF(RawDataTotal!$B:$B,$A25,RawDataTotal!BC:BC)</f>
        <v>99</v>
      </c>
      <c r="BA25">
        <f>SUMIF(RawDataTotal!$B:$B,$A25,RawDataTotal!BD:BD)</f>
        <v>190</v>
      </c>
      <c r="BB25">
        <f>SUMIF(RawDataTotal!$B:$B,$A25,RawDataTotal!BE:BE)</f>
        <v>228</v>
      </c>
      <c r="BC25">
        <f>SUMIF(RawDataTotal!$B:$B,$A25,RawDataTotal!BF:BF)</f>
        <v>331</v>
      </c>
      <c r="BD25">
        <f>SUMIF(RawDataTotal!$B:$B,$A25,RawDataTotal!BG:BG)</f>
        <v>331</v>
      </c>
      <c r="BE25">
        <f>SUMIF(RawDataTotal!$B:$B,$A25,RawDataTotal!BH:BH)</f>
        <v>387</v>
      </c>
      <c r="BF25">
        <f>SUMIF(RawDataTotal!$B:$B,$A25,RawDataTotal!BI:BI)</f>
        <v>0</v>
      </c>
      <c r="BG25">
        <f>SUMIF(RawDataTotal!$B:$B,$A25,RawDataTotal!BJ:BJ)</f>
        <v>0</v>
      </c>
      <c r="BH25">
        <f>SUMIF(RawDataTotal!$B:$B,$A25,RawDataTotal!BK:BK)</f>
        <v>0</v>
      </c>
      <c r="BI25">
        <f>SUMIF(RawDataTotal!$B:$B,$A25,RawDataTotal!BL:BL)</f>
        <v>0</v>
      </c>
      <c r="BJ25">
        <f>SUMIF(RawDataTotal!$B:$B,$A25,RawDataTotal!BM:BM)</f>
        <v>0</v>
      </c>
      <c r="BK25">
        <f>SUMIF(RawDataTotal!$B:$B,$A25,RawDataTotal!BN:BN)</f>
        <v>0</v>
      </c>
      <c r="BL25">
        <f>SUMIF(RawDataTotal!$B:$B,$A25,RawDataTotal!BO:BO)</f>
        <v>0</v>
      </c>
      <c r="BM25">
        <f>SUMIF(RawDataTotal!$B:$B,$A25,RawDataTotal!BP:BP)</f>
        <v>0</v>
      </c>
      <c r="BN25">
        <f>SUMIF(RawDataTotal!$B:$B,$A25,RawDataTotal!BQ:BQ)</f>
        <v>0</v>
      </c>
      <c r="BO25">
        <f>SUMIF(RawDataTotal!$B:$B,$A25,RawDataTotal!BR:BR)</f>
        <v>0</v>
      </c>
      <c r="BP25">
        <f>SUMIF(RawDataTotal!$B:$B,$A25,RawDataTotal!BS:BS)</f>
        <v>0</v>
      </c>
      <c r="BQ25">
        <f>SUMIF(RawDataTotal!$B:$B,$A25,RawDataTotal!BT:BT)</f>
        <v>0</v>
      </c>
      <c r="BR25">
        <f>SUMIF(RawDataTotal!$B:$B,$A25,RawDataTotal!BU:BU)</f>
        <v>0</v>
      </c>
      <c r="BS25">
        <f>SUMIF(RawDataTotal!$B:$B,$A25,RawDataTotal!BV:BV)</f>
        <v>0</v>
      </c>
      <c r="BT25">
        <f>SUMIF(RawDataTotal!$B:$B,$A25,RawDataTotal!BW:BW)</f>
        <v>0</v>
      </c>
    </row>
    <row r="26" spans="1:72" ht="15" thickBot="1" x14ac:dyDescent="0.35">
      <c r="A26" s="4" t="s">
        <v>100</v>
      </c>
      <c r="B26">
        <f>SUMIF(RawDataTotal!$B:$B,$A26,RawDataTotal!E:E)</f>
        <v>0</v>
      </c>
      <c r="C26">
        <f>SUMIF(RawDataTotal!$B:$B,$A26,RawDataTotal!F:F)</f>
        <v>0</v>
      </c>
      <c r="D26">
        <f>SUMIF(RawDataTotal!$B:$B,$A26,RawDataTotal!G:G)</f>
        <v>0</v>
      </c>
      <c r="E26">
        <f>SUMIF(RawDataTotal!$B:$B,$A26,RawDataTotal!H:H)</f>
        <v>0</v>
      </c>
      <c r="F26">
        <f>SUMIF(RawDataTotal!$B:$B,$A26,RawDataTotal!I:I)</f>
        <v>0</v>
      </c>
      <c r="G26">
        <f>SUMIF(RawDataTotal!$B:$B,$A26,RawDataTotal!J:J)</f>
        <v>0</v>
      </c>
      <c r="H26">
        <f>SUMIF(RawDataTotal!$B:$B,$A26,RawDataTotal!K:K)</f>
        <v>0</v>
      </c>
      <c r="I26">
        <f>SUMIF(RawDataTotal!$B:$B,$A26,RawDataTotal!L:L)</f>
        <v>0</v>
      </c>
      <c r="J26">
        <f>SUMIF(RawDataTotal!$B:$B,$A26,RawDataTotal!M:M)</f>
        <v>0</v>
      </c>
      <c r="K26">
        <f>SUMIF(RawDataTotal!$B:$B,$A26,RawDataTotal!N:N)</f>
        <v>0</v>
      </c>
      <c r="L26">
        <f>SUMIF(RawDataTotal!$B:$B,$A26,RawDataTotal!O:O)</f>
        <v>0</v>
      </c>
      <c r="M26">
        <f>SUMIF(RawDataTotal!$B:$B,$A26,RawDataTotal!P:P)</f>
        <v>0</v>
      </c>
      <c r="N26">
        <f>SUMIF(RawDataTotal!$B:$B,$A26,RawDataTotal!Q:Q)</f>
        <v>0</v>
      </c>
      <c r="O26">
        <f>SUMIF(RawDataTotal!$B:$B,$A26,RawDataTotal!R:R)</f>
        <v>0</v>
      </c>
      <c r="P26">
        <f>SUMIF(RawDataTotal!$B:$B,$A26,RawDataTotal!S:S)</f>
        <v>0</v>
      </c>
      <c r="Q26">
        <f>SUMIF(RawDataTotal!$B:$B,$A26,RawDataTotal!T:T)</f>
        <v>0</v>
      </c>
      <c r="R26">
        <f>SUMIF(RawDataTotal!$B:$B,$A26,RawDataTotal!U:U)</f>
        <v>0</v>
      </c>
      <c r="S26">
        <f>SUMIF(RawDataTotal!$B:$B,$A26,RawDataTotal!V:V)</f>
        <v>0</v>
      </c>
      <c r="T26">
        <f>SUMIF(RawDataTotal!$B:$B,$A26,RawDataTotal!W:W)</f>
        <v>0</v>
      </c>
      <c r="U26">
        <f>SUMIF(RawDataTotal!$B:$B,$A26,RawDataTotal!X:X)</f>
        <v>0</v>
      </c>
      <c r="V26">
        <f>SUMIF(RawDataTotal!$B:$B,$A26,RawDataTotal!Y:Y)</f>
        <v>0</v>
      </c>
      <c r="W26">
        <f>SUMIF(RawDataTotal!$B:$B,$A26,RawDataTotal!Z:Z)</f>
        <v>0</v>
      </c>
      <c r="X26">
        <f>SUMIF(RawDataTotal!$B:$B,$A26,RawDataTotal!AA:AA)</f>
        <v>0</v>
      </c>
      <c r="Y26">
        <f>SUMIF(RawDataTotal!$B:$B,$A26,RawDataTotal!AB:AB)</f>
        <v>0</v>
      </c>
      <c r="Z26">
        <f>SUMIF(RawDataTotal!$B:$B,$A26,RawDataTotal!AC:AC)</f>
        <v>0</v>
      </c>
      <c r="AA26">
        <f>SUMIF(RawDataTotal!$B:$B,$A26,RawDataTotal!AD:AD)</f>
        <v>0</v>
      </c>
      <c r="AB26">
        <f>SUMIF(RawDataTotal!$B:$B,$A26,RawDataTotal!AE:AE)</f>
        <v>0</v>
      </c>
      <c r="AC26">
        <f>SUMIF(RawDataTotal!$B:$B,$A26,RawDataTotal!AF:AF)</f>
        <v>0</v>
      </c>
      <c r="AD26">
        <f>SUMIF(RawDataTotal!$B:$B,$A26,RawDataTotal!AG:AG)</f>
        <v>0</v>
      </c>
      <c r="AE26">
        <f>SUMIF(RawDataTotal!$B:$B,$A26,RawDataTotal!AH:AH)</f>
        <v>0</v>
      </c>
      <c r="AF26">
        <f>SUMIF(RawDataTotal!$B:$B,$A26,RawDataTotal!AI:AI)</f>
        <v>0</v>
      </c>
      <c r="AG26">
        <f>SUMIF(RawDataTotal!$B:$B,$A26,RawDataTotal!AJ:AJ)</f>
        <v>0</v>
      </c>
      <c r="AH26">
        <f>SUMIF(RawDataTotal!$B:$B,$A26,RawDataTotal!AK:AK)</f>
        <v>0</v>
      </c>
      <c r="AI26">
        <f>SUMIF(RawDataTotal!$B:$B,$A26,RawDataTotal!AL:AL)</f>
        <v>1</v>
      </c>
      <c r="AJ26">
        <f>SUMIF(RawDataTotal!$B:$B,$A26,RawDataTotal!AM:AM)</f>
        <v>23</v>
      </c>
      <c r="AK26">
        <f>SUMIF(RawDataTotal!$B:$B,$A26,RawDataTotal!AN:AN)</f>
        <v>33</v>
      </c>
      <c r="AL26">
        <f>SUMIF(RawDataTotal!$B:$B,$A26,RawDataTotal!AO:AO)</f>
        <v>33</v>
      </c>
      <c r="AM26">
        <f>SUMIF(RawDataTotal!$B:$B,$A26,RawDataTotal!AP:AP)</f>
        <v>36</v>
      </c>
      <c r="AN26">
        <f>SUMIF(RawDataTotal!$B:$B,$A26,RawDataTotal!AQ:AQ)</f>
        <v>41</v>
      </c>
      <c r="AO26">
        <f>SUMIF(RawDataTotal!$B:$B,$A26,RawDataTotal!AR:AR)</f>
        <v>47</v>
      </c>
      <c r="AP26">
        <f>SUMIF(RawDataTotal!$B:$B,$A26,RawDataTotal!AS:AS)</f>
        <v>49</v>
      </c>
      <c r="AQ26">
        <f>SUMIF(RawDataTotal!$B:$B,$A26,RawDataTotal!AT:AT)</f>
        <v>49</v>
      </c>
      <c r="AR26">
        <f>SUMIF(RawDataTotal!$B:$B,$A26,RawDataTotal!AU:AU)</f>
        <v>52</v>
      </c>
      <c r="AS26">
        <f>SUMIF(RawDataTotal!$B:$B,$A26,RawDataTotal!AV:AV)</f>
        <v>55</v>
      </c>
      <c r="AT26">
        <f>SUMIF(RawDataTotal!$B:$B,$A26,RawDataTotal!AW:AW)</f>
        <v>60</v>
      </c>
      <c r="AU26">
        <f>SUMIF(RawDataTotal!$B:$B,$A26,RawDataTotal!AX:AX)</f>
        <v>85</v>
      </c>
      <c r="AV26">
        <f>SUMIF(RawDataTotal!$B:$B,$A26,RawDataTotal!AY:AY)</f>
        <v>85</v>
      </c>
      <c r="AW26">
        <f>SUMIF(RawDataTotal!$B:$B,$A26,RawDataTotal!AZ:AZ)</f>
        <v>95</v>
      </c>
      <c r="AX26">
        <f>SUMIF(RawDataTotal!$B:$B,$A26,RawDataTotal!BA:BA)</f>
        <v>110</v>
      </c>
      <c r="AY26">
        <f>SUMIF(RawDataTotal!$B:$B,$A26,RawDataTotal!BB:BB)</f>
        <v>195</v>
      </c>
      <c r="AZ26">
        <f>SUMIF(RawDataTotal!$B:$B,$A26,RawDataTotal!BC:BC)</f>
        <v>195</v>
      </c>
      <c r="BA26">
        <f>SUMIF(RawDataTotal!$B:$B,$A26,RawDataTotal!BD:BD)</f>
        <v>189</v>
      </c>
      <c r="BB26">
        <f>SUMIF(RawDataTotal!$B:$B,$A26,RawDataTotal!BE:BE)</f>
        <v>210</v>
      </c>
      <c r="BC26">
        <f>SUMIF(RawDataTotal!$B:$B,$A26,RawDataTotal!BF:BF)</f>
        <v>214</v>
      </c>
      <c r="BD26">
        <f>SUMIF(RawDataTotal!$B:$B,$A26,RawDataTotal!BG:BG)</f>
        <v>214</v>
      </c>
      <c r="BE26">
        <f>SUMIF(RawDataTotal!$B:$B,$A26,RawDataTotal!BH:BH)</f>
        <v>228</v>
      </c>
      <c r="BF26">
        <f>SUMIF(RawDataTotal!$B:$B,$A26,RawDataTotal!BI:BI)</f>
        <v>0</v>
      </c>
      <c r="BG26">
        <f>SUMIF(RawDataTotal!$B:$B,$A26,RawDataTotal!BJ:BJ)</f>
        <v>0</v>
      </c>
      <c r="BH26">
        <f>SUMIF(RawDataTotal!$B:$B,$A26,RawDataTotal!BK:BK)</f>
        <v>0</v>
      </c>
      <c r="BI26">
        <f>SUMIF(RawDataTotal!$B:$B,$A26,RawDataTotal!BL:BL)</f>
        <v>0</v>
      </c>
      <c r="BJ26">
        <f>SUMIF(RawDataTotal!$B:$B,$A26,RawDataTotal!BM:BM)</f>
        <v>0</v>
      </c>
      <c r="BK26">
        <f>SUMIF(RawDataTotal!$B:$B,$A26,RawDataTotal!BN:BN)</f>
        <v>0</v>
      </c>
      <c r="BL26">
        <f>SUMIF(RawDataTotal!$B:$B,$A26,RawDataTotal!BO:BO)</f>
        <v>0</v>
      </c>
      <c r="BM26">
        <f>SUMIF(RawDataTotal!$B:$B,$A26,RawDataTotal!BP:BP)</f>
        <v>0</v>
      </c>
      <c r="BN26">
        <f>SUMIF(RawDataTotal!$B:$B,$A26,RawDataTotal!BQ:BQ)</f>
        <v>0</v>
      </c>
      <c r="BO26">
        <f>SUMIF(RawDataTotal!$B:$B,$A26,RawDataTotal!BR:BR)</f>
        <v>0</v>
      </c>
      <c r="BP26">
        <f>SUMIF(RawDataTotal!$B:$B,$A26,RawDataTotal!BS:BS)</f>
        <v>0</v>
      </c>
      <c r="BQ26">
        <f>SUMIF(RawDataTotal!$B:$B,$A26,RawDataTotal!BT:BT)</f>
        <v>0</v>
      </c>
      <c r="BR26">
        <f>SUMIF(RawDataTotal!$B:$B,$A26,RawDataTotal!BU:BU)</f>
        <v>0</v>
      </c>
      <c r="BS26">
        <f>SUMIF(RawDataTotal!$B:$B,$A26,RawDataTotal!BV:BV)</f>
        <v>0</v>
      </c>
      <c r="BT26">
        <f>SUMIF(RawDataTotal!$B:$B,$A26,RawDataTotal!BW:BW)</f>
        <v>0</v>
      </c>
    </row>
    <row r="27" spans="1:72" ht="15" thickBot="1" x14ac:dyDescent="0.35">
      <c r="A27" s="4" t="s">
        <v>106</v>
      </c>
      <c r="B27">
        <f>SUMIF(RawDataTotal!$B:$B,$A27,RawDataTotal!E:E)</f>
        <v>0</v>
      </c>
      <c r="C27">
        <f>SUMIF(RawDataTotal!$B:$B,$A27,RawDataTotal!F:F)</f>
        <v>0</v>
      </c>
      <c r="D27">
        <f>SUMIF(RawDataTotal!$B:$B,$A27,RawDataTotal!G:G)</f>
        <v>0</v>
      </c>
      <c r="E27">
        <f>SUMIF(RawDataTotal!$B:$B,$A27,RawDataTotal!H:H)</f>
        <v>0</v>
      </c>
      <c r="F27">
        <f>SUMIF(RawDataTotal!$B:$B,$A27,RawDataTotal!I:I)</f>
        <v>0</v>
      </c>
      <c r="G27">
        <f>SUMIF(RawDataTotal!$B:$B,$A27,RawDataTotal!J:J)</f>
        <v>0</v>
      </c>
      <c r="H27">
        <f>SUMIF(RawDataTotal!$B:$B,$A27,RawDataTotal!K:K)</f>
        <v>0</v>
      </c>
      <c r="I27">
        <f>SUMIF(RawDataTotal!$B:$B,$A27,RawDataTotal!L:L)</f>
        <v>0</v>
      </c>
      <c r="J27">
        <f>SUMIF(RawDataTotal!$B:$B,$A27,RawDataTotal!M:M)</f>
        <v>0</v>
      </c>
      <c r="K27">
        <f>SUMIF(RawDataTotal!$B:$B,$A27,RawDataTotal!N:N)</f>
        <v>0</v>
      </c>
      <c r="L27">
        <f>SUMIF(RawDataTotal!$B:$B,$A27,RawDataTotal!O:O)</f>
        <v>0</v>
      </c>
      <c r="M27">
        <f>SUMIF(RawDataTotal!$B:$B,$A27,RawDataTotal!P:P)</f>
        <v>0</v>
      </c>
      <c r="N27">
        <f>SUMIF(RawDataTotal!$B:$B,$A27,RawDataTotal!Q:Q)</f>
        <v>0</v>
      </c>
      <c r="O27">
        <f>SUMIF(RawDataTotal!$B:$B,$A27,RawDataTotal!R:R)</f>
        <v>0</v>
      </c>
      <c r="P27">
        <f>SUMIF(RawDataTotal!$B:$B,$A27,RawDataTotal!S:S)</f>
        <v>0</v>
      </c>
      <c r="Q27">
        <f>SUMIF(RawDataTotal!$B:$B,$A27,RawDataTotal!T:T)</f>
        <v>0</v>
      </c>
      <c r="R27">
        <f>SUMIF(RawDataTotal!$B:$B,$A27,RawDataTotal!U:U)</f>
        <v>0</v>
      </c>
      <c r="S27">
        <f>SUMIF(RawDataTotal!$B:$B,$A27,RawDataTotal!V:V)</f>
        <v>0</v>
      </c>
      <c r="T27">
        <f>SUMIF(RawDataTotal!$B:$B,$A27,RawDataTotal!W:W)</f>
        <v>0</v>
      </c>
      <c r="U27">
        <f>SUMIF(RawDataTotal!$B:$B,$A27,RawDataTotal!X:X)</f>
        <v>0</v>
      </c>
      <c r="V27">
        <f>SUMIF(RawDataTotal!$B:$B,$A27,RawDataTotal!Y:Y)</f>
        <v>0</v>
      </c>
      <c r="W27">
        <f>SUMIF(RawDataTotal!$B:$B,$A27,RawDataTotal!Z:Z)</f>
        <v>0</v>
      </c>
      <c r="X27">
        <f>SUMIF(RawDataTotal!$B:$B,$A27,RawDataTotal!AA:AA)</f>
        <v>0</v>
      </c>
      <c r="Y27">
        <f>SUMIF(RawDataTotal!$B:$B,$A27,RawDataTotal!AB:AB)</f>
        <v>0</v>
      </c>
      <c r="Z27">
        <f>SUMIF(RawDataTotal!$B:$B,$A27,RawDataTotal!AC:AC)</f>
        <v>0</v>
      </c>
      <c r="AA27">
        <f>SUMIF(RawDataTotal!$B:$B,$A27,RawDataTotal!AD:AD)</f>
        <v>0</v>
      </c>
      <c r="AB27">
        <f>SUMIF(RawDataTotal!$B:$B,$A27,RawDataTotal!AE:AE)</f>
        <v>0</v>
      </c>
      <c r="AC27">
        <f>SUMIF(RawDataTotal!$B:$B,$A27,RawDataTotal!AF:AF)</f>
        <v>0</v>
      </c>
      <c r="AD27">
        <f>SUMIF(RawDataTotal!$B:$B,$A27,RawDataTotal!AG:AG)</f>
        <v>0</v>
      </c>
      <c r="AE27">
        <f>SUMIF(RawDataTotal!$B:$B,$A27,RawDataTotal!AH:AH)</f>
        <v>0</v>
      </c>
      <c r="AF27">
        <f>SUMIF(RawDataTotal!$B:$B,$A27,RawDataTotal!AI:AI)</f>
        <v>1</v>
      </c>
      <c r="AG27">
        <f>SUMIF(RawDataTotal!$B:$B,$A27,RawDataTotal!AJ:AJ)</f>
        <v>1</v>
      </c>
      <c r="AH27">
        <f>SUMIF(RawDataTotal!$B:$B,$A27,RawDataTotal!AK:AK)</f>
        <v>1</v>
      </c>
      <c r="AI27">
        <f>SUMIF(RawDataTotal!$B:$B,$A27,RawDataTotal!AL:AL)</f>
        <v>1</v>
      </c>
      <c r="AJ27">
        <f>SUMIF(RawDataTotal!$B:$B,$A27,RawDataTotal!AM:AM)</f>
        <v>1</v>
      </c>
      <c r="AK27">
        <f>SUMIF(RawDataTotal!$B:$B,$A27,RawDataTotal!AN:AN)</f>
        <v>2</v>
      </c>
      <c r="AL27">
        <f>SUMIF(RawDataTotal!$B:$B,$A27,RawDataTotal!AO:AO)</f>
        <v>3</v>
      </c>
      <c r="AM27">
        <f>SUMIF(RawDataTotal!$B:$B,$A27,RawDataTotal!AP:AP)</f>
        <v>4</v>
      </c>
      <c r="AN27">
        <f>SUMIF(RawDataTotal!$B:$B,$A27,RawDataTotal!AQ:AQ)</f>
        <v>7</v>
      </c>
      <c r="AO27">
        <f>SUMIF(RawDataTotal!$B:$B,$A27,RawDataTotal!AR:AR)</f>
        <v>10</v>
      </c>
      <c r="AP27">
        <f>SUMIF(RawDataTotal!$B:$B,$A27,RawDataTotal!AS:AS)</f>
        <v>10</v>
      </c>
      <c r="AQ27">
        <f>SUMIF(RawDataTotal!$B:$B,$A27,RawDataTotal!AT:AT)</f>
        <v>12</v>
      </c>
      <c r="AR27">
        <f>SUMIF(RawDataTotal!$B:$B,$A27,RawDataTotal!AU:AU)</f>
        <v>15</v>
      </c>
      <c r="AS27">
        <f>SUMIF(RawDataTotal!$B:$B,$A27,RawDataTotal!AV:AV)</f>
        <v>20</v>
      </c>
      <c r="AT27">
        <f>SUMIF(RawDataTotal!$B:$B,$A27,RawDataTotal!AW:AW)</f>
        <v>37</v>
      </c>
      <c r="AU27">
        <f>SUMIF(RawDataTotal!$B:$B,$A27,RawDataTotal!AX:AX)</f>
        <v>43</v>
      </c>
      <c r="AV27">
        <f>SUMIF(RawDataTotal!$B:$B,$A27,RawDataTotal!AY:AY)</f>
        <v>61</v>
      </c>
      <c r="AW27">
        <f>SUMIF(RawDataTotal!$B:$B,$A27,RawDataTotal!AZ:AZ)</f>
        <v>61</v>
      </c>
      <c r="AX27">
        <f>SUMIF(RawDataTotal!$B:$B,$A27,RawDataTotal!BA:BA)</f>
        <v>83</v>
      </c>
      <c r="AY27">
        <f>SUMIF(RawDataTotal!$B:$B,$A27,RawDataTotal!BB:BB)</f>
        <v>109</v>
      </c>
      <c r="AZ27">
        <f>SUMIF(RawDataTotal!$B:$B,$A27,RawDataTotal!BC:BC)</f>
        <v>131</v>
      </c>
      <c r="BA27">
        <f>SUMIF(RawDataTotal!$B:$B,$A27,RawDataTotal!BD:BD)</f>
        <v>161</v>
      </c>
      <c r="BB27">
        <f>SUMIF(RawDataTotal!$B:$B,$A27,RawDataTotal!BE:BE)</f>
        <v>193</v>
      </c>
      <c r="BC27">
        <f>SUMIF(RawDataTotal!$B:$B,$A27,RawDataTotal!BF:BF)</f>
        <v>251</v>
      </c>
      <c r="BD27">
        <f>SUMIF(RawDataTotal!$B:$B,$A27,RawDataTotal!BG:BG)</f>
        <v>255</v>
      </c>
      <c r="BE27">
        <f>SUMIF(RawDataTotal!$B:$B,$A27,RawDataTotal!BH:BH)</f>
        <v>337</v>
      </c>
      <c r="BF27">
        <f>SUMIF(RawDataTotal!$B:$B,$A27,RawDataTotal!BI:BI)</f>
        <v>0</v>
      </c>
      <c r="BG27">
        <f>SUMIF(RawDataTotal!$B:$B,$A27,RawDataTotal!BJ:BJ)</f>
        <v>0</v>
      </c>
      <c r="BH27">
        <f>SUMIF(RawDataTotal!$B:$B,$A27,RawDataTotal!BK:BK)</f>
        <v>0</v>
      </c>
      <c r="BI27">
        <f>SUMIF(RawDataTotal!$B:$B,$A27,RawDataTotal!BL:BL)</f>
        <v>0</v>
      </c>
      <c r="BJ27">
        <f>SUMIF(RawDataTotal!$B:$B,$A27,RawDataTotal!BM:BM)</f>
        <v>0</v>
      </c>
      <c r="BK27">
        <f>SUMIF(RawDataTotal!$B:$B,$A27,RawDataTotal!BN:BN)</f>
        <v>0</v>
      </c>
      <c r="BL27">
        <f>SUMIF(RawDataTotal!$B:$B,$A27,RawDataTotal!BO:BO)</f>
        <v>0</v>
      </c>
      <c r="BM27">
        <f>SUMIF(RawDataTotal!$B:$B,$A27,RawDataTotal!BP:BP)</f>
        <v>0</v>
      </c>
      <c r="BN27">
        <f>SUMIF(RawDataTotal!$B:$B,$A27,RawDataTotal!BQ:BQ)</f>
        <v>0</v>
      </c>
      <c r="BO27">
        <f>SUMIF(RawDataTotal!$B:$B,$A27,RawDataTotal!BR:BR)</f>
        <v>0</v>
      </c>
      <c r="BP27">
        <f>SUMIF(RawDataTotal!$B:$B,$A27,RawDataTotal!BS:BS)</f>
        <v>0</v>
      </c>
      <c r="BQ27">
        <f>SUMIF(RawDataTotal!$B:$B,$A27,RawDataTotal!BT:BT)</f>
        <v>0</v>
      </c>
      <c r="BR27">
        <f>SUMIF(RawDataTotal!$B:$B,$A27,RawDataTotal!BU:BU)</f>
        <v>0</v>
      </c>
      <c r="BS27">
        <f>SUMIF(RawDataTotal!$B:$B,$A27,RawDataTotal!BV:BV)</f>
        <v>0</v>
      </c>
      <c r="BT27">
        <f>SUMIF(RawDataTotal!$B:$B,$A27,RawDataTotal!BW:BW)</f>
        <v>0</v>
      </c>
    </row>
    <row r="28" spans="1:72" ht="15" thickBot="1" x14ac:dyDescent="0.35">
      <c r="A28" s="3" t="s">
        <v>81</v>
      </c>
      <c r="B28">
        <f>SUMIF(RawDataTotal!$B:$B,$A28,RawDataTotal!E:E)</f>
        <v>0</v>
      </c>
      <c r="C28">
        <f>SUMIF(RawDataTotal!$B:$B,$A28,RawDataTotal!F:F)</f>
        <v>0</v>
      </c>
      <c r="D28">
        <f>SUMIF(RawDataTotal!$B:$B,$A28,RawDataTotal!G:G)</f>
        <v>0</v>
      </c>
      <c r="E28">
        <f>SUMIF(RawDataTotal!$B:$B,$A28,RawDataTotal!H:H)</f>
        <v>0</v>
      </c>
      <c r="F28">
        <f>SUMIF(RawDataTotal!$B:$B,$A28,RawDataTotal!I:I)</f>
        <v>0</v>
      </c>
      <c r="G28">
        <f>SUMIF(RawDataTotal!$B:$B,$A28,RawDataTotal!J:J)</f>
        <v>0</v>
      </c>
      <c r="H28">
        <f>SUMIF(RawDataTotal!$B:$B,$A28,RawDataTotal!K:K)</f>
        <v>0</v>
      </c>
      <c r="I28">
        <f>SUMIF(RawDataTotal!$B:$B,$A28,RawDataTotal!L:L)</f>
        <v>1</v>
      </c>
      <c r="J28">
        <f>SUMIF(RawDataTotal!$B:$B,$A28,RawDataTotal!M:M)</f>
        <v>1</v>
      </c>
      <c r="K28">
        <f>SUMIF(RawDataTotal!$B:$B,$A28,RawDataTotal!N:N)</f>
        <v>1</v>
      </c>
      <c r="L28">
        <f>SUMIF(RawDataTotal!$B:$B,$A28,RawDataTotal!O:O)</f>
        <v>1</v>
      </c>
      <c r="M28">
        <f>SUMIF(RawDataTotal!$B:$B,$A28,RawDataTotal!P:P)</f>
        <v>1</v>
      </c>
      <c r="N28">
        <f>SUMIF(RawDataTotal!$B:$B,$A28,RawDataTotal!Q:Q)</f>
        <v>1</v>
      </c>
      <c r="O28">
        <f>SUMIF(RawDataTotal!$B:$B,$A28,RawDataTotal!R:R)</f>
        <v>1</v>
      </c>
      <c r="P28">
        <f>SUMIF(RawDataTotal!$B:$B,$A28,RawDataTotal!S:S)</f>
        <v>1</v>
      </c>
      <c r="Q28">
        <f>SUMIF(RawDataTotal!$B:$B,$A28,RawDataTotal!T:T)</f>
        <v>1</v>
      </c>
      <c r="R28">
        <f>SUMIF(RawDataTotal!$B:$B,$A28,RawDataTotal!U:U)</f>
        <v>1</v>
      </c>
      <c r="S28">
        <f>SUMIF(RawDataTotal!$B:$B,$A28,RawDataTotal!V:V)</f>
        <v>1</v>
      </c>
      <c r="T28">
        <f>SUMIF(RawDataTotal!$B:$B,$A28,RawDataTotal!W:W)</f>
        <v>1</v>
      </c>
      <c r="U28">
        <f>SUMIF(RawDataTotal!$B:$B,$A28,RawDataTotal!X:X)</f>
        <v>1</v>
      </c>
      <c r="V28">
        <f>SUMIF(RawDataTotal!$B:$B,$A28,RawDataTotal!Y:Y)</f>
        <v>1</v>
      </c>
      <c r="W28">
        <f>SUMIF(RawDataTotal!$B:$B,$A28,RawDataTotal!Z:Z)</f>
        <v>1</v>
      </c>
      <c r="X28">
        <f>SUMIF(RawDataTotal!$B:$B,$A28,RawDataTotal!AA:AA)</f>
        <v>1</v>
      </c>
      <c r="Y28">
        <f>SUMIF(RawDataTotal!$B:$B,$A28,RawDataTotal!AB:AB)</f>
        <v>1</v>
      </c>
      <c r="Z28">
        <f>SUMIF(RawDataTotal!$B:$B,$A28,RawDataTotal!AC:AC)</f>
        <v>1</v>
      </c>
      <c r="AA28">
        <f>SUMIF(RawDataTotal!$B:$B,$A28,RawDataTotal!AD:AD)</f>
        <v>1</v>
      </c>
      <c r="AB28">
        <f>SUMIF(RawDataTotal!$B:$B,$A28,RawDataTotal!AE:AE)</f>
        <v>1</v>
      </c>
      <c r="AC28">
        <f>SUMIF(RawDataTotal!$B:$B,$A28,RawDataTotal!AF:AF)</f>
        <v>1</v>
      </c>
      <c r="AD28">
        <f>SUMIF(RawDataTotal!$B:$B,$A28,RawDataTotal!AG:AG)</f>
        <v>1</v>
      </c>
      <c r="AE28">
        <f>SUMIF(RawDataTotal!$B:$B,$A28,RawDataTotal!AH:AH)</f>
        <v>1</v>
      </c>
      <c r="AF28">
        <f>SUMIF(RawDataTotal!$B:$B,$A28,RawDataTotal!AI:AI)</f>
        <v>1</v>
      </c>
      <c r="AG28">
        <f>SUMIF(RawDataTotal!$B:$B,$A28,RawDataTotal!AJ:AJ)</f>
        <v>1</v>
      </c>
      <c r="AH28">
        <f>SUMIF(RawDataTotal!$B:$B,$A28,RawDataTotal!AK:AK)</f>
        <v>1</v>
      </c>
      <c r="AI28">
        <f>SUMIF(RawDataTotal!$B:$B,$A28,RawDataTotal!AL:AL)</f>
        <v>1</v>
      </c>
      <c r="AJ28">
        <f>SUMIF(RawDataTotal!$B:$B,$A28,RawDataTotal!AM:AM)</f>
        <v>1</v>
      </c>
      <c r="AK28">
        <f>SUMIF(RawDataTotal!$B:$B,$A28,RawDataTotal!AN:AN)</f>
        <v>2</v>
      </c>
      <c r="AL28">
        <f>SUMIF(RawDataTotal!$B:$B,$A28,RawDataTotal!AO:AO)</f>
        <v>2</v>
      </c>
      <c r="AM28">
        <f>SUMIF(RawDataTotal!$B:$B,$A28,RawDataTotal!AP:AP)</f>
        <v>2</v>
      </c>
      <c r="AN28">
        <f>SUMIF(RawDataTotal!$B:$B,$A28,RawDataTotal!AQ:AQ)</f>
        <v>3</v>
      </c>
      <c r="AO28">
        <f>SUMIF(RawDataTotal!$B:$B,$A28,RawDataTotal!AR:AR)</f>
        <v>6</v>
      </c>
      <c r="AP28">
        <f>SUMIF(RawDataTotal!$B:$B,$A28,RawDataTotal!AS:AS)</f>
        <v>6</v>
      </c>
      <c r="AQ28">
        <f>SUMIF(RawDataTotal!$B:$B,$A28,RawDataTotal!AT:AT)</f>
        <v>6</v>
      </c>
      <c r="AR28">
        <f>SUMIF(RawDataTotal!$B:$B,$A28,RawDataTotal!AU:AU)</f>
        <v>6</v>
      </c>
      <c r="AS28">
        <f>SUMIF(RawDataTotal!$B:$B,$A28,RawDataTotal!AV:AV)</f>
        <v>12</v>
      </c>
      <c r="AT28">
        <f>SUMIF(RawDataTotal!$B:$B,$A28,RawDataTotal!AW:AW)</f>
        <v>15</v>
      </c>
      <c r="AU28">
        <f>SUMIF(RawDataTotal!$B:$B,$A28,RawDataTotal!AX:AX)</f>
        <v>15</v>
      </c>
      <c r="AV28">
        <f>SUMIF(RawDataTotal!$B:$B,$A28,RawDataTotal!AY:AY)</f>
        <v>23</v>
      </c>
      <c r="AW28">
        <f>SUMIF(RawDataTotal!$B:$B,$A28,RawDataTotal!AZ:AZ)</f>
        <v>30</v>
      </c>
      <c r="AX28">
        <f>SUMIF(RawDataTotal!$B:$B,$A28,RawDataTotal!BA:BA)</f>
        <v>40</v>
      </c>
      <c r="AY28">
        <f>SUMIF(RawDataTotal!$B:$B,$A28,RawDataTotal!BB:BB)</f>
        <v>59</v>
      </c>
      <c r="AZ28">
        <f>SUMIF(RawDataTotal!$B:$B,$A28,RawDataTotal!BC:BC)</f>
        <v>59</v>
      </c>
      <c r="BA28">
        <f>SUMIF(RawDataTotal!$B:$B,$A28,RawDataTotal!BD:BD)</f>
        <v>155</v>
      </c>
      <c r="BB28">
        <f>SUMIF(RawDataTotal!$B:$B,$A28,RawDataTotal!BE:BE)</f>
        <v>225</v>
      </c>
      <c r="BC28">
        <f>SUMIF(RawDataTotal!$B:$B,$A28,RawDataTotal!BF:BF)</f>
        <v>244</v>
      </c>
      <c r="BD28">
        <f>SUMIF(RawDataTotal!$B:$B,$A28,RawDataTotal!BG:BG)</f>
        <v>277</v>
      </c>
      <c r="BE28">
        <f>SUMIF(RawDataTotal!$B:$B,$A28,RawDataTotal!BH:BH)</f>
        <v>321</v>
      </c>
      <c r="BF28">
        <f>SUMIF(RawDataTotal!$B:$B,$A28,RawDataTotal!BI:BI)</f>
        <v>0</v>
      </c>
      <c r="BG28">
        <f>SUMIF(RawDataTotal!$B:$B,$A28,RawDataTotal!BJ:BJ)</f>
        <v>0</v>
      </c>
      <c r="BH28">
        <f>SUMIF(RawDataTotal!$B:$B,$A28,RawDataTotal!BK:BK)</f>
        <v>0</v>
      </c>
      <c r="BI28">
        <f>SUMIF(RawDataTotal!$B:$B,$A28,RawDataTotal!BL:BL)</f>
        <v>0</v>
      </c>
      <c r="BJ28">
        <f>SUMIF(RawDataTotal!$B:$B,$A28,RawDataTotal!BM:BM)</f>
        <v>0</v>
      </c>
      <c r="BK28">
        <f>SUMIF(RawDataTotal!$B:$B,$A28,RawDataTotal!BN:BN)</f>
        <v>0</v>
      </c>
      <c r="BL28">
        <f>SUMIF(RawDataTotal!$B:$B,$A28,RawDataTotal!BO:BO)</f>
        <v>0</v>
      </c>
      <c r="BM28">
        <f>SUMIF(RawDataTotal!$B:$B,$A28,RawDataTotal!BP:BP)</f>
        <v>0</v>
      </c>
      <c r="BN28">
        <f>SUMIF(RawDataTotal!$B:$B,$A28,RawDataTotal!BQ:BQ)</f>
        <v>0</v>
      </c>
      <c r="BO28">
        <f>SUMIF(RawDataTotal!$B:$B,$A28,RawDataTotal!BR:BR)</f>
        <v>0</v>
      </c>
      <c r="BP28">
        <f>SUMIF(RawDataTotal!$B:$B,$A28,RawDataTotal!BS:BS)</f>
        <v>0</v>
      </c>
      <c r="BQ28">
        <f>SUMIF(RawDataTotal!$B:$B,$A28,RawDataTotal!BT:BT)</f>
        <v>0</v>
      </c>
      <c r="BR28">
        <f>SUMIF(RawDataTotal!$B:$B,$A28,RawDataTotal!BU:BU)</f>
        <v>0</v>
      </c>
      <c r="BS28">
        <f>SUMIF(RawDataTotal!$B:$B,$A28,RawDataTotal!BV:BV)</f>
        <v>0</v>
      </c>
      <c r="BT28">
        <f>SUMIF(RawDataTotal!$B:$B,$A28,RawDataTotal!BW:BW)</f>
        <v>0</v>
      </c>
    </row>
    <row r="29" spans="1:72" ht="15" thickBot="1" x14ac:dyDescent="0.35">
      <c r="A29" s="4" t="s">
        <v>108</v>
      </c>
      <c r="B29">
        <f>SUMIF(RawDataTotal!$B:$B,$A29,RawDataTotal!E:E)</f>
        <v>0</v>
      </c>
      <c r="C29">
        <f>SUMIF(RawDataTotal!$B:$B,$A29,RawDataTotal!F:F)</f>
        <v>0</v>
      </c>
      <c r="D29">
        <f>SUMIF(RawDataTotal!$B:$B,$A29,RawDataTotal!G:G)</f>
        <v>0</v>
      </c>
      <c r="E29">
        <f>SUMIF(RawDataTotal!$B:$B,$A29,RawDataTotal!H:H)</f>
        <v>0</v>
      </c>
      <c r="F29">
        <f>SUMIF(RawDataTotal!$B:$B,$A29,RawDataTotal!I:I)</f>
        <v>0</v>
      </c>
      <c r="G29">
        <f>SUMIF(RawDataTotal!$B:$B,$A29,RawDataTotal!J:J)</f>
        <v>0</v>
      </c>
      <c r="H29">
        <f>SUMIF(RawDataTotal!$B:$B,$A29,RawDataTotal!K:K)</f>
        <v>0</v>
      </c>
      <c r="I29">
        <f>SUMIF(RawDataTotal!$B:$B,$A29,RawDataTotal!L:L)</f>
        <v>0</v>
      </c>
      <c r="J29">
        <f>SUMIF(RawDataTotal!$B:$B,$A29,RawDataTotal!M:M)</f>
        <v>0</v>
      </c>
      <c r="K29">
        <f>SUMIF(RawDataTotal!$B:$B,$A29,RawDataTotal!N:N)</f>
        <v>0</v>
      </c>
      <c r="L29">
        <f>SUMIF(RawDataTotal!$B:$B,$A29,RawDataTotal!O:O)</f>
        <v>0</v>
      </c>
      <c r="M29">
        <f>SUMIF(RawDataTotal!$B:$B,$A29,RawDataTotal!P:P)</f>
        <v>0</v>
      </c>
      <c r="N29">
        <f>SUMIF(RawDataTotal!$B:$B,$A29,RawDataTotal!Q:Q)</f>
        <v>0</v>
      </c>
      <c r="O29">
        <f>SUMIF(RawDataTotal!$B:$B,$A29,RawDataTotal!R:R)</f>
        <v>0</v>
      </c>
      <c r="P29">
        <f>SUMIF(RawDataTotal!$B:$B,$A29,RawDataTotal!S:S)</f>
        <v>0</v>
      </c>
      <c r="Q29">
        <f>SUMIF(RawDataTotal!$B:$B,$A29,RawDataTotal!T:T)</f>
        <v>0</v>
      </c>
      <c r="R29">
        <f>SUMIF(RawDataTotal!$B:$B,$A29,RawDataTotal!U:U)</f>
        <v>0</v>
      </c>
      <c r="S29">
        <f>SUMIF(RawDataTotal!$B:$B,$A29,RawDataTotal!V:V)</f>
        <v>0</v>
      </c>
      <c r="T29">
        <f>SUMIF(RawDataTotal!$B:$B,$A29,RawDataTotal!W:W)</f>
        <v>0</v>
      </c>
      <c r="U29">
        <f>SUMIF(RawDataTotal!$B:$B,$A29,RawDataTotal!X:X)</f>
        <v>0</v>
      </c>
      <c r="V29">
        <f>SUMIF(RawDataTotal!$B:$B,$A29,RawDataTotal!Y:Y)</f>
        <v>0</v>
      </c>
      <c r="W29">
        <f>SUMIF(RawDataTotal!$B:$B,$A29,RawDataTotal!Z:Z)</f>
        <v>0</v>
      </c>
      <c r="X29">
        <f>SUMIF(RawDataTotal!$B:$B,$A29,RawDataTotal!AA:AA)</f>
        <v>0</v>
      </c>
      <c r="Y29">
        <f>SUMIF(RawDataTotal!$B:$B,$A29,RawDataTotal!AB:AB)</f>
        <v>0</v>
      </c>
      <c r="Z29">
        <f>SUMIF(RawDataTotal!$B:$B,$A29,RawDataTotal!AC:AC)</f>
        <v>0</v>
      </c>
      <c r="AA29">
        <f>SUMIF(RawDataTotal!$B:$B,$A29,RawDataTotal!AD:AD)</f>
        <v>0</v>
      </c>
      <c r="AB29">
        <f>SUMIF(RawDataTotal!$B:$B,$A29,RawDataTotal!AE:AE)</f>
        <v>0</v>
      </c>
      <c r="AC29">
        <f>SUMIF(RawDataTotal!$B:$B,$A29,RawDataTotal!AF:AF)</f>
        <v>0</v>
      </c>
      <c r="AD29">
        <f>SUMIF(RawDataTotal!$B:$B,$A29,RawDataTotal!AG:AG)</f>
        <v>0</v>
      </c>
      <c r="AE29">
        <f>SUMIF(RawDataTotal!$B:$B,$A29,RawDataTotal!AH:AH)</f>
        <v>0</v>
      </c>
      <c r="AF29">
        <f>SUMIF(RawDataTotal!$B:$B,$A29,RawDataTotal!AI:AI)</f>
        <v>0</v>
      </c>
      <c r="AG29">
        <f>SUMIF(RawDataTotal!$B:$B,$A29,RawDataTotal!AJ:AJ)</f>
        <v>0</v>
      </c>
      <c r="AH29">
        <f>SUMIF(RawDataTotal!$B:$B,$A29,RawDataTotal!AK:AK)</f>
        <v>0</v>
      </c>
      <c r="AI29">
        <f>SUMIF(RawDataTotal!$B:$B,$A29,RawDataTotal!AL:AL)</f>
        <v>0</v>
      </c>
      <c r="AJ29">
        <f>SUMIF(RawDataTotal!$B:$B,$A29,RawDataTotal!AM:AM)</f>
        <v>0</v>
      </c>
      <c r="AK29">
        <f>SUMIF(RawDataTotal!$B:$B,$A29,RawDataTotal!AN:AN)</f>
        <v>1</v>
      </c>
      <c r="AL29">
        <f>SUMIF(RawDataTotal!$B:$B,$A29,RawDataTotal!AO:AO)</f>
        <v>1</v>
      </c>
      <c r="AM29">
        <f>SUMIF(RawDataTotal!$B:$B,$A29,RawDataTotal!AP:AP)</f>
        <v>1</v>
      </c>
      <c r="AN29">
        <f>SUMIF(RawDataTotal!$B:$B,$A29,RawDataTotal!AQ:AQ)</f>
        <v>2</v>
      </c>
      <c r="AO29">
        <f>SUMIF(RawDataTotal!$B:$B,$A29,RawDataTotal!AR:AR)</f>
        <v>2</v>
      </c>
      <c r="AP29">
        <f>SUMIF(RawDataTotal!$B:$B,$A29,RawDataTotal!AS:AS)</f>
        <v>2</v>
      </c>
      <c r="AQ29">
        <f>SUMIF(RawDataTotal!$B:$B,$A29,RawDataTotal!AT:AT)</f>
        <v>2</v>
      </c>
      <c r="AR29">
        <f>SUMIF(RawDataTotal!$B:$B,$A29,RawDataTotal!AU:AU)</f>
        <v>4</v>
      </c>
      <c r="AS29">
        <f>SUMIF(RawDataTotal!$B:$B,$A29,RawDataTotal!AV:AV)</f>
        <v>4</v>
      </c>
      <c r="AT29">
        <f>SUMIF(RawDataTotal!$B:$B,$A29,RawDataTotal!AW:AW)</f>
        <v>13</v>
      </c>
      <c r="AU29">
        <f>SUMIF(RawDataTotal!$B:$B,$A29,RawDataTotal!AX:AX)</f>
        <v>13</v>
      </c>
      <c r="AV29">
        <f>SUMIF(RawDataTotal!$B:$B,$A29,RawDataTotal!AY:AY)</f>
        <v>20</v>
      </c>
      <c r="AW29">
        <f>SUMIF(RawDataTotal!$B:$B,$A29,RawDataTotal!AZ:AZ)</f>
        <v>25</v>
      </c>
      <c r="AX29">
        <f>SUMIF(RawDataTotal!$B:$B,$A29,RawDataTotal!BA:BA)</f>
        <v>31</v>
      </c>
      <c r="AY29">
        <f>SUMIF(RawDataTotal!$B:$B,$A29,RawDataTotal!BB:BB)</f>
        <v>38</v>
      </c>
      <c r="AZ29">
        <f>SUMIF(RawDataTotal!$B:$B,$A29,RawDataTotal!BC:BC)</f>
        <v>52</v>
      </c>
      <c r="BA29">
        <f>SUMIF(RawDataTotal!$B:$B,$A29,RawDataTotal!BD:BD)</f>
        <v>151</v>
      </c>
      <c r="BB29">
        <f>SUMIF(RawDataTotal!$B:$B,$A29,RawDataTotal!BE:BE)</f>
        <v>151</v>
      </c>
      <c r="BC29">
        <f>SUMIF(RawDataTotal!$B:$B,$A29,RawDataTotal!BF:BF)</f>
        <v>162</v>
      </c>
      <c r="BD29">
        <f>SUMIF(RawDataTotal!$B:$B,$A29,RawDataTotal!BG:BG)</f>
        <v>200</v>
      </c>
      <c r="BE29">
        <f>SUMIF(RawDataTotal!$B:$B,$A29,RawDataTotal!BH:BH)</f>
        <v>321</v>
      </c>
      <c r="BF29">
        <f>SUMIF(RawDataTotal!$B:$B,$A29,RawDataTotal!BI:BI)</f>
        <v>0</v>
      </c>
      <c r="BG29">
        <f>SUMIF(RawDataTotal!$B:$B,$A29,RawDataTotal!BJ:BJ)</f>
        <v>0</v>
      </c>
      <c r="BH29">
        <f>SUMIF(RawDataTotal!$B:$B,$A29,RawDataTotal!BK:BK)</f>
        <v>0</v>
      </c>
      <c r="BI29">
        <f>SUMIF(RawDataTotal!$B:$B,$A29,RawDataTotal!BL:BL)</f>
        <v>0</v>
      </c>
      <c r="BJ29">
        <f>SUMIF(RawDataTotal!$B:$B,$A29,RawDataTotal!BM:BM)</f>
        <v>0</v>
      </c>
      <c r="BK29">
        <f>SUMIF(RawDataTotal!$B:$B,$A29,RawDataTotal!BN:BN)</f>
        <v>0</v>
      </c>
      <c r="BL29">
        <f>SUMIF(RawDataTotal!$B:$B,$A29,RawDataTotal!BO:BO)</f>
        <v>0</v>
      </c>
      <c r="BM29">
        <f>SUMIF(RawDataTotal!$B:$B,$A29,RawDataTotal!BP:BP)</f>
        <v>0</v>
      </c>
      <c r="BN29">
        <f>SUMIF(RawDataTotal!$B:$B,$A29,RawDataTotal!BQ:BQ)</f>
        <v>0</v>
      </c>
      <c r="BO29">
        <f>SUMIF(RawDataTotal!$B:$B,$A29,RawDataTotal!BR:BR)</f>
        <v>0</v>
      </c>
      <c r="BP29">
        <f>SUMIF(RawDataTotal!$B:$B,$A29,RawDataTotal!BS:BS)</f>
        <v>0</v>
      </c>
      <c r="BQ29">
        <f>SUMIF(RawDataTotal!$B:$B,$A29,RawDataTotal!BT:BT)</f>
        <v>0</v>
      </c>
      <c r="BR29">
        <f>SUMIF(RawDataTotal!$B:$B,$A29,RawDataTotal!BU:BU)</f>
        <v>0</v>
      </c>
      <c r="BS29">
        <f>SUMIF(RawDataTotal!$B:$B,$A29,RawDataTotal!BV:BV)</f>
        <v>0</v>
      </c>
      <c r="BT29">
        <f>SUMIF(RawDataTotal!$B:$B,$A29,RawDataTotal!BW:BW)</f>
        <v>0</v>
      </c>
    </row>
    <row r="30" spans="1:72" ht="15" thickBot="1" x14ac:dyDescent="0.35">
      <c r="A30" s="3" t="s">
        <v>369</v>
      </c>
      <c r="B30">
        <f>SUMIF(RawDataTotal!$B:$B,$A30,RawDataTotal!E:E)</f>
        <v>0</v>
      </c>
      <c r="C30">
        <f>SUMIF(RawDataTotal!$B:$B,$A30,RawDataTotal!F:F)</f>
        <v>0</v>
      </c>
      <c r="D30">
        <f>SUMIF(RawDataTotal!$B:$B,$A30,RawDataTotal!G:G)</f>
        <v>0</v>
      </c>
      <c r="E30">
        <f>SUMIF(RawDataTotal!$B:$B,$A30,RawDataTotal!H:H)</f>
        <v>0</v>
      </c>
      <c r="F30">
        <f>SUMIF(RawDataTotal!$B:$B,$A30,RawDataTotal!I:I)</f>
        <v>0</v>
      </c>
      <c r="G30">
        <f>SUMIF(RawDataTotal!$B:$B,$A30,RawDataTotal!J:J)</f>
        <v>0</v>
      </c>
      <c r="H30">
        <f>SUMIF(RawDataTotal!$B:$B,$A30,RawDataTotal!K:K)</f>
        <v>0</v>
      </c>
      <c r="I30">
        <f>SUMIF(RawDataTotal!$B:$B,$A30,RawDataTotal!L:L)</f>
        <v>0</v>
      </c>
      <c r="J30">
        <f>SUMIF(RawDataTotal!$B:$B,$A30,RawDataTotal!M:M)</f>
        <v>0</v>
      </c>
      <c r="K30">
        <f>SUMIF(RawDataTotal!$B:$B,$A30,RawDataTotal!N:N)</f>
        <v>0</v>
      </c>
      <c r="L30">
        <f>SUMIF(RawDataTotal!$B:$B,$A30,RawDataTotal!O:O)</f>
        <v>0</v>
      </c>
      <c r="M30">
        <f>SUMIF(RawDataTotal!$B:$B,$A30,RawDataTotal!P:P)</f>
        <v>0</v>
      </c>
      <c r="N30">
        <f>SUMIF(RawDataTotal!$B:$B,$A30,RawDataTotal!Q:Q)</f>
        <v>0</v>
      </c>
      <c r="O30">
        <f>SUMIF(RawDataTotal!$B:$B,$A30,RawDataTotal!R:R)</f>
        <v>0</v>
      </c>
      <c r="P30">
        <f>SUMIF(RawDataTotal!$B:$B,$A30,RawDataTotal!S:S)</f>
        <v>0</v>
      </c>
      <c r="Q30">
        <f>SUMIF(RawDataTotal!$B:$B,$A30,RawDataTotal!T:T)</f>
        <v>0</v>
      </c>
      <c r="R30">
        <f>SUMIF(RawDataTotal!$B:$B,$A30,RawDataTotal!U:U)</f>
        <v>0</v>
      </c>
      <c r="S30">
        <f>SUMIF(RawDataTotal!$B:$B,$A30,RawDataTotal!V:V)</f>
        <v>0</v>
      </c>
      <c r="T30">
        <f>SUMIF(RawDataTotal!$B:$B,$A30,RawDataTotal!W:W)</f>
        <v>0</v>
      </c>
      <c r="U30">
        <f>SUMIF(RawDataTotal!$B:$B,$A30,RawDataTotal!X:X)</f>
        <v>0</v>
      </c>
      <c r="V30">
        <f>SUMIF(RawDataTotal!$B:$B,$A30,RawDataTotal!Y:Y)</f>
        <v>0</v>
      </c>
      <c r="W30">
        <f>SUMIF(RawDataTotal!$B:$B,$A30,RawDataTotal!Z:Z)</f>
        <v>0</v>
      </c>
      <c r="X30">
        <f>SUMIF(RawDataTotal!$B:$B,$A30,RawDataTotal!AA:AA)</f>
        <v>0</v>
      </c>
      <c r="Y30">
        <f>SUMIF(RawDataTotal!$B:$B,$A30,RawDataTotal!AB:AB)</f>
        <v>0</v>
      </c>
      <c r="Z30">
        <f>SUMIF(RawDataTotal!$B:$B,$A30,RawDataTotal!AC:AC)</f>
        <v>0</v>
      </c>
      <c r="AA30">
        <f>SUMIF(RawDataTotal!$B:$B,$A30,RawDataTotal!AD:AD)</f>
        <v>0</v>
      </c>
      <c r="AB30">
        <f>SUMIF(RawDataTotal!$B:$B,$A30,RawDataTotal!AE:AE)</f>
        <v>0</v>
      </c>
      <c r="AC30">
        <f>SUMIF(RawDataTotal!$B:$B,$A30,RawDataTotal!AF:AF)</f>
        <v>0</v>
      </c>
      <c r="AD30">
        <f>SUMIF(RawDataTotal!$B:$B,$A30,RawDataTotal!AG:AG)</f>
        <v>0</v>
      </c>
      <c r="AE30">
        <f>SUMIF(RawDataTotal!$B:$B,$A30,RawDataTotal!AH:AH)</f>
        <v>0</v>
      </c>
      <c r="AF30">
        <f>SUMIF(RawDataTotal!$B:$B,$A30,RawDataTotal!AI:AI)</f>
        <v>0</v>
      </c>
      <c r="AG30">
        <f>SUMIF(RawDataTotal!$B:$B,$A30,RawDataTotal!AJ:AJ)</f>
        <v>0</v>
      </c>
      <c r="AH30">
        <f>SUMIF(RawDataTotal!$B:$B,$A30,RawDataTotal!AK:AK)</f>
        <v>0</v>
      </c>
      <c r="AI30">
        <f>SUMIF(RawDataTotal!$B:$B,$A30,RawDataTotal!AL:AL)</f>
        <v>0</v>
      </c>
      <c r="AJ30">
        <f>SUMIF(RawDataTotal!$B:$B,$A30,RawDataTotal!AM:AM)</f>
        <v>0</v>
      </c>
      <c r="AK30">
        <f>SUMIF(RawDataTotal!$B:$B,$A30,RawDataTotal!AN:AN)</f>
        <v>0</v>
      </c>
      <c r="AL30">
        <f>SUMIF(RawDataTotal!$B:$B,$A30,RawDataTotal!AO:AO)</f>
        <v>0</v>
      </c>
      <c r="AM30">
        <f>SUMIF(RawDataTotal!$B:$B,$A30,RawDataTotal!AP:AP)</f>
        <v>0</v>
      </c>
      <c r="AN30">
        <f>SUMIF(RawDataTotal!$B:$B,$A30,RawDataTotal!AQ:AQ)</f>
        <v>0</v>
      </c>
      <c r="AO30">
        <f>SUMIF(RawDataTotal!$B:$B,$A30,RawDataTotal!AR:AR)</f>
        <v>3</v>
      </c>
      <c r="AP30">
        <f>SUMIF(RawDataTotal!$B:$B,$A30,RawDataTotal!AS:AS)</f>
        <v>3</v>
      </c>
      <c r="AQ30">
        <f>SUMIF(RawDataTotal!$B:$B,$A30,RawDataTotal!AT:AT)</f>
        <v>5</v>
      </c>
      <c r="AR30">
        <f>SUMIF(RawDataTotal!$B:$B,$A30,RawDataTotal!AU:AU)</f>
        <v>8</v>
      </c>
      <c r="AS30">
        <f>SUMIF(RawDataTotal!$B:$B,$A30,RawDataTotal!AV:AV)</f>
        <v>12</v>
      </c>
      <c r="AT30">
        <f>SUMIF(RawDataTotal!$B:$B,$A30,RawDataTotal!AW:AW)</f>
        <v>18</v>
      </c>
      <c r="AU30">
        <f>SUMIF(RawDataTotal!$B:$B,$A30,RawDataTotal!AX:AX)</f>
        <v>19</v>
      </c>
      <c r="AV30">
        <f>SUMIF(RawDataTotal!$B:$B,$A30,RawDataTotal!AY:AY)</f>
        <v>31</v>
      </c>
      <c r="AW30">
        <f>SUMIF(RawDataTotal!$B:$B,$A30,RawDataTotal!AZ:AZ)</f>
        <v>31</v>
      </c>
      <c r="AX30">
        <f>SUMIF(RawDataTotal!$B:$B,$A30,RawDataTotal!BA:BA)</f>
        <v>41</v>
      </c>
      <c r="AY30">
        <f>SUMIF(RawDataTotal!$B:$B,$A30,RawDataTotal!BB:BB)</f>
        <v>91</v>
      </c>
      <c r="AZ30">
        <f>SUMIF(RawDataTotal!$B:$B,$A30,RawDataTotal!BC:BC)</f>
        <v>94</v>
      </c>
      <c r="BA30">
        <f>SUMIF(RawDataTotal!$B:$B,$A30,RawDataTotal!BD:BD)</f>
        <v>141</v>
      </c>
      <c r="BB30">
        <f>SUMIF(RawDataTotal!$B:$B,$A30,RawDataTotal!BE:BE)</f>
        <v>189</v>
      </c>
      <c r="BC30">
        <f>SUMIF(RawDataTotal!$B:$B,$A30,RawDataTotal!BF:BF)</f>
        <v>253</v>
      </c>
      <c r="BD30">
        <f>SUMIF(RawDataTotal!$B:$B,$A30,RawDataTotal!BG:BG)</f>
        <v>298</v>
      </c>
      <c r="BE30">
        <f>SUMIF(RawDataTotal!$B:$B,$A30,RawDataTotal!BH:BH)</f>
        <v>396</v>
      </c>
      <c r="BF30">
        <f>SUMIF(RawDataTotal!$B:$B,$A30,RawDataTotal!BI:BI)</f>
        <v>0</v>
      </c>
      <c r="BG30">
        <f>SUMIF(RawDataTotal!$B:$B,$A30,RawDataTotal!BJ:BJ)</f>
        <v>0</v>
      </c>
      <c r="BH30">
        <f>SUMIF(RawDataTotal!$B:$B,$A30,RawDataTotal!BK:BK)</f>
        <v>0</v>
      </c>
      <c r="BI30">
        <f>SUMIF(RawDataTotal!$B:$B,$A30,RawDataTotal!BL:BL)</f>
        <v>0</v>
      </c>
      <c r="BJ30">
        <f>SUMIF(RawDataTotal!$B:$B,$A30,RawDataTotal!BM:BM)</f>
        <v>0</v>
      </c>
      <c r="BK30">
        <f>SUMIF(RawDataTotal!$B:$B,$A30,RawDataTotal!BN:BN)</f>
        <v>0</v>
      </c>
      <c r="BL30">
        <f>SUMIF(RawDataTotal!$B:$B,$A30,RawDataTotal!BO:BO)</f>
        <v>0</v>
      </c>
      <c r="BM30">
        <f>SUMIF(RawDataTotal!$B:$B,$A30,RawDataTotal!BP:BP)</f>
        <v>0</v>
      </c>
      <c r="BN30">
        <f>SUMIF(RawDataTotal!$B:$B,$A30,RawDataTotal!BQ:BQ)</f>
        <v>0</v>
      </c>
      <c r="BO30">
        <f>SUMIF(RawDataTotal!$B:$B,$A30,RawDataTotal!BR:BR)</f>
        <v>0</v>
      </c>
      <c r="BP30">
        <f>SUMIF(RawDataTotal!$B:$B,$A30,RawDataTotal!BS:BS)</f>
        <v>0</v>
      </c>
      <c r="BQ30">
        <f>SUMIF(RawDataTotal!$B:$B,$A30,RawDataTotal!BT:BT)</f>
        <v>0</v>
      </c>
      <c r="BR30">
        <f>SUMIF(RawDataTotal!$B:$B,$A30,RawDataTotal!BU:BU)</f>
        <v>0</v>
      </c>
      <c r="BS30">
        <f>SUMIF(RawDataTotal!$B:$B,$A30,RawDataTotal!BV:BV)</f>
        <v>0</v>
      </c>
      <c r="BT30">
        <f>SUMIF(RawDataTotal!$B:$B,$A30,RawDataTotal!BW:BW)</f>
        <v>0</v>
      </c>
    </row>
    <row r="31" spans="1:72" ht="15" thickBot="1" x14ac:dyDescent="0.35">
      <c r="A31" s="4" t="s">
        <v>168</v>
      </c>
      <c r="B31">
        <f>SUMIF(RawDataTotal!$B:$B,$A31,RawDataTotal!E:E)</f>
        <v>0</v>
      </c>
      <c r="C31">
        <f>SUMIF(RawDataTotal!$B:$B,$A31,RawDataTotal!F:F)</f>
        <v>0</v>
      </c>
      <c r="D31">
        <f>SUMIF(RawDataTotal!$B:$B,$A31,RawDataTotal!G:G)</f>
        <v>0</v>
      </c>
      <c r="E31">
        <f>SUMIF(RawDataTotal!$B:$B,$A31,RawDataTotal!H:H)</f>
        <v>0</v>
      </c>
      <c r="F31">
        <f>SUMIF(RawDataTotal!$B:$B,$A31,RawDataTotal!I:I)</f>
        <v>0</v>
      </c>
      <c r="G31">
        <f>SUMIF(RawDataTotal!$B:$B,$A31,RawDataTotal!J:J)</f>
        <v>0</v>
      </c>
      <c r="H31">
        <f>SUMIF(RawDataTotal!$B:$B,$A31,RawDataTotal!K:K)</f>
        <v>0</v>
      </c>
      <c r="I31">
        <f>SUMIF(RawDataTotal!$B:$B,$A31,RawDataTotal!L:L)</f>
        <v>0</v>
      </c>
      <c r="J31">
        <f>SUMIF(RawDataTotal!$B:$B,$A31,RawDataTotal!M:M)</f>
        <v>0</v>
      </c>
      <c r="K31">
        <f>SUMIF(RawDataTotal!$B:$B,$A31,RawDataTotal!N:N)</f>
        <v>0</v>
      </c>
      <c r="L31">
        <f>SUMIF(RawDataTotal!$B:$B,$A31,RawDataTotal!O:O)</f>
        <v>0</v>
      </c>
      <c r="M31">
        <f>SUMIF(RawDataTotal!$B:$B,$A31,RawDataTotal!P:P)</f>
        <v>0</v>
      </c>
      <c r="N31">
        <f>SUMIF(RawDataTotal!$B:$B,$A31,RawDataTotal!Q:Q)</f>
        <v>0</v>
      </c>
      <c r="O31">
        <f>SUMIF(RawDataTotal!$B:$B,$A31,RawDataTotal!R:R)</f>
        <v>0</v>
      </c>
      <c r="P31">
        <f>SUMIF(RawDataTotal!$B:$B,$A31,RawDataTotal!S:S)</f>
        <v>0</v>
      </c>
      <c r="Q31">
        <f>SUMIF(RawDataTotal!$B:$B,$A31,RawDataTotal!T:T)</f>
        <v>0</v>
      </c>
      <c r="R31">
        <f>SUMIF(RawDataTotal!$B:$B,$A31,RawDataTotal!U:U)</f>
        <v>0</v>
      </c>
      <c r="S31">
        <f>SUMIF(RawDataTotal!$B:$B,$A31,RawDataTotal!V:V)</f>
        <v>0</v>
      </c>
      <c r="T31">
        <f>SUMIF(RawDataTotal!$B:$B,$A31,RawDataTotal!W:W)</f>
        <v>0</v>
      </c>
      <c r="U31">
        <f>SUMIF(RawDataTotal!$B:$B,$A31,RawDataTotal!X:X)</f>
        <v>0</v>
      </c>
      <c r="V31">
        <f>SUMIF(RawDataTotal!$B:$B,$A31,RawDataTotal!Y:Y)</f>
        <v>0</v>
      </c>
      <c r="W31">
        <f>SUMIF(RawDataTotal!$B:$B,$A31,RawDataTotal!Z:Z)</f>
        <v>0</v>
      </c>
      <c r="X31">
        <f>SUMIF(RawDataTotal!$B:$B,$A31,RawDataTotal!AA:AA)</f>
        <v>0</v>
      </c>
      <c r="Y31">
        <f>SUMIF(RawDataTotal!$B:$B,$A31,RawDataTotal!AB:AB)</f>
        <v>0</v>
      </c>
      <c r="Z31">
        <f>SUMIF(RawDataTotal!$B:$B,$A31,RawDataTotal!AC:AC)</f>
        <v>0</v>
      </c>
      <c r="AA31">
        <f>SUMIF(RawDataTotal!$B:$B,$A31,RawDataTotal!AD:AD)</f>
        <v>0</v>
      </c>
      <c r="AB31">
        <f>SUMIF(RawDataTotal!$B:$B,$A31,RawDataTotal!AE:AE)</f>
        <v>0</v>
      </c>
      <c r="AC31">
        <f>SUMIF(RawDataTotal!$B:$B,$A31,RawDataTotal!AF:AF)</f>
        <v>0</v>
      </c>
      <c r="AD31">
        <f>SUMIF(RawDataTotal!$B:$B,$A31,RawDataTotal!AG:AG)</f>
        <v>0</v>
      </c>
      <c r="AE31">
        <f>SUMIF(RawDataTotal!$B:$B,$A31,RawDataTotal!AH:AH)</f>
        <v>0</v>
      </c>
      <c r="AF31">
        <f>SUMIF(RawDataTotal!$B:$B,$A31,RawDataTotal!AI:AI)</f>
        <v>0</v>
      </c>
      <c r="AG31">
        <f>SUMIF(RawDataTotal!$B:$B,$A31,RawDataTotal!AJ:AJ)</f>
        <v>0</v>
      </c>
      <c r="AH31">
        <f>SUMIF(RawDataTotal!$B:$B,$A31,RawDataTotal!AK:AK)</f>
        <v>0</v>
      </c>
      <c r="AI31">
        <f>SUMIF(RawDataTotal!$B:$B,$A31,RawDataTotal!AL:AL)</f>
        <v>0</v>
      </c>
      <c r="AJ31">
        <f>SUMIF(RawDataTotal!$B:$B,$A31,RawDataTotal!AM:AM)</f>
        <v>0</v>
      </c>
      <c r="AK31">
        <f>SUMIF(RawDataTotal!$B:$B,$A31,RawDataTotal!AN:AN)</f>
        <v>0</v>
      </c>
      <c r="AL31">
        <f>SUMIF(RawDataTotal!$B:$B,$A31,RawDataTotal!AO:AO)</f>
        <v>0</v>
      </c>
      <c r="AM31">
        <f>SUMIF(RawDataTotal!$B:$B,$A31,RawDataTotal!AP:AP)</f>
        <v>0</v>
      </c>
      <c r="AN31">
        <f>SUMIF(RawDataTotal!$B:$B,$A31,RawDataTotal!AQ:AQ)</f>
        <v>0</v>
      </c>
      <c r="AO31">
        <f>SUMIF(RawDataTotal!$B:$B,$A31,RawDataTotal!AR:AR)</f>
        <v>0</v>
      </c>
      <c r="AP31">
        <f>SUMIF(RawDataTotal!$B:$B,$A31,RawDataTotal!AS:AS)</f>
        <v>0</v>
      </c>
      <c r="AQ31">
        <f>SUMIF(RawDataTotal!$B:$B,$A31,RawDataTotal!AT:AT)</f>
        <v>0</v>
      </c>
      <c r="AR31">
        <f>SUMIF(RawDataTotal!$B:$B,$A31,RawDataTotal!AU:AU)</f>
        <v>0</v>
      </c>
      <c r="AS31">
        <f>SUMIF(RawDataTotal!$B:$B,$A31,RawDataTotal!AV:AV)</f>
        <v>2</v>
      </c>
      <c r="AT31">
        <f>SUMIF(RawDataTotal!$B:$B,$A31,RawDataTotal!AW:AW)</f>
        <v>7</v>
      </c>
      <c r="AU31">
        <f>SUMIF(RawDataTotal!$B:$B,$A31,RawDataTotal!AX:AX)</f>
        <v>7</v>
      </c>
      <c r="AV31">
        <f>SUMIF(RawDataTotal!$B:$B,$A31,RawDataTotal!AY:AY)</f>
        <v>16</v>
      </c>
      <c r="AW31">
        <f>SUMIF(RawDataTotal!$B:$B,$A31,RawDataTotal!AZ:AZ)</f>
        <v>16</v>
      </c>
      <c r="AX31">
        <f>SUMIF(RawDataTotal!$B:$B,$A31,RawDataTotal!BA:BA)</f>
        <v>31</v>
      </c>
      <c r="AY31">
        <f>SUMIF(RawDataTotal!$B:$B,$A31,RawDataTotal!BB:BB)</f>
        <v>57</v>
      </c>
      <c r="AZ31">
        <f>SUMIF(RawDataTotal!$B:$B,$A31,RawDataTotal!BC:BC)</f>
        <v>89</v>
      </c>
      <c r="BA31">
        <f>SUMIF(RawDataTotal!$B:$B,$A31,RawDataTotal!BD:BD)</f>
        <v>141</v>
      </c>
      <c r="BB31">
        <f>SUMIF(RawDataTotal!$B:$B,$A31,RawDataTotal!BE:BE)</f>
        <v>181</v>
      </c>
      <c r="BC31">
        <f>SUMIF(RawDataTotal!$B:$B,$A31,RawDataTotal!BF:BF)</f>
        <v>219</v>
      </c>
      <c r="BD31">
        <f>SUMIF(RawDataTotal!$B:$B,$A31,RawDataTotal!BG:BG)</f>
        <v>253</v>
      </c>
      <c r="BE31">
        <f>SUMIF(RawDataTotal!$B:$B,$A31,RawDataTotal!BH:BH)</f>
        <v>275</v>
      </c>
      <c r="BF31">
        <f>SUMIF(RawDataTotal!$B:$B,$A31,RawDataTotal!BI:BI)</f>
        <v>0</v>
      </c>
      <c r="BG31">
        <f>SUMIF(RawDataTotal!$B:$B,$A31,RawDataTotal!BJ:BJ)</f>
        <v>0</v>
      </c>
      <c r="BH31">
        <f>SUMIF(RawDataTotal!$B:$B,$A31,RawDataTotal!BK:BK)</f>
        <v>0</v>
      </c>
      <c r="BI31">
        <f>SUMIF(RawDataTotal!$B:$B,$A31,RawDataTotal!BL:BL)</f>
        <v>0</v>
      </c>
      <c r="BJ31">
        <f>SUMIF(RawDataTotal!$B:$B,$A31,RawDataTotal!BM:BM)</f>
        <v>0</v>
      </c>
      <c r="BK31">
        <f>SUMIF(RawDataTotal!$B:$B,$A31,RawDataTotal!BN:BN)</f>
        <v>0</v>
      </c>
      <c r="BL31">
        <f>SUMIF(RawDataTotal!$B:$B,$A31,RawDataTotal!BO:BO)</f>
        <v>0</v>
      </c>
      <c r="BM31">
        <f>SUMIF(RawDataTotal!$B:$B,$A31,RawDataTotal!BP:BP)</f>
        <v>0</v>
      </c>
      <c r="BN31">
        <f>SUMIF(RawDataTotal!$B:$B,$A31,RawDataTotal!BQ:BQ)</f>
        <v>0</v>
      </c>
      <c r="BO31">
        <f>SUMIF(RawDataTotal!$B:$B,$A31,RawDataTotal!BR:BR)</f>
        <v>0</v>
      </c>
      <c r="BP31">
        <f>SUMIF(RawDataTotal!$B:$B,$A31,RawDataTotal!BS:BS)</f>
        <v>0</v>
      </c>
      <c r="BQ31">
        <f>SUMIF(RawDataTotal!$B:$B,$A31,RawDataTotal!BT:BT)</f>
        <v>0</v>
      </c>
      <c r="BR31">
        <f>SUMIF(RawDataTotal!$B:$B,$A31,RawDataTotal!BU:BU)</f>
        <v>0</v>
      </c>
      <c r="BS31">
        <f>SUMIF(RawDataTotal!$B:$B,$A31,RawDataTotal!BV:BV)</f>
        <v>0</v>
      </c>
      <c r="BT31">
        <f>SUMIF(RawDataTotal!$B:$B,$A31,RawDataTotal!BW:BW)</f>
        <v>0</v>
      </c>
    </row>
    <row r="32" spans="1:72" ht="15" thickBot="1" x14ac:dyDescent="0.35">
      <c r="A32" s="4" t="s">
        <v>119</v>
      </c>
      <c r="B32">
        <f>SUMIF(RawDataTotal!$B:$B,$A32,RawDataTotal!E:E)</f>
        <v>0</v>
      </c>
      <c r="C32">
        <f>SUMIF(RawDataTotal!$B:$B,$A32,RawDataTotal!F:F)</f>
        <v>0</v>
      </c>
      <c r="D32">
        <f>SUMIF(RawDataTotal!$B:$B,$A32,RawDataTotal!G:G)</f>
        <v>0</v>
      </c>
      <c r="E32">
        <f>SUMIF(RawDataTotal!$B:$B,$A32,RawDataTotal!H:H)</f>
        <v>0</v>
      </c>
      <c r="F32">
        <f>SUMIF(RawDataTotal!$B:$B,$A32,RawDataTotal!I:I)</f>
        <v>0</v>
      </c>
      <c r="G32">
        <f>SUMIF(RawDataTotal!$B:$B,$A32,RawDataTotal!J:J)</f>
        <v>0</v>
      </c>
      <c r="H32">
        <f>SUMIF(RawDataTotal!$B:$B,$A32,RawDataTotal!K:K)</f>
        <v>0</v>
      </c>
      <c r="I32">
        <f>SUMIF(RawDataTotal!$B:$B,$A32,RawDataTotal!L:L)</f>
        <v>0</v>
      </c>
      <c r="J32">
        <f>SUMIF(RawDataTotal!$B:$B,$A32,RawDataTotal!M:M)</f>
        <v>0</v>
      </c>
      <c r="K32">
        <f>SUMIF(RawDataTotal!$B:$B,$A32,RawDataTotal!N:N)</f>
        <v>0</v>
      </c>
      <c r="L32">
        <f>SUMIF(RawDataTotal!$B:$B,$A32,RawDataTotal!O:O)</f>
        <v>0</v>
      </c>
      <c r="M32">
        <f>SUMIF(RawDataTotal!$B:$B,$A32,RawDataTotal!P:P)</f>
        <v>0</v>
      </c>
      <c r="N32">
        <f>SUMIF(RawDataTotal!$B:$B,$A32,RawDataTotal!Q:Q)</f>
        <v>0</v>
      </c>
      <c r="O32">
        <f>SUMIF(RawDataTotal!$B:$B,$A32,RawDataTotal!R:R)</f>
        <v>0</v>
      </c>
      <c r="P32">
        <f>SUMIF(RawDataTotal!$B:$B,$A32,RawDataTotal!S:S)</f>
        <v>0</v>
      </c>
      <c r="Q32">
        <f>SUMIF(RawDataTotal!$B:$B,$A32,RawDataTotal!T:T)</f>
        <v>0</v>
      </c>
      <c r="R32">
        <f>SUMIF(RawDataTotal!$B:$B,$A32,RawDataTotal!U:U)</f>
        <v>0</v>
      </c>
      <c r="S32">
        <f>SUMIF(RawDataTotal!$B:$B,$A32,RawDataTotal!V:V)</f>
        <v>0</v>
      </c>
      <c r="T32">
        <f>SUMIF(RawDataTotal!$B:$B,$A32,RawDataTotal!W:W)</f>
        <v>0</v>
      </c>
      <c r="U32">
        <f>SUMIF(RawDataTotal!$B:$B,$A32,RawDataTotal!X:X)</f>
        <v>0</v>
      </c>
      <c r="V32">
        <f>SUMIF(RawDataTotal!$B:$B,$A32,RawDataTotal!Y:Y)</f>
        <v>0</v>
      </c>
      <c r="W32">
        <f>SUMIF(RawDataTotal!$B:$B,$A32,RawDataTotal!Z:Z)</f>
        <v>0</v>
      </c>
      <c r="X32">
        <f>SUMIF(RawDataTotal!$B:$B,$A32,RawDataTotal!AA:AA)</f>
        <v>0</v>
      </c>
      <c r="Y32">
        <f>SUMIF(RawDataTotal!$B:$B,$A32,RawDataTotal!AB:AB)</f>
        <v>0</v>
      </c>
      <c r="Z32">
        <f>SUMIF(RawDataTotal!$B:$B,$A32,RawDataTotal!AC:AC)</f>
        <v>0</v>
      </c>
      <c r="AA32">
        <f>SUMIF(RawDataTotal!$B:$B,$A32,RawDataTotal!AD:AD)</f>
        <v>0</v>
      </c>
      <c r="AB32">
        <f>SUMIF(RawDataTotal!$B:$B,$A32,RawDataTotal!AE:AE)</f>
        <v>0</v>
      </c>
      <c r="AC32">
        <f>SUMIF(RawDataTotal!$B:$B,$A32,RawDataTotal!AF:AF)</f>
        <v>0</v>
      </c>
      <c r="AD32">
        <f>SUMIF(RawDataTotal!$B:$B,$A32,RawDataTotal!AG:AG)</f>
        <v>0</v>
      </c>
      <c r="AE32">
        <f>SUMIF(RawDataTotal!$B:$B,$A32,RawDataTotal!AH:AH)</f>
        <v>0</v>
      </c>
      <c r="AF32">
        <f>SUMIF(RawDataTotal!$B:$B,$A32,RawDataTotal!AI:AI)</f>
        <v>0</v>
      </c>
      <c r="AG32">
        <f>SUMIF(RawDataTotal!$B:$B,$A32,RawDataTotal!AJ:AJ)</f>
        <v>0</v>
      </c>
      <c r="AH32">
        <f>SUMIF(RawDataTotal!$B:$B,$A32,RawDataTotal!AK:AK)</f>
        <v>0</v>
      </c>
      <c r="AI32">
        <f>SUMIF(RawDataTotal!$B:$B,$A32,RawDataTotal!AL:AL)</f>
        <v>0</v>
      </c>
      <c r="AJ32">
        <f>SUMIF(RawDataTotal!$B:$B,$A32,RawDataTotal!AM:AM)</f>
        <v>0</v>
      </c>
      <c r="AK32">
        <f>SUMIF(RawDataTotal!$B:$B,$A32,RawDataTotal!AN:AN)</f>
        <v>0</v>
      </c>
      <c r="AL32">
        <f>SUMIF(RawDataTotal!$B:$B,$A32,RawDataTotal!AO:AO)</f>
        <v>0</v>
      </c>
      <c r="AM32">
        <f>SUMIF(RawDataTotal!$B:$B,$A32,RawDataTotal!AP:AP)</f>
        <v>1</v>
      </c>
      <c r="AN32">
        <f>SUMIF(RawDataTotal!$B:$B,$A32,RawDataTotal!AQ:AQ)</f>
        <v>1</v>
      </c>
      <c r="AO32">
        <f>SUMIF(RawDataTotal!$B:$B,$A32,RawDataTotal!AR:AR)</f>
        <v>3</v>
      </c>
      <c r="AP32">
        <f>SUMIF(RawDataTotal!$B:$B,$A32,RawDataTotal!AS:AS)</f>
        <v>6</v>
      </c>
      <c r="AQ32">
        <f>SUMIF(RawDataTotal!$B:$B,$A32,RawDataTotal!AT:AT)</f>
        <v>11</v>
      </c>
      <c r="AR32">
        <f>SUMIF(RawDataTotal!$B:$B,$A32,RawDataTotal!AU:AU)</f>
        <v>26</v>
      </c>
      <c r="AS32">
        <f>SUMIF(RawDataTotal!$B:$B,$A32,RawDataTotal!AV:AV)</f>
        <v>34</v>
      </c>
      <c r="AT32">
        <f>SUMIF(RawDataTotal!$B:$B,$A32,RawDataTotal!AW:AW)</f>
        <v>43</v>
      </c>
      <c r="AU32">
        <f>SUMIF(RawDataTotal!$B:$B,$A32,RawDataTotal!AX:AX)</f>
        <v>50</v>
      </c>
      <c r="AV32">
        <f>SUMIF(RawDataTotal!$B:$B,$A32,RawDataTotal!AY:AY)</f>
        <v>50</v>
      </c>
      <c r="AW32">
        <f>SUMIF(RawDataTotal!$B:$B,$A32,RawDataTotal!AZ:AZ)</f>
        <v>58</v>
      </c>
      <c r="AX32">
        <f>SUMIF(RawDataTotal!$B:$B,$A32,RawDataTotal!BA:BA)</f>
        <v>69</v>
      </c>
      <c r="AY32">
        <f>SUMIF(RawDataTotal!$B:$B,$A32,RawDataTotal!BB:BB)</f>
        <v>85</v>
      </c>
      <c r="AZ32">
        <f>SUMIF(RawDataTotal!$B:$B,$A32,RawDataTotal!BC:BC)</f>
        <v>103</v>
      </c>
      <c r="BA32">
        <f>SUMIF(RawDataTotal!$B:$B,$A32,RawDataTotal!BD:BD)</f>
        <v>134</v>
      </c>
      <c r="BB32">
        <f>SUMIF(RawDataTotal!$B:$B,$A32,RawDataTotal!BE:BE)</f>
        <v>156</v>
      </c>
      <c r="BC32">
        <f>SUMIF(RawDataTotal!$B:$B,$A32,RawDataTotal!BF:BF)</f>
        <v>171</v>
      </c>
      <c r="BD32">
        <f>SUMIF(RawDataTotal!$B:$B,$A32,RawDataTotal!BG:BG)</f>
        <v>180</v>
      </c>
      <c r="BE32">
        <f>SUMIF(RawDataTotal!$B:$B,$A32,RawDataTotal!BH:BH)</f>
        <v>220</v>
      </c>
      <c r="BF32">
        <f>SUMIF(RawDataTotal!$B:$B,$A32,RawDataTotal!BI:BI)</f>
        <v>0</v>
      </c>
      <c r="BG32">
        <f>SUMIF(RawDataTotal!$B:$B,$A32,RawDataTotal!BJ:BJ)</f>
        <v>0</v>
      </c>
      <c r="BH32">
        <f>SUMIF(RawDataTotal!$B:$B,$A32,RawDataTotal!BK:BK)</f>
        <v>0</v>
      </c>
      <c r="BI32">
        <f>SUMIF(RawDataTotal!$B:$B,$A32,RawDataTotal!BL:BL)</f>
        <v>0</v>
      </c>
      <c r="BJ32">
        <f>SUMIF(RawDataTotal!$B:$B,$A32,RawDataTotal!BM:BM)</f>
        <v>0</v>
      </c>
      <c r="BK32">
        <f>SUMIF(RawDataTotal!$B:$B,$A32,RawDataTotal!BN:BN)</f>
        <v>0</v>
      </c>
      <c r="BL32">
        <f>SUMIF(RawDataTotal!$B:$B,$A32,RawDataTotal!BO:BO)</f>
        <v>0</v>
      </c>
      <c r="BM32">
        <f>SUMIF(RawDataTotal!$B:$B,$A32,RawDataTotal!BP:BP)</f>
        <v>0</v>
      </c>
      <c r="BN32">
        <f>SUMIF(RawDataTotal!$B:$B,$A32,RawDataTotal!BQ:BQ)</f>
        <v>0</v>
      </c>
      <c r="BO32">
        <f>SUMIF(RawDataTotal!$B:$B,$A32,RawDataTotal!BR:BR)</f>
        <v>0</v>
      </c>
      <c r="BP32">
        <f>SUMIF(RawDataTotal!$B:$B,$A32,RawDataTotal!BS:BS)</f>
        <v>0</v>
      </c>
      <c r="BQ32">
        <f>SUMIF(RawDataTotal!$B:$B,$A32,RawDataTotal!BT:BT)</f>
        <v>0</v>
      </c>
      <c r="BR32">
        <f>SUMIF(RawDataTotal!$B:$B,$A32,RawDataTotal!BU:BU)</f>
        <v>0</v>
      </c>
      <c r="BS32">
        <f>SUMIF(RawDataTotal!$B:$B,$A32,RawDataTotal!BV:BV)</f>
        <v>0</v>
      </c>
      <c r="BT32">
        <f>SUMIF(RawDataTotal!$B:$B,$A32,RawDataTotal!BW:BW)</f>
        <v>0</v>
      </c>
    </row>
    <row r="33" spans="1:72" ht="15" thickBot="1" x14ac:dyDescent="0.35">
      <c r="A33" s="3" t="s">
        <v>135</v>
      </c>
      <c r="B33">
        <f>SUMIF(RawDataTotal!$B:$B,$A33,RawDataTotal!E:E)</f>
        <v>0</v>
      </c>
      <c r="C33">
        <f>SUMIF(RawDataTotal!$B:$B,$A33,RawDataTotal!F:F)</f>
        <v>0</v>
      </c>
      <c r="D33">
        <f>SUMIF(RawDataTotal!$B:$B,$A33,RawDataTotal!G:G)</f>
        <v>0</v>
      </c>
      <c r="E33">
        <f>SUMIF(RawDataTotal!$B:$B,$A33,RawDataTotal!H:H)</f>
        <v>0</v>
      </c>
      <c r="F33">
        <f>SUMIF(RawDataTotal!$B:$B,$A33,RawDataTotal!I:I)</f>
        <v>0</v>
      </c>
      <c r="G33">
        <f>SUMIF(RawDataTotal!$B:$B,$A33,RawDataTotal!J:J)</f>
        <v>0</v>
      </c>
      <c r="H33">
        <f>SUMIF(RawDataTotal!$B:$B,$A33,RawDataTotal!K:K)</f>
        <v>0</v>
      </c>
      <c r="I33">
        <f>SUMIF(RawDataTotal!$B:$B,$A33,RawDataTotal!L:L)</f>
        <v>0</v>
      </c>
      <c r="J33">
        <f>SUMIF(RawDataTotal!$B:$B,$A33,RawDataTotal!M:M)</f>
        <v>0</v>
      </c>
      <c r="K33">
        <f>SUMIF(RawDataTotal!$B:$B,$A33,RawDataTotal!N:N)</f>
        <v>0</v>
      </c>
      <c r="L33">
        <f>SUMIF(RawDataTotal!$B:$B,$A33,RawDataTotal!O:O)</f>
        <v>0</v>
      </c>
      <c r="M33">
        <f>SUMIF(RawDataTotal!$B:$B,$A33,RawDataTotal!P:P)</f>
        <v>0</v>
      </c>
      <c r="N33">
        <f>SUMIF(RawDataTotal!$B:$B,$A33,RawDataTotal!Q:Q)</f>
        <v>0</v>
      </c>
      <c r="O33">
        <f>SUMIF(RawDataTotal!$B:$B,$A33,RawDataTotal!R:R)</f>
        <v>0</v>
      </c>
      <c r="P33">
        <f>SUMIF(RawDataTotal!$B:$B,$A33,RawDataTotal!S:S)</f>
        <v>0</v>
      </c>
      <c r="Q33">
        <f>SUMIF(RawDataTotal!$B:$B,$A33,RawDataTotal!T:T)</f>
        <v>0</v>
      </c>
      <c r="R33">
        <f>SUMIF(RawDataTotal!$B:$B,$A33,RawDataTotal!U:U)</f>
        <v>0</v>
      </c>
      <c r="S33">
        <f>SUMIF(RawDataTotal!$B:$B,$A33,RawDataTotal!V:V)</f>
        <v>0</v>
      </c>
      <c r="T33">
        <f>SUMIF(RawDataTotal!$B:$B,$A33,RawDataTotal!W:W)</f>
        <v>0</v>
      </c>
      <c r="U33">
        <f>SUMIF(RawDataTotal!$B:$B,$A33,RawDataTotal!X:X)</f>
        <v>0</v>
      </c>
      <c r="V33">
        <f>SUMIF(RawDataTotal!$B:$B,$A33,RawDataTotal!Y:Y)</f>
        <v>0</v>
      </c>
      <c r="W33">
        <f>SUMIF(RawDataTotal!$B:$B,$A33,RawDataTotal!Z:Z)</f>
        <v>0</v>
      </c>
      <c r="X33">
        <f>SUMIF(RawDataTotal!$B:$B,$A33,RawDataTotal!AA:AA)</f>
        <v>0</v>
      </c>
      <c r="Y33">
        <f>SUMIF(RawDataTotal!$B:$B,$A33,RawDataTotal!AB:AB)</f>
        <v>0</v>
      </c>
      <c r="Z33">
        <f>SUMIF(RawDataTotal!$B:$B,$A33,RawDataTotal!AC:AC)</f>
        <v>0</v>
      </c>
      <c r="AA33">
        <f>SUMIF(RawDataTotal!$B:$B,$A33,RawDataTotal!AD:AD)</f>
        <v>0</v>
      </c>
      <c r="AB33">
        <f>SUMIF(RawDataTotal!$B:$B,$A33,RawDataTotal!AE:AE)</f>
        <v>0</v>
      </c>
      <c r="AC33">
        <f>SUMIF(RawDataTotal!$B:$B,$A33,RawDataTotal!AF:AF)</f>
        <v>0</v>
      </c>
      <c r="AD33">
        <f>SUMIF(RawDataTotal!$B:$B,$A33,RawDataTotal!AG:AG)</f>
        <v>0</v>
      </c>
      <c r="AE33">
        <f>SUMIF(RawDataTotal!$B:$B,$A33,RawDataTotal!AH:AH)</f>
        <v>0</v>
      </c>
      <c r="AF33">
        <f>SUMIF(RawDataTotal!$B:$B,$A33,RawDataTotal!AI:AI)</f>
        <v>0</v>
      </c>
      <c r="AG33">
        <f>SUMIF(RawDataTotal!$B:$B,$A33,RawDataTotal!AJ:AJ)</f>
        <v>0</v>
      </c>
      <c r="AH33">
        <f>SUMIF(RawDataTotal!$B:$B,$A33,RawDataTotal!AK:AK)</f>
        <v>0</v>
      </c>
      <c r="AI33">
        <f>SUMIF(RawDataTotal!$B:$B,$A33,RawDataTotal!AL:AL)</f>
        <v>0</v>
      </c>
      <c r="AJ33">
        <f>SUMIF(RawDataTotal!$B:$B,$A33,RawDataTotal!AM:AM)</f>
        <v>0</v>
      </c>
      <c r="AK33">
        <f>SUMIF(RawDataTotal!$B:$B,$A33,RawDataTotal!AN:AN)</f>
        <v>0</v>
      </c>
      <c r="AL33">
        <f>SUMIF(RawDataTotal!$B:$B,$A33,RawDataTotal!AO:AO)</f>
        <v>0</v>
      </c>
      <c r="AM33">
        <f>SUMIF(RawDataTotal!$B:$B,$A33,RawDataTotal!AP:AP)</f>
        <v>0</v>
      </c>
      <c r="AN33">
        <f>SUMIF(RawDataTotal!$B:$B,$A33,RawDataTotal!AQ:AQ)</f>
        <v>0</v>
      </c>
      <c r="AO33">
        <f>SUMIF(RawDataTotal!$B:$B,$A33,RawDataTotal!AR:AR)</f>
        <v>0</v>
      </c>
      <c r="AP33">
        <f>SUMIF(RawDataTotal!$B:$B,$A33,RawDataTotal!AS:AS)</f>
        <v>2</v>
      </c>
      <c r="AQ33">
        <f>SUMIF(RawDataTotal!$B:$B,$A33,RawDataTotal!AT:AT)</f>
        <v>2</v>
      </c>
      <c r="AR33">
        <f>SUMIF(RawDataTotal!$B:$B,$A33,RawDataTotal!AU:AU)</f>
        <v>5</v>
      </c>
      <c r="AS33">
        <f>SUMIF(RawDataTotal!$B:$B,$A33,RawDataTotal!AV:AV)</f>
        <v>8</v>
      </c>
      <c r="AT33">
        <f>SUMIF(RawDataTotal!$B:$B,$A33,RawDataTotal!AW:AW)</f>
        <v>13</v>
      </c>
      <c r="AU33">
        <f>SUMIF(RawDataTotal!$B:$B,$A33,RawDataTotal!AX:AX)</f>
        <v>20</v>
      </c>
      <c r="AV33">
        <f>SUMIF(RawDataTotal!$B:$B,$A33,RawDataTotal!AY:AY)</f>
        <v>30</v>
      </c>
      <c r="AW33">
        <f>SUMIF(RawDataTotal!$B:$B,$A33,RawDataTotal!AZ:AZ)</f>
        <v>30</v>
      </c>
      <c r="AX33">
        <f>SUMIF(RawDataTotal!$B:$B,$A33,RawDataTotal!BA:BA)</f>
        <v>41</v>
      </c>
      <c r="AY33">
        <f>SUMIF(RawDataTotal!$B:$B,$A33,RawDataTotal!BB:BB)</f>
        <v>59</v>
      </c>
      <c r="AZ33">
        <f>SUMIF(RawDataTotal!$B:$B,$A33,RawDataTotal!BC:BC)</f>
        <v>59</v>
      </c>
      <c r="BA33">
        <f>SUMIF(RawDataTotal!$B:$B,$A33,RawDataTotal!BD:BD)</f>
        <v>112</v>
      </c>
      <c r="BB33">
        <f>SUMIF(RawDataTotal!$B:$B,$A33,RawDataTotal!BE:BE)</f>
        <v>169</v>
      </c>
      <c r="BC33">
        <f>SUMIF(RawDataTotal!$B:$B,$A33,RawDataTotal!BF:BF)</f>
        <v>245</v>
      </c>
      <c r="BD33">
        <f>SUMIF(RawDataTotal!$B:$B,$A33,RawDataTotal!BG:BG)</f>
        <v>331</v>
      </c>
      <c r="BE33">
        <f>SUMIF(RawDataTotal!$B:$B,$A33,RawDataTotal!BH:BH)</f>
        <v>448</v>
      </c>
      <c r="BF33">
        <f>SUMIF(RawDataTotal!$B:$B,$A33,RawDataTotal!BI:BI)</f>
        <v>0</v>
      </c>
      <c r="BG33">
        <f>SUMIF(RawDataTotal!$B:$B,$A33,RawDataTotal!BJ:BJ)</f>
        <v>0</v>
      </c>
      <c r="BH33">
        <f>SUMIF(RawDataTotal!$B:$B,$A33,RawDataTotal!BK:BK)</f>
        <v>0</v>
      </c>
      <c r="BI33">
        <f>SUMIF(RawDataTotal!$B:$B,$A33,RawDataTotal!BL:BL)</f>
        <v>0</v>
      </c>
      <c r="BJ33">
        <f>SUMIF(RawDataTotal!$B:$B,$A33,RawDataTotal!BM:BM)</f>
        <v>0</v>
      </c>
      <c r="BK33">
        <f>SUMIF(RawDataTotal!$B:$B,$A33,RawDataTotal!BN:BN)</f>
        <v>0</v>
      </c>
      <c r="BL33">
        <f>SUMIF(RawDataTotal!$B:$B,$A33,RawDataTotal!BO:BO)</f>
        <v>0</v>
      </c>
      <c r="BM33">
        <f>SUMIF(RawDataTotal!$B:$B,$A33,RawDataTotal!BP:BP)</f>
        <v>0</v>
      </c>
      <c r="BN33">
        <f>SUMIF(RawDataTotal!$B:$B,$A33,RawDataTotal!BQ:BQ)</f>
        <v>0</v>
      </c>
      <c r="BO33">
        <f>SUMIF(RawDataTotal!$B:$B,$A33,RawDataTotal!BR:BR)</f>
        <v>0</v>
      </c>
      <c r="BP33">
        <f>SUMIF(RawDataTotal!$B:$B,$A33,RawDataTotal!BS:BS)</f>
        <v>0</v>
      </c>
      <c r="BQ33">
        <f>SUMIF(RawDataTotal!$B:$B,$A33,RawDataTotal!BT:BT)</f>
        <v>0</v>
      </c>
      <c r="BR33">
        <f>SUMIF(RawDataTotal!$B:$B,$A33,RawDataTotal!BU:BU)</f>
        <v>0</v>
      </c>
      <c r="BS33">
        <f>SUMIF(RawDataTotal!$B:$B,$A33,RawDataTotal!BV:BV)</f>
        <v>0</v>
      </c>
      <c r="BT33">
        <f>SUMIF(RawDataTotal!$B:$B,$A33,RawDataTotal!BW:BW)</f>
        <v>0</v>
      </c>
    </row>
    <row r="34" spans="1:72" ht="15" thickBot="1" x14ac:dyDescent="0.35">
      <c r="A34" s="3" t="s">
        <v>97</v>
      </c>
      <c r="B34">
        <f>SUMIF(RawDataTotal!$B:$B,$A34,RawDataTotal!E:E)</f>
        <v>0</v>
      </c>
      <c r="C34">
        <f>SUMIF(RawDataTotal!$B:$B,$A34,RawDataTotal!F:F)</f>
        <v>0</v>
      </c>
      <c r="D34">
        <f>SUMIF(RawDataTotal!$B:$B,$A34,RawDataTotal!G:G)</f>
        <v>0</v>
      </c>
      <c r="E34">
        <f>SUMIF(RawDataTotal!$B:$B,$A34,RawDataTotal!H:H)</f>
        <v>0</v>
      </c>
      <c r="F34">
        <f>SUMIF(RawDataTotal!$B:$B,$A34,RawDataTotal!I:I)</f>
        <v>0</v>
      </c>
      <c r="G34">
        <f>SUMIF(RawDataTotal!$B:$B,$A34,RawDataTotal!J:J)</f>
        <v>0</v>
      </c>
      <c r="H34">
        <f>SUMIF(RawDataTotal!$B:$B,$A34,RawDataTotal!K:K)</f>
        <v>0</v>
      </c>
      <c r="I34">
        <f>SUMIF(RawDataTotal!$B:$B,$A34,RawDataTotal!L:L)</f>
        <v>0</v>
      </c>
      <c r="J34">
        <f>SUMIF(RawDataTotal!$B:$B,$A34,RawDataTotal!M:M)</f>
        <v>0</v>
      </c>
      <c r="K34">
        <f>SUMIF(RawDataTotal!$B:$B,$A34,RawDataTotal!N:N)</f>
        <v>0</v>
      </c>
      <c r="L34">
        <f>SUMIF(RawDataTotal!$B:$B,$A34,RawDataTotal!O:O)</f>
        <v>0</v>
      </c>
      <c r="M34">
        <f>SUMIF(RawDataTotal!$B:$B,$A34,RawDataTotal!P:P)</f>
        <v>0</v>
      </c>
      <c r="N34">
        <f>SUMIF(RawDataTotal!$B:$B,$A34,RawDataTotal!Q:Q)</f>
        <v>0</v>
      </c>
      <c r="O34">
        <f>SUMIF(RawDataTotal!$B:$B,$A34,RawDataTotal!R:R)</f>
        <v>0</v>
      </c>
      <c r="P34">
        <f>SUMIF(RawDataTotal!$B:$B,$A34,RawDataTotal!S:S)</f>
        <v>0</v>
      </c>
      <c r="Q34">
        <f>SUMIF(RawDataTotal!$B:$B,$A34,RawDataTotal!T:T)</f>
        <v>0</v>
      </c>
      <c r="R34">
        <f>SUMIF(RawDataTotal!$B:$B,$A34,RawDataTotal!U:U)</f>
        <v>0</v>
      </c>
      <c r="S34">
        <f>SUMIF(RawDataTotal!$B:$B,$A34,RawDataTotal!V:V)</f>
        <v>0</v>
      </c>
      <c r="T34">
        <f>SUMIF(RawDataTotal!$B:$B,$A34,RawDataTotal!W:W)</f>
        <v>0</v>
      </c>
      <c r="U34">
        <f>SUMIF(RawDataTotal!$B:$B,$A34,RawDataTotal!X:X)</f>
        <v>0</v>
      </c>
      <c r="V34">
        <f>SUMIF(RawDataTotal!$B:$B,$A34,RawDataTotal!Y:Y)</f>
        <v>0</v>
      </c>
      <c r="W34">
        <f>SUMIF(RawDataTotal!$B:$B,$A34,RawDataTotal!Z:Z)</f>
        <v>0</v>
      </c>
      <c r="X34">
        <f>SUMIF(RawDataTotal!$B:$B,$A34,RawDataTotal!AA:AA)</f>
        <v>0</v>
      </c>
      <c r="Y34">
        <f>SUMIF(RawDataTotal!$B:$B,$A34,RawDataTotal!AB:AB)</f>
        <v>0</v>
      </c>
      <c r="Z34">
        <f>SUMIF(RawDataTotal!$B:$B,$A34,RawDataTotal!AC:AC)</f>
        <v>0</v>
      </c>
      <c r="AA34">
        <f>SUMIF(RawDataTotal!$B:$B,$A34,RawDataTotal!AD:AD)</f>
        <v>0</v>
      </c>
      <c r="AB34">
        <f>SUMIF(RawDataTotal!$B:$B,$A34,RawDataTotal!AE:AE)</f>
        <v>0</v>
      </c>
      <c r="AC34">
        <f>SUMIF(RawDataTotal!$B:$B,$A34,RawDataTotal!AF:AF)</f>
        <v>0</v>
      </c>
      <c r="AD34">
        <f>SUMIF(RawDataTotal!$B:$B,$A34,RawDataTotal!AG:AG)</f>
        <v>0</v>
      </c>
      <c r="AE34">
        <f>SUMIF(RawDataTotal!$B:$B,$A34,RawDataTotal!AH:AH)</f>
        <v>0</v>
      </c>
      <c r="AF34">
        <f>SUMIF(RawDataTotal!$B:$B,$A34,RawDataTotal!AI:AI)</f>
        <v>0</v>
      </c>
      <c r="AG34">
        <f>SUMIF(RawDataTotal!$B:$B,$A34,RawDataTotal!AJ:AJ)</f>
        <v>0</v>
      </c>
      <c r="AH34">
        <f>SUMIF(RawDataTotal!$B:$B,$A34,RawDataTotal!AK:AK)</f>
        <v>0</v>
      </c>
      <c r="AI34">
        <f>SUMIF(RawDataTotal!$B:$B,$A34,RawDataTotal!AL:AL)</f>
        <v>1</v>
      </c>
      <c r="AJ34">
        <f>SUMIF(RawDataTotal!$B:$B,$A34,RawDataTotal!AM:AM)</f>
        <v>1</v>
      </c>
      <c r="AK34">
        <f>SUMIF(RawDataTotal!$B:$B,$A34,RawDataTotal!AN:AN)</f>
        <v>5</v>
      </c>
      <c r="AL34">
        <f>SUMIF(RawDataTotal!$B:$B,$A34,RawDataTotal!AO:AO)</f>
        <v>7</v>
      </c>
      <c r="AM34">
        <f>SUMIF(RawDataTotal!$B:$B,$A34,RawDataTotal!AP:AP)</f>
        <v>7</v>
      </c>
      <c r="AN34">
        <f>SUMIF(RawDataTotal!$B:$B,$A34,RawDataTotal!AQ:AQ)</f>
        <v>13</v>
      </c>
      <c r="AO34">
        <f>SUMIF(RawDataTotal!$B:$B,$A34,RawDataTotal!AR:AR)</f>
        <v>19</v>
      </c>
      <c r="AP34">
        <f>SUMIF(RawDataTotal!$B:$B,$A34,RawDataTotal!AS:AS)</f>
        <v>26</v>
      </c>
      <c r="AQ34">
        <f>SUMIF(RawDataTotal!$B:$B,$A34,RawDataTotal!AT:AT)</f>
        <v>32</v>
      </c>
      <c r="AR34">
        <f>SUMIF(RawDataTotal!$B:$B,$A34,RawDataTotal!AU:AU)</f>
        <v>35</v>
      </c>
      <c r="AS34">
        <f>SUMIF(RawDataTotal!$B:$B,$A34,RawDataTotal!AV:AV)</f>
        <v>35</v>
      </c>
      <c r="AT34">
        <f>SUMIF(RawDataTotal!$B:$B,$A34,RawDataTotal!AW:AW)</f>
        <v>40</v>
      </c>
      <c r="AU34">
        <f>SUMIF(RawDataTotal!$B:$B,$A34,RawDataTotal!AX:AX)</f>
        <v>54</v>
      </c>
      <c r="AV34">
        <f>SUMIF(RawDataTotal!$B:$B,$A34,RawDataTotal!AY:AY)</f>
        <v>60</v>
      </c>
      <c r="AW34">
        <f>SUMIF(RawDataTotal!$B:$B,$A34,RawDataTotal!AZ:AZ)</f>
        <v>60</v>
      </c>
      <c r="AX34">
        <f>SUMIF(RawDataTotal!$B:$B,$A34,RawDataTotal!BA:BA)</f>
        <v>71</v>
      </c>
      <c r="AY34">
        <f>SUMIF(RawDataTotal!$B:$B,$A34,RawDataTotal!BB:BB)</f>
        <v>71</v>
      </c>
      <c r="AZ34">
        <f>SUMIF(RawDataTotal!$B:$B,$A34,RawDataTotal!BC:BC)</f>
        <v>71</v>
      </c>
      <c r="BA34">
        <f>SUMIF(RawDataTotal!$B:$B,$A34,RawDataTotal!BD:BD)</f>
        <v>101</v>
      </c>
      <c r="BB34">
        <f>SUMIF(RawDataTotal!$B:$B,$A34,RawDataTotal!BE:BE)</f>
        <v>110</v>
      </c>
      <c r="BC34">
        <f>SUMIF(RawDataTotal!$B:$B,$A34,RawDataTotal!BF:BF)</f>
        <v>116</v>
      </c>
      <c r="BD34">
        <f>SUMIF(RawDataTotal!$B:$B,$A34,RawDataTotal!BG:BG)</f>
        <v>124</v>
      </c>
      <c r="BE34">
        <f>SUMIF(RawDataTotal!$B:$B,$A34,RawDataTotal!BH:BH)</f>
        <v>154</v>
      </c>
      <c r="BF34">
        <f>SUMIF(RawDataTotal!$B:$B,$A34,RawDataTotal!BI:BI)</f>
        <v>0</v>
      </c>
      <c r="BG34">
        <f>SUMIF(RawDataTotal!$B:$B,$A34,RawDataTotal!BJ:BJ)</f>
        <v>0</v>
      </c>
      <c r="BH34">
        <f>SUMIF(RawDataTotal!$B:$B,$A34,RawDataTotal!BK:BK)</f>
        <v>0</v>
      </c>
      <c r="BI34">
        <f>SUMIF(RawDataTotal!$B:$B,$A34,RawDataTotal!BL:BL)</f>
        <v>0</v>
      </c>
      <c r="BJ34">
        <f>SUMIF(RawDataTotal!$B:$B,$A34,RawDataTotal!BM:BM)</f>
        <v>0</v>
      </c>
      <c r="BK34">
        <f>SUMIF(RawDataTotal!$B:$B,$A34,RawDataTotal!BN:BN)</f>
        <v>0</v>
      </c>
      <c r="BL34">
        <f>SUMIF(RawDataTotal!$B:$B,$A34,RawDataTotal!BO:BO)</f>
        <v>0</v>
      </c>
      <c r="BM34">
        <f>SUMIF(RawDataTotal!$B:$B,$A34,RawDataTotal!BP:BP)</f>
        <v>0</v>
      </c>
      <c r="BN34">
        <f>SUMIF(RawDataTotal!$B:$B,$A34,RawDataTotal!BQ:BQ)</f>
        <v>0</v>
      </c>
      <c r="BO34">
        <f>SUMIF(RawDataTotal!$B:$B,$A34,RawDataTotal!BR:BR)</f>
        <v>0</v>
      </c>
      <c r="BP34">
        <f>SUMIF(RawDataTotal!$B:$B,$A34,RawDataTotal!BS:BS)</f>
        <v>0</v>
      </c>
      <c r="BQ34">
        <f>SUMIF(RawDataTotal!$B:$B,$A34,RawDataTotal!BT:BT)</f>
        <v>0</v>
      </c>
      <c r="BR34">
        <f>SUMIF(RawDataTotal!$B:$B,$A34,RawDataTotal!BU:BU)</f>
        <v>0</v>
      </c>
      <c r="BS34">
        <f>SUMIF(RawDataTotal!$B:$B,$A34,RawDataTotal!BV:BV)</f>
        <v>0</v>
      </c>
      <c r="BT34">
        <f>SUMIF(RawDataTotal!$B:$B,$A34,RawDataTotal!BW:BW)</f>
        <v>0</v>
      </c>
    </row>
    <row r="35" spans="1:72" ht="15" thickBot="1" x14ac:dyDescent="0.35">
      <c r="A35" s="4" t="s">
        <v>125</v>
      </c>
      <c r="B35">
        <f>SUMIF(RawDataTotal!$B:$B,$A35,RawDataTotal!E:E)</f>
        <v>0</v>
      </c>
      <c r="C35">
        <f>SUMIF(RawDataTotal!$B:$B,$A35,RawDataTotal!F:F)</f>
        <v>0</v>
      </c>
      <c r="D35">
        <f>SUMIF(RawDataTotal!$B:$B,$A35,RawDataTotal!G:G)</f>
        <v>0</v>
      </c>
      <c r="E35">
        <f>SUMIF(RawDataTotal!$B:$B,$A35,RawDataTotal!H:H)</f>
        <v>0</v>
      </c>
      <c r="F35">
        <f>SUMIF(RawDataTotal!$B:$B,$A35,RawDataTotal!I:I)</f>
        <v>0</v>
      </c>
      <c r="G35">
        <f>SUMIF(RawDataTotal!$B:$B,$A35,RawDataTotal!J:J)</f>
        <v>0</v>
      </c>
      <c r="H35">
        <f>SUMIF(RawDataTotal!$B:$B,$A35,RawDataTotal!K:K)</f>
        <v>0</v>
      </c>
      <c r="I35">
        <f>SUMIF(RawDataTotal!$B:$B,$A35,RawDataTotal!L:L)</f>
        <v>0</v>
      </c>
      <c r="J35">
        <f>SUMIF(RawDataTotal!$B:$B,$A35,RawDataTotal!M:M)</f>
        <v>0</v>
      </c>
      <c r="K35">
        <f>SUMIF(RawDataTotal!$B:$B,$A35,RawDataTotal!N:N)</f>
        <v>0</v>
      </c>
      <c r="L35">
        <f>SUMIF(RawDataTotal!$B:$B,$A35,RawDataTotal!O:O)</f>
        <v>0</v>
      </c>
      <c r="M35">
        <f>SUMIF(RawDataTotal!$B:$B,$A35,RawDataTotal!P:P)</f>
        <v>0</v>
      </c>
      <c r="N35">
        <f>SUMIF(RawDataTotal!$B:$B,$A35,RawDataTotal!Q:Q)</f>
        <v>0</v>
      </c>
      <c r="O35">
        <f>SUMIF(RawDataTotal!$B:$B,$A35,RawDataTotal!R:R)</f>
        <v>0</v>
      </c>
      <c r="P35">
        <f>SUMIF(RawDataTotal!$B:$B,$A35,RawDataTotal!S:S)</f>
        <v>0</v>
      </c>
      <c r="Q35">
        <f>SUMIF(RawDataTotal!$B:$B,$A35,RawDataTotal!T:T)</f>
        <v>0</v>
      </c>
      <c r="R35">
        <f>SUMIF(RawDataTotal!$B:$B,$A35,RawDataTotal!U:U)</f>
        <v>0</v>
      </c>
      <c r="S35">
        <f>SUMIF(RawDataTotal!$B:$B,$A35,RawDataTotal!V:V)</f>
        <v>0</v>
      </c>
      <c r="T35">
        <f>SUMIF(RawDataTotal!$B:$B,$A35,RawDataTotal!W:W)</f>
        <v>0</v>
      </c>
      <c r="U35">
        <f>SUMIF(RawDataTotal!$B:$B,$A35,RawDataTotal!X:X)</f>
        <v>0</v>
      </c>
      <c r="V35">
        <f>SUMIF(RawDataTotal!$B:$B,$A35,RawDataTotal!Y:Y)</f>
        <v>0</v>
      </c>
      <c r="W35">
        <f>SUMIF(RawDataTotal!$B:$B,$A35,RawDataTotal!Z:Z)</f>
        <v>0</v>
      </c>
      <c r="X35">
        <f>SUMIF(RawDataTotal!$B:$B,$A35,RawDataTotal!AA:AA)</f>
        <v>0</v>
      </c>
      <c r="Y35">
        <f>SUMIF(RawDataTotal!$B:$B,$A35,RawDataTotal!AB:AB)</f>
        <v>0</v>
      </c>
      <c r="Z35">
        <f>SUMIF(RawDataTotal!$B:$B,$A35,RawDataTotal!AC:AC)</f>
        <v>0</v>
      </c>
      <c r="AA35">
        <f>SUMIF(RawDataTotal!$B:$B,$A35,RawDataTotal!AD:AD)</f>
        <v>0</v>
      </c>
      <c r="AB35">
        <f>SUMIF(RawDataTotal!$B:$B,$A35,RawDataTotal!AE:AE)</f>
        <v>0</v>
      </c>
      <c r="AC35">
        <f>SUMIF(RawDataTotal!$B:$B,$A35,RawDataTotal!AF:AF)</f>
        <v>0</v>
      </c>
      <c r="AD35">
        <f>SUMIF(RawDataTotal!$B:$B,$A35,RawDataTotal!AG:AG)</f>
        <v>0</v>
      </c>
      <c r="AE35">
        <f>SUMIF(RawDataTotal!$B:$B,$A35,RawDataTotal!AH:AH)</f>
        <v>0</v>
      </c>
      <c r="AF35">
        <f>SUMIF(RawDataTotal!$B:$B,$A35,RawDataTotal!AI:AI)</f>
        <v>0</v>
      </c>
      <c r="AG35">
        <f>SUMIF(RawDataTotal!$B:$B,$A35,RawDataTotal!AJ:AJ)</f>
        <v>0</v>
      </c>
      <c r="AH35">
        <f>SUMIF(RawDataTotal!$B:$B,$A35,RawDataTotal!AK:AK)</f>
        <v>0</v>
      </c>
      <c r="AI35">
        <f>SUMIF(RawDataTotal!$B:$B,$A35,RawDataTotal!AL:AL)</f>
        <v>0</v>
      </c>
      <c r="AJ35">
        <f>SUMIF(RawDataTotal!$B:$B,$A35,RawDataTotal!AM:AM)</f>
        <v>0</v>
      </c>
      <c r="AK35">
        <f>SUMIF(RawDataTotal!$B:$B,$A35,RawDataTotal!AN:AN)</f>
        <v>0</v>
      </c>
      <c r="AL35">
        <f>SUMIF(RawDataTotal!$B:$B,$A35,RawDataTotal!AO:AO)</f>
        <v>0</v>
      </c>
      <c r="AM35">
        <f>SUMIF(RawDataTotal!$B:$B,$A35,RawDataTotal!AP:AP)</f>
        <v>0</v>
      </c>
      <c r="AN35">
        <f>SUMIF(RawDataTotal!$B:$B,$A35,RawDataTotal!AQ:AQ)</f>
        <v>1</v>
      </c>
      <c r="AO35">
        <f>SUMIF(RawDataTotal!$B:$B,$A35,RawDataTotal!AR:AR)</f>
        <v>1</v>
      </c>
      <c r="AP35">
        <f>SUMIF(RawDataTotal!$B:$B,$A35,RawDataTotal!AS:AS)</f>
        <v>1</v>
      </c>
      <c r="AQ35">
        <f>SUMIF(RawDataTotal!$B:$B,$A35,RawDataTotal!AT:AT)</f>
        <v>2</v>
      </c>
      <c r="AR35">
        <f>SUMIF(RawDataTotal!$B:$B,$A35,RawDataTotal!AU:AU)</f>
        <v>6</v>
      </c>
      <c r="AS35">
        <f>SUMIF(RawDataTotal!$B:$B,$A35,RawDataTotal!AV:AV)</f>
        <v>6</v>
      </c>
      <c r="AT35">
        <f>SUMIF(RawDataTotal!$B:$B,$A35,RawDataTotal!AW:AW)</f>
        <v>18</v>
      </c>
      <c r="AU35">
        <f>SUMIF(RawDataTotal!$B:$B,$A35,RawDataTotal!AX:AX)</f>
        <v>18</v>
      </c>
      <c r="AV35">
        <f>SUMIF(RawDataTotal!$B:$B,$A35,RawDataTotal!AY:AY)</f>
        <v>19</v>
      </c>
      <c r="AW35">
        <f>SUMIF(RawDataTotal!$B:$B,$A35,RawDataTotal!AZ:AZ)</f>
        <v>21</v>
      </c>
      <c r="AX35">
        <f>SUMIF(RawDataTotal!$B:$B,$A35,RawDataTotal!BA:BA)</f>
        <v>34</v>
      </c>
      <c r="AY35">
        <f>SUMIF(RawDataTotal!$B:$B,$A35,RawDataTotal!BB:BB)</f>
        <v>43</v>
      </c>
      <c r="AZ35">
        <f>SUMIF(RawDataTotal!$B:$B,$A35,RawDataTotal!BC:BC)</f>
        <v>43</v>
      </c>
      <c r="BA35">
        <f>SUMIF(RawDataTotal!$B:$B,$A35,RawDataTotal!BD:BD)</f>
        <v>90</v>
      </c>
      <c r="BB35">
        <f>SUMIF(RawDataTotal!$B:$B,$A35,RawDataTotal!BE:BE)</f>
        <v>129</v>
      </c>
      <c r="BC35">
        <f>SUMIF(RawDataTotal!$B:$B,$A35,RawDataTotal!BF:BF)</f>
        <v>129</v>
      </c>
      <c r="BD35">
        <f>SUMIF(RawDataTotal!$B:$B,$A35,RawDataTotal!BG:BG)</f>
        <v>169</v>
      </c>
      <c r="BE35">
        <f>SUMIF(RawDataTotal!$B:$B,$A35,RawDataTotal!BH:BH)</f>
        <v>223</v>
      </c>
      <c r="BF35">
        <f>SUMIF(RawDataTotal!$B:$B,$A35,RawDataTotal!BI:BI)</f>
        <v>0</v>
      </c>
      <c r="BG35">
        <f>SUMIF(RawDataTotal!$B:$B,$A35,RawDataTotal!BJ:BJ)</f>
        <v>0</v>
      </c>
      <c r="BH35">
        <f>SUMIF(RawDataTotal!$B:$B,$A35,RawDataTotal!BK:BK)</f>
        <v>0</v>
      </c>
      <c r="BI35">
        <f>SUMIF(RawDataTotal!$B:$B,$A35,RawDataTotal!BL:BL)</f>
        <v>0</v>
      </c>
      <c r="BJ35">
        <f>SUMIF(RawDataTotal!$B:$B,$A35,RawDataTotal!BM:BM)</f>
        <v>0</v>
      </c>
      <c r="BK35">
        <f>SUMIF(RawDataTotal!$B:$B,$A35,RawDataTotal!BN:BN)</f>
        <v>0</v>
      </c>
      <c r="BL35">
        <f>SUMIF(RawDataTotal!$B:$B,$A35,RawDataTotal!BO:BO)</f>
        <v>0</v>
      </c>
      <c r="BM35">
        <f>SUMIF(RawDataTotal!$B:$B,$A35,RawDataTotal!BP:BP)</f>
        <v>0</v>
      </c>
      <c r="BN35">
        <f>SUMIF(RawDataTotal!$B:$B,$A35,RawDataTotal!BQ:BQ)</f>
        <v>0</v>
      </c>
      <c r="BO35">
        <f>SUMIF(RawDataTotal!$B:$B,$A35,RawDataTotal!BR:BR)</f>
        <v>0</v>
      </c>
      <c r="BP35">
        <f>SUMIF(RawDataTotal!$B:$B,$A35,RawDataTotal!BS:BS)</f>
        <v>0</v>
      </c>
      <c r="BQ35">
        <f>SUMIF(RawDataTotal!$B:$B,$A35,RawDataTotal!BT:BT)</f>
        <v>0</v>
      </c>
      <c r="BR35">
        <f>SUMIF(RawDataTotal!$B:$B,$A35,RawDataTotal!BU:BU)</f>
        <v>0</v>
      </c>
      <c r="BS35">
        <f>SUMIF(RawDataTotal!$B:$B,$A35,RawDataTotal!BV:BV)</f>
        <v>0</v>
      </c>
      <c r="BT35">
        <f>SUMIF(RawDataTotal!$B:$B,$A35,RawDataTotal!BW:BW)</f>
        <v>0</v>
      </c>
    </row>
    <row r="36" spans="1:72" ht="15" thickBot="1" x14ac:dyDescent="0.35">
      <c r="A36" s="3" t="s">
        <v>113</v>
      </c>
      <c r="B36">
        <f>SUMIF(RawDataTotal!$B:$B,$A36,RawDataTotal!E:E)</f>
        <v>0</v>
      </c>
      <c r="C36">
        <f>SUMIF(RawDataTotal!$B:$B,$A36,RawDataTotal!F:F)</f>
        <v>0</v>
      </c>
      <c r="D36">
        <f>SUMIF(RawDataTotal!$B:$B,$A36,RawDataTotal!G:G)</f>
        <v>0</v>
      </c>
      <c r="E36">
        <f>SUMIF(RawDataTotal!$B:$B,$A36,RawDataTotal!H:H)</f>
        <v>0</v>
      </c>
      <c r="F36">
        <f>SUMIF(RawDataTotal!$B:$B,$A36,RawDataTotal!I:I)</f>
        <v>0</v>
      </c>
      <c r="G36">
        <f>SUMIF(RawDataTotal!$B:$B,$A36,RawDataTotal!J:J)</f>
        <v>0</v>
      </c>
      <c r="H36">
        <f>SUMIF(RawDataTotal!$B:$B,$A36,RawDataTotal!K:K)</f>
        <v>0</v>
      </c>
      <c r="I36">
        <f>SUMIF(RawDataTotal!$B:$B,$A36,RawDataTotal!L:L)</f>
        <v>0</v>
      </c>
      <c r="J36">
        <f>SUMIF(RawDataTotal!$B:$B,$A36,RawDataTotal!M:M)</f>
        <v>0</v>
      </c>
      <c r="K36">
        <f>SUMIF(RawDataTotal!$B:$B,$A36,RawDataTotal!N:N)</f>
        <v>0</v>
      </c>
      <c r="L36">
        <f>SUMIF(RawDataTotal!$B:$B,$A36,RawDataTotal!O:O)</f>
        <v>0</v>
      </c>
      <c r="M36">
        <f>SUMIF(RawDataTotal!$B:$B,$A36,RawDataTotal!P:P)</f>
        <v>0</v>
      </c>
      <c r="N36">
        <f>SUMIF(RawDataTotal!$B:$B,$A36,RawDataTotal!Q:Q)</f>
        <v>0</v>
      </c>
      <c r="O36">
        <f>SUMIF(RawDataTotal!$B:$B,$A36,RawDataTotal!R:R)</f>
        <v>0</v>
      </c>
      <c r="P36">
        <f>SUMIF(RawDataTotal!$B:$B,$A36,RawDataTotal!S:S)</f>
        <v>0</v>
      </c>
      <c r="Q36">
        <f>SUMIF(RawDataTotal!$B:$B,$A36,RawDataTotal!T:T)</f>
        <v>0</v>
      </c>
      <c r="R36">
        <f>SUMIF(RawDataTotal!$B:$B,$A36,RawDataTotal!U:U)</f>
        <v>0</v>
      </c>
      <c r="S36">
        <f>SUMIF(RawDataTotal!$B:$B,$A36,RawDataTotal!V:V)</f>
        <v>0</v>
      </c>
      <c r="T36">
        <f>SUMIF(RawDataTotal!$B:$B,$A36,RawDataTotal!W:W)</f>
        <v>0</v>
      </c>
      <c r="U36">
        <f>SUMIF(RawDataTotal!$B:$B,$A36,RawDataTotal!X:X)</f>
        <v>0</v>
      </c>
      <c r="V36">
        <f>SUMIF(RawDataTotal!$B:$B,$A36,RawDataTotal!Y:Y)</f>
        <v>0</v>
      </c>
      <c r="W36">
        <f>SUMIF(RawDataTotal!$B:$B,$A36,RawDataTotal!Z:Z)</f>
        <v>0</v>
      </c>
      <c r="X36">
        <f>SUMIF(RawDataTotal!$B:$B,$A36,RawDataTotal!AA:AA)</f>
        <v>0</v>
      </c>
      <c r="Y36">
        <f>SUMIF(RawDataTotal!$B:$B,$A36,RawDataTotal!AB:AB)</f>
        <v>0</v>
      </c>
      <c r="Z36">
        <f>SUMIF(RawDataTotal!$B:$B,$A36,RawDataTotal!AC:AC)</f>
        <v>0</v>
      </c>
      <c r="AA36">
        <f>SUMIF(RawDataTotal!$B:$B,$A36,RawDataTotal!AD:AD)</f>
        <v>0</v>
      </c>
      <c r="AB36">
        <f>SUMIF(RawDataTotal!$B:$B,$A36,RawDataTotal!AE:AE)</f>
        <v>0</v>
      </c>
      <c r="AC36">
        <f>SUMIF(RawDataTotal!$B:$B,$A36,RawDataTotal!AF:AF)</f>
        <v>0</v>
      </c>
      <c r="AD36">
        <f>SUMIF(RawDataTotal!$B:$B,$A36,RawDataTotal!AG:AG)</f>
        <v>0</v>
      </c>
      <c r="AE36">
        <f>SUMIF(RawDataTotal!$B:$B,$A36,RawDataTotal!AH:AH)</f>
        <v>0</v>
      </c>
      <c r="AF36">
        <f>SUMIF(RawDataTotal!$B:$B,$A36,RawDataTotal!AI:AI)</f>
        <v>0</v>
      </c>
      <c r="AG36">
        <f>SUMIF(RawDataTotal!$B:$B,$A36,RawDataTotal!AJ:AJ)</f>
        <v>0</v>
      </c>
      <c r="AH36">
        <f>SUMIF(RawDataTotal!$B:$B,$A36,RawDataTotal!AK:AK)</f>
        <v>0</v>
      </c>
      <c r="AI36">
        <f>SUMIF(RawDataTotal!$B:$B,$A36,RawDataTotal!AL:AL)</f>
        <v>0</v>
      </c>
      <c r="AJ36">
        <f>SUMIF(RawDataTotal!$B:$B,$A36,RawDataTotal!AM:AM)</f>
        <v>0</v>
      </c>
      <c r="AK36">
        <f>SUMIF(RawDataTotal!$B:$B,$A36,RawDataTotal!AN:AN)</f>
        <v>1</v>
      </c>
      <c r="AL36">
        <f>SUMIF(RawDataTotal!$B:$B,$A36,RawDataTotal!AO:AO)</f>
        <v>1</v>
      </c>
      <c r="AM36">
        <f>SUMIF(RawDataTotal!$B:$B,$A36,RawDataTotal!AP:AP)</f>
        <v>3</v>
      </c>
      <c r="AN36">
        <f>SUMIF(RawDataTotal!$B:$B,$A36,RawDataTotal!AQ:AQ)</f>
        <v>3</v>
      </c>
      <c r="AO36">
        <f>SUMIF(RawDataTotal!$B:$B,$A36,RawDataTotal!AR:AR)</f>
        <v>3</v>
      </c>
      <c r="AP36">
        <f>SUMIF(RawDataTotal!$B:$B,$A36,RawDataTotal!AS:AS)</f>
        <v>3</v>
      </c>
      <c r="AQ36">
        <f>SUMIF(RawDataTotal!$B:$B,$A36,RawDataTotal!AT:AT)</f>
        <v>3</v>
      </c>
      <c r="AR36">
        <f>SUMIF(RawDataTotal!$B:$B,$A36,RawDataTotal!AU:AU)</f>
        <v>4</v>
      </c>
      <c r="AS36">
        <f>SUMIF(RawDataTotal!$B:$B,$A36,RawDataTotal!AV:AV)</f>
        <v>6</v>
      </c>
      <c r="AT36">
        <f>SUMIF(RawDataTotal!$B:$B,$A36,RawDataTotal!AW:AW)</f>
        <v>9</v>
      </c>
      <c r="AU36">
        <f>SUMIF(RawDataTotal!$B:$B,$A36,RawDataTotal!AX:AX)</f>
        <v>9</v>
      </c>
      <c r="AV36">
        <f>SUMIF(RawDataTotal!$B:$B,$A36,RawDataTotal!AY:AY)</f>
        <v>15</v>
      </c>
      <c r="AW36">
        <f>SUMIF(RawDataTotal!$B:$B,$A36,RawDataTotal!AZ:AZ)</f>
        <v>15</v>
      </c>
      <c r="AX36">
        <f>SUMIF(RawDataTotal!$B:$B,$A36,RawDataTotal!BA:BA)</f>
        <v>25</v>
      </c>
      <c r="AY36">
        <f>SUMIF(RawDataTotal!$B:$B,$A36,RawDataTotal!BB:BB)</f>
        <v>45</v>
      </c>
      <c r="AZ36">
        <f>SUMIF(RawDataTotal!$B:$B,$A36,RawDataTotal!BC:BC)</f>
        <v>49</v>
      </c>
      <c r="BA36">
        <f>SUMIF(RawDataTotal!$B:$B,$A36,RawDataTotal!BD:BD)</f>
        <v>89</v>
      </c>
      <c r="BB36">
        <f>SUMIF(RawDataTotal!$B:$B,$A36,RawDataTotal!BE:BE)</f>
        <v>123</v>
      </c>
      <c r="BC36">
        <f>SUMIF(RawDataTotal!$B:$B,$A36,RawDataTotal!BF:BF)</f>
        <v>131</v>
      </c>
      <c r="BD36">
        <f>SUMIF(RawDataTotal!$B:$B,$A36,RawDataTotal!BG:BG)</f>
        <v>158</v>
      </c>
      <c r="BE36">
        <f>SUMIF(RawDataTotal!$B:$B,$A36,RawDataTotal!BH:BH)</f>
        <v>184</v>
      </c>
      <c r="BF36">
        <f>SUMIF(RawDataTotal!$B:$B,$A36,RawDataTotal!BI:BI)</f>
        <v>0</v>
      </c>
      <c r="BG36">
        <f>SUMIF(RawDataTotal!$B:$B,$A36,RawDataTotal!BJ:BJ)</f>
        <v>0</v>
      </c>
      <c r="BH36">
        <f>SUMIF(RawDataTotal!$B:$B,$A36,RawDataTotal!BK:BK)</f>
        <v>0</v>
      </c>
      <c r="BI36">
        <f>SUMIF(RawDataTotal!$B:$B,$A36,RawDataTotal!BL:BL)</f>
        <v>0</v>
      </c>
      <c r="BJ36">
        <f>SUMIF(RawDataTotal!$B:$B,$A36,RawDataTotal!BM:BM)</f>
        <v>0</v>
      </c>
      <c r="BK36">
        <f>SUMIF(RawDataTotal!$B:$B,$A36,RawDataTotal!BN:BN)</f>
        <v>0</v>
      </c>
      <c r="BL36">
        <f>SUMIF(RawDataTotal!$B:$B,$A36,RawDataTotal!BO:BO)</f>
        <v>0</v>
      </c>
      <c r="BM36">
        <f>SUMIF(RawDataTotal!$B:$B,$A36,RawDataTotal!BP:BP)</f>
        <v>0</v>
      </c>
      <c r="BN36">
        <f>SUMIF(RawDataTotal!$B:$B,$A36,RawDataTotal!BQ:BQ)</f>
        <v>0</v>
      </c>
      <c r="BO36">
        <f>SUMIF(RawDataTotal!$B:$B,$A36,RawDataTotal!BR:BR)</f>
        <v>0</v>
      </c>
      <c r="BP36">
        <f>SUMIF(RawDataTotal!$B:$B,$A36,RawDataTotal!BS:BS)</f>
        <v>0</v>
      </c>
      <c r="BQ36">
        <f>SUMIF(RawDataTotal!$B:$B,$A36,RawDataTotal!BT:BT)</f>
        <v>0</v>
      </c>
      <c r="BR36">
        <f>SUMIF(RawDataTotal!$B:$B,$A36,RawDataTotal!BU:BU)</f>
        <v>0</v>
      </c>
      <c r="BS36">
        <f>SUMIF(RawDataTotal!$B:$B,$A36,RawDataTotal!BV:BV)</f>
        <v>0</v>
      </c>
      <c r="BT36">
        <f>SUMIF(RawDataTotal!$B:$B,$A36,RawDataTotal!BW:BW)</f>
        <v>0</v>
      </c>
    </row>
    <row r="37" spans="1:72" ht="15" thickBot="1" x14ac:dyDescent="0.35">
      <c r="A37" s="4" t="s">
        <v>140</v>
      </c>
      <c r="B37">
        <f>SUMIF(RawDataTotal!$B:$B,$A37,RawDataTotal!E:E)</f>
        <v>0</v>
      </c>
      <c r="C37">
        <f>SUMIF(RawDataTotal!$B:$B,$A37,RawDataTotal!F:F)</f>
        <v>0</v>
      </c>
      <c r="D37">
        <f>SUMIF(RawDataTotal!$B:$B,$A37,RawDataTotal!G:G)</f>
        <v>0</v>
      </c>
      <c r="E37">
        <f>SUMIF(RawDataTotal!$B:$B,$A37,RawDataTotal!H:H)</f>
        <v>0</v>
      </c>
      <c r="F37">
        <f>SUMIF(RawDataTotal!$B:$B,$A37,RawDataTotal!I:I)</f>
        <v>0</v>
      </c>
      <c r="G37">
        <f>SUMIF(RawDataTotal!$B:$B,$A37,RawDataTotal!J:J)</f>
        <v>0</v>
      </c>
      <c r="H37">
        <f>SUMIF(RawDataTotal!$B:$B,$A37,RawDataTotal!K:K)</f>
        <v>0</v>
      </c>
      <c r="I37">
        <f>SUMIF(RawDataTotal!$B:$B,$A37,RawDataTotal!L:L)</f>
        <v>0</v>
      </c>
      <c r="J37">
        <f>SUMIF(RawDataTotal!$B:$B,$A37,RawDataTotal!M:M)</f>
        <v>0</v>
      </c>
      <c r="K37">
        <f>SUMIF(RawDataTotal!$B:$B,$A37,RawDataTotal!N:N)</f>
        <v>0</v>
      </c>
      <c r="L37">
        <f>SUMIF(RawDataTotal!$B:$B,$A37,RawDataTotal!O:O)</f>
        <v>0</v>
      </c>
      <c r="M37">
        <f>SUMIF(RawDataTotal!$B:$B,$A37,RawDataTotal!P:P)</f>
        <v>0</v>
      </c>
      <c r="N37">
        <f>SUMIF(RawDataTotal!$B:$B,$A37,RawDataTotal!Q:Q)</f>
        <v>0</v>
      </c>
      <c r="O37">
        <f>SUMIF(RawDataTotal!$B:$B,$A37,RawDataTotal!R:R)</f>
        <v>0</v>
      </c>
      <c r="P37">
        <f>SUMIF(RawDataTotal!$B:$B,$A37,RawDataTotal!S:S)</f>
        <v>0</v>
      </c>
      <c r="Q37">
        <f>SUMIF(RawDataTotal!$B:$B,$A37,RawDataTotal!T:T)</f>
        <v>0</v>
      </c>
      <c r="R37">
        <f>SUMIF(RawDataTotal!$B:$B,$A37,RawDataTotal!U:U)</f>
        <v>0</v>
      </c>
      <c r="S37">
        <f>SUMIF(RawDataTotal!$B:$B,$A37,RawDataTotal!V:V)</f>
        <v>0</v>
      </c>
      <c r="T37">
        <f>SUMIF(RawDataTotal!$B:$B,$A37,RawDataTotal!W:W)</f>
        <v>0</v>
      </c>
      <c r="U37">
        <f>SUMIF(RawDataTotal!$B:$B,$A37,RawDataTotal!X:X)</f>
        <v>0</v>
      </c>
      <c r="V37">
        <f>SUMIF(RawDataTotal!$B:$B,$A37,RawDataTotal!Y:Y)</f>
        <v>0</v>
      </c>
      <c r="W37">
        <f>SUMIF(RawDataTotal!$B:$B,$A37,RawDataTotal!Z:Z)</f>
        <v>0</v>
      </c>
      <c r="X37">
        <f>SUMIF(RawDataTotal!$B:$B,$A37,RawDataTotal!AA:AA)</f>
        <v>0</v>
      </c>
      <c r="Y37">
        <f>SUMIF(RawDataTotal!$B:$B,$A37,RawDataTotal!AB:AB)</f>
        <v>0</v>
      </c>
      <c r="Z37">
        <f>SUMIF(RawDataTotal!$B:$B,$A37,RawDataTotal!AC:AC)</f>
        <v>0</v>
      </c>
      <c r="AA37">
        <f>SUMIF(RawDataTotal!$B:$B,$A37,RawDataTotal!AD:AD)</f>
        <v>0</v>
      </c>
      <c r="AB37">
        <f>SUMIF(RawDataTotal!$B:$B,$A37,RawDataTotal!AE:AE)</f>
        <v>0</v>
      </c>
      <c r="AC37">
        <f>SUMIF(RawDataTotal!$B:$B,$A37,RawDataTotal!AF:AF)</f>
        <v>0</v>
      </c>
      <c r="AD37">
        <f>SUMIF(RawDataTotal!$B:$B,$A37,RawDataTotal!AG:AG)</f>
        <v>0</v>
      </c>
      <c r="AE37">
        <f>SUMIF(RawDataTotal!$B:$B,$A37,RawDataTotal!AH:AH)</f>
        <v>0</v>
      </c>
      <c r="AF37">
        <f>SUMIF(RawDataTotal!$B:$B,$A37,RawDataTotal!AI:AI)</f>
        <v>0</v>
      </c>
      <c r="AG37">
        <f>SUMIF(RawDataTotal!$B:$B,$A37,RawDataTotal!AJ:AJ)</f>
        <v>0</v>
      </c>
      <c r="AH37">
        <f>SUMIF(RawDataTotal!$B:$B,$A37,RawDataTotal!AK:AK)</f>
        <v>0</v>
      </c>
      <c r="AI37">
        <f>SUMIF(RawDataTotal!$B:$B,$A37,RawDataTotal!AL:AL)</f>
        <v>0</v>
      </c>
      <c r="AJ37">
        <f>SUMIF(RawDataTotal!$B:$B,$A37,RawDataTotal!AM:AM)</f>
        <v>0</v>
      </c>
      <c r="AK37">
        <f>SUMIF(RawDataTotal!$B:$B,$A37,RawDataTotal!AN:AN)</f>
        <v>0</v>
      </c>
      <c r="AL37">
        <f>SUMIF(RawDataTotal!$B:$B,$A37,RawDataTotal!AO:AO)</f>
        <v>0</v>
      </c>
      <c r="AM37">
        <f>SUMIF(RawDataTotal!$B:$B,$A37,RawDataTotal!AP:AP)</f>
        <v>0</v>
      </c>
      <c r="AN37">
        <f>SUMIF(RawDataTotal!$B:$B,$A37,RawDataTotal!AQ:AQ)</f>
        <v>0</v>
      </c>
      <c r="AO37">
        <f>SUMIF(RawDataTotal!$B:$B,$A37,RawDataTotal!AR:AR)</f>
        <v>0</v>
      </c>
      <c r="AP37">
        <f>SUMIF(RawDataTotal!$B:$B,$A37,RawDataTotal!AS:AS)</f>
        <v>1</v>
      </c>
      <c r="AQ37">
        <f>SUMIF(RawDataTotal!$B:$B,$A37,RawDataTotal!AT:AT)</f>
        <v>1</v>
      </c>
      <c r="AR37">
        <f>SUMIF(RawDataTotal!$B:$B,$A37,RawDataTotal!AU:AU)</f>
        <v>1</v>
      </c>
      <c r="AS37">
        <f>SUMIF(RawDataTotal!$B:$B,$A37,RawDataTotal!AV:AV)</f>
        <v>5</v>
      </c>
      <c r="AT37">
        <f>SUMIF(RawDataTotal!$B:$B,$A37,RawDataTotal!AW:AW)</f>
        <v>5</v>
      </c>
      <c r="AU37">
        <f>SUMIF(RawDataTotal!$B:$B,$A37,RawDataTotal!AX:AX)</f>
        <v>5</v>
      </c>
      <c r="AV37">
        <f>SUMIF(RawDataTotal!$B:$B,$A37,RawDataTotal!AY:AY)</f>
        <v>11</v>
      </c>
      <c r="AW37">
        <f>SUMIF(RawDataTotal!$B:$B,$A37,RawDataTotal!AZ:AZ)</f>
        <v>15</v>
      </c>
      <c r="AX37">
        <f>SUMIF(RawDataTotal!$B:$B,$A37,RawDataTotal!BA:BA)</f>
        <v>20</v>
      </c>
      <c r="AY37">
        <f>SUMIF(RawDataTotal!$B:$B,$A37,RawDataTotal!BB:BB)</f>
        <v>21</v>
      </c>
      <c r="AZ37">
        <f>SUMIF(RawDataTotal!$B:$B,$A37,RawDataTotal!BC:BC)</f>
        <v>45</v>
      </c>
      <c r="BA37">
        <f>SUMIF(RawDataTotal!$B:$B,$A37,RawDataTotal!BD:BD)</f>
        <v>86</v>
      </c>
      <c r="BB37">
        <f>SUMIF(RawDataTotal!$B:$B,$A37,RawDataTotal!BE:BE)</f>
        <v>103</v>
      </c>
      <c r="BC37">
        <f>SUMIF(RawDataTotal!$B:$B,$A37,RawDataTotal!BF:BF)</f>
        <v>103</v>
      </c>
      <c r="BD37">
        <f>SUMIF(RawDataTotal!$B:$B,$A37,RawDataTotal!BG:BG)</f>
        <v>118</v>
      </c>
      <c r="BE37">
        <f>SUMIF(RawDataTotal!$B:$B,$A37,RawDataTotal!BH:BH)</f>
        <v>171</v>
      </c>
      <c r="BF37">
        <f>SUMIF(RawDataTotal!$B:$B,$A37,RawDataTotal!BI:BI)</f>
        <v>0</v>
      </c>
      <c r="BG37">
        <f>SUMIF(RawDataTotal!$B:$B,$A37,RawDataTotal!BJ:BJ)</f>
        <v>0</v>
      </c>
      <c r="BH37">
        <f>SUMIF(RawDataTotal!$B:$B,$A37,RawDataTotal!BK:BK)</f>
        <v>0</v>
      </c>
      <c r="BI37">
        <f>SUMIF(RawDataTotal!$B:$B,$A37,RawDataTotal!BL:BL)</f>
        <v>0</v>
      </c>
      <c r="BJ37">
        <f>SUMIF(RawDataTotal!$B:$B,$A37,RawDataTotal!BM:BM)</f>
        <v>0</v>
      </c>
      <c r="BK37">
        <f>SUMIF(RawDataTotal!$B:$B,$A37,RawDataTotal!BN:BN)</f>
        <v>0</v>
      </c>
      <c r="BL37">
        <f>SUMIF(RawDataTotal!$B:$B,$A37,RawDataTotal!BO:BO)</f>
        <v>0</v>
      </c>
      <c r="BM37">
        <f>SUMIF(RawDataTotal!$B:$B,$A37,RawDataTotal!BP:BP)</f>
        <v>0</v>
      </c>
      <c r="BN37">
        <f>SUMIF(RawDataTotal!$B:$B,$A37,RawDataTotal!BQ:BQ)</f>
        <v>0</v>
      </c>
      <c r="BO37">
        <f>SUMIF(RawDataTotal!$B:$B,$A37,RawDataTotal!BR:BR)</f>
        <v>0</v>
      </c>
      <c r="BP37">
        <f>SUMIF(RawDataTotal!$B:$B,$A37,RawDataTotal!BS:BS)</f>
        <v>0</v>
      </c>
      <c r="BQ37">
        <f>SUMIF(RawDataTotal!$B:$B,$A37,RawDataTotal!BT:BT)</f>
        <v>0</v>
      </c>
      <c r="BR37">
        <f>SUMIF(RawDataTotal!$B:$B,$A37,RawDataTotal!BU:BU)</f>
        <v>0</v>
      </c>
      <c r="BS37">
        <f>SUMIF(RawDataTotal!$B:$B,$A37,RawDataTotal!BV:BV)</f>
        <v>0</v>
      </c>
      <c r="BT37">
        <f>SUMIF(RawDataTotal!$B:$B,$A37,RawDataTotal!BW:BW)</f>
        <v>0</v>
      </c>
    </row>
    <row r="38" spans="1:72" ht="15" thickBot="1" x14ac:dyDescent="0.35">
      <c r="A38" s="4" t="s">
        <v>82</v>
      </c>
      <c r="B38">
        <f>SUMIF(RawDataTotal!$B:$B,$A38,RawDataTotal!E:E)</f>
        <v>0</v>
      </c>
      <c r="C38">
        <f>SUMIF(RawDataTotal!$B:$B,$A38,RawDataTotal!F:F)</f>
        <v>0</v>
      </c>
      <c r="D38">
        <f>SUMIF(RawDataTotal!$B:$B,$A38,RawDataTotal!G:G)</f>
        <v>0</v>
      </c>
      <c r="E38">
        <f>SUMIF(RawDataTotal!$B:$B,$A38,RawDataTotal!H:H)</f>
        <v>0</v>
      </c>
      <c r="F38">
        <f>SUMIF(RawDataTotal!$B:$B,$A38,RawDataTotal!I:I)</f>
        <v>0</v>
      </c>
      <c r="G38">
        <f>SUMIF(RawDataTotal!$B:$B,$A38,RawDataTotal!J:J)</f>
        <v>0</v>
      </c>
      <c r="H38">
        <f>SUMIF(RawDataTotal!$B:$B,$A38,RawDataTotal!K:K)</f>
        <v>0</v>
      </c>
      <c r="I38">
        <f>SUMIF(RawDataTotal!$B:$B,$A38,RawDataTotal!L:L)</f>
        <v>4</v>
      </c>
      <c r="J38">
        <f>SUMIF(RawDataTotal!$B:$B,$A38,RawDataTotal!M:M)</f>
        <v>4</v>
      </c>
      <c r="K38">
        <f>SUMIF(RawDataTotal!$B:$B,$A38,RawDataTotal!N:N)</f>
        <v>4</v>
      </c>
      <c r="L38">
        <f>SUMIF(RawDataTotal!$B:$B,$A38,RawDataTotal!O:O)</f>
        <v>4</v>
      </c>
      <c r="M38">
        <f>SUMIF(RawDataTotal!$B:$B,$A38,RawDataTotal!P:P)</f>
        <v>5</v>
      </c>
      <c r="N38">
        <f>SUMIF(RawDataTotal!$B:$B,$A38,RawDataTotal!Q:Q)</f>
        <v>5</v>
      </c>
      <c r="O38">
        <f>SUMIF(RawDataTotal!$B:$B,$A38,RawDataTotal!R:R)</f>
        <v>5</v>
      </c>
      <c r="P38">
        <f>SUMIF(RawDataTotal!$B:$B,$A38,RawDataTotal!S:S)</f>
        <v>5</v>
      </c>
      <c r="Q38">
        <f>SUMIF(RawDataTotal!$B:$B,$A38,RawDataTotal!T:T)</f>
        <v>5</v>
      </c>
      <c r="R38">
        <f>SUMIF(RawDataTotal!$B:$B,$A38,RawDataTotal!U:U)</f>
        <v>5</v>
      </c>
      <c r="S38">
        <f>SUMIF(RawDataTotal!$B:$B,$A38,RawDataTotal!V:V)</f>
        <v>7</v>
      </c>
      <c r="T38">
        <f>SUMIF(RawDataTotal!$B:$B,$A38,RawDataTotal!W:W)</f>
        <v>7</v>
      </c>
      <c r="U38">
        <f>SUMIF(RawDataTotal!$B:$B,$A38,RawDataTotal!X:X)</f>
        <v>8</v>
      </c>
      <c r="V38">
        <f>SUMIF(RawDataTotal!$B:$B,$A38,RawDataTotal!Y:Y)</f>
        <v>8</v>
      </c>
      <c r="W38">
        <f>SUMIF(RawDataTotal!$B:$B,$A38,RawDataTotal!Z:Z)</f>
        <v>8</v>
      </c>
      <c r="X38">
        <f>SUMIF(RawDataTotal!$B:$B,$A38,RawDataTotal!AA:AA)</f>
        <v>8</v>
      </c>
      <c r="Y38">
        <f>SUMIF(RawDataTotal!$B:$B,$A38,RawDataTotal!AB:AB)</f>
        <v>8</v>
      </c>
      <c r="Z38">
        <f>SUMIF(RawDataTotal!$B:$B,$A38,RawDataTotal!AC:AC)</f>
        <v>8</v>
      </c>
      <c r="AA38">
        <f>SUMIF(RawDataTotal!$B:$B,$A38,RawDataTotal!AD:AD)</f>
        <v>9</v>
      </c>
      <c r="AB38">
        <f>SUMIF(RawDataTotal!$B:$B,$A38,RawDataTotal!AE:AE)</f>
        <v>9</v>
      </c>
      <c r="AC38">
        <f>SUMIF(RawDataTotal!$B:$B,$A38,RawDataTotal!AF:AF)</f>
        <v>9</v>
      </c>
      <c r="AD38">
        <f>SUMIF(RawDataTotal!$B:$B,$A38,RawDataTotal!AG:AG)</f>
        <v>9</v>
      </c>
      <c r="AE38">
        <f>SUMIF(RawDataTotal!$B:$B,$A38,RawDataTotal!AH:AH)</f>
        <v>9</v>
      </c>
      <c r="AF38">
        <f>SUMIF(RawDataTotal!$B:$B,$A38,RawDataTotal!AI:AI)</f>
        <v>9</v>
      </c>
      <c r="AG38">
        <f>SUMIF(RawDataTotal!$B:$B,$A38,RawDataTotal!AJ:AJ)</f>
        <v>13</v>
      </c>
      <c r="AH38">
        <f>SUMIF(RawDataTotal!$B:$B,$A38,RawDataTotal!AK:AK)</f>
        <v>13</v>
      </c>
      <c r="AI38">
        <f>SUMIF(RawDataTotal!$B:$B,$A38,RawDataTotal!AL:AL)</f>
        <v>13</v>
      </c>
      <c r="AJ38">
        <f>SUMIF(RawDataTotal!$B:$B,$A38,RawDataTotal!AM:AM)</f>
        <v>13</v>
      </c>
      <c r="AK38">
        <f>SUMIF(RawDataTotal!$B:$B,$A38,RawDataTotal!AN:AN)</f>
        <v>13</v>
      </c>
      <c r="AL38">
        <f>SUMIF(RawDataTotal!$B:$B,$A38,RawDataTotal!AO:AO)</f>
        <v>13</v>
      </c>
      <c r="AM38">
        <f>SUMIF(RawDataTotal!$B:$B,$A38,RawDataTotal!AP:AP)</f>
        <v>19</v>
      </c>
      <c r="AN38">
        <f>SUMIF(RawDataTotal!$B:$B,$A38,RawDataTotal!AQ:AQ)</f>
        <v>21</v>
      </c>
      <c r="AO38">
        <f>SUMIF(RawDataTotal!$B:$B,$A38,RawDataTotal!AR:AR)</f>
        <v>21</v>
      </c>
      <c r="AP38">
        <f>SUMIF(RawDataTotal!$B:$B,$A38,RawDataTotal!AS:AS)</f>
        <v>21</v>
      </c>
      <c r="AQ38">
        <f>SUMIF(RawDataTotal!$B:$B,$A38,RawDataTotal!AT:AT)</f>
        <v>27</v>
      </c>
      <c r="AR38">
        <f>SUMIF(RawDataTotal!$B:$B,$A38,RawDataTotal!AU:AU)</f>
        <v>27</v>
      </c>
      <c r="AS38">
        <f>SUMIF(RawDataTotal!$B:$B,$A38,RawDataTotal!AV:AV)</f>
        <v>29</v>
      </c>
      <c r="AT38">
        <f>SUMIF(RawDataTotal!$B:$B,$A38,RawDataTotal!AW:AW)</f>
        <v>29</v>
      </c>
      <c r="AU38">
        <f>SUMIF(RawDataTotal!$B:$B,$A38,RawDataTotal!AX:AX)</f>
        <v>45</v>
      </c>
      <c r="AV38">
        <f>SUMIF(RawDataTotal!$B:$B,$A38,RawDataTotal!AY:AY)</f>
        <v>45</v>
      </c>
      <c r="AW38">
        <f>SUMIF(RawDataTotal!$B:$B,$A38,RawDataTotal!AZ:AZ)</f>
        <v>45</v>
      </c>
      <c r="AX38">
        <f>SUMIF(RawDataTotal!$B:$B,$A38,RawDataTotal!BA:BA)</f>
        <v>74</v>
      </c>
      <c r="AY38">
        <f>SUMIF(RawDataTotal!$B:$B,$A38,RawDataTotal!BB:BB)</f>
        <v>74</v>
      </c>
      <c r="AZ38">
        <f>SUMIF(RawDataTotal!$B:$B,$A38,RawDataTotal!BC:BC)</f>
        <v>85</v>
      </c>
      <c r="BA38">
        <f>SUMIF(RawDataTotal!$B:$B,$A38,RawDataTotal!BD:BD)</f>
        <v>85</v>
      </c>
      <c r="BB38">
        <f>SUMIF(RawDataTotal!$B:$B,$A38,RawDataTotal!BE:BE)</f>
        <v>85</v>
      </c>
      <c r="BC38">
        <f>SUMIF(RawDataTotal!$B:$B,$A38,RawDataTotal!BF:BF)</f>
        <v>98</v>
      </c>
      <c r="BD38">
        <f>SUMIF(RawDataTotal!$B:$B,$A38,RawDataTotal!BG:BG)</f>
        <v>98</v>
      </c>
      <c r="BE38">
        <f>SUMIF(RawDataTotal!$B:$B,$A38,RawDataTotal!BH:BH)</f>
        <v>98</v>
      </c>
      <c r="BF38">
        <f>SUMIF(RawDataTotal!$B:$B,$A38,RawDataTotal!BI:BI)</f>
        <v>0</v>
      </c>
      <c r="BG38">
        <f>SUMIF(RawDataTotal!$B:$B,$A38,RawDataTotal!BJ:BJ)</f>
        <v>0</v>
      </c>
      <c r="BH38">
        <f>SUMIF(RawDataTotal!$B:$B,$A38,RawDataTotal!BK:BK)</f>
        <v>0</v>
      </c>
      <c r="BI38">
        <f>SUMIF(RawDataTotal!$B:$B,$A38,RawDataTotal!BL:BL)</f>
        <v>0</v>
      </c>
      <c r="BJ38">
        <f>SUMIF(RawDataTotal!$B:$B,$A38,RawDataTotal!BM:BM)</f>
        <v>0</v>
      </c>
      <c r="BK38">
        <f>SUMIF(RawDataTotal!$B:$B,$A38,RawDataTotal!BN:BN)</f>
        <v>0</v>
      </c>
      <c r="BL38">
        <f>SUMIF(RawDataTotal!$B:$B,$A38,RawDataTotal!BO:BO)</f>
        <v>0</v>
      </c>
      <c r="BM38">
        <f>SUMIF(RawDataTotal!$B:$B,$A38,RawDataTotal!BP:BP)</f>
        <v>0</v>
      </c>
      <c r="BN38">
        <f>SUMIF(RawDataTotal!$B:$B,$A38,RawDataTotal!BQ:BQ)</f>
        <v>0</v>
      </c>
      <c r="BO38">
        <f>SUMIF(RawDataTotal!$B:$B,$A38,RawDataTotal!BR:BR)</f>
        <v>0</v>
      </c>
      <c r="BP38">
        <f>SUMIF(RawDataTotal!$B:$B,$A38,RawDataTotal!BS:BS)</f>
        <v>0</v>
      </c>
      <c r="BQ38">
        <f>SUMIF(RawDataTotal!$B:$B,$A38,RawDataTotal!BT:BT)</f>
        <v>0</v>
      </c>
      <c r="BR38">
        <f>SUMIF(RawDataTotal!$B:$B,$A38,RawDataTotal!BU:BU)</f>
        <v>0</v>
      </c>
      <c r="BS38">
        <f>SUMIF(RawDataTotal!$B:$B,$A38,RawDataTotal!BV:BV)</f>
        <v>0</v>
      </c>
      <c r="BT38">
        <f>SUMIF(RawDataTotal!$B:$B,$A38,RawDataTotal!BW:BW)</f>
        <v>0</v>
      </c>
    </row>
    <row r="39" spans="1:72" ht="15" thickBot="1" x14ac:dyDescent="0.35">
      <c r="A39" s="4" t="s">
        <v>84</v>
      </c>
      <c r="B39">
        <f>SUMIF(RawDataTotal!$B:$B,$A39,RawDataTotal!E:E)</f>
        <v>0</v>
      </c>
      <c r="C39">
        <f>SUMIF(RawDataTotal!$B:$B,$A39,RawDataTotal!F:F)</f>
        <v>0</v>
      </c>
      <c r="D39">
        <f>SUMIF(RawDataTotal!$B:$B,$A39,RawDataTotal!G:G)</f>
        <v>0</v>
      </c>
      <c r="E39">
        <f>SUMIF(RawDataTotal!$B:$B,$A39,RawDataTotal!H:H)</f>
        <v>0</v>
      </c>
      <c r="F39">
        <f>SUMIF(RawDataTotal!$B:$B,$A39,RawDataTotal!I:I)</f>
        <v>0</v>
      </c>
      <c r="G39">
        <f>SUMIF(RawDataTotal!$B:$B,$A39,RawDataTotal!J:J)</f>
        <v>0</v>
      </c>
      <c r="H39">
        <f>SUMIF(RawDataTotal!$B:$B,$A39,RawDataTotal!K:K)</f>
        <v>0</v>
      </c>
      <c r="I39">
        <f>SUMIF(RawDataTotal!$B:$B,$A39,RawDataTotal!L:L)</f>
        <v>0</v>
      </c>
      <c r="J39">
        <f>SUMIF(RawDataTotal!$B:$B,$A39,RawDataTotal!M:M)</f>
        <v>1</v>
      </c>
      <c r="K39">
        <f>SUMIF(RawDataTotal!$B:$B,$A39,RawDataTotal!N:N)</f>
        <v>1</v>
      </c>
      <c r="L39">
        <f>SUMIF(RawDataTotal!$B:$B,$A39,RawDataTotal!O:O)</f>
        <v>1</v>
      </c>
      <c r="M39">
        <f>SUMIF(RawDataTotal!$B:$B,$A39,RawDataTotal!P:P)</f>
        <v>2</v>
      </c>
      <c r="N39">
        <f>SUMIF(RawDataTotal!$B:$B,$A39,RawDataTotal!Q:Q)</f>
        <v>3</v>
      </c>
      <c r="O39">
        <f>SUMIF(RawDataTotal!$B:$B,$A39,RawDataTotal!R:R)</f>
        <v>3</v>
      </c>
      <c r="P39">
        <f>SUMIF(RawDataTotal!$B:$B,$A39,RawDataTotal!S:S)</f>
        <v>3</v>
      </c>
      <c r="Q39">
        <f>SUMIF(RawDataTotal!$B:$B,$A39,RawDataTotal!T:T)</f>
        <v>3</v>
      </c>
      <c r="R39">
        <f>SUMIF(RawDataTotal!$B:$B,$A39,RawDataTotal!U:U)</f>
        <v>3</v>
      </c>
      <c r="S39">
        <f>SUMIF(RawDataTotal!$B:$B,$A39,RawDataTotal!V:V)</f>
        <v>3</v>
      </c>
      <c r="T39">
        <f>SUMIF(RawDataTotal!$B:$B,$A39,RawDataTotal!W:W)</f>
        <v>3</v>
      </c>
      <c r="U39">
        <f>SUMIF(RawDataTotal!$B:$B,$A39,RawDataTotal!X:X)</f>
        <v>3</v>
      </c>
      <c r="V39">
        <f>SUMIF(RawDataTotal!$B:$B,$A39,RawDataTotal!Y:Y)</f>
        <v>3</v>
      </c>
      <c r="W39">
        <f>SUMIF(RawDataTotal!$B:$B,$A39,RawDataTotal!Z:Z)</f>
        <v>3</v>
      </c>
      <c r="X39">
        <f>SUMIF(RawDataTotal!$B:$B,$A39,RawDataTotal!AA:AA)</f>
        <v>3</v>
      </c>
      <c r="Y39">
        <f>SUMIF(RawDataTotal!$B:$B,$A39,RawDataTotal!AB:AB)</f>
        <v>3</v>
      </c>
      <c r="Z39">
        <f>SUMIF(RawDataTotal!$B:$B,$A39,RawDataTotal!AC:AC)</f>
        <v>3</v>
      </c>
      <c r="AA39">
        <f>SUMIF(RawDataTotal!$B:$B,$A39,RawDataTotal!AD:AD)</f>
        <v>3</v>
      </c>
      <c r="AB39">
        <f>SUMIF(RawDataTotal!$B:$B,$A39,RawDataTotal!AE:AE)</f>
        <v>3</v>
      </c>
      <c r="AC39">
        <f>SUMIF(RawDataTotal!$B:$B,$A39,RawDataTotal!AF:AF)</f>
        <v>3</v>
      </c>
      <c r="AD39">
        <f>SUMIF(RawDataTotal!$B:$B,$A39,RawDataTotal!AG:AG)</f>
        <v>3</v>
      </c>
      <c r="AE39">
        <f>SUMIF(RawDataTotal!$B:$B,$A39,RawDataTotal!AH:AH)</f>
        <v>3</v>
      </c>
      <c r="AF39">
        <f>SUMIF(RawDataTotal!$B:$B,$A39,RawDataTotal!AI:AI)</f>
        <v>3</v>
      </c>
      <c r="AG39">
        <f>SUMIF(RawDataTotal!$B:$B,$A39,RawDataTotal!AJ:AJ)</f>
        <v>3</v>
      </c>
      <c r="AH39">
        <f>SUMIF(RawDataTotal!$B:$B,$A39,RawDataTotal!AK:AK)</f>
        <v>3</v>
      </c>
      <c r="AI39">
        <f>SUMIF(RawDataTotal!$B:$B,$A39,RawDataTotal!AL:AL)</f>
        <v>3</v>
      </c>
      <c r="AJ39">
        <f>SUMIF(RawDataTotal!$B:$B,$A39,RawDataTotal!AM:AM)</f>
        <v>3</v>
      </c>
      <c r="AK39">
        <f>SUMIF(RawDataTotal!$B:$B,$A39,RawDataTotal!AN:AN)</f>
        <v>3</v>
      </c>
      <c r="AL39">
        <f>SUMIF(RawDataTotal!$B:$B,$A39,RawDataTotal!AO:AO)</f>
        <v>3</v>
      </c>
      <c r="AM39">
        <f>SUMIF(RawDataTotal!$B:$B,$A39,RawDataTotal!AP:AP)</f>
        <v>3</v>
      </c>
      <c r="AN39">
        <f>SUMIF(RawDataTotal!$B:$B,$A39,RawDataTotal!AQ:AQ)</f>
        <v>3</v>
      </c>
      <c r="AO39">
        <f>SUMIF(RawDataTotal!$B:$B,$A39,RawDataTotal!AR:AR)</f>
        <v>3</v>
      </c>
      <c r="AP39">
        <f>SUMIF(RawDataTotal!$B:$B,$A39,RawDataTotal!AS:AS)</f>
        <v>5</v>
      </c>
      <c r="AQ39">
        <f>SUMIF(RawDataTotal!$B:$B,$A39,RawDataTotal!AT:AT)</f>
        <v>5</v>
      </c>
      <c r="AR39">
        <f>SUMIF(RawDataTotal!$B:$B,$A39,RawDataTotal!AU:AU)</f>
        <v>28</v>
      </c>
      <c r="AS39">
        <f>SUMIF(RawDataTotal!$B:$B,$A39,RawDataTotal!AV:AV)</f>
        <v>30</v>
      </c>
      <c r="AT39">
        <f>SUMIF(RawDataTotal!$B:$B,$A39,RawDataTotal!AW:AW)</f>
        <v>31</v>
      </c>
      <c r="AU39">
        <f>SUMIF(RawDataTotal!$B:$B,$A39,RawDataTotal!AX:AX)</f>
        <v>34</v>
      </c>
      <c r="AV39">
        <f>SUMIF(RawDataTotal!$B:$B,$A39,RawDataTotal!AY:AY)</f>
        <v>39</v>
      </c>
      <c r="AW39">
        <f>SUMIF(RawDataTotal!$B:$B,$A39,RawDataTotal!AZ:AZ)</f>
        <v>43</v>
      </c>
      <c r="AX39">
        <f>SUMIF(RawDataTotal!$B:$B,$A39,RawDataTotal!BA:BA)</f>
        <v>56</v>
      </c>
      <c r="AY39">
        <f>SUMIF(RawDataTotal!$B:$B,$A39,RawDataTotal!BB:BB)</f>
        <v>62</v>
      </c>
      <c r="AZ39">
        <f>SUMIF(RawDataTotal!$B:$B,$A39,RawDataTotal!BC:BC)</f>
        <v>73</v>
      </c>
      <c r="BA39">
        <f>SUMIF(RawDataTotal!$B:$B,$A39,RawDataTotal!BD:BD)</f>
        <v>82</v>
      </c>
      <c r="BB39">
        <f>SUMIF(RawDataTotal!$B:$B,$A39,RawDataTotal!BE:BE)</f>
        <v>102</v>
      </c>
      <c r="BC39">
        <f>SUMIF(RawDataTotal!$B:$B,$A39,RawDataTotal!BF:BF)</f>
        <v>113</v>
      </c>
      <c r="BD39">
        <f>SUMIF(RawDataTotal!$B:$B,$A39,RawDataTotal!BG:BG)</f>
        <v>119</v>
      </c>
      <c r="BE39">
        <f>SUMIF(RawDataTotal!$B:$B,$A39,RawDataTotal!BH:BH)</f>
        <v>142</v>
      </c>
      <c r="BF39">
        <f>SUMIF(RawDataTotal!$B:$B,$A39,RawDataTotal!BI:BI)</f>
        <v>0</v>
      </c>
      <c r="BG39">
        <f>SUMIF(RawDataTotal!$B:$B,$A39,RawDataTotal!BJ:BJ)</f>
        <v>0</v>
      </c>
      <c r="BH39">
        <f>SUMIF(RawDataTotal!$B:$B,$A39,RawDataTotal!BK:BK)</f>
        <v>0</v>
      </c>
      <c r="BI39">
        <f>SUMIF(RawDataTotal!$B:$B,$A39,RawDataTotal!BL:BL)</f>
        <v>0</v>
      </c>
      <c r="BJ39">
        <f>SUMIF(RawDataTotal!$B:$B,$A39,RawDataTotal!BM:BM)</f>
        <v>0</v>
      </c>
      <c r="BK39">
        <f>SUMIF(RawDataTotal!$B:$B,$A39,RawDataTotal!BN:BN)</f>
        <v>0</v>
      </c>
      <c r="BL39">
        <f>SUMIF(RawDataTotal!$B:$B,$A39,RawDataTotal!BO:BO)</f>
        <v>0</v>
      </c>
      <c r="BM39">
        <f>SUMIF(RawDataTotal!$B:$B,$A39,RawDataTotal!BP:BP)</f>
        <v>0</v>
      </c>
      <c r="BN39">
        <f>SUMIF(RawDataTotal!$B:$B,$A39,RawDataTotal!BQ:BQ)</f>
        <v>0</v>
      </c>
      <c r="BO39">
        <f>SUMIF(RawDataTotal!$B:$B,$A39,RawDataTotal!BR:BR)</f>
        <v>0</v>
      </c>
      <c r="BP39">
        <f>SUMIF(RawDataTotal!$B:$B,$A39,RawDataTotal!BS:BS)</f>
        <v>0</v>
      </c>
      <c r="BQ39">
        <f>SUMIF(RawDataTotal!$B:$B,$A39,RawDataTotal!BT:BT)</f>
        <v>0</v>
      </c>
      <c r="BR39">
        <f>SUMIF(RawDataTotal!$B:$B,$A39,RawDataTotal!BU:BU)</f>
        <v>0</v>
      </c>
      <c r="BS39">
        <f>SUMIF(RawDataTotal!$B:$B,$A39,RawDataTotal!BV:BV)</f>
        <v>0</v>
      </c>
      <c r="BT39">
        <f>SUMIF(RawDataTotal!$B:$B,$A39,RawDataTotal!BW:BW)</f>
        <v>0</v>
      </c>
    </row>
    <row r="40" spans="1:72" ht="15" thickBot="1" x14ac:dyDescent="0.35">
      <c r="A40" s="4" t="s">
        <v>92</v>
      </c>
      <c r="B40">
        <f>SUMIF(RawDataTotal!$B:$B,$A40,RawDataTotal!E:E)</f>
        <v>0</v>
      </c>
      <c r="C40">
        <f>SUMIF(RawDataTotal!$B:$B,$A40,RawDataTotal!F:F)</f>
        <v>0</v>
      </c>
      <c r="D40">
        <f>SUMIF(RawDataTotal!$B:$B,$A40,RawDataTotal!G:G)</f>
        <v>0</v>
      </c>
      <c r="E40">
        <f>SUMIF(RawDataTotal!$B:$B,$A40,RawDataTotal!H:H)</f>
        <v>0</v>
      </c>
      <c r="F40">
        <f>SUMIF(RawDataTotal!$B:$B,$A40,RawDataTotal!I:I)</f>
        <v>0</v>
      </c>
      <c r="G40">
        <f>SUMIF(RawDataTotal!$B:$B,$A40,RawDataTotal!J:J)</f>
        <v>0</v>
      </c>
      <c r="H40">
        <f>SUMIF(RawDataTotal!$B:$B,$A40,RawDataTotal!K:K)</f>
        <v>0</v>
      </c>
      <c r="I40">
        <f>SUMIF(RawDataTotal!$B:$B,$A40,RawDataTotal!L:L)</f>
        <v>0</v>
      </c>
      <c r="J40">
        <f>SUMIF(RawDataTotal!$B:$B,$A40,RawDataTotal!M:M)</f>
        <v>0</v>
      </c>
      <c r="K40">
        <f>SUMIF(RawDataTotal!$B:$B,$A40,RawDataTotal!N:N)</f>
        <v>0</v>
      </c>
      <c r="L40">
        <f>SUMIF(RawDataTotal!$B:$B,$A40,RawDataTotal!O:O)</f>
        <v>0</v>
      </c>
      <c r="M40">
        <f>SUMIF(RawDataTotal!$B:$B,$A40,RawDataTotal!P:P)</f>
        <v>0</v>
      </c>
      <c r="N40">
        <f>SUMIF(RawDataTotal!$B:$B,$A40,RawDataTotal!Q:Q)</f>
        <v>0</v>
      </c>
      <c r="O40">
        <f>SUMIF(RawDataTotal!$B:$B,$A40,RawDataTotal!R:R)</f>
        <v>0</v>
      </c>
      <c r="P40">
        <f>SUMIF(RawDataTotal!$B:$B,$A40,RawDataTotal!S:S)</f>
        <v>0</v>
      </c>
      <c r="Q40">
        <f>SUMIF(RawDataTotal!$B:$B,$A40,RawDataTotal!T:T)</f>
        <v>0</v>
      </c>
      <c r="R40">
        <f>SUMIF(RawDataTotal!$B:$B,$A40,RawDataTotal!U:U)</f>
        <v>0</v>
      </c>
      <c r="S40">
        <f>SUMIF(RawDataTotal!$B:$B,$A40,RawDataTotal!V:V)</f>
        <v>0</v>
      </c>
      <c r="T40">
        <f>SUMIF(RawDataTotal!$B:$B,$A40,RawDataTotal!W:W)</f>
        <v>0</v>
      </c>
      <c r="U40">
        <f>SUMIF(RawDataTotal!$B:$B,$A40,RawDataTotal!X:X)</f>
        <v>0</v>
      </c>
      <c r="V40">
        <f>SUMIF(RawDataTotal!$B:$B,$A40,RawDataTotal!Y:Y)</f>
        <v>0</v>
      </c>
      <c r="W40">
        <f>SUMIF(RawDataTotal!$B:$B,$A40,RawDataTotal!Z:Z)</f>
        <v>0</v>
      </c>
      <c r="X40">
        <f>SUMIF(RawDataTotal!$B:$B,$A40,RawDataTotal!AA:AA)</f>
        <v>0</v>
      </c>
      <c r="Y40">
        <f>SUMIF(RawDataTotal!$B:$B,$A40,RawDataTotal!AB:AB)</f>
        <v>1</v>
      </c>
      <c r="Z40">
        <f>SUMIF(RawDataTotal!$B:$B,$A40,RawDataTotal!AC:AC)</f>
        <v>1</v>
      </c>
      <c r="AA40">
        <f>SUMIF(RawDataTotal!$B:$B,$A40,RawDataTotal!AD:AD)</f>
        <v>1</v>
      </c>
      <c r="AB40">
        <f>SUMIF(RawDataTotal!$B:$B,$A40,RawDataTotal!AE:AE)</f>
        <v>1</v>
      </c>
      <c r="AC40">
        <f>SUMIF(RawDataTotal!$B:$B,$A40,RawDataTotal!AF:AF)</f>
        <v>1</v>
      </c>
      <c r="AD40">
        <f>SUMIF(RawDataTotal!$B:$B,$A40,RawDataTotal!AG:AG)</f>
        <v>1</v>
      </c>
      <c r="AE40">
        <f>SUMIF(RawDataTotal!$B:$B,$A40,RawDataTotal!AH:AH)</f>
        <v>1</v>
      </c>
      <c r="AF40">
        <f>SUMIF(RawDataTotal!$B:$B,$A40,RawDataTotal!AI:AI)</f>
        <v>1</v>
      </c>
      <c r="AG40">
        <f>SUMIF(RawDataTotal!$B:$B,$A40,RawDataTotal!AJ:AJ)</f>
        <v>1</v>
      </c>
      <c r="AH40">
        <f>SUMIF(RawDataTotal!$B:$B,$A40,RawDataTotal!AK:AK)</f>
        <v>1</v>
      </c>
      <c r="AI40">
        <f>SUMIF(RawDataTotal!$B:$B,$A40,RawDataTotal!AL:AL)</f>
        <v>1</v>
      </c>
      <c r="AJ40">
        <f>SUMIF(RawDataTotal!$B:$B,$A40,RawDataTotal!AM:AM)</f>
        <v>1</v>
      </c>
      <c r="AK40">
        <f>SUMIF(RawDataTotal!$B:$B,$A40,RawDataTotal!AN:AN)</f>
        <v>1</v>
      </c>
      <c r="AL40">
        <f>SUMIF(RawDataTotal!$B:$B,$A40,RawDataTotal!AO:AO)</f>
        <v>1</v>
      </c>
      <c r="AM40">
        <f>SUMIF(RawDataTotal!$B:$B,$A40,RawDataTotal!AP:AP)</f>
        <v>1</v>
      </c>
      <c r="AN40">
        <f>SUMIF(RawDataTotal!$B:$B,$A40,RawDataTotal!AQ:AQ)</f>
        <v>1</v>
      </c>
      <c r="AO40">
        <f>SUMIF(RawDataTotal!$B:$B,$A40,RawDataTotal!AR:AR)</f>
        <v>2</v>
      </c>
      <c r="AP40">
        <f>SUMIF(RawDataTotal!$B:$B,$A40,RawDataTotal!AS:AS)</f>
        <v>2</v>
      </c>
      <c r="AQ40">
        <f>SUMIF(RawDataTotal!$B:$B,$A40,RawDataTotal!AT:AT)</f>
        <v>2</v>
      </c>
      <c r="AR40">
        <f>SUMIF(RawDataTotal!$B:$B,$A40,RawDataTotal!AU:AU)</f>
        <v>2</v>
      </c>
      <c r="AS40">
        <f>SUMIF(RawDataTotal!$B:$B,$A40,RawDataTotal!AV:AV)</f>
        <v>3</v>
      </c>
      <c r="AT40">
        <f>SUMIF(RawDataTotal!$B:$B,$A40,RawDataTotal!AW:AW)</f>
        <v>15</v>
      </c>
      <c r="AU40">
        <f>SUMIF(RawDataTotal!$B:$B,$A40,RawDataTotal!AX:AX)</f>
        <v>15</v>
      </c>
      <c r="AV40">
        <f>SUMIF(RawDataTotal!$B:$B,$A40,RawDataTotal!AY:AY)</f>
        <v>49</v>
      </c>
      <c r="AW40">
        <f>SUMIF(RawDataTotal!$B:$B,$A40,RawDataTotal!AZ:AZ)</f>
        <v>55</v>
      </c>
      <c r="AX40">
        <f>SUMIF(RawDataTotal!$B:$B,$A40,RawDataTotal!BA:BA)</f>
        <v>59</v>
      </c>
      <c r="AY40">
        <f>SUMIF(RawDataTotal!$B:$B,$A40,RawDataTotal!BB:BB)</f>
        <v>60</v>
      </c>
      <c r="AZ40">
        <f>SUMIF(RawDataTotal!$B:$B,$A40,RawDataTotal!BC:BC)</f>
        <v>67</v>
      </c>
      <c r="BA40">
        <f>SUMIF(RawDataTotal!$B:$B,$A40,RawDataTotal!BD:BD)</f>
        <v>80</v>
      </c>
      <c r="BB40">
        <f>SUMIF(RawDataTotal!$B:$B,$A40,RawDataTotal!BE:BE)</f>
        <v>109</v>
      </c>
      <c r="BC40">
        <f>SUMIF(RawDataTotal!$B:$B,$A40,RawDataTotal!BF:BF)</f>
        <v>110</v>
      </c>
      <c r="BD40">
        <f>SUMIF(RawDataTotal!$B:$B,$A40,RawDataTotal!BG:BG)</f>
        <v>150</v>
      </c>
      <c r="BE40">
        <f>SUMIF(RawDataTotal!$B:$B,$A40,RawDataTotal!BH:BH)</f>
        <v>196</v>
      </c>
      <c r="BF40">
        <f>SUMIF(RawDataTotal!$B:$B,$A40,RawDataTotal!BI:BI)</f>
        <v>0</v>
      </c>
      <c r="BG40">
        <f>SUMIF(RawDataTotal!$B:$B,$A40,RawDataTotal!BJ:BJ)</f>
        <v>0</v>
      </c>
      <c r="BH40">
        <f>SUMIF(RawDataTotal!$B:$B,$A40,RawDataTotal!BK:BK)</f>
        <v>0</v>
      </c>
      <c r="BI40">
        <f>SUMIF(RawDataTotal!$B:$B,$A40,RawDataTotal!BL:BL)</f>
        <v>0</v>
      </c>
      <c r="BJ40">
        <f>SUMIF(RawDataTotal!$B:$B,$A40,RawDataTotal!BM:BM)</f>
        <v>0</v>
      </c>
      <c r="BK40">
        <f>SUMIF(RawDataTotal!$B:$B,$A40,RawDataTotal!BN:BN)</f>
        <v>0</v>
      </c>
      <c r="BL40">
        <f>SUMIF(RawDataTotal!$B:$B,$A40,RawDataTotal!BO:BO)</f>
        <v>0</v>
      </c>
      <c r="BM40">
        <f>SUMIF(RawDataTotal!$B:$B,$A40,RawDataTotal!BP:BP)</f>
        <v>0</v>
      </c>
      <c r="BN40">
        <f>SUMIF(RawDataTotal!$B:$B,$A40,RawDataTotal!BQ:BQ)</f>
        <v>0</v>
      </c>
      <c r="BO40">
        <f>SUMIF(RawDataTotal!$B:$B,$A40,RawDataTotal!BR:BR)</f>
        <v>0</v>
      </c>
      <c r="BP40">
        <f>SUMIF(RawDataTotal!$B:$B,$A40,RawDataTotal!BS:BS)</f>
        <v>0</v>
      </c>
      <c r="BQ40">
        <f>SUMIF(RawDataTotal!$B:$B,$A40,RawDataTotal!BT:BT)</f>
        <v>0</v>
      </c>
      <c r="BR40">
        <f>SUMIF(RawDataTotal!$B:$B,$A40,RawDataTotal!BU:BU)</f>
        <v>0</v>
      </c>
      <c r="BS40">
        <f>SUMIF(RawDataTotal!$B:$B,$A40,RawDataTotal!BV:BV)</f>
        <v>0</v>
      </c>
      <c r="BT40">
        <f>SUMIF(RawDataTotal!$B:$B,$A40,RawDataTotal!BW:BW)</f>
        <v>0</v>
      </c>
    </row>
    <row r="41" spans="1:72" ht="15" thickBot="1" x14ac:dyDescent="0.35">
      <c r="A41" s="3" t="s">
        <v>101</v>
      </c>
      <c r="B41">
        <f>SUMIF(RawDataTotal!$B:$B,$A41,RawDataTotal!E:E)</f>
        <v>0</v>
      </c>
      <c r="C41">
        <f>SUMIF(RawDataTotal!$B:$B,$A41,RawDataTotal!F:F)</f>
        <v>0</v>
      </c>
      <c r="D41">
        <f>SUMIF(RawDataTotal!$B:$B,$A41,RawDataTotal!G:G)</f>
        <v>0</v>
      </c>
      <c r="E41">
        <f>SUMIF(RawDataTotal!$B:$B,$A41,RawDataTotal!H:H)</f>
        <v>0</v>
      </c>
      <c r="F41">
        <f>SUMIF(RawDataTotal!$B:$B,$A41,RawDataTotal!I:I)</f>
        <v>0</v>
      </c>
      <c r="G41">
        <f>SUMIF(RawDataTotal!$B:$B,$A41,RawDataTotal!J:J)</f>
        <v>0</v>
      </c>
      <c r="H41">
        <f>SUMIF(RawDataTotal!$B:$B,$A41,RawDataTotal!K:K)</f>
        <v>0</v>
      </c>
      <c r="I41">
        <f>SUMIF(RawDataTotal!$B:$B,$A41,RawDataTotal!L:L)</f>
        <v>0</v>
      </c>
      <c r="J41">
        <f>SUMIF(RawDataTotal!$B:$B,$A41,RawDataTotal!M:M)</f>
        <v>0</v>
      </c>
      <c r="K41">
        <f>SUMIF(RawDataTotal!$B:$B,$A41,RawDataTotal!N:N)</f>
        <v>0</v>
      </c>
      <c r="L41">
        <f>SUMIF(RawDataTotal!$B:$B,$A41,RawDataTotal!O:O)</f>
        <v>0</v>
      </c>
      <c r="M41">
        <f>SUMIF(RawDataTotal!$B:$B,$A41,RawDataTotal!P:P)</f>
        <v>0</v>
      </c>
      <c r="N41">
        <f>SUMIF(RawDataTotal!$B:$B,$A41,RawDataTotal!Q:Q)</f>
        <v>0</v>
      </c>
      <c r="O41">
        <f>SUMIF(RawDataTotal!$B:$B,$A41,RawDataTotal!R:R)</f>
        <v>0</v>
      </c>
      <c r="P41">
        <f>SUMIF(RawDataTotal!$B:$B,$A41,RawDataTotal!S:S)</f>
        <v>0</v>
      </c>
      <c r="Q41">
        <f>SUMIF(RawDataTotal!$B:$B,$A41,RawDataTotal!T:T)</f>
        <v>0</v>
      </c>
      <c r="R41">
        <f>SUMIF(RawDataTotal!$B:$B,$A41,RawDataTotal!U:U)</f>
        <v>0</v>
      </c>
      <c r="S41">
        <f>SUMIF(RawDataTotal!$B:$B,$A41,RawDataTotal!V:V)</f>
        <v>0</v>
      </c>
      <c r="T41">
        <f>SUMIF(RawDataTotal!$B:$B,$A41,RawDataTotal!W:W)</f>
        <v>0</v>
      </c>
      <c r="U41">
        <f>SUMIF(RawDataTotal!$B:$B,$A41,RawDataTotal!X:X)</f>
        <v>0</v>
      </c>
      <c r="V41">
        <f>SUMIF(RawDataTotal!$B:$B,$A41,RawDataTotal!Y:Y)</f>
        <v>0</v>
      </c>
      <c r="W41">
        <f>SUMIF(RawDataTotal!$B:$B,$A41,RawDataTotal!Z:Z)</f>
        <v>0</v>
      </c>
      <c r="X41">
        <f>SUMIF(RawDataTotal!$B:$B,$A41,RawDataTotal!AA:AA)</f>
        <v>0</v>
      </c>
      <c r="Y41">
        <f>SUMIF(RawDataTotal!$B:$B,$A41,RawDataTotal!AB:AB)</f>
        <v>0</v>
      </c>
      <c r="Z41">
        <f>SUMIF(RawDataTotal!$B:$B,$A41,RawDataTotal!AC:AC)</f>
        <v>0</v>
      </c>
      <c r="AA41">
        <f>SUMIF(RawDataTotal!$B:$B,$A41,RawDataTotal!AD:AD)</f>
        <v>0</v>
      </c>
      <c r="AB41">
        <f>SUMIF(RawDataTotal!$B:$B,$A41,RawDataTotal!AE:AE)</f>
        <v>0</v>
      </c>
      <c r="AC41">
        <f>SUMIF(RawDataTotal!$B:$B,$A41,RawDataTotal!AF:AF)</f>
        <v>0</v>
      </c>
      <c r="AD41">
        <f>SUMIF(RawDataTotal!$B:$B,$A41,RawDataTotal!AG:AG)</f>
        <v>0</v>
      </c>
      <c r="AE41">
        <f>SUMIF(RawDataTotal!$B:$B,$A41,RawDataTotal!AH:AH)</f>
        <v>0</v>
      </c>
      <c r="AF41">
        <f>SUMIF(RawDataTotal!$B:$B,$A41,RawDataTotal!AI:AI)</f>
        <v>0</v>
      </c>
      <c r="AG41">
        <f>SUMIF(RawDataTotal!$B:$B,$A41,RawDataTotal!AJ:AJ)</f>
        <v>0</v>
      </c>
      <c r="AH41">
        <f>SUMIF(RawDataTotal!$B:$B,$A41,RawDataTotal!AK:AK)</f>
        <v>0</v>
      </c>
      <c r="AI41">
        <f>SUMIF(RawDataTotal!$B:$B,$A41,RawDataTotal!AL:AL)</f>
        <v>1</v>
      </c>
      <c r="AJ41">
        <f>SUMIF(RawDataTotal!$B:$B,$A41,RawDataTotal!AM:AM)</f>
        <v>11</v>
      </c>
      <c r="AK41">
        <f>SUMIF(RawDataTotal!$B:$B,$A41,RawDataTotal!AN:AN)</f>
        <v>26</v>
      </c>
      <c r="AL41">
        <f>SUMIF(RawDataTotal!$B:$B,$A41,RawDataTotal!AO:AO)</f>
        <v>43</v>
      </c>
      <c r="AM41">
        <f>SUMIF(RawDataTotal!$B:$B,$A41,RawDataTotal!AP:AP)</f>
        <v>45</v>
      </c>
      <c r="AN41">
        <f>SUMIF(RawDataTotal!$B:$B,$A41,RawDataTotal!AQ:AQ)</f>
        <v>45</v>
      </c>
      <c r="AO41">
        <f>SUMIF(RawDataTotal!$B:$B,$A41,RawDataTotal!AR:AR)</f>
        <v>45</v>
      </c>
      <c r="AP41">
        <f>SUMIF(RawDataTotal!$B:$B,$A41,RawDataTotal!AS:AS)</f>
        <v>56</v>
      </c>
      <c r="AQ41">
        <f>SUMIF(RawDataTotal!$B:$B,$A41,RawDataTotal!AT:AT)</f>
        <v>56</v>
      </c>
      <c r="AR41">
        <f>SUMIF(RawDataTotal!$B:$B,$A41,RawDataTotal!AU:AU)</f>
        <v>56</v>
      </c>
      <c r="AS41">
        <f>SUMIF(RawDataTotal!$B:$B,$A41,RawDataTotal!AV:AV)</f>
        <v>58</v>
      </c>
      <c r="AT41">
        <f>SUMIF(RawDataTotal!$B:$B,$A41,RawDataTotal!AW:AW)</f>
        <v>58</v>
      </c>
      <c r="AU41">
        <f>SUMIF(RawDataTotal!$B:$B,$A41,RawDataTotal!AX:AX)</f>
        <v>61</v>
      </c>
      <c r="AV41">
        <f>SUMIF(RawDataTotal!$B:$B,$A41,RawDataTotal!AY:AY)</f>
        <v>64</v>
      </c>
      <c r="AW41">
        <f>SUMIF(RawDataTotal!$B:$B,$A41,RawDataTotal!AZ:AZ)</f>
        <v>64</v>
      </c>
      <c r="AX41">
        <f>SUMIF(RawDataTotal!$B:$B,$A41,RawDataTotal!BA:BA)</f>
        <v>69</v>
      </c>
      <c r="AY41">
        <f>SUMIF(RawDataTotal!$B:$B,$A41,RawDataTotal!BB:BB)</f>
        <v>72</v>
      </c>
      <c r="AZ41">
        <f>SUMIF(RawDataTotal!$B:$B,$A41,RawDataTotal!BC:BC)</f>
        <v>80</v>
      </c>
      <c r="BA41">
        <f>SUMIF(RawDataTotal!$B:$B,$A41,RawDataTotal!BD:BD)</f>
        <v>80</v>
      </c>
      <c r="BB41">
        <f>SUMIF(RawDataTotal!$B:$B,$A41,RawDataTotal!BE:BE)</f>
        <v>104</v>
      </c>
      <c r="BC41">
        <f>SUMIF(RawDataTotal!$B:$B,$A41,RawDataTotal!BF:BF)</f>
        <v>112</v>
      </c>
      <c r="BD41">
        <f>SUMIF(RawDataTotal!$B:$B,$A41,RawDataTotal!BG:BG)</f>
        <v>123</v>
      </c>
      <c r="BE41">
        <f>SUMIF(RawDataTotal!$B:$B,$A41,RawDataTotal!BH:BH)</f>
        <v>130</v>
      </c>
      <c r="BF41">
        <f>SUMIF(RawDataTotal!$B:$B,$A41,RawDataTotal!BI:BI)</f>
        <v>0</v>
      </c>
      <c r="BG41">
        <f>SUMIF(RawDataTotal!$B:$B,$A41,RawDataTotal!BJ:BJ)</f>
        <v>0</v>
      </c>
      <c r="BH41">
        <f>SUMIF(RawDataTotal!$B:$B,$A41,RawDataTotal!BK:BK)</f>
        <v>0</v>
      </c>
      <c r="BI41">
        <f>SUMIF(RawDataTotal!$B:$B,$A41,RawDataTotal!BL:BL)</f>
        <v>0</v>
      </c>
      <c r="BJ41">
        <f>SUMIF(RawDataTotal!$B:$B,$A41,RawDataTotal!BM:BM)</f>
        <v>0</v>
      </c>
      <c r="BK41">
        <f>SUMIF(RawDataTotal!$B:$B,$A41,RawDataTotal!BN:BN)</f>
        <v>0</v>
      </c>
      <c r="BL41">
        <f>SUMIF(RawDataTotal!$B:$B,$A41,RawDataTotal!BO:BO)</f>
        <v>0</v>
      </c>
      <c r="BM41">
        <f>SUMIF(RawDataTotal!$B:$B,$A41,RawDataTotal!BP:BP)</f>
        <v>0</v>
      </c>
      <c r="BN41">
        <f>SUMIF(RawDataTotal!$B:$B,$A41,RawDataTotal!BQ:BQ)</f>
        <v>0</v>
      </c>
      <c r="BO41">
        <f>SUMIF(RawDataTotal!$B:$B,$A41,RawDataTotal!BR:BR)</f>
        <v>0</v>
      </c>
      <c r="BP41">
        <f>SUMIF(RawDataTotal!$B:$B,$A41,RawDataTotal!BS:BS)</f>
        <v>0</v>
      </c>
      <c r="BQ41">
        <f>SUMIF(RawDataTotal!$B:$B,$A41,RawDataTotal!BT:BT)</f>
        <v>0</v>
      </c>
      <c r="BR41">
        <f>SUMIF(RawDataTotal!$B:$B,$A41,RawDataTotal!BU:BU)</f>
        <v>0</v>
      </c>
      <c r="BS41">
        <f>SUMIF(RawDataTotal!$B:$B,$A41,RawDataTotal!BV:BV)</f>
        <v>0</v>
      </c>
      <c r="BT41">
        <f>SUMIF(RawDataTotal!$B:$B,$A41,RawDataTotal!BW:BW)</f>
        <v>0</v>
      </c>
    </row>
    <row r="42" spans="1:72" ht="15" thickBot="1" x14ac:dyDescent="0.35">
      <c r="A42" s="4" t="s">
        <v>117</v>
      </c>
      <c r="B42">
        <f>SUMIF(RawDataTotal!$B:$B,$A42,RawDataTotal!E:E)</f>
        <v>0</v>
      </c>
      <c r="C42">
        <f>SUMIF(RawDataTotal!$B:$B,$A42,RawDataTotal!F:F)</f>
        <v>0</v>
      </c>
      <c r="D42">
        <f>SUMIF(RawDataTotal!$B:$B,$A42,RawDataTotal!G:G)</f>
        <v>0</v>
      </c>
      <c r="E42">
        <f>SUMIF(RawDataTotal!$B:$B,$A42,RawDataTotal!H:H)</f>
        <v>0</v>
      </c>
      <c r="F42">
        <f>SUMIF(RawDataTotal!$B:$B,$A42,RawDataTotal!I:I)</f>
        <v>0</v>
      </c>
      <c r="G42">
        <f>SUMIF(RawDataTotal!$B:$B,$A42,RawDataTotal!J:J)</f>
        <v>0</v>
      </c>
      <c r="H42">
        <f>SUMIF(RawDataTotal!$B:$B,$A42,RawDataTotal!K:K)</f>
        <v>0</v>
      </c>
      <c r="I42">
        <f>SUMIF(RawDataTotal!$B:$B,$A42,RawDataTotal!L:L)</f>
        <v>0</v>
      </c>
      <c r="J42">
        <f>SUMIF(RawDataTotal!$B:$B,$A42,RawDataTotal!M:M)</f>
        <v>0</v>
      </c>
      <c r="K42">
        <f>SUMIF(RawDataTotal!$B:$B,$A42,RawDataTotal!N:N)</f>
        <v>0</v>
      </c>
      <c r="L42">
        <f>SUMIF(RawDataTotal!$B:$B,$A42,RawDataTotal!O:O)</f>
        <v>0</v>
      </c>
      <c r="M42">
        <f>SUMIF(RawDataTotal!$B:$B,$A42,RawDataTotal!P:P)</f>
        <v>0</v>
      </c>
      <c r="N42">
        <f>SUMIF(RawDataTotal!$B:$B,$A42,RawDataTotal!Q:Q)</f>
        <v>0</v>
      </c>
      <c r="O42">
        <f>SUMIF(RawDataTotal!$B:$B,$A42,RawDataTotal!R:R)</f>
        <v>0</v>
      </c>
      <c r="P42">
        <f>SUMIF(RawDataTotal!$B:$B,$A42,RawDataTotal!S:S)</f>
        <v>0</v>
      </c>
      <c r="Q42">
        <f>SUMIF(RawDataTotal!$B:$B,$A42,RawDataTotal!T:T)</f>
        <v>0</v>
      </c>
      <c r="R42">
        <f>SUMIF(RawDataTotal!$B:$B,$A42,RawDataTotal!U:U)</f>
        <v>0</v>
      </c>
      <c r="S42">
        <f>SUMIF(RawDataTotal!$B:$B,$A42,RawDataTotal!V:V)</f>
        <v>0</v>
      </c>
      <c r="T42">
        <f>SUMIF(RawDataTotal!$B:$B,$A42,RawDataTotal!W:W)</f>
        <v>0</v>
      </c>
      <c r="U42">
        <f>SUMIF(RawDataTotal!$B:$B,$A42,RawDataTotal!X:X)</f>
        <v>0</v>
      </c>
      <c r="V42">
        <f>SUMIF(RawDataTotal!$B:$B,$A42,RawDataTotal!Y:Y)</f>
        <v>0</v>
      </c>
      <c r="W42">
        <f>SUMIF(RawDataTotal!$B:$B,$A42,RawDataTotal!Z:Z)</f>
        <v>0</v>
      </c>
      <c r="X42">
        <f>SUMIF(RawDataTotal!$B:$B,$A42,RawDataTotal!AA:AA)</f>
        <v>0</v>
      </c>
      <c r="Y42">
        <f>SUMIF(RawDataTotal!$B:$B,$A42,RawDataTotal!AB:AB)</f>
        <v>0</v>
      </c>
      <c r="Z42">
        <f>SUMIF(RawDataTotal!$B:$B,$A42,RawDataTotal!AC:AC)</f>
        <v>0</v>
      </c>
      <c r="AA42">
        <f>SUMIF(RawDataTotal!$B:$B,$A42,RawDataTotal!AD:AD)</f>
        <v>0</v>
      </c>
      <c r="AB42">
        <f>SUMIF(RawDataTotal!$B:$B,$A42,RawDataTotal!AE:AE)</f>
        <v>0</v>
      </c>
      <c r="AC42">
        <f>SUMIF(RawDataTotal!$B:$B,$A42,RawDataTotal!AF:AF)</f>
        <v>0</v>
      </c>
      <c r="AD42">
        <f>SUMIF(RawDataTotal!$B:$B,$A42,RawDataTotal!AG:AG)</f>
        <v>0</v>
      </c>
      <c r="AE42">
        <f>SUMIF(RawDataTotal!$B:$B,$A42,RawDataTotal!AH:AH)</f>
        <v>0</v>
      </c>
      <c r="AF42">
        <f>SUMIF(RawDataTotal!$B:$B,$A42,RawDataTotal!AI:AI)</f>
        <v>0</v>
      </c>
      <c r="AG42">
        <f>SUMIF(RawDataTotal!$B:$B,$A42,RawDataTotal!AJ:AJ)</f>
        <v>0</v>
      </c>
      <c r="AH42">
        <f>SUMIF(RawDataTotal!$B:$B,$A42,RawDataTotal!AK:AK)</f>
        <v>0</v>
      </c>
      <c r="AI42">
        <f>SUMIF(RawDataTotal!$B:$B,$A42,RawDataTotal!AL:AL)</f>
        <v>0</v>
      </c>
      <c r="AJ42">
        <f>SUMIF(RawDataTotal!$B:$B,$A42,RawDataTotal!AM:AM)</f>
        <v>0</v>
      </c>
      <c r="AK42">
        <f>SUMIF(RawDataTotal!$B:$B,$A42,RawDataTotal!AN:AN)</f>
        <v>0</v>
      </c>
      <c r="AL42">
        <f>SUMIF(RawDataTotal!$B:$B,$A42,RawDataTotal!AO:AO)</f>
        <v>1</v>
      </c>
      <c r="AM42">
        <f>SUMIF(RawDataTotal!$B:$B,$A42,RawDataTotal!AP:AP)</f>
        <v>1</v>
      </c>
      <c r="AN42">
        <f>SUMIF(RawDataTotal!$B:$B,$A42,RawDataTotal!AQ:AQ)</f>
        <v>1</v>
      </c>
      <c r="AO42">
        <f>SUMIF(RawDataTotal!$B:$B,$A42,RawDataTotal!AR:AR)</f>
        <v>1</v>
      </c>
      <c r="AP42">
        <f>SUMIF(RawDataTotal!$B:$B,$A42,RawDataTotal!AS:AS)</f>
        <v>8</v>
      </c>
      <c r="AQ42">
        <f>SUMIF(RawDataTotal!$B:$B,$A42,RawDataTotal!AT:AT)</f>
        <v>10</v>
      </c>
      <c r="AR42">
        <f>SUMIF(RawDataTotal!$B:$B,$A42,RawDataTotal!AU:AU)</f>
        <v>16</v>
      </c>
      <c r="AS42">
        <f>SUMIF(RawDataTotal!$B:$B,$A42,RawDataTotal!AV:AV)</f>
        <v>21</v>
      </c>
      <c r="AT42">
        <f>SUMIF(RawDataTotal!$B:$B,$A42,RawDataTotal!AW:AW)</f>
        <v>21</v>
      </c>
      <c r="AU42">
        <f>SUMIF(RawDataTotal!$B:$B,$A42,RawDataTotal!AX:AX)</f>
        <v>23</v>
      </c>
      <c r="AV42">
        <f>SUMIF(RawDataTotal!$B:$B,$A42,RawDataTotal!AY:AY)</f>
        <v>36</v>
      </c>
      <c r="AW42">
        <f>SUMIF(RawDataTotal!$B:$B,$A42,RawDataTotal!AZ:AZ)</f>
        <v>36</v>
      </c>
      <c r="AX42">
        <f>SUMIF(RawDataTotal!$B:$B,$A42,RawDataTotal!BA:BA)</f>
        <v>51</v>
      </c>
      <c r="AY42">
        <f>SUMIF(RawDataTotal!$B:$B,$A42,RawDataTotal!BB:BB)</f>
        <v>62</v>
      </c>
      <c r="AZ42">
        <f>SUMIF(RawDataTotal!$B:$B,$A42,RawDataTotal!BC:BC)</f>
        <v>69</v>
      </c>
      <c r="BA42">
        <f>SUMIF(RawDataTotal!$B:$B,$A42,RawDataTotal!BD:BD)</f>
        <v>80</v>
      </c>
      <c r="BB42">
        <f>SUMIF(RawDataTotal!$B:$B,$A42,RawDataTotal!BE:BE)</f>
        <v>80</v>
      </c>
      <c r="BC42">
        <f>SUMIF(RawDataTotal!$B:$B,$A42,RawDataTotal!BF:BF)</f>
        <v>101</v>
      </c>
      <c r="BD42">
        <f>SUMIF(RawDataTotal!$B:$B,$A42,RawDataTotal!BG:BG)</f>
        <v>109</v>
      </c>
      <c r="BE42">
        <f>SUMIF(RawDataTotal!$B:$B,$A42,RawDataTotal!BH:BH)</f>
        <v>109</v>
      </c>
      <c r="BF42">
        <f>SUMIF(RawDataTotal!$B:$B,$A42,RawDataTotal!BI:BI)</f>
        <v>0</v>
      </c>
      <c r="BG42">
        <f>SUMIF(RawDataTotal!$B:$B,$A42,RawDataTotal!BJ:BJ)</f>
        <v>0</v>
      </c>
      <c r="BH42">
        <f>SUMIF(RawDataTotal!$B:$B,$A42,RawDataTotal!BK:BK)</f>
        <v>0</v>
      </c>
      <c r="BI42">
        <f>SUMIF(RawDataTotal!$B:$B,$A42,RawDataTotal!BL:BL)</f>
        <v>0</v>
      </c>
      <c r="BJ42">
        <f>SUMIF(RawDataTotal!$B:$B,$A42,RawDataTotal!BM:BM)</f>
        <v>0</v>
      </c>
      <c r="BK42">
        <f>SUMIF(RawDataTotal!$B:$B,$A42,RawDataTotal!BN:BN)</f>
        <v>0</v>
      </c>
      <c r="BL42">
        <f>SUMIF(RawDataTotal!$B:$B,$A42,RawDataTotal!BO:BO)</f>
        <v>0</v>
      </c>
      <c r="BM42">
        <f>SUMIF(RawDataTotal!$B:$B,$A42,RawDataTotal!BP:BP)</f>
        <v>0</v>
      </c>
      <c r="BN42">
        <f>SUMIF(RawDataTotal!$B:$B,$A42,RawDataTotal!BQ:BQ)</f>
        <v>0</v>
      </c>
      <c r="BO42">
        <f>SUMIF(RawDataTotal!$B:$B,$A42,RawDataTotal!BR:BR)</f>
        <v>0</v>
      </c>
      <c r="BP42">
        <f>SUMIF(RawDataTotal!$B:$B,$A42,RawDataTotal!BS:BS)</f>
        <v>0</v>
      </c>
      <c r="BQ42">
        <f>SUMIF(RawDataTotal!$B:$B,$A42,RawDataTotal!BT:BT)</f>
        <v>0</v>
      </c>
      <c r="BR42">
        <f>SUMIF(RawDataTotal!$B:$B,$A42,RawDataTotal!BU:BU)</f>
        <v>0</v>
      </c>
      <c r="BS42">
        <f>SUMIF(RawDataTotal!$B:$B,$A42,RawDataTotal!BV:BV)</f>
        <v>0</v>
      </c>
      <c r="BT42">
        <f>SUMIF(RawDataTotal!$B:$B,$A42,RawDataTotal!BW:BW)</f>
        <v>0</v>
      </c>
    </row>
    <row r="43" spans="1:72" ht="15" thickBot="1" x14ac:dyDescent="0.35">
      <c r="A43" s="4" t="s">
        <v>115</v>
      </c>
      <c r="B43">
        <f>SUMIF(RawDataTotal!$B:$B,$A43,RawDataTotal!E:E)</f>
        <v>0</v>
      </c>
      <c r="C43">
        <f>SUMIF(RawDataTotal!$B:$B,$A43,RawDataTotal!F:F)</f>
        <v>0</v>
      </c>
      <c r="D43">
        <f>SUMIF(RawDataTotal!$B:$B,$A43,RawDataTotal!G:G)</f>
        <v>0</v>
      </c>
      <c r="E43">
        <f>SUMIF(RawDataTotal!$B:$B,$A43,RawDataTotal!H:H)</f>
        <v>0</v>
      </c>
      <c r="F43">
        <f>SUMIF(RawDataTotal!$B:$B,$A43,RawDataTotal!I:I)</f>
        <v>0</v>
      </c>
      <c r="G43">
        <f>SUMIF(RawDataTotal!$B:$B,$A43,RawDataTotal!J:J)</f>
        <v>0</v>
      </c>
      <c r="H43">
        <f>SUMIF(RawDataTotal!$B:$B,$A43,RawDataTotal!K:K)</f>
        <v>0</v>
      </c>
      <c r="I43">
        <f>SUMIF(RawDataTotal!$B:$B,$A43,RawDataTotal!L:L)</f>
        <v>0</v>
      </c>
      <c r="J43">
        <f>SUMIF(RawDataTotal!$B:$B,$A43,RawDataTotal!M:M)</f>
        <v>0</v>
      </c>
      <c r="K43">
        <f>SUMIF(RawDataTotal!$B:$B,$A43,RawDataTotal!N:N)</f>
        <v>0</v>
      </c>
      <c r="L43">
        <f>SUMIF(RawDataTotal!$B:$B,$A43,RawDataTotal!O:O)</f>
        <v>0</v>
      </c>
      <c r="M43">
        <f>SUMIF(RawDataTotal!$B:$B,$A43,RawDataTotal!P:P)</f>
        <v>0</v>
      </c>
      <c r="N43">
        <f>SUMIF(RawDataTotal!$B:$B,$A43,RawDataTotal!Q:Q)</f>
        <v>0</v>
      </c>
      <c r="O43">
        <f>SUMIF(RawDataTotal!$B:$B,$A43,RawDataTotal!R:R)</f>
        <v>0</v>
      </c>
      <c r="P43">
        <f>SUMIF(RawDataTotal!$B:$B,$A43,RawDataTotal!S:S)</f>
        <v>0</v>
      </c>
      <c r="Q43">
        <f>SUMIF(RawDataTotal!$B:$B,$A43,RawDataTotal!T:T)</f>
        <v>0</v>
      </c>
      <c r="R43">
        <f>SUMIF(RawDataTotal!$B:$B,$A43,RawDataTotal!U:U)</f>
        <v>0</v>
      </c>
      <c r="S43">
        <f>SUMIF(RawDataTotal!$B:$B,$A43,RawDataTotal!V:V)</f>
        <v>0</v>
      </c>
      <c r="T43">
        <f>SUMIF(RawDataTotal!$B:$B,$A43,RawDataTotal!W:W)</f>
        <v>0</v>
      </c>
      <c r="U43">
        <f>SUMIF(RawDataTotal!$B:$B,$A43,RawDataTotal!X:X)</f>
        <v>0</v>
      </c>
      <c r="V43">
        <f>SUMIF(RawDataTotal!$B:$B,$A43,RawDataTotal!Y:Y)</f>
        <v>0</v>
      </c>
      <c r="W43">
        <f>SUMIF(RawDataTotal!$B:$B,$A43,RawDataTotal!Z:Z)</f>
        <v>0</v>
      </c>
      <c r="X43">
        <f>SUMIF(RawDataTotal!$B:$B,$A43,RawDataTotal!AA:AA)</f>
        <v>0</v>
      </c>
      <c r="Y43">
        <f>SUMIF(RawDataTotal!$B:$B,$A43,RawDataTotal!AB:AB)</f>
        <v>0</v>
      </c>
      <c r="Z43">
        <f>SUMIF(RawDataTotal!$B:$B,$A43,RawDataTotal!AC:AC)</f>
        <v>0</v>
      </c>
      <c r="AA43">
        <f>SUMIF(RawDataTotal!$B:$B,$A43,RawDataTotal!AD:AD)</f>
        <v>0</v>
      </c>
      <c r="AB43">
        <f>SUMIF(RawDataTotal!$B:$B,$A43,RawDataTotal!AE:AE)</f>
        <v>0</v>
      </c>
      <c r="AC43">
        <f>SUMIF(RawDataTotal!$B:$B,$A43,RawDataTotal!AF:AF)</f>
        <v>0</v>
      </c>
      <c r="AD43">
        <f>SUMIF(RawDataTotal!$B:$B,$A43,RawDataTotal!AG:AG)</f>
        <v>0</v>
      </c>
      <c r="AE43">
        <f>SUMIF(RawDataTotal!$B:$B,$A43,RawDataTotal!AH:AH)</f>
        <v>0</v>
      </c>
      <c r="AF43">
        <f>SUMIF(RawDataTotal!$B:$B,$A43,RawDataTotal!AI:AI)</f>
        <v>0</v>
      </c>
      <c r="AG43">
        <f>SUMIF(RawDataTotal!$B:$B,$A43,RawDataTotal!AJ:AJ)</f>
        <v>0</v>
      </c>
      <c r="AH43">
        <f>SUMIF(RawDataTotal!$B:$B,$A43,RawDataTotal!AK:AK)</f>
        <v>0</v>
      </c>
      <c r="AI43">
        <f>SUMIF(RawDataTotal!$B:$B,$A43,RawDataTotal!AL:AL)</f>
        <v>0</v>
      </c>
      <c r="AJ43">
        <f>SUMIF(RawDataTotal!$B:$B,$A43,RawDataTotal!AM:AM)</f>
        <v>0</v>
      </c>
      <c r="AK43">
        <f>SUMIF(RawDataTotal!$B:$B,$A43,RawDataTotal!AN:AN)</f>
        <v>0</v>
      </c>
      <c r="AL43">
        <f>SUMIF(RawDataTotal!$B:$B,$A43,RawDataTotal!AO:AO)</f>
        <v>1</v>
      </c>
      <c r="AM43">
        <f>SUMIF(RawDataTotal!$B:$B,$A43,RawDataTotal!AP:AP)</f>
        <v>1</v>
      </c>
      <c r="AN43">
        <f>SUMIF(RawDataTotal!$B:$B,$A43,RawDataTotal!AQ:AQ)</f>
        <v>1</v>
      </c>
      <c r="AO43">
        <f>SUMIF(RawDataTotal!$B:$B,$A43,RawDataTotal!AR:AR)</f>
        <v>1</v>
      </c>
      <c r="AP43">
        <f>SUMIF(RawDataTotal!$B:$B,$A43,RawDataTotal!AS:AS)</f>
        <v>1</v>
      </c>
      <c r="AQ43">
        <f>SUMIF(RawDataTotal!$B:$B,$A43,RawDataTotal!AT:AT)</f>
        <v>2</v>
      </c>
      <c r="AR43">
        <f>SUMIF(RawDataTotal!$B:$B,$A43,RawDataTotal!AU:AU)</f>
        <v>2</v>
      </c>
      <c r="AS43">
        <f>SUMIF(RawDataTotal!$B:$B,$A43,RawDataTotal!AV:AV)</f>
        <v>3</v>
      </c>
      <c r="AT43">
        <f>SUMIF(RawDataTotal!$B:$B,$A43,RawDataTotal!AW:AW)</f>
        <v>10</v>
      </c>
      <c r="AU43">
        <f>SUMIF(RawDataTotal!$B:$B,$A43,RawDataTotal!AX:AX)</f>
        <v>10</v>
      </c>
      <c r="AV43">
        <f>SUMIF(RawDataTotal!$B:$B,$A43,RawDataTotal!AY:AY)</f>
        <v>10</v>
      </c>
      <c r="AW43">
        <f>SUMIF(RawDataTotal!$B:$B,$A43,RawDataTotal!AZ:AZ)</f>
        <v>10</v>
      </c>
      <c r="AX43">
        <f>SUMIF(RawDataTotal!$B:$B,$A43,RawDataTotal!BA:BA)</f>
        <v>12</v>
      </c>
      <c r="AY43">
        <f>SUMIF(RawDataTotal!$B:$B,$A43,RawDataTotal!BB:BB)</f>
        <v>16</v>
      </c>
      <c r="AZ43">
        <f>SUMIF(RawDataTotal!$B:$B,$A43,RawDataTotal!BC:BC)</f>
        <v>16</v>
      </c>
      <c r="BA43">
        <f>SUMIF(RawDataTotal!$B:$B,$A43,RawDataTotal!BD:BD)</f>
        <v>79</v>
      </c>
      <c r="BB43">
        <f>SUMIF(RawDataTotal!$B:$B,$A43,RawDataTotal!BE:BE)</f>
        <v>115</v>
      </c>
      <c r="BC43">
        <f>SUMIF(RawDataTotal!$B:$B,$A43,RawDataTotal!BF:BF)</f>
        <v>171</v>
      </c>
      <c r="BD43">
        <f>SUMIF(RawDataTotal!$B:$B,$A43,RawDataTotal!BG:BG)</f>
        <v>205</v>
      </c>
      <c r="BE43">
        <f>SUMIF(RawDataTotal!$B:$B,$A43,RawDataTotal!BH:BH)</f>
        <v>225</v>
      </c>
      <c r="BF43">
        <f>SUMIF(RawDataTotal!$B:$B,$A43,RawDataTotal!BI:BI)</f>
        <v>0</v>
      </c>
      <c r="BG43">
        <f>SUMIF(RawDataTotal!$B:$B,$A43,RawDataTotal!BJ:BJ)</f>
        <v>0</v>
      </c>
      <c r="BH43">
        <f>SUMIF(RawDataTotal!$B:$B,$A43,RawDataTotal!BK:BK)</f>
        <v>0</v>
      </c>
      <c r="BI43">
        <f>SUMIF(RawDataTotal!$B:$B,$A43,RawDataTotal!BL:BL)</f>
        <v>0</v>
      </c>
      <c r="BJ43">
        <f>SUMIF(RawDataTotal!$B:$B,$A43,RawDataTotal!BM:BM)</f>
        <v>0</v>
      </c>
      <c r="BK43">
        <f>SUMIF(RawDataTotal!$B:$B,$A43,RawDataTotal!BN:BN)</f>
        <v>0</v>
      </c>
      <c r="BL43">
        <f>SUMIF(RawDataTotal!$B:$B,$A43,RawDataTotal!BO:BO)</f>
        <v>0</v>
      </c>
      <c r="BM43">
        <f>SUMIF(RawDataTotal!$B:$B,$A43,RawDataTotal!BP:BP)</f>
        <v>0</v>
      </c>
      <c r="BN43">
        <f>SUMIF(RawDataTotal!$B:$B,$A43,RawDataTotal!BQ:BQ)</f>
        <v>0</v>
      </c>
      <c r="BO43">
        <f>SUMIF(RawDataTotal!$B:$B,$A43,RawDataTotal!BR:BR)</f>
        <v>0</v>
      </c>
      <c r="BP43">
        <f>SUMIF(RawDataTotal!$B:$B,$A43,RawDataTotal!BS:BS)</f>
        <v>0</v>
      </c>
      <c r="BQ43">
        <f>SUMIF(RawDataTotal!$B:$B,$A43,RawDataTotal!BT:BT)</f>
        <v>0</v>
      </c>
      <c r="BR43">
        <f>SUMIF(RawDataTotal!$B:$B,$A43,RawDataTotal!BU:BU)</f>
        <v>0</v>
      </c>
      <c r="BS43">
        <f>SUMIF(RawDataTotal!$B:$B,$A43,RawDataTotal!BV:BV)</f>
        <v>0</v>
      </c>
      <c r="BT43">
        <f>SUMIF(RawDataTotal!$B:$B,$A43,RawDataTotal!BW:BW)</f>
        <v>0</v>
      </c>
    </row>
    <row r="44" spans="1:72" ht="15" thickBot="1" x14ac:dyDescent="0.35">
      <c r="A44" s="4" t="s">
        <v>94</v>
      </c>
      <c r="B44">
        <f>SUMIF(RawDataTotal!$B:$B,$A44,RawDataTotal!E:E)</f>
        <v>0</v>
      </c>
      <c r="C44">
        <f>SUMIF(RawDataTotal!$B:$B,$A44,RawDataTotal!F:F)</f>
        <v>0</v>
      </c>
      <c r="D44">
        <f>SUMIF(RawDataTotal!$B:$B,$A44,RawDataTotal!G:G)</f>
        <v>0</v>
      </c>
      <c r="E44">
        <f>SUMIF(RawDataTotal!$B:$B,$A44,RawDataTotal!H:H)</f>
        <v>0</v>
      </c>
      <c r="F44">
        <f>SUMIF(RawDataTotal!$B:$B,$A44,RawDataTotal!I:I)</f>
        <v>0</v>
      </c>
      <c r="G44">
        <f>SUMIF(RawDataTotal!$B:$B,$A44,RawDataTotal!J:J)</f>
        <v>0</v>
      </c>
      <c r="H44">
        <f>SUMIF(RawDataTotal!$B:$B,$A44,RawDataTotal!K:K)</f>
        <v>0</v>
      </c>
      <c r="I44">
        <f>SUMIF(RawDataTotal!$B:$B,$A44,RawDataTotal!L:L)</f>
        <v>0</v>
      </c>
      <c r="J44">
        <f>SUMIF(RawDataTotal!$B:$B,$A44,RawDataTotal!M:M)</f>
        <v>0</v>
      </c>
      <c r="K44">
        <f>SUMIF(RawDataTotal!$B:$B,$A44,RawDataTotal!N:N)</f>
        <v>0</v>
      </c>
      <c r="L44">
        <f>SUMIF(RawDataTotal!$B:$B,$A44,RawDataTotal!O:O)</f>
        <v>0</v>
      </c>
      <c r="M44">
        <f>SUMIF(RawDataTotal!$B:$B,$A44,RawDataTotal!P:P)</f>
        <v>0</v>
      </c>
      <c r="N44">
        <f>SUMIF(RawDataTotal!$B:$B,$A44,RawDataTotal!Q:Q)</f>
        <v>0</v>
      </c>
      <c r="O44">
        <f>SUMIF(RawDataTotal!$B:$B,$A44,RawDataTotal!R:R)</f>
        <v>0</v>
      </c>
      <c r="P44">
        <f>SUMIF(RawDataTotal!$B:$B,$A44,RawDataTotal!S:S)</f>
        <v>0</v>
      </c>
      <c r="Q44">
        <f>SUMIF(RawDataTotal!$B:$B,$A44,RawDataTotal!T:T)</f>
        <v>0</v>
      </c>
      <c r="R44">
        <f>SUMIF(RawDataTotal!$B:$B,$A44,RawDataTotal!U:U)</f>
        <v>0</v>
      </c>
      <c r="S44">
        <f>SUMIF(RawDataTotal!$B:$B,$A44,RawDataTotal!V:V)</f>
        <v>0</v>
      </c>
      <c r="T44">
        <f>SUMIF(RawDataTotal!$B:$B,$A44,RawDataTotal!W:W)</f>
        <v>0</v>
      </c>
      <c r="U44">
        <f>SUMIF(RawDataTotal!$B:$B,$A44,RawDataTotal!X:X)</f>
        <v>0</v>
      </c>
      <c r="V44">
        <f>SUMIF(RawDataTotal!$B:$B,$A44,RawDataTotal!Y:Y)</f>
        <v>0</v>
      </c>
      <c r="W44">
        <f>SUMIF(RawDataTotal!$B:$B,$A44,RawDataTotal!Z:Z)</f>
        <v>0</v>
      </c>
      <c r="X44">
        <f>SUMIF(RawDataTotal!$B:$B,$A44,RawDataTotal!AA:AA)</f>
        <v>0</v>
      </c>
      <c r="Y44">
        <f>SUMIF(RawDataTotal!$B:$B,$A44,RawDataTotal!AB:AB)</f>
        <v>0</v>
      </c>
      <c r="Z44">
        <f>SUMIF(RawDataTotal!$B:$B,$A44,RawDataTotal!AC:AC)</f>
        <v>0</v>
      </c>
      <c r="AA44">
        <f>SUMIF(RawDataTotal!$B:$B,$A44,RawDataTotal!AD:AD)</f>
        <v>0</v>
      </c>
      <c r="AB44">
        <f>SUMIF(RawDataTotal!$B:$B,$A44,RawDataTotal!AE:AE)</f>
        <v>0</v>
      </c>
      <c r="AC44">
        <f>SUMIF(RawDataTotal!$B:$B,$A44,RawDataTotal!AF:AF)</f>
        <v>0</v>
      </c>
      <c r="AD44">
        <f>SUMIF(RawDataTotal!$B:$B,$A44,RawDataTotal!AG:AG)</f>
        <v>0</v>
      </c>
      <c r="AE44">
        <f>SUMIF(RawDataTotal!$B:$B,$A44,RawDataTotal!AH:AH)</f>
        <v>0</v>
      </c>
      <c r="AF44">
        <f>SUMIF(RawDataTotal!$B:$B,$A44,RawDataTotal!AI:AI)</f>
        <v>1</v>
      </c>
      <c r="AG44">
        <f>SUMIF(RawDataTotal!$B:$B,$A44,RawDataTotal!AJ:AJ)</f>
        <v>1</v>
      </c>
      <c r="AH44">
        <f>SUMIF(RawDataTotal!$B:$B,$A44,RawDataTotal!AK:AK)</f>
        <v>1</v>
      </c>
      <c r="AI44">
        <f>SUMIF(RawDataTotal!$B:$B,$A44,RawDataTotal!AL:AL)</f>
        <v>1</v>
      </c>
      <c r="AJ44">
        <f>SUMIF(RawDataTotal!$B:$B,$A44,RawDataTotal!AM:AM)</f>
        <v>1</v>
      </c>
      <c r="AK44">
        <f>SUMIF(RawDataTotal!$B:$B,$A44,RawDataTotal!AN:AN)</f>
        <v>2</v>
      </c>
      <c r="AL44">
        <f>SUMIF(RawDataTotal!$B:$B,$A44,RawDataTotal!AO:AO)</f>
        <v>2</v>
      </c>
      <c r="AM44">
        <f>SUMIF(RawDataTotal!$B:$B,$A44,RawDataTotal!AP:AP)</f>
        <v>2</v>
      </c>
      <c r="AN44">
        <f>SUMIF(RawDataTotal!$B:$B,$A44,RawDataTotal!AQ:AQ)</f>
        <v>4</v>
      </c>
      <c r="AO44">
        <f>SUMIF(RawDataTotal!$B:$B,$A44,RawDataTotal!AR:AR)</f>
        <v>10</v>
      </c>
      <c r="AP44">
        <f>SUMIF(RawDataTotal!$B:$B,$A44,RawDataTotal!AS:AS)</f>
        <v>13</v>
      </c>
      <c r="AQ44">
        <f>SUMIF(RawDataTotal!$B:$B,$A44,RawDataTotal!AT:AT)</f>
        <v>13</v>
      </c>
      <c r="AR44">
        <f>SUMIF(RawDataTotal!$B:$B,$A44,RawDataTotal!AU:AU)</f>
        <v>13</v>
      </c>
      <c r="AS44">
        <f>SUMIF(RawDataTotal!$B:$B,$A44,RawDataTotal!AV:AV)</f>
        <v>16</v>
      </c>
      <c r="AT44">
        <f>SUMIF(RawDataTotal!$B:$B,$A44,RawDataTotal!AW:AW)</f>
        <v>22</v>
      </c>
      <c r="AU44">
        <f>SUMIF(RawDataTotal!$B:$B,$A44,RawDataTotal!AX:AX)</f>
        <v>22</v>
      </c>
      <c r="AV44">
        <f>SUMIF(RawDataTotal!$B:$B,$A44,RawDataTotal!AY:AY)</f>
        <v>32</v>
      </c>
      <c r="AW44">
        <f>SUMIF(RawDataTotal!$B:$B,$A44,RawDataTotal!AZ:AZ)</f>
        <v>32</v>
      </c>
      <c r="AX44">
        <f>SUMIF(RawDataTotal!$B:$B,$A44,RawDataTotal!BA:BA)</f>
        <v>41</v>
      </c>
      <c r="AY44">
        <f>SUMIF(RawDataTotal!$B:$B,$A44,RawDataTotal!BB:BB)</f>
        <v>61</v>
      </c>
      <c r="AZ44">
        <f>SUMIF(RawDataTotal!$B:$B,$A44,RawDataTotal!BC:BC)</f>
        <v>61</v>
      </c>
      <c r="BA44">
        <f>SUMIF(RawDataTotal!$B:$B,$A44,RawDataTotal!BD:BD)</f>
        <v>77</v>
      </c>
      <c r="BB44">
        <f>SUMIF(RawDataTotal!$B:$B,$A44,RawDataTotal!BE:BE)</f>
        <v>93</v>
      </c>
      <c r="BC44">
        <f>SUMIF(RawDataTotal!$B:$B,$A44,RawDataTotal!BF:BF)</f>
        <v>110</v>
      </c>
      <c r="BD44">
        <f>SUMIF(RawDataTotal!$B:$B,$A44,RawDataTotal!BG:BG)</f>
        <v>99</v>
      </c>
      <c r="BE44">
        <f>SUMIF(RawDataTotal!$B:$B,$A44,RawDataTotal!BH:BH)</f>
        <v>120</v>
      </c>
      <c r="BF44">
        <f>SUMIF(RawDataTotal!$B:$B,$A44,RawDataTotal!BI:BI)</f>
        <v>0</v>
      </c>
      <c r="BG44">
        <f>SUMIF(RawDataTotal!$B:$B,$A44,RawDataTotal!BJ:BJ)</f>
        <v>0</v>
      </c>
      <c r="BH44">
        <f>SUMIF(RawDataTotal!$B:$B,$A44,RawDataTotal!BK:BK)</f>
        <v>0</v>
      </c>
      <c r="BI44">
        <f>SUMIF(RawDataTotal!$B:$B,$A44,RawDataTotal!BL:BL)</f>
        <v>0</v>
      </c>
      <c r="BJ44">
        <f>SUMIF(RawDataTotal!$B:$B,$A44,RawDataTotal!BM:BM)</f>
        <v>0</v>
      </c>
      <c r="BK44">
        <f>SUMIF(RawDataTotal!$B:$B,$A44,RawDataTotal!BN:BN)</f>
        <v>0</v>
      </c>
      <c r="BL44">
        <f>SUMIF(RawDataTotal!$B:$B,$A44,RawDataTotal!BO:BO)</f>
        <v>0</v>
      </c>
      <c r="BM44">
        <f>SUMIF(RawDataTotal!$B:$B,$A44,RawDataTotal!BP:BP)</f>
        <v>0</v>
      </c>
      <c r="BN44">
        <f>SUMIF(RawDataTotal!$B:$B,$A44,RawDataTotal!BQ:BQ)</f>
        <v>0</v>
      </c>
      <c r="BO44">
        <f>SUMIF(RawDataTotal!$B:$B,$A44,RawDataTotal!BR:BR)</f>
        <v>0</v>
      </c>
      <c r="BP44">
        <f>SUMIF(RawDataTotal!$B:$B,$A44,RawDataTotal!BS:BS)</f>
        <v>0</v>
      </c>
      <c r="BQ44">
        <f>SUMIF(RawDataTotal!$B:$B,$A44,RawDataTotal!BT:BT)</f>
        <v>0</v>
      </c>
      <c r="BR44">
        <f>SUMIF(RawDataTotal!$B:$B,$A44,RawDataTotal!BU:BU)</f>
        <v>0</v>
      </c>
      <c r="BS44">
        <f>SUMIF(RawDataTotal!$B:$B,$A44,RawDataTotal!BV:BV)</f>
        <v>0</v>
      </c>
      <c r="BT44">
        <f>SUMIF(RawDataTotal!$B:$B,$A44,RawDataTotal!BW:BW)</f>
        <v>0</v>
      </c>
    </row>
    <row r="45" spans="1:72" ht="15" thickBot="1" x14ac:dyDescent="0.35">
      <c r="A45" s="3" t="s">
        <v>62</v>
      </c>
      <c r="B45">
        <f>SUMIF(RawDataTotal!$B:$B,$A45,RawDataTotal!E:E)</f>
        <v>2</v>
      </c>
      <c r="C45">
        <f>SUMIF(RawDataTotal!$B:$B,$A45,RawDataTotal!F:F)</f>
        <v>3</v>
      </c>
      <c r="D45">
        <f>SUMIF(RawDataTotal!$B:$B,$A45,RawDataTotal!G:G)</f>
        <v>5</v>
      </c>
      <c r="E45">
        <f>SUMIF(RawDataTotal!$B:$B,$A45,RawDataTotal!H:H)</f>
        <v>7</v>
      </c>
      <c r="F45">
        <f>SUMIF(RawDataTotal!$B:$B,$A45,RawDataTotal!I:I)</f>
        <v>8</v>
      </c>
      <c r="G45">
        <f>SUMIF(RawDataTotal!$B:$B,$A45,RawDataTotal!J:J)</f>
        <v>8</v>
      </c>
      <c r="H45">
        <f>SUMIF(RawDataTotal!$B:$B,$A45,RawDataTotal!K:K)</f>
        <v>14</v>
      </c>
      <c r="I45">
        <f>SUMIF(RawDataTotal!$B:$B,$A45,RawDataTotal!L:L)</f>
        <v>14</v>
      </c>
      <c r="J45">
        <f>SUMIF(RawDataTotal!$B:$B,$A45,RawDataTotal!M:M)</f>
        <v>14</v>
      </c>
      <c r="K45">
        <f>SUMIF(RawDataTotal!$B:$B,$A45,RawDataTotal!N:N)</f>
        <v>19</v>
      </c>
      <c r="L45">
        <f>SUMIF(RawDataTotal!$B:$B,$A45,RawDataTotal!O:O)</f>
        <v>19</v>
      </c>
      <c r="M45">
        <f>SUMIF(RawDataTotal!$B:$B,$A45,RawDataTotal!P:P)</f>
        <v>19</v>
      </c>
      <c r="N45">
        <f>SUMIF(RawDataTotal!$B:$B,$A45,RawDataTotal!Q:Q)</f>
        <v>19</v>
      </c>
      <c r="O45">
        <f>SUMIF(RawDataTotal!$B:$B,$A45,RawDataTotal!R:R)</f>
        <v>25</v>
      </c>
      <c r="P45">
        <f>SUMIF(RawDataTotal!$B:$B,$A45,RawDataTotal!S:S)</f>
        <v>25</v>
      </c>
      <c r="Q45">
        <f>SUMIF(RawDataTotal!$B:$B,$A45,RawDataTotal!T:T)</f>
        <v>25</v>
      </c>
      <c r="R45">
        <f>SUMIF(RawDataTotal!$B:$B,$A45,RawDataTotal!U:U)</f>
        <v>25</v>
      </c>
      <c r="S45">
        <f>SUMIF(RawDataTotal!$B:$B,$A45,RawDataTotal!V:V)</f>
        <v>32</v>
      </c>
      <c r="T45">
        <f>SUMIF(RawDataTotal!$B:$B,$A45,RawDataTotal!W:W)</f>
        <v>32</v>
      </c>
      <c r="U45">
        <f>SUMIF(RawDataTotal!$B:$B,$A45,RawDataTotal!X:X)</f>
        <v>32</v>
      </c>
      <c r="V45">
        <f>SUMIF(RawDataTotal!$B:$B,$A45,RawDataTotal!Y:Y)</f>
        <v>33</v>
      </c>
      <c r="W45">
        <f>SUMIF(RawDataTotal!$B:$B,$A45,RawDataTotal!Z:Z)</f>
        <v>33</v>
      </c>
      <c r="X45">
        <f>SUMIF(RawDataTotal!$B:$B,$A45,RawDataTotal!AA:AA)</f>
        <v>33</v>
      </c>
      <c r="Y45">
        <f>SUMIF(RawDataTotal!$B:$B,$A45,RawDataTotal!AB:AB)</f>
        <v>33</v>
      </c>
      <c r="Z45">
        <f>SUMIF(RawDataTotal!$B:$B,$A45,RawDataTotal!AC:AC)</f>
        <v>33</v>
      </c>
      <c r="AA45">
        <f>SUMIF(RawDataTotal!$B:$B,$A45,RawDataTotal!AD:AD)</f>
        <v>34</v>
      </c>
      <c r="AB45">
        <f>SUMIF(RawDataTotal!$B:$B,$A45,RawDataTotal!AE:AE)</f>
        <v>35</v>
      </c>
      <c r="AC45">
        <f>SUMIF(RawDataTotal!$B:$B,$A45,RawDataTotal!AF:AF)</f>
        <v>35</v>
      </c>
      <c r="AD45">
        <f>SUMIF(RawDataTotal!$B:$B,$A45,RawDataTotal!AG:AG)</f>
        <v>35</v>
      </c>
      <c r="AE45">
        <f>SUMIF(RawDataTotal!$B:$B,$A45,RawDataTotal!AH:AH)</f>
        <v>35</v>
      </c>
      <c r="AF45">
        <f>SUMIF(RawDataTotal!$B:$B,$A45,RawDataTotal!AI:AI)</f>
        <v>35</v>
      </c>
      <c r="AG45">
        <f>SUMIF(RawDataTotal!$B:$B,$A45,RawDataTotal!AJ:AJ)</f>
        <v>35</v>
      </c>
      <c r="AH45">
        <f>SUMIF(RawDataTotal!$B:$B,$A45,RawDataTotal!AK:AK)</f>
        <v>35</v>
      </c>
      <c r="AI45">
        <f>SUMIF(RawDataTotal!$B:$B,$A45,RawDataTotal!AL:AL)</f>
        <v>35</v>
      </c>
      <c r="AJ45">
        <f>SUMIF(RawDataTotal!$B:$B,$A45,RawDataTotal!AM:AM)</f>
        <v>37</v>
      </c>
      <c r="AK45">
        <f>SUMIF(RawDataTotal!$B:$B,$A45,RawDataTotal!AN:AN)</f>
        <v>40</v>
      </c>
      <c r="AL45">
        <f>SUMIF(RawDataTotal!$B:$B,$A45,RawDataTotal!AO:AO)</f>
        <v>40</v>
      </c>
      <c r="AM45">
        <f>SUMIF(RawDataTotal!$B:$B,$A45,RawDataTotal!AP:AP)</f>
        <v>41</v>
      </c>
      <c r="AN45">
        <f>SUMIF(RawDataTotal!$B:$B,$A45,RawDataTotal!AQ:AQ)</f>
        <v>42</v>
      </c>
      <c r="AO45">
        <f>SUMIF(RawDataTotal!$B:$B,$A45,RawDataTotal!AR:AR)</f>
        <v>42</v>
      </c>
      <c r="AP45">
        <f>SUMIF(RawDataTotal!$B:$B,$A45,RawDataTotal!AS:AS)</f>
        <v>43</v>
      </c>
      <c r="AQ45">
        <f>SUMIF(RawDataTotal!$B:$B,$A45,RawDataTotal!AT:AT)</f>
        <v>43</v>
      </c>
      <c r="AR45">
        <f>SUMIF(RawDataTotal!$B:$B,$A45,RawDataTotal!AU:AU)</f>
        <v>43</v>
      </c>
      <c r="AS45">
        <f>SUMIF(RawDataTotal!$B:$B,$A45,RawDataTotal!AV:AV)</f>
        <v>47</v>
      </c>
      <c r="AT45">
        <f>SUMIF(RawDataTotal!$B:$B,$A45,RawDataTotal!AW:AW)</f>
        <v>48</v>
      </c>
      <c r="AU45">
        <f>SUMIF(RawDataTotal!$B:$B,$A45,RawDataTotal!AX:AX)</f>
        <v>50</v>
      </c>
      <c r="AV45">
        <f>SUMIF(RawDataTotal!$B:$B,$A45,RawDataTotal!AY:AY)</f>
        <v>50</v>
      </c>
      <c r="AW45">
        <f>SUMIF(RawDataTotal!$B:$B,$A45,RawDataTotal!AZ:AZ)</f>
        <v>50</v>
      </c>
      <c r="AX45">
        <f>SUMIF(RawDataTotal!$B:$B,$A45,RawDataTotal!BA:BA)</f>
        <v>53</v>
      </c>
      <c r="AY45">
        <f>SUMIF(RawDataTotal!$B:$B,$A45,RawDataTotal!BB:BB)</f>
        <v>59</v>
      </c>
      <c r="AZ45">
        <f>SUMIF(RawDataTotal!$B:$B,$A45,RawDataTotal!BC:BC)</f>
        <v>70</v>
      </c>
      <c r="BA45">
        <f>SUMIF(RawDataTotal!$B:$B,$A45,RawDataTotal!BD:BD)</f>
        <v>75</v>
      </c>
      <c r="BB45">
        <f>SUMIF(RawDataTotal!$B:$B,$A45,RawDataTotal!BE:BE)</f>
        <v>82</v>
      </c>
      <c r="BC45">
        <f>SUMIF(RawDataTotal!$B:$B,$A45,RawDataTotal!BF:BF)</f>
        <v>114</v>
      </c>
      <c r="BD45">
        <f>SUMIF(RawDataTotal!$B:$B,$A45,RawDataTotal!BG:BG)</f>
        <v>147</v>
      </c>
      <c r="BE45">
        <f>SUMIF(RawDataTotal!$B:$B,$A45,RawDataTotal!BH:BH)</f>
        <v>177</v>
      </c>
      <c r="BF45">
        <f>SUMIF(RawDataTotal!$B:$B,$A45,RawDataTotal!BI:BI)</f>
        <v>0</v>
      </c>
      <c r="BG45">
        <f>SUMIF(RawDataTotal!$B:$B,$A45,RawDataTotal!BJ:BJ)</f>
        <v>0</v>
      </c>
      <c r="BH45">
        <f>SUMIF(RawDataTotal!$B:$B,$A45,RawDataTotal!BK:BK)</f>
        <v>0</v>
      </c>
      <c r="BI45">
        <f>SUMIF(RawDataTotal!$B:$B,$A45,RawDataTotal!BL:BL)</f>
        <v>0</v>
      </c>
      <c r="BJ45">
        <f>SUMIF(RawDataTotal!$B:$B,$A45,RawDataTotal!BM:BM)</f>
        <v>0</v>
      </c>
      <c r="BK45">
        <f>SUMIF(RawDataTotal!$B:$B,$A45,RawDataTotal!BN:BN)</f>
        <v>0</v>
      </c>
      <c r="BL45">
        <f>SUMIF(RawDataTotal!$B:$B,$A45,RawDataTotal!BO:BO)</f>
        <v>0</v>
      </c>
      <c r="BM45">
        <f>SUMIF(RawDataTotal!$B:$B,$A45,RawDataTotal!BP:BP)</f>
        <v>0</v>
      </c>
      <c r="BN45">
        <f>SUMIF(RawDataTotal!$B:$B,$A45,RawDataTotal!BQ:BQ)</f>
        <v>0</v>
      </c>
      <c r="BO45">
        <f>SUMIF(RawDataTotal!$B:$B,$A45,RawDataTotal!BR:BR)</f>
        <v>0</v>
      </c>
      <c r="BP45">
        <f>SUMIF(RawDataTotal!$B:$B,$A45,RawDataTotal!BS:BS)</f>
        <v>0</v>
      </c>
      <c r="BQ45">
        <f>SUMIF(RawDataTotal!$B:$B,$A45,RawDataTotal!BT:BT)</f>
        <v>0</v>
      </c>
      <c r="BR45">
        <f>SUMIF(RawDataTotal!$B:$B,$A45,RawDataTotal!BU:BU)</f>
        <v>0</v>
      </c>
      <c r="BS45">
        <f>SUMIF(RawDataTotal!$B:$B,$A45,RawDataTotal!BV:BV)</f>
        <v>0</v>
      </c>
      <c r="BT45">
        <f>SUMIF(RawDataTotal!$B:$B,$A45,RawDataTotal!BW:BW)</f>
        <v>0</v>
      </c>
    </row>
    <row r="46" spans="1:72" ht="15" thickBot="1" x14ac:dyDescent="0.35">
      <c r="A46" s="4" t="s">
        <v>134</v>
      </c>
      <c r="B46">
        <f>SUMIF(RawDataTotal!$B:$B,$A46,RawDataTotal!E:E)</f>
        <v>0</v>
      </c>
      <c r="C46">
        <f>SUMIF(RawDataTotal!$B:$B,$A46,RawDataTotal!F:F)</f>
        <v>0</v>
      </c>
      <c r="D46">
        <f>SUMIF(RawDataTotal!$B:$B,$A46,RawDataTotal!G:G)</f>
        <v>0</v>
      </c>
      <c r="E46">
        <f>SUMIF(RawDataTotal!$B:$B,$A46,RawDataTotal!H:H)</f>
        <v>0</v>
      </c>
      <c r="F46">
        <f>SUMIF(RawDataTotal!$B:$B,$A46,RawDataTotal!I:I)</f>
        <v>0</v>
      </c>
      <c r="G46">
        <f>SUMIF(RawDataTotal!$B:$B,$A46,RawDataTotal!J:J)</f>
        <v>0</v>
      </c>
      <c r="H46">
        <f>SUMIF(RawDataTotal!$B:$B,$A46,RawDataTotal!K:K)</f>
        <v>0</v>
      </c>
      <c r="I46">
        <f>SUMIF(RawDataTotal!$B:$B,$A46,RawDataTotal!L:L)</f>
        <v>0</v>
      </c>
      <c r="J46">
        <f>SUMIF(RawDataTotal!$B:$B,$A46,RawDataTotal!M:M)</f>
        <v>0</v>
      </c>
      <c r="K46">
        <f>SUMIF(RawDataTotal!$B:$B,$A46,RawDataTotal!N:N)</f>
        <v>0</v>
      </c>
      <c r="L46">
        <f>SUMIF(RawDataTotal!$B:$B,$A46,RawDataTotal!O:O)</f>
        <v>0</v>
      </c>
      <c r="M46">
        <f>SUMIF(RawDataTotal!$B:$B,$A46,RawDataTotal!P:P)</f>
        <v>0</v>
      </c>
      <c r="N46">
        <f>SUMIF(RawDataTotal!$B:$B,$A46,RawDataTotal!Q:Q)</f>
        <v>0</v>
      </c>
      <c r="O46">
        <f>SUMIF(RawDataTotal!$B:$B,$A46,RawDataTotal!R:R)</f>
        <v>0</v>
      </c>
      <c r="P46">
        <f>SUMIF(RawDataTotal!$B:$B,$A46,RawDataTotal!S:S)</f>
        <v>0</v>
      </c>
      <c r="Q46">
        <f>SUMIF(RawDataTotal!$B:$B,$A46,RawDataTotal!T:T)</f>
        <v>0</v>
      </c>
      <c r="R46">
        <f>SUMIF(RawDataTotal!$B:$B,$A46,RawDataTotal!U:U)</f>
        <v>0</v>
      </c>
      <c r="S46">
        <f>SUMIF(RawDataTotal!$B:$B,$A46,RawDataTotal!V:V)</f>
        <v>0</v>
      </c>
      <c r="T46">
        <f>SUMIF(RawDataTotal!$B:$B,$A46,RawDataTotal!W:W)</f>
        <v>0</v>
      </c>
      <c r="U46">
        <f>SUMIF(RawDataTotal!$B:$B,$A46,RawDataTotal!X:X)</f>
        <v>0</v>
      </c>
      <c r="V46">
        <f>SUMIF(RawDataTotal!$B:$B,$A46,RawDataTotal!Y:Y)</f>
        <v>0</v>
      </c>
      <c r="W46">
        <f>SUMIF(RawDataTotal!$B:$B,$A46,RawDataTotal!Z:Z)</f>
        <v>0</v>
      </c>
      <c r="X46">
        <f>SUMIF(RawDataTotal!$B:$B,$A46,RawDataTotal!AA:AA)</f>
        <v>0</v>
      </c>
      <c r="Y46">
        <f>SUMIF(RawDataTotal!$B:$B,$A46,RawDataTotal!AB:AB)</f>
        <v>0</v>
      </c>
      <c r="Z46">
        <f>SUMIF(RawDataTotal!$B:$B,$A46,RawDataTotal!AC:AC)</f>
        <v>0</v>
      </c>
      <c r="AA46">
        <f>SUMIF(RawDataTotal!$B:$B,$A46,RawDataTotal!AD:AD)</f>
        <v>0</v>
      </c>
      <c r="AB46">
        <f>SUMIF(RawDataTotal!$B:$B,$A46,RawDataTotal!AE:AE)</f>
        <v>0</v>
      </c>
      <c r="AC46">
        <f>SUMIF(RawDataTotal!$B:$B,$A46,RawDataTotal!AF:AF)</f>
        <v>0</v>
      </c>
      <c r="AD46">
        <f>SUMIF(RawDataTotal!$B:$B,$A46,RawDataTotal!AG:AG)</f>
        <v>0</v>
      </c>
      <c r="AE46">
        <f>SUMIF(RawDataTotal!$B:$B,$A46,RawDataTotal!AH:AH)</f>
        <v>0</v>
      </c>
      <c r="AF46">
        <f>SUMIF(RawDataTotal!$B:$B,$A46,RawDataTotal!AI:AI)</f>
        <v>0</v>
      </c>
      <c r="AG46">
        <f>SUMIF(RawDataTotal!$B:$B,$A46,RawDataTotal!AJ:AJ)</f>
        <v>0</v>
      </c>
      <c r="AH46">
        <f>SUMIF(RawDataTotal!$B:$B,$A46,RawDataTotal!AK:AK)</f>
        <v>0</v>
      </c>
      <c r="AI46">
        <f>SUMIF(RawDataTotal!$B:$B,$A46,RawDataTotal!AL:AL)</f>
        <v>0</v>
      </c>
      <c r="AJ46">
        <f>SUMIF(RawDataTotal!$B:$B,$A46,RawDataTotal!AM:AM)</f>
        <v>0</v>
      </c>
      <c r="AK46">
        <f>SUMIF(RawDataTotal!$B:$B,$A46,RawDataTotal!AN:AN)</f>
        <v>0</v>
      </c>
      <c r="AL46">
        <f>SUMIF(RawDataTotal!$B:$B,$A46,RawDataTotal!AO:AO)</f>
        <v>0</v>
      </c>
      <c r="AM46">
        <f>SUMIF(RawDataTotal!$B:$B,$A46,RawDataTotal!AP:AP)</f>
        <v>0</v>
      </c>
      <c r="AN46">
        <f>SUMIF(RawDataTotal!$B:$B,$A46,RawDataTotal!AQ:AQ)</f>
        <v>0</v>
      </c>
      <c r="AO46">
        <f>SUMIF(RawDataTotal!$B:$B,$A46,RawDataTotal!AR:AR)</f>
        <v>0</v>
      </c>
      <c r="AP46">
        <f>SUMIF(RawDataTotal!$B:$B,$A46,RawDataTotal!AS:AS)</f>
        <v>2</v>
      </c>
      <c r="AQ46">
        <f>SUMIF(RawDataTotal!$B:$B,$A46,RawDataTotal!AT:AT)</f>
        <v>2</v>
      </c>
      <c r="AR46">
        <f>SUMIF(RawDataTotal!$B:$B,$A46,RawDataTotal!AU:AU)</f>
        <v>2</v>
      </c>
      <c r="AS46">
        <f>SUMIF(RawDataTotal!$B:$B,$A46,RawDataTotal!AV:AV)</f>
        <v>2</v>
      </c>
      <c r="AT46">
        <f>SUMIF(RawDataTotal!$B:$B,$A46,RawDataTotal!AW:AW)</f>
        <v>4</v>
      </c>
      <c r="AU46">
        <f>SUMIF(RawDataTotal!$B:$B,$A46,RawDataTotal!AX:AX)</f>
        <v>4</v>
      </c>
      <c r="AV46">
        <f>SUMIF(RawDataTotal!$B:$B,$A46,RawDataTotal!AY:AY)</f>
        <v>6</v>
      </c>
      <c r="AW46">
        <f>SUMIF(RawDataTotal!$B:$B,$A46,RawDataTotal!AZ:AZ)</f>
        <v>19</v>
      </c>
      <c r="AX46">
        <f>SUMIF(RawDataTotal!$B:$B,$A46,RawDataTotal!BA:BA)</f>
        <v>27</v>
      </c>
      <c r="AY46">
        <f>SUMIF(RawDataTotal!$B:$B,$A46,RawDataTotal!BB:BB)</f>
        <v>34</v>
      </c>
      <c r="AZ46">
        <f>SUMIF(RawDataTotal!$B:$B,$A46,RawDataTotal!BC:BC)</f>
        <v>34</v>
      </c>
      <c r="BA46">
        <f>SUMIF(RawDataTotal!$B:$B,$A46,RawDataTotal!BD:BD)</f>
        <v>69</v>
      </c>
      <c r="BB46">
        <f>SUMIF(RawDataTotal!$B:$B,$A46,RawDataTotal!BE:BE)</f>
        <v>96</v>
      </c>
      <c r="BC46">
        <f>SUMIF(RawDataTotal!$B:$B,$A46,RawDataTotal!BF:BF)</f>
        <v>117</v>
      </c>
      <c r="BD46">
        <f>SUMIF(RawDataTotal!$B:$B,$A46,RawDataTotal!BG:BG)</f>
        <v>134</v>
      </c>
      <c r="BE46">
        <f>SUMIF(RawDataTotal!$B:$B,$A46,RawDataTotal!BH:BH)</f>
        <v>172</v>
      </c>
      <c r="BF46">
        <f>SUMIF(RawDataTotal!$B:$B,$A46,RawDataTotal!BI:BI)</f>
        <v>0</v>
      </c>
      <c r="BG46">
        <f>SUMIF(RawDataTotal!$B:$B,$A46,RawDataTotal!BJ:BJ)</f>
        <v>0</v>
      </c>
      <c r="BH46">
        <f>SUMIF(RawDataTotal!$B:$B,$A46,RawDataTotal!BK:BK)</f>
        <v>0</v>
      </c>
      <c r="BI46">
        <f>SUMIF(RawDataTotal!$B:$B,$A46,RawDataTotal!BL:BL)</f>
        <v>0</v>
      </c>
      <c r="BJ46">
        <f>SUMIF(RawDataTotal!$B:$B,$A46,RawDataTotal!BM:BM)</f>
        <v>0</v>
      </c>
      <c r="BK46">
        <f>SUMIF(RawDataTotal!$B:$B,$A46,RawDataTotal!BN:BN)</f>
        <v>0</v>
      </c>
      <c r="BL46">
        <f>SUMIF(RawDataTotal!$B:$B,$A46,RawDataTotal!BO:BO)</f>
        <v>0</v>
      </c>
      <c r="BM46">
        <f>SUMIF(RawDataTotal!$B:$B,$A46,RawDataTotal!BP:BP)</f>
        <v>0</v>
      </c>
      <c r="BN46">
        <f>SUMIF(RawDataTotal!$B:$B,$A46,RawDataTotal!BQ:BQ)</f>
        <v>0</v>
      </c>
      <c r="BO46">
        <f>SUMIF(RawDataTotal!$B:$B,$A46,RawDataTotal!BR:BR)</f>
        <v>0</v>
      </c>
      <c r="BP46">
        <f>SUMIF(RawDataTotal!$B:$B,$A46,RawDataTotal!BS:BS)</f>
        <v>0</v>
      </c>
      <c r="BQ46">
        <f>SUMIF(RawDataTotal!$B:$B,$A46,RawDataTotal!BT:BT)</f>
        <v>0</v>
      </c>
      <c r="BR46">
        <f>SUMIF(RawDataTotal!$B:$B,$A46,RawDataTotal!BU:BU)</f>
        <v>0</v>
      </c>
      <c r="BS46">
        <f>SUMIF(RawDataTotal!$B:$B,$A46,RawDataTotal!BV:BV)</f>
        <v>0</v>
      </c>
      <c r="BT46">
        <f>SUMIF(RawDataTotal!$B:$B,$A46,RawDataTotal!BW:BW)</f>
        <v>0</v>
      </c>
    </row>
    <row r="47" spans="1:72" ht="15" thickBot="1" x14ac:dyDescent="0.35">
      <c r="A47" s="3" t="s">
        <v>164</v>
      </c>
      <c r="B47">
        <f>SUMIF(RawDataTotal!$B:$B,$A47,RawDataTotal!E:E)</f>
        <v>0</v>
      </c>
      <c r="C47">
        <f>SUMIF(RawDataTotal!$B:$B,$A47,RawDataTotal!F:F)</f>
        <v>0</v>
      </c>
      <c r="D47">
        <f>SUMIF(RawDataTotal!$B:$B,$A47,RawDataTotal!G:G)</f>
        <v>0</v>
      </c>
      <c r="E47">
        <f>SUMIF(RawDataTotal!$B:$B,$A47,RawDataTotal!H:H)</f>
        <v>0</v>
      </c>
      <c r="F47">
        <f>SUMIF(RawDataTotal!$B:$B,$A47,RawDataTotal!I:I)</f>
        <v>0</v>
      </c>
      <c r="G47">
        <f>SUMIF(RawDataTotal!$B:$B,$A47,RawDataTotal!J:J)</f>
        <v>0</v>
      </c>
      <c r="H47">
        <f>SUMIF(RawDataTotal!$B:$B,$A47,RawDataTotal!K:K)</f>
        <v>0</v>
      </c>
      <c r="I47">
        <f>SUMIF(RawDataTotal!$B:$B,$A47,RawDataTotal!L:L)</f>
        <v>0</v>
      </c>
      <c r="J47">
        <f>SUMIF(RawDataTotal!$B:$B,$A47,RawDataTotal!M:M)</f>
        <v>0</v>
      </c>
      <c r="K47">
        <f>SUMIF(RawDataTotal!$B:$B,$A47,RawDataTotal!N:N)</f>
        <v>0</v>
      </c>
      <c r="L47">
        <f>SUMIF(RawDataTotal!$B:$B,$A47,RawDataTotal!O:O)</f>
        <v>0</v>
      </c>
      <c r="M47">
        <f>SUMIF(RawDataTotal!$B:$B,$A47,RawDataTotal!P:P)</f>
        <v>0</v>
      </c>
      <c r="N47">
        <f>SUMIF(RawDataTotal!$B:$B,$A47,RawDataTotal!Q:Q)</f>
        <v>0</v>
      </c>
      <c r="O47">
        <f>SUMIF(RawDataTotal!$B:$B,$A47,RawDataTotal!R:R)</f>
        <v>0</v>
      </c>
      <c r="P47">
        <f>SUMIF(RawDataTotal!$B:$B,$A47,RawDataTotal!S:S)</f>
        <v>0</v>
      </c>
      <c r="Q47">
        <f>SUMIF(RawDataTotal!$B:$B,$A47,RawDataTotal!T:T)</f>
        <v>0</v>
      </c>
      <c r="R47">
        <f>SUMIF(RawDataTotal!$B:$B,$A47,RawDataTotal!U:U)</f>
        <v>0</v>
      </c>
      <c r="S47">
        <f>SUMIF(RawDataTotal!$B:$B,$A47,RawDataTotal!V:V)</f>
        <v>0</v>
      </c>
      <c r="T47">
        <f>SUMIF(RawDataTotal!$B:$B,$A47,RawDataTotal!W:W)</f>
        <v>0</v>
      </c>
      <c r="U47">
        <f>SUMIF(RawDataTotal!$B:$B,$A47,RawDataTotal!X:X)</f>
        <v>0</v>
      </c>
      <c r="V47">
        <f>SUMIF(RawDataTotal!$B:$B,$A47,RawDataTotal!Y:Y)</f>
        <v>0</v>
      </c>
      <c r="W47">
        <f>SUMIF(RawDataTotal!$B:$B,$A47,RawDataTotal!Z:Z)</f>
        <v>0</v>
      </c>
      <c r="X47">
        <f>SUMIF(RawDataTotal!$B:$B,$A47,RawDataTotal!AA:AA)</f>
        <v>0</v>
      </c>
      <c r="Y47">
        <f>SUMIF(RawDataTotal!$B:$B,$A47,RawDataTotal!AB:AB)</f>
        <v>0</v>
      </c>
      <c r="Z47">
        <f>SUMIF(RawDataTotal!$B:$B,$A47,RawDataTotal!AC:AC)</f>
        <v>0</v>
      </c>
      <c r="AA47">
        <f>SUMIF(RawDataTotal!$B:$B,$A47,RawDataTotal!AD:AD)</f>
        <v>0</v>
      </c>
      <c r="AB47">
        <f>SUMIF(RawDataTotal!$B:$B,$A47,RawDataTotal!AE:AE)</f>
        <v>0</v>
      </c>
      <c r="AC47">
        <f>SUMIF(RawDataTotal!$B:$B,$A47,RawDataTotal!AF:AF)</f>
        <v>0</v>
      </c>
      <c r="AD47">
        <f>SUMIF(RawDataTotal!$B:$B,$A47,RawDataTotal!AG:AG)</f>
        <v>0</v>
      </c>
      <c r="AE47">
        <f>SUMIF(RawDataTotal!$B:$B,$A47,RawDataTotal!AH:AH)</f>
        <v>0</v>
      </c>
      <c r="AF47">
        <f>SUMIF(RawDataTotal!$B:$B,$A47,RawDataTotal!AI:AI)</f>
        <v>0</v>
      </c>
      <c r="AG47">
        <f>SUMIF(RawDataTotal!$B:$B,$A47,RawDataTotal!AJ:AJ)</f>
        <v>0</v>
      </c>
      <c r="AH47">
        <f>SUMIF(RawDataTotal!$B:$B,$A47,RawDataTotal!AK:AK)</f>
        <v>0</v>
      </c>
      <c r="AI47">
        <f>SUMIF(RawDataTotal!$B:$B,$A47,RawDataTotal!AL:AL)</f>
        <v>0</v>
      </c>
      <c r="AJ47">
        <f>SUMIF(RawDataTotal!$B:$B,$A47,RawDataTotal!AM:AM)</f>
        <v>0</v>
      </c>
      <c r="AK47">
        <f>SUMIF(RawDataTotal!$B:$B,$A47,RawDataTotal!AN:AN)</f>
        <v>0</v>
      </c>
      <c r="AL47">
        <f>SUMIF(RawDataTotal!$B:$B,$A47,RawDataTotal!AO:AO)</f>
        <v>0</v>
      </c>
      <c r="AM47">
        <f>SUMIF(RawDataTotal!$B:$B,$A47,RawDataTotal!AP:AP)</f>
        <v>0</v>
      </c>
      <c r="AN47">
        <f>SUMIF(RawDataTotal!$B:$B,$A47,RawDataTotal!AQ:AQ)</f>
        <v>0</v>
      </c>
      <c r="AO47">
        <f>SUMIF(RawDataTotal!$B:$B,$A47,RawDataTotal!AR:AR)</f>
        <v>0</v>
      </c>
      <c r="AP47">
        <f>SUMIF(RawDataTotal!$B:$B,$A47,RawDataTotal!AS:AS)</f>
        <v>0</v>
      </c>
      <c r="AQ47">
        <f>SUMIF(RawDataTotal!$B:$B,$A47,RawDataTotal!AT:AT)</f>
        <v>0</v>
      </c>
      <c r="AR47">
        <f>SUMIF(RawDataTotal!$B:$B,$A47,RawDataTotal!AU:AU)</f>
        <v>1</v>
      </c>
      <c r="AS47">
        <f>SUMIF(RawDataTotal!$B:$B,$A47,RawDataTotal!AV:AV)</f>
        <v>1</v>
      </c>
      <c r="AT47">
        <f>SUMIF(RawDataTotal!$B:$B,$A47,RawDataTotal!AW:AW)</f>
        <v>5</v>
      </c>
      <c r="AU47">
        <f>SUMIF(RawDataTotal!$B:$B,$A47,RawDataTotal!AX:AX)</f>
        <v>5</v>
      </c>
      <c r="AV47">
        <f>SUMIF(RawDataTotal!$B:$B,$A47,RawDataTotal!AY:AY)</f>
        <v>11</v>
      </c>
      <c r="AW47">
        <f>SUMIF(RawDataTotal!$B:$B,$A47,RawDataTotal!AZ:AZ)</f>
        <v>16</v>
      </c>
      <c r="AX47">
        <f>SUMIF(RawDataTotal!$B:$B,$A47,RawDataTotal!BA:BA)</f>
        <v>22</v>
      </c>
      <c r="AY47">
        <f>SUMIF(RawDataTotal!$B:$B,$A47,RawDataTotal!BB:BB)</f>
        <v>31</v>
      </c>
      <c r="AZ47">
        <f>SUMIF(RawDataTotal!$B:$B,$A47,RawDataTotal!BC:BC)</f>
        <v>49</v>
      </c>
      <c r="BA47">
        <f>SUMIF(RawDataTotal!$B:$B,$A47,RawDataTotal!BD:BD)</f>
        <v>68</v>
      </c>
      <c r="BB47">
        <f>SUMIF(RawDataTotal!$B:$B,$A47,RawDataTotal!BE:BE)</f>
        <v>103</v>
      </c>
      <c r="BC47">
        <f>SUMIF(RawDataTotal!$B:$B,$A47,RawDataTotal!BF:BF)</f>
        <v>119</v>
      </c>
      <c r="BD47">
        <f>SUMIF(RawDataTotal!$B:$B,$A47,RawDataTotal!BG:BG)</f>
        <v>177</v>
      </c>
      <c r="BE47">
        <f>SUMIF(RawDataTotal!$B:$B,$A47,RawDataTotal!BH:BH)</f>
        <v>238</v>
      </c>
      <c r="BF47">
        <f>SUMIF(RawDataTotal!$B:$B,$A47,RawDataTotal!BI:BI)</f>
        <v>0</v>
      </c>
      <c r="BG47">
        <f>SUMIF(RawDataTotal!$B:$B,$A47,RawDataTotal!BJ:BJ)</f>
        <v>0</v>
      </c>
      <c r="BH47">
        <f>SUMIF(RawDataTotal!$B:$B,$A47,RawDataTotal!BK:BK)</f>
        <v>0</v>
      </c>
      <c r="BI47">
        <f>SUMIF(RawDataTotal!$B:$B,$A47,RawDataTotal!BL:BL)</f>
        <v>0</v>
      </c>
      <c r="BJ47">
        <f>SUMIF(RawDataTotal!$B:$B,$A47,RawDataTotal!BM:BM)</f>
        <v>0</v>
      </c>
      <c r="BK47">
        <f>SUMIF(RawDataTotal!$B:$B,$A47,RawDataTotal!BN:BN)</f>
        <v>0</v>
      </c>
      <c r="BL47">
        <f>SUMIF(RawDataTotal!$B:$B,$A47,RawDataTotal!BO:BO)</f>
        <v>0</v>
      </c>
      <c r="BM47">
        <f>SUMIF(RawDataTotal!$B:$B,$A47,RawDataTotal!BP:BP)</f>
        <v>0</v>
      </c>
      <c r="BN47">
        <f>SUMIF(RawDataTotal!$B:$B,$A47,RawDataTotal!BQ:BQ)</f>
        <v>0</v>
      </c>
      <c r="BO47">
        <f>SUMIF(RawDataTotal!$B:$B,$A47,RawDataTotal!BR:BR)</f>
        <v>0</v>
      </c>
      <c r="BP47">
        <f>SUMIF(RawDataTotal!$B:$B,$A47,RawDataTotal!BS:BS)</f>
        <v>0</v>
      </c>
      <c r="BQ47">
        <f>SUMIF(RawDataTotal!$B:$B,$A47,RawDataTotal!BT:BT)</f>
        <v>0</v>
      </c>
      <c r="BR47">
        <f>SUMIF(RawDataTotal!$B:$B,$A47,RawDataTotal!BU:BU)</f>
        <v>0</v>
      </c>
      <c r="BS47">
        <f>SUMIF(RawDataTotal!$B:$B,$A47,RawDataTotal!BV:BV)</f>
        <v>0</v>
      </c>
      <c r="BT47">
        <f>SUMIF(RawDataTotal!$B:$B,$A47,RawDataTotal!BW:BW)</f>
        <v>0</v>
      </c>
    </row>
    <row r="48" spans="1:72" ht="15" thickBot="1" x14ac:dyDescent="0.35">
      <c r="A48" s="3" t="s">
        <v>83</v>
      </c>
      <c r="B48">
        <f>SUMIF(RawDataTotal!$B:$B,$A48,RawDataTotal!E:E)</f>
        <v>0</v>
      </c>
      <c r="C48">
        <f>SUMIF(RawDataTotal!$B:$B,$A48,RawDataTotal!F:F)</f>
        <v>0</v>
      </c>
      <c r="D48">
        <f>SUMIF(RawDataTotal!$B:$B,$A48,RawDataTotal!G:G)</f>
        <v>0</v>
      </c>
      <c r="E48">
        <f>SUMIF(RawDataTotal!$B:$B,$A48,RawDataTotal!H:H)</f>
        <v>0</v>
      </c>
      <c r="F48">
        <f>SUMIF(RawDataTotal!$B:$B,$A48,RawDataTotal!I:I)</f>
        <v>0</v>
      </c>
      <c r="G48">
        <f>SUMIF(RawDataTotal!$B:$B,$A48,RawDataTotal!J:J)</f>
        <v>0</v>
      </c>
      <c r="H48">
        <f>SUMIF(RawDataTotal!$B:$B,$A48,RawDataTotal!K:K)</f>
        <v>0</v>
      </c>
      <c r="I48">
        <f>SUMIF(RawDataTotal!$B:$B,$A48,RawDataTotal!L:L)</f>
        <v>0</v>
      </c>
      <c r="J48">
        <f>SUMIF(RawDataTotal!$B:$B,$A48,RawDataTotal!M:M)</f>
        <v>1</v>
      </c>
      <c r="K48">
        <f>SUMIF(RawDataTotal!$B:$B,$A48,RawDataTotal!N:N)</f>
        <v>1</v>
      </c>
      <c r="L48">
        <f>SUMIF(RawDataTotal!$B:$B,$A48,RawDataTotal!O:O)</f>
        <v>1</v>
      </c>
      <c r="M48">
        <f>SUMIF(RawDataTotal!$B:$B,$A48,RawDataTotal!P:P)</f>
        <v>2</v>
      </c>
      <c r="N48">
        <f>SUMIF(RawDataTotal!$B:$B,$A48,RawDataTotal!Q:Q)</f>
        <v>2</v>
      </c>
      <c r="O48">
        <f>SUMIF(RawDataTotal!$B:$B,$A48,RawDataTotal!R:R)</f>
        <v>2</v>
      </c>
      <c r="P48">
        <f>SUMIF(RawDataTotal!$B:$B,$A48,RawDataTotal!S:S)</f>
        <v>2</v>
      </c>
      <c r="Q48">
        <f>SUMIF(RawDataTotal!$B:$B,$A48,RawDataTotal!T:T)</f>
        <v>2</v>
      </c>
      <c r="R48">
        <f>SUMIF(RawDataTotal!$B:$B,$A48,RawDataTotal!U:U)</f>
        <v>3</v>
      </c>
      <c r="S48">
        <f>SUMIF(RawDataTotal!$B:$B,$A48,RawDataTotal!V:V)</f>
        <v>3</v>
      </c>
      <c r="T48">
        <f>SUMIF(RawDataTotal!$B:$B,$A48,RawDataTotal!W:W)</f>
        <v>3</v>
      </c>
      <c r="U48">
        <f>SUMIF(RawDataTotal!$B:$B,$A48,RawDataTotal!X:X)</f>
        <v>3</v>
      </c>
      <c r="V48">
        <f>SUMIF(RawDataTotal!$B:$B,$A48,RawDataTotal!Y:Y)</f>
        <v>3</v>
      </c>
      <c r="W48">
        <f>SUMIF(RawDataTotal!$B:$B,$A48,RawDataTotal!Z:Z)</f>
        <v>3</v>
      </c>
      <c r="X48">
        <f>SUMIF(RawDataTotal!$B:$B,$A48,RawDataTotal!AA:AA)</f>
        <v>3</v>
      </c>
      <c r="Y48">
        <f>SUMIF(RawDataTotal!$B:$B,$A48,RawDataTotal!AB:AB)</f>
        <v>3</v>
      </c>
      <c r="Z48">
        <f>SUMIF(RawDataTotal!$B:$B,$A48,RawDataTotal!AC:AC)</f>
        <v>3</v>
      </c>
      <c r="AA48">
        <f>SUMIF(RawDataTotal!$B:$B,$A48,RawDataTotal!AD:AD)</f>
        <v>3</v>
      </c>
      <c r="AB48">
        <f>SUMIF(RawDataTotal!$B:$B,$A48,RawDataTotal!AE:AE)</f>
        <v>3</v>
      </c>
      <c r="AC48">
        <f>SUMIF(RawDataTotal!$B:$B,$A48,RawDataTotal!AF:AF)</f>
        <v>3</v>
      </c>
      <c r="AD48">
        <f>SUMIF(RawDataTotal!$B:$B,$A48,RawDataTotal!AG:AG)</f>
        <v>3</v>
      </c>
      <c r="AE48">
        <f>SUMIF(RawDataTotal!$B:$B,$A48,RawDataTotal!AH:AH)</f>
        <v>3</v>
      </c>
      <c r="AF48">
        <f>SUMIF(RawDataTotal!$B:$B,$A48,RawDataTotal!AI:AI)</f>
        <v>3</v>
      </c>
      <c r="AG48">
        <f>SUMIF(RawDataTotal!$B:$B,$A48,RawDataTotal!AJ:AJ)</f>
        <v>3</v>
      </c>
      <c r="AH48">
        <f>SUMIF(RawDataTotal!$B:$B,$A48,RawDataTotal!AK:AK)</f>
        <v>3</v>
      </c>
      <c r="AI48">
        <f>SUMIF(RawDataTotal!$B:$B,$A48,RawDataTotal!AL:AL)</f>
        <v>3</v>
      </c>
      <c r="AJ48">
        <f>SUMIF(RawDataTotal!$B:$B,$A48,RawDataTotal!AM:AM)</f>
        <v>3</v>
      </c>
      <c r="AK48">
        <f>SUMIF(RawDataTotal!$B:$B,$A48,RawDataTotal!AN:AN)</f>
        <v>3</v>
      </c>
      <c r="AL48">
        <f>SUMIF(RawDataTotal!$B:$B,$A48,RawDataTotal!AO:AO)</f>
        <v>3</v>
      </c>
      <c r="AM48">
        <f>SUMIF(RawDataTotal!$B:$B,$A48,RawDataTotal!AP:AP)</f>
        <v>3</v>
      </c>
      <c r="AN48">
        <f>SUMIF(RawDataTotal!$B:$B,$A48,RawDataTotal!AQ:AQ)</f>
        <v>3</v>
      </c>
      <c r="AO48">
        <f>SUMIF(RawDataTotal!$B:$B,$A48,RawDataTotal!AR:AR)</f>
        <v>3</v>
      </c>
      <c r="AP48">
        <f>SUMIF(RawDataTotal!$B:$B,$A48,RawDataTotal!AS:AS)</f>
        <v>3</v>
      </c>
      <c r="AQ48">
        <f>SUMIF(RawDataTotal!$B:$B,$A48,RawDataTotal!AT:AT)</f>
        <v>3</v>
      </c>
      <c r="AR48">
        <f>SUMIF(RawDataTotal!$B:$B,$A48,RawDataTotal!AU:AU)</f>
        <v>3</v>
      </c>
      <c r="AS48">
        <f>SUMIF(RawDataTotal!$B:$B,$A48,RawDataTotal!AV:AV)</f>
        <v>3</v>
      </c>
      <c r="AT48">
        <f>SUMIF(RawDataTotal!$B:$B,$A48,RawDataTotal!AW:AW)</f>
        <v>5</v>
      </c>
      <c r="AU48">
        <f>SUMIF(RawDataTotal!$B:$B,$A48,RawDataTotal!AX:AX)</f>
        <v>6</v>
      </c>
      <c r="AV48">
        <f>SUMIF(RawDataTotal!$B:$B,$A48,RawDataTotal!AY:AY)</f>
        <v>10</v>
      </c>
      <c r="AW48">
        <f>SUMIF(RawDataTotal!$B:$B,$A48,RawDataTotal!AZ:AZ)</f>
        <v>20</v>
      </c>
      <c r="AX48">
        <f>SUMIF(RawDataTotal!$B:$B,$A48,RawDataTotal!BA:BA)</f>
        <v>33</v>
      </c>
      <c r="AY48">
        <f>SUMIF(RawDataTotal!$B:$B,$A48,RawDataTotal!BB:BB)</f>
        <v>49</v>
      </c>
      <c r="AZ48">
        <f>SUMIF(RawDataTotal!$B:$B,$A48,RawDataTotal!BC:BC)</f>
        <v>52</v>
      </c>
      <c r="BA48">
        <f>SUMIF(RawDataTotal!$B:$B,$A48,RawDataTotal!BD:BD)</f>
        <v>64</v>
      </c>
      <c r="BB48">
        <f>SUMIF(RawDataTotal!$B:$B,$A48,RawDataTotal!BE:BE)</f>
        <v>111</v>
      </c>
      <c r="BC48">
        <f>SUMIF(RawDataTotal!$B:$B,$A48,RawDataTotal!BF:BF)</f>
        <v>140</v>
      </c>
      <c r="BD48">
        <f>SUMIF(RawDataTotal!$B:$B,$A48,RawDataTotal!BG:BG)</f>
        <v>142</v>
      </c>
      <c r="BE48">
        <f>SUMIF(RawDataTotal!$B:$B,$A48,RawDataTotal!BH:BH)</f>
        <v>187</v>
      </c>
      <c r="BF48">
        <f>SUMIF(RawDataTotal!$B:$B,$A48,RawDataTotal!BI:BI)</f>
        <v>0</v>
      </c>
      <c r="BG48">
        <f>SUMIF(RawDataTotal!$B:$B,$A48,RawDataTotal!BJ:BJ)</f>
        <v>0</v>
      </c>
      <c r="BH48">
        <f>SUMIF(RawDataTotal!$B:$B,$A48,RawDataTotal!BK:BK)</f>
        <v>0</v>
      </c>
      <c r="BI48">
        <f>SUMIF(RawDataTotal!$B:$B,$A48,RawDataTotal!BL:BL)</f>
        <v>0</v>
      </c>
      <c r="BJ48">
        <f>SUMIF(RawDataTotal!$B:$B,$A48,RawDataTotal!BM:BM)</f>
        <v>0</v>
      </c>
      <c r="BK48">
        <f>SUMIF(RawDataTotal!$B:$B,$A48,RawDataTotal!BN:BN)</f>
        <v>0</v>
      </c>
      <c r="BL48">
        <f>SUMIF(RawDataTotal!$B:$B,$A48,RawDataTotal!BO:BO)</f>
        <v>0</v>
      </c>
      <c r="BM48">
        <f>SUMIF(RawDataTotal!$B:$B,$A48,RawDataTotal!BP:BP)</f>
        <v>0</v>
      </c>
      <c r="BN48">
        <f>SUMIF(RawDataTotal!$B:$B,$A48,RawDataTotal!BQ:BQ)</f>
        <v>0</v>
      </c>
      <c r="BO48">
        <f>SUMIF(RawDataTotal!$B:$B,$A48,RawDataTotal!BR:BR)</f>
        <v>0</v>
      </c>
      <c r="BP48">
        <f>SUMIF(RawDataTotal!$B:$B,$A48,RawDataTotal!BS:BS)</f>
        <v>0</v>
      </c>
      <c r="BQ48">
        <f>SUMIF(RawDataTotal!$B:$B,$A48,RawDataTotal!BT:BT)</f>
        <v>0</v>
      </c>
      <c r="BR48">
        <f>SUMIF(RawDataTotal!$B:$B,$A48,RawDataTotal!BU:BU)</f>
        <v>0</v>
      </c>
      <c r="BS48">
        <f>SUMIF(RawDataTotal!$B:$B,$A48,RawDataTotal!BV:BV)</f>
        <v>0</v>
      </c>
      <c r="BT48">
        <f>SUMIF(RawDataTotal!$B:$B,$A48,RawDataTotal!BW:BW)</f>
        <v>0</v>
      </c>
    </row>
    <row r="49" spans="1:72" ht="15" thickBot="1" x14ac:dyDescent="0.35">
      <c r="A49" s="3" t="s">
        <v>370</v>
      </c>
      <c r="B49">
        <f>SUMIF(RawDataTotal!$B:$B,$A49,RawDataTotal!E:E)</f>
        <v>1</v>
      </c>
      <c r="C49">
        <f>SUMIF(RawDataTotal!$B:$B,$A49,RawDataTotal!F:F)</f>
        <v>1</v>
      </c>
      <c r="D49">
        <f>SUMIF(RawDataTotal!$B:$B,$A49,RawDataTotal!G:G)</f>
        <v>3</v>
      </c>
      <c r="E49">
        <f>SUMIF(RawDataTotal!$B:$B,$A49,RawDataTotal!H:H)</f>
        <v>3</v>
      </c>
      <c r="F49">
        <f>SUMIF(RawDataTotal!$B:$B,$A49,RawDataTotal!I:I)</f>
        <v>4</v>
      </c>
      <c r="G49">
        <f>SUMIF(RawDataTotal!$B:$B,$A49,RawDataTotal!J:J)</f>
        <v>5</v>
      </c>
      <c r="H49">
        <f>SUMIF(RawDataTotal!$B:$B,$A49,RawDataTotal!K:K)</f>
        <v>8</v>
      </c>
      <c r="I49">
        <f>SUMIF(RawDataTotal!$B:$B,$A49,RawDataTotal!L:L)</f>
        <v>8</v>
      </c>
      <c r="J49">
        <f>SUMIF(RawDataTotal!$B:$B,$A49,RawDataTotal!M:M)</f>
        <v>9</v>
      </c>
      <c r="K49">
        <f>SUMIF(RawDataTotal!$B:$B,$A49,RawDataTotal!N:N)</f>
        <v>10</v>
      </c>
      <c r="L49">
        <f>SUMIF(RawDataTotal!$B:$B,$A49,RawDataTotal!O:O)</f>
        <v>10</v>
      </c>
      <c r="M49">
        <f>SUMIF(RawDataTotal!$B:$B,$A49,RawDataTotal!P:P)</f>
        <v>10</v>
      </c>
      <c r="N49">
        <f>SUMIF(RawDataTotal!$B:$B,$A49,RawDataTotal!Q:Q)</f>
        <v>10</v>
      </c>
      <c r="O49">
        <f>SUMIF(RawDataTotal!$B:$B,$A49,RawDataTotal!R:R)</f>
        <v>11</v>
      </c>
      <c r="P49">
        <f>SUMIF(RawDataTotal!$B:$B,$A49,RawDataTotal!S:S)</f>
        <v>11</v>
      </c>
      <c r="Q49">
        <f>SUMIF(RawDataTotal!$B:$B,$A49,RawDataTotal!T:T)</f>
        <v>16</v>
      </c>
      <c r="R49">
        <f>SUMIF(RawDataTotal!$B:$B,$A49,RawDataTotal!U:U)</f>
        <v>16</v>
      </c>
      <c r="S49">
        <f>SUMIF(RawDataTotal!$B:$B,$A49,RawDataTotal!V:V)</f>
        <v>17</v>
      </c>
      <c r="T49">
        <f>SUMIF(RawDataTotal!$B:$B,$A49,RawDataTotal!W:W)</f>
        <v>18</v>
      </c>
      <c r="U49">
        <f>SUMIF(RawDataTotal!$B:$B,$A49,RawDataTotal!X:X)</f>
        <v>18</v>
      </c>
      <c r="V49">
        <f>SUMIF(RawDataTotal!$B:$B,$A49,RawDataTotal!Y:Y)</f>
        <v>18</v>
      </c>
      <c r="W49">
        <f>SUMIF(RawDataTotal!$B:$B,$A49,RawDataTotal!Z:Z)</f>
        <v>18</v>
      </c>
      <c r="X49">
        <f>SUMIF(RawDataTotal!$B:$B,$A49,RawDataTotal!AA:AA)</f>
        <v>18</v>
      </c>
      <c r="Y49">
        <f>SUMIF(RawDataTotal!$B:$B,$A49,RawDataTotal!AB:AB)</f>
        <v>18</v>
      </c>
      <c r="Z49">
        <f>SUMIF(RawDataTotal!$B:$B,$A49,RawDataTotal!AC:AC)</f>
        <v>18</v>
      </c>
      <c r="AA49">
        <f>SUMIF(RawDataTotal!$B:$B,$A49,RawDataTotal!AD:AD)</f>
        <v>20</v>
      </c>
      <c r="AB49">
        <f>SUMIF(RawDataTotal!$B:$B,$A49,RawDataTotal!AE:AE)</f>
        <v>22</v>
      </c>
      <c r="AC49">
        <f>SUMIF(RawDataTotal!$B:$B,$A49,RawDataTotal!AF:AF)</f>
        <v>22</v>
      </c>
      <c r="AD49">
        <f>SUMIF(RawDataTotal!$B:$B,$A49,RawDataTotal!AG:AG)</f>
        <v>23</v>
      </c>
      <c r="AE49">
        <f>SUMIF(RawDataTotal!$B:$B,$A49,RawDataTotal!AH:AH)</f>
        <v>24</v>
      </c>
      <c r="AF49">
        <f>SUMIF(RawDataTotal!$B:$B,$A49,RawDataTotal!AI:AI)</f>
        <v>26</v>
      </c>
      <c r="AG49">
        <f>SUMIF(RawDataTotal!$B:$B,$A49,RawDataTotal!AJ:AJ)</f>
        <v>26</v>
      </c>
      <c r="AH49">
        <f>SUMIF(RawDataTotal!$B:$B,$A49,RawDataTotal!AK:AK)</f>
        <v>28</v>
      </c>
      <c r="AI49">
        <f>SUMIF(RawDataTotal!$B:$B,$A49,RawDataTotal!AL:AL)</f>
        <v>30</v>
      </c>
      <c r="AJ49">
        <f>SUMIF(RawDataTotal!$B:$B,$A49,RawDataTotal!AM:AM)</f>
        <v>31</v>
      </c>
      <c r="AK49">
        <f>SUMIF(RawDataTotal!$B:$B,$A49,RawDataTotal!AN:AN)</f>
        <v>32</v>
      </c>
      <c r="AL49">
        <f>SUMIF(RawDataTotal!$B:$B,$A49,RawDataTotal!AO:AO)</f>
        <v>32</v>
      </c>
      <c r="AM49">
        <f>SUMIF(RawDataTotal!$B:$B,$A49,RawDataTotal!AP:AP)</f>
        <v>34</v>
      </c>
      <c r="AN49">
        <f>SUMIF(RawDataTotal!$B:$B,$A49,RawDataTotal!AQ:AQ)</f>
        <v>39</v>
      </c>
      <c r="AO49">
        <f>SUMIF(RawDataTotal!$B:$B,$A49,RawDataTotal!AR:AR)</f>
        <v>40</v>
      </c>
      <c r="AP49">
        <f>SUMIF(RawDataTotal!$B:$B,$A49,RawDataTotal!AS:AS)</f>
        <v>41</v>
      </c>
      <c r="AQ49">
        <f>SUMIF(RawDataTotal!$B:$B,$A49,RawDataTotal!AT:AT)</f>
        <v>42</v>
      </c>
      <c r="AR49">
        <f>SUMIF(RawDataTotal!$B:$B,$A49,RawDataTotal!AU:AU)</f>
        <v>42</v>
      </c>
      <c r="AS49">
        <f>SUMIF(RawDataTotal!$B:$B,$A49,RawDataTotal!AV:AV)</f>
        <v>44</v>
      </c>
      <c r="AT49">
        <f>SUMIF(RawDataTotal!$B:$B,$A49,RawDataTotal!AW:AW)</f>
        <v>45</v>
      </c>
      <c r="AU49">
        <f>SUMIF(RawDataTotal!$B:$B,$A49,RawDataTotal!AX:AX)</f>
        <v>45</v>
      </c>
      <c r="AV49">
        <f>SUMIF(RawDataTotal!$B:$B,$A49,RawDataTotal!AY:AY)</f>
        <v>45</v>
      </c>
      <c r="AW49">
        <f>SUMIF(RawDataTotal!$B:$B,$A49,RawDataTotal!AZ:AZ)</f>
        <v>45</v>
      </c>
      <c r="AX49">
        <f>SUMIF(RawDataTotal!$B:$B,$A49,RawDataTotal!BA:BA)</f>
        <v>47</v>
      </c>
      <c r="AY49">
        <f>SUMIF(RawDataTotal!$B:$B,$A49,RawDataTotal!BB:BB)</f>
        <v>48</v>
      </c>
      <c r="AZ49">
        <f>SUMIF(RawDataTotal!$B:$B,$A49,RawDataTotal!BC:BC)</f>
        <v>49</v>
      </c>
      <c r="BA49">
        <f>SUMIF(RawDataTotal!$B:$B,$A49,RawDataTotal!BD:BD)</f>
        <v>50</v>
      </c>
      <c r="BB49">
        <f>SUMIF(RawDataTotal!$B:$B,$A49,RawDataTotal!BE:BE)</f>
        <v>53</v>
      </c>
      <c r="BC49">
        <f>SUMIF(RawDataTotal!$B:$B,$A49,RawDataTotal!BF:BF)</f>
        <v>59</v>
      </c>
      <c r="BD49">
        <f>SUMIF(RawDataTotal!$B:$B,$A49,RawDataTotal!BG:BG)</f>
        <v>67</v>
      </c>
      <c r="BE49">
        <f>SUMIF(RawDataTotal!$B:$B,$A49,RawDataTotal!BH:BH)</f>
        <v>77</v>
      </c>
      <c r="BF49">
        <f>SUMIF(RawDataTotal!$B:$B,$A49,RawDataTotal!BI:BI)</f>
        <v>0</v>
      </c>
      <c r="BG49">
        <f>SUMIF(RawDataTotal!$B:$B,$A49,RawDataTotal!BJ:BJ)</f>
        <v>0</v>
      </c>
      <c r="BH49">
        <f>SUMIF(RawDataTotal!$B:$B,$A49,RawDataTotal!BK:BK)</f>
        <v>0</v>
      </c>
      <c r="BI49">
        <f>SUMIF(RawDataTotal!$B:$B,$A49,RawDataTotal!BL:BL)</f>
        <v>0</v>
      </c>
      <c r="BJ49">
        <f>SUMIF(RawDataTotal!$B:$B,$A49,RawDataTotal!BM:BM)</f>
        <v>0</v>
      </c>
      <c r="BK49">
        <f>SUMIF(RawDataTotal!$B:$B,$A49,RawDataTotal!BN:BN)</f>
        <v>0</v>
      </c>
      <c r="BL49">
        <f>SUMIF(RawDataTotal!$B:$B,$A49,RawDataTotal!BO:BO)</f>
        <v>0</v>
      </c>
      <c r="BM49">
        <f>SUMIF(RawDataTotal!$B:$B,$A49,RawDataTotal!BP:BP)</f>
        <v>0</v>
      </c>
      <c r="BN49">
        <f>SUMIF(RawDataTotal!$B:$B,$A49,RawDataTotal!BQ:BQ)</f>
        <v>0</v>
      </c>
      <c r="BO49">
        <f>SUMIF(RawDataTotal!$B:$B,$A49,RawDataTotal!BR:BR)</f>
        <v>0</v>
      </c>
      <c r="BP49">
        <f>SUMIF(RawDataTotal!$B:$B,$A49,RawDataTotal!BS:BS)</f>
        <v>0</v>
      </c>
      <c r="BQ49">
        <f>SUMIF(RawDataTotal!$B:$B,$A49,RawDataTotal!BT:BT)</f>
        <v>0</v>
      </c>
      <c r="BR49">
        <f>SUMIF(RawDataTotal!$B:$B,$A49,RawDataTotal!BU:BU)</f>
        <v>0</v>
      </c>
      <c r="BS49">
        <f>SUMIF(RawDataTotal!$B:$B,$A49,RawDataTotal!BV:BV)</f>
        <v>0</v>
      </c>
      <c r="BT49">
        <f>SUMIF(RawDataTotal!$B:$B,$A49,RawDataTotal!BW:BW)</f>
        <v>0</v>
      </c>
    </row>
    <row r="50" spans="1:72" ht="15" thickBot="1" x14ac:dyDescent="0.35">
      <c r="A50" s="4" t="s">
        <v>371</v>
      </c>
      <c r="B50">
        <f>SUMIF(RawDataTotal!$B:$B,$A50,RawDataTotal!E:E)</f>
        <v>0</v>
      </c>
      <c r="C50">
        <f>SUMIF(RawDataTotal!$B:$B,$A50,RawDataTotal!F:F)</f>
        <v>2</v>
      </c>
      <c r="D50">
        <f>SUMIF(RawDataTotal!$B:$B,$A50,RawDataTotal!G:G)</f>
        <v>2</v>
      </c>
      <c r="E50">
        <f>SUMIF(RawDataTotal!$B:$B,$A50,RawDataTotal!H:H)</f>
        <v>2</v>
      </c>
      <c r="F50">
        <f>SUMIF(RawDataTotal!$B:$B,$A50,RawDataTotal!I:I)</f>
        <v>2</v>
      </c>
      <c r="G50">
        <f>SUMIF(RawDataTotal!$B:$B,$A50,RawDataTotal!J:J)</f>
        <v>2</v>
      </c>
      <c r="H50">
        <f>SUMIF(RawDataTotal!$B:$B,$A50,RawDataTotal!K:K)</f>
        <v>2</v>
      </c>
      <c r="I50">
        <f>SUMIF(RawDataTotal!$B:$B,$A50,RawDataTotal!L:L)</f>
        <v>2</v>
      </c>
      <c r="J50">
        <f>SUMIF(RawDataTotal!$B:$B,$A50,RawDataTotal!M:M)</f>
        <v>2</v>
      </c>
      <c r="K50">
        <f>SUMIF(RawDataTotal!$B:$B,$A50,RawDataTotal!N:N)</f>
        <v>2</v>
      </c>
      <c r="L50">
        <f>SUMIF(RawDataTotal!$B:$B,$A50,RawDataTotal!O:O)</f>
        <v>6</v>
      </c>
      <c r="M50">
        <f>SUMIF(RawDataTotal!$B:$B,$A50,RawDataTotal!P:P)</f>
        <v>6</v>
      </c>
      <c r="N50">
        <f>SUMIF(RawDataTotal!$B:$B,$A50,RawDataTotal!Q:Q)</f>
        <v>8</v>
      </c>
      <c r="O50">
        <f>SUMIF(RawDataTotal!$B:$B,$A50,RawDataTotal!R:R)</f>
        <v>8</v>
      </c>
      <c r="P50">
        <f>SUMIF(RawDataTotal!$B:$B,$A50,RawDataTotal!S:S)</f>
        <v>8</v>
      </c>
      <c r="Q50">
        <f>SUMIF(RawDataTotal!$B:$B,$A50,RawDataTotal!T:T)</f>
        <v>10</v>
      </c>
      <c r="R50">
        <f>SUMIF(RawDataTotal!$B:$B,$A50,RawDataTotal!U:U)</f>
        <v>10</v>
      </c>
      <c r="S50">
        <f>SUMIF(RawDataTotal!$B:$B,$A50,RawDataTotal!V:V)</f>
        <v>13</v>
      </c>
      <c r="T50">
        <f>SUMIF(RawDataTotal!$B:$B,$A50,RawDataTotal!W:W)</f>
        <v>13</v>
      </c>
      <c r="U50">
        <f>SUMIF(RawDataTotal!$B:$B,$A50,RawDataTotal!X:X)</f>
        <v>14</v>
      </c>
      <c r="V50">
        <f>SUMIF(RawDataTotal!$B:$B,$A50,RawDataTotal!Y:Y)</f>
        <v>15</v>
      </c>
      <c r="W50">
        <f>SUMIF(RawDataTotal!$B:$B,$A50,RawDataTotal!Z:Z)</f>
        <v>15</v>
      </c>
      <c r="X50">
        <f>SUMIF(RawDataTotal!$B:$B,$A50,RawDataTotal!AA:AA)</f>
        <v>16</v>
      </c>
      <c r="Y50">
        <f>SUMIF(RawDataTotal!$B:$B,$A50,RawDataTotal!AB:AB)</f>
        <v>16</v>
      </c>
      <c r="Z50">
        <f>SUMIF(RawDataTotal!$B:$B,$A50,RawDataTotal!AC:AC)</f>
        <v>16</v>
      </c>
      <c r="AA50">
        <f>SUMIF(RawDataTotal!$B:$B,$A50,RawDataTotal!AD:AD)</f>
        <v>16</v>
      </c>
      <c r="AB50">
        <f>SUMIF(RawDataTotal!$B:$B,$A50,RawDataTotal!AE:AE)</f>
        <v>16</v>
      </c>
      <c r="AC50">
        <f>SUMIF(RawDataTotal!$B:$B,$A50,RawDataTotal!AF:AF)</f>
        <v>16</v>
      </c>
      <c r="AD50">
        <f>SUMIF(RawDataTotal!$B:$B,$A50,RawDataTotal!AG:AG)</f>
        <v>16</v>
      </c>
      <c r="AE50">
        <f>SUMIF(RawDataTotal!$B:$B,$A50,RawDataTotal!AH:AH)</f>
        <v>16</v>
      </c>
      <c r="AF50">
        <f>SUMIF(RawDataTotal!$B:$B,$A50,RawDataTotal!AI:AI)</f>
        <v>16</v>
      </c>
      <c r="AG50">
        <f>SUMIF(RawDataTotal!$B:$B,$A50,RawDataTotal!AJ:AJ)</f>
        <v>16</v>
      </c>
      <c r="AH50">
        <f>SUMIF(RawDataTotal!$B:$B,$A50,RawDataTotal!AK:AK)</f>
        <v>16</v>
      </c>
      <c r="AI50">
        <f>SUMIF(RawDataTotal!$B:$B,$A50,RawDataTotal!AL:AL)</f>
        <v>16</v>
      </c>
      <c r="AJ50">
        <f>SUMIF(RawDataTotal!$B:$B,$A50,RawDataTotal!AM:AM)</f>
        <v>16</v>
      </c>
      <c r="AK50">
        <f>SUMIF(RawDataTotal!$B:$B,$A50,RawDataTotal!AN:AN)</f>
        <v>16</v>
      </c>
      <c r="AL50">
        <f>SUMIF(RawDataTotal!$B:$B,$A50,RawDataTotal!AO:AO)</f>
        <v>16</v>
      </c>
      <c r="AM50">
        <f>SUMIF(RawDataTotal!$B:$B,$A50,RawDataTotal!AP:AP)</f>
        <v>16</v>
      </c>
      <c r="AN50">
        <f>SUMIF(RawDataTotal!$B:$B,$A50,RawDataTotal!AQ:AQ)</f>
        <v>16</v>
      </c>
      <c r="AO50">
        <f>SUMIF(RawDataTotal!$B:$B,$A50,RawDataTotal!AR:AR)</f>
        <v>16</v>
      </c>
      <c r="AP50">
        <f>SUMIF(RawDataTotal!$B:$B,$A50,RawDataTotal!AS:AS)</f>
        <v>16</v>
      </c>
      <c r="AQ50">
        <f>SUMIF(RawDataTotal!$B:$B,$A50,RawDataTotal!AT:AT)</f>
        <v>16</v>
      </c>
      <c r="AR50">
        <f>SUMIF(RawDataTotal!$B:$B,$A50,RawDataTotal!AU:AU)</f>
        <v>16</v>
      </c>
      <c r="AS50">
        <f>SUMIF(RawDataTotal!$B:$B,$A50,RawDataTotal!AV:AV)</f>
        <v>16</v>
      </c>
      <c r="AT50">
        <f>SUMIF(RawDataTotal!$B:$B,$A50,RawDataTotal!AW:AW)</f>
        <v>16</v>
      </c>
      <c r="AU50">
        <f>SUMIF(RawDataTotal!$B:$B,$A50,RawDataTotal!AX:AX)</f>
        <v>18</v>
      </c>
      <c r="AV50">
        <f>SUMIF(RawDataTotal!$B:$B,$A50,RawDataTotal!AY:AY)</f>
        <v>30</v>
      </c>
      <c r="AW50">
        <f>SUMIF(RawDataTotal!$B:$B,$A50,RawDataTotal!AZ:AZ)</f>
        <v>30</v>
      </c>
      <c r="AX50">
        <f>SUMIF(RawDataTotal!$B:$B,$A50,RawDataTotal!BA:BA)</f>
        <v>31</v>
      </c>
      <c r="AY50">
        <f>SUMIF(RawDataTotal!$B:$B,$A50,RawDataTotal!BB:BB)</f>
        <v>38</v>
      </c>
      <c r="AZ50">
        <f>SUMIF(RawDataTotal!$B:$B,$A50,RawDataTotal!BC:BC)</f>
        <v>39</v>
      </c>
      <c r="BA50">
        <f>SUMIF(RawDataTotal!$B:$B,$A50,RawDataTotal!BD:BD)</f>
        <v>47</v>
      </c>
      <c r="BB50">
        <f>SUMIF(RawDataTotal!$B:$B,$A50,RawDataTotal!BE:BE)</f>
        <v>53</v>
      </c>
      <c r="BC50">
        <f>SUMIF(RawDataTotal!$B:$B,$A50,RawDataTotal!BF:BF)</f>
        <v>56</v>
      </c>
      <c r="BD50">
        <f>SUMIF(RawDataTotal!$B:$B,$A50,RawDataTotal!BG:BG)</f>
        <v>61</v>
      </c>
      <c r="BE50">
        <f>SUMIF(RawDataTotal!$B:$B,$A50,RawDataTotal!BH:BH)</f>
        <v>66</v>
      </c>
      <c r="BF50">
        <f>SUMIF(RawDataTotal!$B:$B,$A50,RawDataTotal!BI:BI)</f>
        <v>0</v>
      </c>
      <c r="BG50">
        <f>SUMIF(RawDataTotal!$B:$B,$A50,RawDataTotal!BJ:BJ)</f>
        <v>0</v>
      </c>
      <c r="BH50">
        <f>SUMIF(RawDataTotal!$B:$B,$A50,RawDataTotal!BK:BK)</f>
        <v>0</v>
      </c>
      <c r="BI50">
        <f>SUMIF(RawDataTotal!$B:$B,$A50,RawDataTotal!BL:BL)</f>
        <v>0</v>
      </c>
      <c r="BJ50">
        <f>SUMIF(RawDataTotal!$B:$B,$A50,RawDataTotal!BM:BM)</f>
        <v>0</v>
      </c>
      <c r="BK50">
        <f>SUMIF(RawDataTotal!$B:$B,$A50,RawDataTotal!BN:BN)</f>
        <v>0</v>
      </c>
      <c r="BL50">
        <f>SUMIF(RawDataTotal!$B:$B,$A50,RawDataTotal!BO:BO)</f>
        <v>0</v>
      </c>
      <c r="BM50">
        <f>SUMIF(RawDataTotal!$B:$B,$A50,RawDataTotal!BP:BP)</f>
        <v>0</v>
      </c>
      <c r="BN50">
        <f>SUMIF(RawDataTotal!$B:$B,$A50,RawDataTotal!BQ:BQ)</f>
        <v>0</v>
      </c>
      <c r="BO50">
        <f>SUMIF(RawDataTotal!$B:$B,$A50,RawDataTotal!BR:BR)</f>
        <v>0</v>
      </c>
      <c r="BP50">
        <f>SUMIF(RawDataTotal!$B:$B,$A50,RawDataTotal!BS:BS)</f>
        <v>0</v>
      </c>
      <c r="BQ50">
        <f>SUMIF(RawDataTotal!$B:$B,$A50,RawDataTotal!BT:BT)</f>
        <v>0</v>
      </c>
      <c r="BR50">
        <f>SUMIF(RawDataTotal!$B:$B,$A50,RawDataTotal!BU:BU)</f>
        <v>0</v>
      </c>
      <c r="BS50">
        <f>SUMIF(RawDataTotal!$B:$B,$A50,RawDataTotal!BV:BV)</f>
        <v>0</v>
      </c>
      <c r="BT50">
        <f>SUMIF(RawDataTotal!$B:$B,$A50,RawDataTotal!BW:BW)</f>
        <v>0</v>
      </c>
    </row>
    <row r="51" spans="1:72" ht="15" thickBot="1" x14ac:dyDescent="0.35">
      <c r="A51" s="3" t="s">
        <v>372</v>
      </c>
      <c r="B51">
        <f>SUMIF(RawDataTotal!$B:$B,$A51,RawDataTotal!E:E)</f>
        <v>0</v>
      </c>
      <c r="C51">
        <f>SUMIF(RawDataTotal!$B:$B,$A51,RawDataTotal!F:F)</f>
        <v>0</v>
      </c>
      <c r="D51">
        <f>SUMIF(RawDataTotal!$B:$B,$A51,RawDataTotal!G:G)</f>
        <v>0</v>
      </c>
      <c r="E51">
        <f>SUMIF(RawDataTotal!$B:$B,$A51,RawDataTotal!H:H)</f>
        <v>0</v>
      </c>
      <c r="F51">
        <f>SUMIF(RawDataTotal!$B:$B,$A51,RawDataTotal!I:I)</f>
        <v>0</v>
      </c>
      <c r="G51">
        <f>SUMIF(RawDataTotal!$B:$B,$A51,RawDataTotal!J:J)</f>
        <v>0</v>
      </c>
      <c r="H51">
        <f>SUMIF(RawDataTotal!$B:$B,$A51,RawDataTotal!K:K)</f>
        <v>0</v>
      </c>
      <c r="I51">
        <f>SUMIF(RawDataTotal!$B:$B,$A51,RawDataTotal!L:L)</f>
        <v>0</v>
      </c>
      <c r="J51">
        <f>SUMIF(RawDataTotal!$B:$B,$A51,RawDataTotal!M:M)</f>
        <v>0</v>
      </c>
      <c r="K51">
        <f>SUMIF(RawDataTotal!$B:$B,$A51,RawDataTotal!N:N)</f>
        <v>2</v>
      </c>
      <c r="L51">
        <f>SUMIF(RawDataTotal!$B:$B,$A51,RawDataTotal!O:O)</f>
        <v>2</v>
      </c>
      <c r="M51">
        <f>SUMIF(RawDataTotal!$B:$B,$A51,RawDataTotal!P:P)</f>
        <v>2</v>
      </c>
      <c r="N51">
        <f>SUMIF(RawDataTotal!$B:$B,$A51,RawDataTotal!Q:Q)</f>
        <v>2</v>
      </c>
      <c r="O51">
        <f>SUMIF(RawDataTotal!$B:$B,$A51,RawDataTotal!R:R)</f>
        <v>2</v>
      </c>
      <c r="P51">
        <f>SUMIF(RawDataTotal!$B:$B,$A51,RawDataTotal!S:S)</f>
        <v>2</v>
      </c>
      <c r="Q51">
        <f>SUMIF(RawDataTotal!$B:$B,$A51,RawDataTotal!T:T)</f>
        <v>2</v>
      </c>
      <c r="R51">
        <f>SUMIF(RawDataTotal!$B:$B,$A51,RawDataTotal!U:U)</f>
        <v>2</v>
      </c>
      <c r="S51">
        <f>SUMIF(RawDataTotal!$B:$B,$A51,RawDataTotal!V:V)</f>
        <v>2</v>
      </c>
      <c r="T51">
        <f>SUMIF(RawDataTotal!$B:$B,$A51,RawDataTotal!W:W)</f>
        <v>2</v>
      </c>
      <c r="U51">
        <f>SUMIF(RawDataTotal!$B:$B,$A51,RawDataTotal!X:X)</f>
        <v>2</v>
      </c>
      <c r="V51">
        <f>SUMIF(RawDataTotal!$B:$B,$A51,RawDataTotal!Y:Y)</f>
        <v>2</v>
      </c>
      <c r="W51">
        <f>SUMIF(RawDataTotal!$B:$B,$A51,RawDataTotal!Z:Z)</f>
        <v>2</v>
      </c>
      <c r="X51">
        <f>SUMIF(RawDataTotal!$B:$B,$A51,RawDataTotal!AA:AA)</f>
        <v>2</v>
      </c>
      <c r="Y51">
        <f>SUMIF(RawDataTotal!$B:$B,$A51,RawDataTotal!AB:AB)</f>
        <v>2</v>
      </c>
      <c r="Z51">
        <f>SUMIF(RawDataTotal!$B:$B,$A51,RawDataTotal!AC:AC)</f>
        <v>2</v>
      </c>
      <c r="AA51">
        <f>SUMIF(RawDataTotal!$B:$B,$A51,RawDataTotal!AD:AD)</f>
        <v>2</v>
      </c>
      <c r="AB51">
        <f>SUMIF(RawDataTotal!$B:$B,$A51,RawDataTotal!AE:AE)</f>
        <v>2</v>
      </c>
      <c r="AC51">
        <f>SUMIF(RawDataTotal!$B:$B,$A51,RawDataTotal!AF:AF)</f>
        <v>2</v>
      </c>
      <c r="AD51">
        <f>SUMIF(RawDataTotal!$B:$B,$A51,RawDataTotal!AG:AG)</f>
        <v>2</v>
      </c>
      <c r="AE51">
        <f>SUMIF(RawDataTotal!$B:$B,$A51,RawDataTotal!AH:AH)</f>
        <v>2</v>
      </c>
      <c r="AF51">
        <f>SUMIF(RawDataTotal!$B:$B,$A51,RawDataTotal!AI:AI)</f>
        <v>2</v>
      </c>
      <c r="AG51">
        <f>SUMIF(RawDataTotal!$B:$B,$A51,RawDataTotal!AJ:AJ)</f>
        <v>2</v>
      </c>
      <c r="AH51">
        <f>SUMIF(RawDataTotal!$B:$B,$A51,RawDataTotal!AK:AK)</f>
        <v>2</v>
      </c>
      <c r="AI51">
        <f>SUMIF(RawDataTotal!$B:$B,$A51,RawDataTotal!AL:AL)</f>
        <v>2</v>
      </c>
      <c r="AJ51">
        <f>SUMIF(RawDataTotal!$B:$B,$A51,RawDataTotal!AM:AM)</f>
        <v>2</v>
      </c>
      <c r="AK51">
        <f>SUMIF(RawDataTotal!$B:$B,$A51,RawDataTotal!AN:AN)</f>
        <v>2</v>
      </c>
      <c r="AL51">
        <f>SUMIF(RawDataTotal!$B:$B,$A51,RawDataTotal!AO:AO)</f>
        <v>2</v>
      </c>
      <c r="AM51">
        <f>SUMIF(RawDataTotal!$B:$B,$A51,RawDataTotal!AP:AP)</f>
        <v>2</v>
      </c>
      <c r="AN51">
        <f>SUMIF(RawDataTotal!$B:$B,$A51,RawDataTotal!AQ:AQ)</f>
        <v>2</v>
      </c>
      <c r="AO51">
        <f>SUMIF(RawDataTotal!$B:$B,$A51,RawDataTotal!AR:AR)</f>
        <v>2</v>
      </c>
      <c r="AP51">
        <f>SUMIF(RawDataTotal!$B:$B,$A51,RawDataTotal!AS:AS)</f>
        <v>3</v>
      </c>
      <c r="AQ51">
        <f>SUMIF(RawDataTotal!$B:$B,$A51,RawDataTotal!AT:AT)</f>
        <v>3</v>
      </c>
      <c r="AR51">
        <f>SUMIF(RawDataTotal!$B:$B,$A51,RawDataTotal!AU:AU)</f>
        <v>3</v>
      </c>
      <c r="AS51">
        <f>SUMIF(RawDataTotal!$B:$B,$A51,RawDataTotal!AV:AV)</f>
        <v>4</v>
      </c>
      <c r="AT51">
        <f>SUMIF(RawDataTotal!$B:$B,$A51,RawDataTotal!AW:AW)</f>
        <v>13</v>
      </c>
      <c r="AU51">
        <f>SUMIF(RawDataTotal!$B:$B,$A51,RawDataTotal!AX:AX)</f>
        <v>13</v>
      </c>
      <c r="AV51">
        <f>SUMIF(RawDataTotal!$B:$B,$A51,RawDataTotal!AY:AY)</f>
        <v>17</v>
      </c>
      <c r="AW51">
        <f>SUMIF(RawDataTotal!$B:$B,$A51,RawDataTotal!AZ:AZ)</f>
        <v>17</v>
      </c>
      <c r="AX51">
        <f>SUMIF(RawDataTotal!$B:$B,$A51,RawDataTotal!BA:BA)</f>
        <v>20</v>
      </c>
      <c r="AY51">
        <f>SUMIF(RawDataTotal!$B:$B,$A51,RawDataTotal!BB:BB)</f>
        <v>20</v>
      </c>
      <c r="AZ51">
        <f>SUMIF(RawDataTotal!$B:$B,$A51,RawDataTotal!BC:BC)</f>
        <v>28</v>
      </c>
      <c r="BA51">
        <f>SUMIF(RawDataTotal!$B:$B,$A51,RawDataTotal!BD:BD)</f>
        <v>45</v>
      </c>
      <c r="BB51">
        <f>SUMIF(RawDataTotal!$B:$B,$A51,RawDataTotal!BE:BE)</f>
        <v>59</v>
      </c>
      <c r="BC51">
        <f>SUMIF(RawDataTotal!$B:$B,$A51,RawDataTotal!BF:BF)</f>
        <v>63</v>
      </c>
      <c r="BD51">
        <f>SUMIF(RawDataTotal!$B:$B,$A51,RawDataTotal!BG:BG)</f>
        <v>90</v>
      </c>
      <c r="BE51">
        <f>SUMIF(RawDataTotal!$B:$B,$A51,RawDataTotal!BH:BH)</f>
        <v>114</v>
      </c>
      <c r="BF51">
        <f>SUMIF(RawDataTotal!$B:$B,$A51,RawDataTotal!BI:BI)</f>
        <v>0</v>
      </c>
      <c r="BG51">
        <f>SUMIF(RawDataTotal!$B:$B,$A51,RawDataTotal!BJ:BJ)</f>
        <v>0</v>
      </c>
      <c r="BH51">
        <f>SUMIF(RawDataTotal!$B:$B,$A51,RawDataTotal!BK:BK)</f>
        <v>0</v>
      </c>
      <c r="BI51">
        <f>SUMIF(RawDataTotal!$B:$B,$A51,RawDataTotal!BL:BL)</f>
        <v>0</v>
      </c>
      <c r="BJ51">
        <f>SUMIF(RawDataTotal!$B:$B,$A51,RawDataTotal!BM:BM)</f>
        <v>0</v>
      </c>
      <c r="BK51">
        <f>SUMIF(RawDataTotal!$B:$B,$A51,RawDataTotal!BN:BN)</f>
        <v>0</v>
      </c>
      <c r="BL51">
        <f>SUMIF(RawDataTotal!$B:$B,$A51,RawDataTotal!BO:BO)</f>
        <v>0</v>
      </c>
      <c r="BM51">
        <f>SUMIF(RawDataTotal!$B:$B,$A51,RawDataTotal!BP:BP)</f>
        <v>0</v>
      </c>
      <c r="BN51">
        <f>SUMIF(RawDataTotal!$B:$B,$A51,RawDataTotal!BQ:BQ)</f>
        <v>0</v>
      </c>
      <c r="BO51">
        <f>SUMIF(RawDataTotal!$B:$B,$A51,RawDataTotal!BR:BR)</f>
        <v>0</v>
      </c>
      <c r="BP51">
        <f>SUMIF(RawDataTotal!$B:$B,$A51,RawDataTotal!BS:BS)</f>
        <v>0</v>
      </c>
      <c r="BQ51">
        <f>SUMIF(RawDataTotal!$B:$B,$A51,RawDataTotal!BT:BT)</f>
        <v>0</v>
      </c>
      <c r="BR51">
        <f>SUMIF(RawDataTotal!$B:$B,$A51,RawDataTotal!BU:BU)</f>
        <v>0</v>
      </c>
      <c r="BS51">
        <f>SUMIF(RawDataTotal!$B:$B,$A51,RawDataTotal!BV:BV)</f>
        <v>0</v>
      </c>
      <c r="BT51">
        <f>SUMIF(RawDataTotal!$B:$B,$A51,RawDataTotal!BW:BW)</f>
        <v>0</v>
      </c>
    </row>
    <row r="52" spans="1:72" ht="15" thickBot="1" x14ac:dyDescent="0.35">
      <c r="A52" s="3" t="s">
        <v>151</v>
      </c>
      <c r="B52">
        <f>SUMIF(RawDataTotal!$B:$B,$A52,RawDataTotal!E:E)</f>
        <v>0</v>
      </c>
      <c r="C52">
        <f>SUMIF(RawDataTotal!$B:$B,$A52,RawDataTotal!F:F)</f>
        <v>0</v>
      </c>
      <c r="D52">
        <f>SUMIF(RawDataTotal!$B:$B,$A52,RawDataTotal!G:G)</f>
        <v>0</v>
      </c>
      <c r="E52">
        <f>SUMIF(RawDataTotal!$B:$B,$A52,RawDataTotal!H:H)</f>
        <v>0</v>
      </c>
      <c r="F52">
        <f>SUMIF(RawDataTotal!$B:$B,$A52,RawDataTotal!I:I)</f>
        <v>0</v>
      </c>
      <c r="G52">
        <f>SUMIF(RawDataTotal!$B:$B,$A52,RawDataTotal!J:J)</f>
        <v>0</v>
      </c>
      <c r="H52">
        <f>SUMIF(RawDataTotal!$B:$B,$A52,RawDataTotal!K:K)</f>
        <v>0</v>
      </c>
      <c r="I52">
        <f>SUMIF(RawDataTotal!$B:$B,$A52,RawDataTotal!L:L)</f>
        <v>0</v>
      </c>
      <c r="J52">
        <f>SUMIF(RawDataTotal!$B:$B,$A52,RawDataTotal!M:M)</f>
        <v>0</v>
      </c>
      <c r="K52">
        <f>SUMIF(RawDataTotal!$B:$B,$A52,RawDataTotal!N:N)</f>
        <v>0</v>
      </c>
      <c r="L52">
        <f>SUMIF(RawDataTotal!$B:$B,$A52,RawDataTotal!O:O)</f>
        <v>0</v>
      </c>
      <c r="M52">
        <f>SUMIF(RawDataTotal!$B:$B,$A52,RawDataTotal!P:P)</f>
        <v>0</v>
      </c>
      <c r="N52">
        <f>SUMIF(RawDataTotal!$B:$B,$A52,RawDataTotal!Q:Q)</f>
        <v>0</v>
      </c>
      <c r="O52">
        <f>SUMIF(RawDataTotal!$B:$B,$A52,RawDataTotal!R:R)</f>
        <v>0</v>
      </c>
      <c r="P52">
        <f>SUMIF(RawDataTotal!$B:$B,$A52,RawDataTotal!S:S)</f>
        <v>0</v>
      </c>
      <c r="Q52">
        <f>SUMIF(RawDataTotal!$B:$B,$A52,RawDataTotal!T:T)</f>
        <v>0</v>
      </c>
      <c r="R52">
        <f>SUMIF(RawDataTotal!$B:$B,$A52,RawDataTotal!U:U)</f>
        <v>0</v>
      </c>
      <c r="S52">
        <f>SUMIF(RawDataTotal!$B:$B,$A52,RawDataTotal!V:V)</f>
        <v>0</v>
      </c>
      <c r="T52">
        <f>SUMIF(RawDataTotal!$B:$B,$A52,RawDataTotal!W:W)</f>
        <v>0</v>
      </c>
      <c r="U52">
        <f>SUMIF(RawDataTotal!$B:$B,$A52,RawDataTotal!X:X)</f>
        <v>0</v>
      </c>
      <c r="V52">
        <f>SUMIF(RawDataTotal!$B:$B,$A52,RawDataTotal!Y:Y)</f>
        <v>0</v>
      </c>
      <c r="W52">
        <f>SUMIF(RawDataTotal!$B:$B,$A52,RawDataTotal!Z:Z)</f>
        <v>0</v>
      </c>
      <c r="X52">
        <f>SUMIF(RawDataTotal!$B:$B,$A52,RawDataTotal!AA:AA)</f>
        <v>0</v>
      </c>
      <c r="Y52">
        <f>SUMIF(RawDataTotal!$B:$B,$A52,RawDataTotal!AB:AB)</f>
        <v>0</v>
      </c>
      <c r="Z52">
        <f>SUMIF(RawDataTotal!$B:$B,$A52,RawDataTotal!AC:AC)</f>
        <v>0</v>
      </c>
      <c r="AA52">
        <f>SUMIF(RawDataTotal!$B:$B,$A52,RawDataTotal!AD:AD)</f>
        <v>0</v>
      </c>
      <c r="AB52">
        <f>SUMIF(RawDataTotal!$B:$B,$A52,RawDataTotal!AE:AE)</f>
        <v>0</v>
      </c>
      <c r="AC52">
        <f>SUMIF(RawDataTotal!$B:$B,$A52,RawDataTotal!AF:AF)</f>
        <v>0</v>
      </c>
      <c r="AD52">
        <f>SUMIF(RawDataTotal!$B:$B,$A52,RawDataTotal!AG:AG)</f>
        <v>0</v>
      </c>
      <c r="AE52">
        <f>SUMIF(RawDataTotal!$B:$B,$A52,RawDataTotal!AH:AH)</f>
        <v>0</v>
      </c>
      <c r="AF52">
        <f>SUMIF(RawDataTotal!$B:$B,$A52,RawDataTotal!AI:AI)</f>
        <v>0</v>
      </c>
      <c r="AG52">
        <f>SUMIF(RawDataTotal!$B:$B,$A52,RawDataTotal!AJ:AJ)</f>
        <v>0</v>
      </c>
      <c r="AH52">
        <f>SUMIF(RawDataTotal!$B:$B,$A52,RawDataTotal!AK:AK)</f>
        <v>0</v>
      </c>
      <c r="AI52">
        <f>SUMIF(RawDataTotal!$B:$B,$A52,RawDataTotal!AL:AL)</f>
        <v>0</v>
      </c>
      <c r="AJ52">
        <f>SUMIF(RawDataTotal!$B:$B,$A52,RawDataTotal!AM:AM)</f>
        <v>0</v>
      </c>
      <c r="AK52">
        <f>SUMIF(RawDataTotal!$B:$B,$A52,RawDataTotal!AN:AN)</f>
        <v>0</v>
      </c>
      <c r="AL52">
        <f>SUMIF(RawDataTotal!$B:$B,$A52,RawDataTotal!AO:AO)</f>
        <v>0</v>
      </c>
      <c r="AM52">
        <f>SUMIF(RawDataTotal!$B:$B,$A52,RawDataTotal!AP:AP)</f>
        <v>0</v>
      </c>
      <c r="AN52">
        <f>SUMIF(RawDataTotal!$B:$B,$A52,RawDataTotal!AQ:AQ)</f>
        <v>0</v>
      </c>
      <c r="AO52">
        <f>SUMIF(RawDataTotal!$B:$B,$A52,RawDataTotal!AR:AR)</f>
        <v>0</v>
      </c>
      <c r="AP52">
        <f>SUMIF(RawDataTotal!$B:$B,$A52,RawDataTotal!AS:AS)</f>
        <v>0</v>
      </c>
      <c r="AQ52">
        <f>SUMIF(RawDataTotal!$B:$B,$A52,RawDataTotal!AT:AT)</f>
        <v>1</v>
      </c>
      <c r="AR52">
        <f>SUMIF(RawDataTotal!$B:$B,$A52,RawDataTotal!AU:AU)</f>
        <v>1</v>
      </c>
      <c r="AS52">
        <f>SUMIF(RawDataTotal!$B:$B,$A52,RawDataTotal!AV:AV)</f>
        <v>4</v>
      </c>
      <c r="AT52">
        <f>SUMIF(RawDataTotal!$B:$B,$A52,RawDataTotal!AW:AW)</f>
        <v>4</v>
      </c>
      <c r="AU52">
        <f>SUMIF(RawDataTotal!$B:$B,$A52,RawDataTotal!AX:AX)</f>
        <v>4</v>
      </c>
      <c r="AV52">
        <f>SUMIF(RawDataTotal!$B:$B,$A52,RawDataTotal!AY:AY)</f>
        <v>8</v>
      </c>
      <c r="AW52">
        <f>SUMIF(RawDataTotal!$B:$B,$A52,RawDataTotal!AZ:AZ)</f>
        <v>8</v>
      </c>
      <c r="AX52">
        <f>SUMIF(RawDataTotal!$B:$B,$A52,RawDataTotal!BA:BA)</f>
        <v>13</v>
      </c>
      <c r="AY52">
        <f>SUMIF(RawDataTotal!$B:$B,$A52,RawDataTotal!BB:BB)</f>
        <v>23</v>
      </c>
      <c r="AZ52">
        <f>SUMIF(RawDataTotal!$B:$B,$A52,RawDataTotal!BC:BC)</f>
        <v>23</v>
      </c>
      <c r="BA52">
        <f>SUMIF(RawDataTotal!$B:$B,$A52,RawDataTotal!BD:BD)</f>
        <v>43</v>
      </c>
      <c r="BB52">
        <f>SUMIF(RawDataTotal!$B:$B,$A52,RawDataTotal!BE:BE)</f>
        <v>61</v>
      </c>
      <c r="BC52">
        <f>SUMIF(RawDataTotal!$B:$B,$A52,RawDataTotal!BF:BF)</f>
        <v>74</v>
      </c>
      <c r="BD52">
        <f>SUMIF(RawDataTotal!$B:$B,$A52,RawDataTotal!BG:BG)</f>
        <v>155</v>
      </c>
      <c r="BE52">
        <f>SUMIF(RawDataTotal!$B:$B,$A52,RawDataTotal!BH:BH)</f>
        <v>201</v>
      </c>
      <c r="BF52">
        <f>SUMIF(RawDataTotal!$B:$B,$A52,RawDataTotal!BI:BI)</f>
        <v>0</v>
      </c>
      <c r="BG52">
        <f>SUMIF(RawDataTotal!$B:$B,$A52,RawDataTotal!BJ:BJ)</f>
        <v>0</v>
      </c>
      <c r="BH52">
        <f>SUMIF(RawDataTotal!$B:$B,$A52,RawDataTotal!BK:BK)</f>
        <v>0</v>
      </c>
      <c r="BI52">
        <f>SUMIF(RawDataTotal!$B:$B,$A52,RawDataTotal!BL:BL)</f>
        <v>0</v>
      </c>
      <c r="BJ52">
        <f>SUMIF(RawDataTotal!$B:$B,$A52,RawDataTotal!BM:BM)</f>
        <v>0</v>
      </c>
      <c r="BK52">
        <f>SUMIF(RawDataTotal!$B:$B,$A52,RawDataTotal!BN:BN)</f>
        <v>0</v>
      </c>
      <c r="BL52">
        <f>SUMIF(RawDataTotal!$B:$B,$A52,RawDataTotal!BO:BO)</f>
        <v>0</v>
      </c>
      <c r="BM52">
        <f>SUMIF(RawDataTotal!$B:$B,$A52,RawDataTotal!BP:BP)</f>
        <v>0</v>
      </c>
      <c r="BN52">
        <f>SUMIF(RawDataTotal!$B:$B,$A52,RawDataTotal!BQ:BQ)</f>
        <v>0</v>
      </c>
      <c r="BO52">
        <f>SUMIF(RawDataTotal!$B:$B,$A52,RawDataTotal!BR:BR)</f>
        <v>0</v>
      </c>
      <c r="BP52">
        <f>SUMIF(RawDataTotal!$B:$B,$A52,RawDataTotal!BS:BS)</f>
        <v>0</v>
      </c>
      <c r="BQ52">
        <f>SUMIF(RawDataTotal!$B:$B,$A52,RawDataTotal!BT:BT)</f>
        <v>0</v>
      </c>
      <c r="BR52">
        <f>SUMIF(RawDataTotal!$B:$B,$A52,RawDataTotal!BU:BU)</f>
        <v>0</v>
      </c>
      <c r="BS52">
        <f>SUMIF(RawDataTotal!$B:$B,$A52,RawDataTotal!BV:BV)</f>
        <v>0</v>
      </c>
      <c r="BT52">
        <f>SUMIF(RawDataTotal!$B:$B,$A52,RawDataTotal!BW:BW)</f>
        <v>0</v>
      </c>
    </row>
    <row r="53" spans="1:72" ht="15" thickBot="1" x14ac:dyDescent="0.35">
      <c r="A53" s="4" t="s">
        <v>260</v>
      </c>
      <c r="B53">
        <f>SUMIF(RawDataTotal!$B:$B,$A53,RawDataTotal!E:E)</f>
        <v>0</v>
      </c>
      <c r="C53">
        <f>SUMIF(RawDataTotal!$B:$B,$A53,RawDataTotal!F:F)</f>
        <v>0</v>
      </c>
      <c r="D53">
        <f>SUMIF(RawDataTotal!$B:$B,$A53,RawDataTotal!G:G)</f>
        <v>0</v>
      </c>
      <c r="E53">
        <f>SUMIF(RawDataTotal!$B:$B,$A53,RawDataTotal!H:H)</f>
        <v>0</v>
      </c>
      <c r="F53">
        <f>SUMIF(RawDataTotal!$B:$B,$A53,RawDataTotal!I:I)</f>
        <v>0</v>
      </c>
      <c r="G53">
        <f>SUMIF(RawDataTotal!$B:$B,$A53,RawDataTotal!J:J)</f>
        <v>0</v>
      </c>
      <c r="H53">
        <f>SUMIF(RawDataTotal!$B:$B,$A53,RawDataTotal!K:K)</f>
        <v>0</v>
      </c>
      <c r="I53">
        <f>SUMIF(RawDataTotal!$B:$B,$A53,RawDataTotal!L:L)</f>
        <v>0</v>
      </c>
      <c r="J53">
        <f>SUMIF(RawDataTotal!$B:$B,$A53,RawDataTotal!M:M)</f>
        <v>0</v>
      </c>
      <c r="K53">
        <f>SUMIF(RawDataTotal!$B:$B,$A53,RawDataTotal!N:N)</f>
        <v>0</v>
      </c>
      <c r="L53">
        <f>SUMIF(RawDataTotal!$B:$B,$A53,RawDataTotal!O:O)</f>
        <v>0</v>
      </c>
      <c r="M53">
        <f>SUMIF(RawDataTotal!$B:$B,$A53,RawDataTotal!P:P)</f>
        <v>0</v>
      </c>
      <c r="N53">
        <f>SUMIF(RawDataTotal!$B:$B,$A53,RawDataTotal!Q:Q)</f>
        <v>0</v>
      </c>
      <c r="O53">
        <f>SUMIF(RawDataTotal!$B:$B,$A53,RawDataTotal!R:R)</f>
        <v>0</v>
      </c>
      <c r="P53">
        <f>SUMIF(RawDataTotal!$B:$B,$A53,RawDataTotal!S:S)</f>
        <v>0</v>
      </c>
      <c r="Q53">
        <f>SUMIF(RawDataTotal!$B:$B,$A53,RawDataTotal!T:T)</f>
        <v>0</v>
      </c>
      <c r="R53">
        <f>SUMIF(RawDataTotal!$B:$B,$A53,RawDataTotal!U:U)</f>
        <v>0</v>
      </c>
      <c r="S53">
        <f>SUMIF(RawDataTotal!$B:$B,$A53,RawDataTotal!V:V)</f>
        <v>0</v>
      </c>
      <c r="T53">
        <f>SUMIF(RawDataTotal!$B:$B,$A53,RawDataTotal!W:W)</f>
        <v>0</v>
      </c>
      <c r="U53">
        <f>SUMIF(RawDataTotal!$B:$B,$A53,RawDataTotal!X:X)</f>
        <v>0</v>
      </c>
      <c r="V53">
        <f>SUMIF(RawDataTotal!$B:$B,$A53,RawDataTotal!Y:Y)</f>
        <v>0</v>
      </c>
      <c r="W53">
        <f>SUMIF(RawDataTotal!$B:$B,$A53,RawDataTotal!Z:Z)</f>
        <v>0</v>
      </c>
      <c r="X53">
        <f>SUMIF(RawDataTotal!$B:$B,$A53,RawDataTotal!AA:AA)</f>
        <v>0</v>
      </c>
      <c r="Y53">
        <f>SUMIF(RawDataTotal!$B:$B,$A53,RawDataTotal!AB:AB)</f>
        <v>0</v>
      </c>
      <c r="Z53">
        <f>SUMIF(RawDataTotal!$B:$B,$A53,RawDataTotal!AC:AC)</f>
        <v>0</v>
      </c>
      <c r="AA53">
        <f>SUMIF(RawDataTotal!$B:$B,$A53,RawDataTotal!AD:AD)</f>
        <v>0</v>
      </c>
      <c r="AB53">
        <f>SUMIF(RawDataTotal!$B:$B,$A53,RawDataTotal!AE:AE)</f>
        <v>0</v>
      </c>
      <c r="AC53">
        <f>SUMIF(RawDataTotal!$B:$B,$A53,RawDataTotal!AF:AF)</f>
        <v>0</v>
      </c>
      <c r="AD53">
        <f>SUMIF(RawDataTotal!$B:$B,$A53,RawDataTotal!AG:AG)</f>
        <v>0</v>
      </c>
      <c r="AE53">
        <f>SUMIF(RawDataTotal!$B:$B,$A53,RawDataTotal!AH:AH)</f>
        <v>0</v>
      </c>
      <c r="AF53">
        <f>SUMIF(RawDataTotal!$B:$B,$A53,RawDataTotal!AI:AI)</f>
        <v>0</v>
      </c>
      <c r="AG53">
        <f>SUMIF(RawDataTotal!$B:$B,$A53,RawDataTotal!AJ:AJ)</f>
        <v>0</v>
      </c>
      <c r="AH53">
        <f>SUMIF(RawDataTotal!$B:$B,$A53,RawDataTotal!AK:AK)</f>
        <v>0</v>
      </c>
      <c r="AI53">
        <f>SUMIF(RawDataTotal!$B:$B,$A53,RawDataTotal!AL:AL)</f>
        <v>0</v>
      </c>
      <c r="AJ53">
        <f>SUMIF(RawDataTotal!$B:$B,$A53,RawDataTotal!AM:AM)</f>
        <v>0</v>
      </c>
      <c r="AK53">
        <f>SUMIF(RawDataTotal!$B:$B,$A53,RawDataTotal!AN:AN)</f>
        <v>0</v>
      </c>
      <c r="AL53">
        <f>SUMIF(RawDataTotal!$B:$B,$A53,RawDataTotal!AO:AO)</f>
        <v>0</v>
      </c>
      <c r="AM53">
        <f>SUMIF(RawDataTotal!$B:$B,$A53,RawDataTotal!AP:AP)</f>
        <v>0</v>
      </c>
      <c r="AN53">
        <f>SUMIF(RawDataTotal!$B:$B,$A53,RawDataTotal!AQ:AQ)</f>
        <v>0</v>
      </c>
      <c r="AO53">
        <f>SUMIF(RawDataTotal!$B:$B,$A53,RawDataTotal!AR:AR)</f>
        <v>0</v>
      </c>
      <c r="AP53">
        <f>SUMIF(RawDataTotal!$B:$B,$A53,RawDataTotal!AS:AS)</f>
        <v>0</v>
      </c>
      <c r="AQ53">
        <f>SUMIF(RawDataTotal!$B:$B,$A53,RawDataTotal!AT:AT)</f>
        <v>0</v>
      </c>
      <c r="AR53">
        <f>SUMIF(RawDataTotal!$B:$B,$A53,RawDataTotal!AU:AU)</f>
        <v>0</v>
      </c>
      <c r="AS53">
        <f>SUMIF(RawDataTotal!$B:$B,$A53,RawDataTotal!AV:AV)</f>
        <v>0</v>
      </c>
      <c r="AT53">
        <f>SUMIF(RawDataTotal!$B:$B,$A53,RawDataTotal!AW:AW)</f>
        <v>0</v>
      </c>
      <c r="AU53">
        <f>SUMIF(RawDataTotal!$B:$B,$A53,RawDataTotal!AX:AX)</f>
        <v>0</v>
      </c>
      <c r="AV53">
        <f>SUMIF(RawDataTotal!$B:$B,$A53,RawDataTotal!AY:AY)</f>
        <v>0</v>
      </c>
      <c r="AW53">
        <f>SUMIF(RawDataTotal!$B:$B,$A53,RawDataTotal!AZ:AZ)</f>
        <v>1</v>
      </c>
      <c r="AX53">
        <f>SUMIF(RawDataTotal!$B:$B,$A53,RawDataTotal!BA:BA)</f>
        <v>1</v>
      </c>
      <c r="AY53">
        <f>SUMIF(RawDataTotal!$B:$B,$A53,RawDataTotal!BB:BB)</f>
        <v>11</v>
      </c>
      <c r="AZ53">
        <f>SUMIF(RawDataTotal!$B:$B,$A53,RawDataTotal!BC:BC)</f>
        <v>11</v>
      </c>
      <c r="BA53">
        <f>SUMIF(RawDataTotal!$B:$B,$A53,RawDataTotal!BD:BD)</f>
        <v>37</v>
      </c>
      <c r="BB53">
        <f>SUMIF(RawDataTotal!$B:$B,$A53,RawDataTotal!BE:BE)</f>
        <v>40</v>
      </c>
      <c r="BC53">
        <f>SUMIF(RawDataTotal!$B:$B,$A53,RawDataTotal!BF:BF)</f>
        <v>50</v>
      </c>
      <c r="BD53">
        <f>SUMIF(RawDataTotal!$B:$B,$A53,RawDataTotal!BG:BG)</f>
        <v>54</v>
      </c>
      <c r="BE53">
        <f>SUMIF(RawDataTotal!$B:$B,$A53,RawDataTotal!BH:BH)</f>
        <v>56</v>
      </c>
      <c r="BF53">
        <f>SUMIF(RawDataTotal!$B:$B,$A53,RawDataTotal!BI:BI)</f>
        <v>0</v>
      </c>
      <c r="BG53">
        <f>SUMIF(RawDataTotal!$B:$B,$A53,RawDataTotal!BJ:BJ)</f>
        <v>0</v>
      </c>
      <c r="BH53">
        <f>SUMIF(RawDataTotal!$B:$B,$A53,RawDataTotal!BK:BK)</f>
        <v>0</v>
      </c>
      <c r="BI53">
        <f>SUMIF(RawDataTotal!$B:$B,$A53,RawDataTotal!BL:BL)</f>
        <v>0</v>
      </c>
      <c r="BJ53">
        <f>SUMIF(RawDataTotal!$B:$B,$A53,RawDataTotal!BM:BM)</f>
        <v>0</v>
      </c>
      <c r="BK53">
        <f>SUMIF(RawDataTotal!$B:$B,$A53,RawDataTotal!BN:BN)</f>
        <v>0</v>
      </c>
      <c r="BL53">
        <f>SUMIF(RawDataTotal!$B:$B,$A53,RawDataTotal!BO:BO)</f>
        <v>0</v>
      </c>
      <c r="BM53">
        <f>SUMIF(RawDataTotal!$B:$B,$A53,RawDataTotal!BP:BP)</f>
        <v>0</v>
      </c>
      <c r="BN53">
        <f>SUMIF(RawDataTotal!$B:$B,$A53,RawDataTotal!BQ:BQ)</f>
        <v>0</v>
      </c>
      <c r="BO53">
        <f>SUMIF(RawDataTotal!$B:$B,$A53,RawDataTotal!BR:BR)</f>
        <v>0</v>
      </c>
      <c r="BP53">
        <f>SUMIF(RawDataTotal!$B:$B,$A53,RawDataTotal!BS:BS)</f>
        <v>0</v>
      </c>
      <c r="BQ53">
        <f>SUMIF(RawDataTotal!$B:$B,$A53,RawDataTotal!BT:BT)</f>
        <v>0</v>
      </c>
      <c r="BR53">
        <f>SUMIF(RawDataTotal!$B:$B,$A53,RawDataTotal!BU:BU)</f>
        <v>0</v>
      </c>
      <c r="BS53">
        <f>SUMIF(RawDataTotal!$B:$B,$A53,RawDataTotal!BV:BV)</f>
        <v>0</v>
      </c>
      <c r="BT53">
        <f>SUMIF(RawDataTotal!$B:$B,$A53,RawDataTotal!BW:BW)</f>
        <v>0</v>
      </c>
    </row>
    <row r="54" spans="1:72" ht="15" thickBot="1" x14ac:dyDescent="0.35">
      <c r="A54" s="3" t="s">
        <v>188</v>
      </c>
      <c r="B54">
        <f>SUMIF(RawDataTotal!$B:$B,$A54,RawDataTotal!E:E)</f>
        <v>0</v>
      </c>
      <c r="C54">
        <f>SUMIF(RawDataTotal!$B:$B,$A54,RawDataTotal!F:F)</f>
        <v>0</v>
      </c>
      <c r="D54">
        <f>SUMIF(RawDataTotal!$B:$B,$A54,RawDataTotal!G:G)</f>
        <v>0</v>
      </c>
      <c r="E54">
        <f>SUMIF(RawDataTotal!$B:$B,$A54,RawDataTotal!H:H)</f>
        <v>0</v>
      </c>
      <c r="F54">
        <f>SUMIF(RawDataTotal!$B:$B,$A54,RawDataTotal!I:I)</f>
        <v>0</v>
      </c>
      <c r="G54">
        <f>SUMIF(RawDataTotal!$B:$B,$A54,RawDataTotal!J:J)</f>
        <v>0</v>
      </c>
      <c r="H54">
        <f>SUMIF(RawDataTotal!$B:$B,$A54,RawDataTotal!K:K)</f>
        <v>0</v>
      </c>
      <c r="I54">
        <f>SUMIF(RawDataTotal!$B:$B,$A54,RawDataTotal!L:L)</f>
        <v>0</v>
      </c>
      <c r="J54">
        <f>SUMIF(RawDataTotal!$B:$B,$A54,RawDataTotal!M:M)</f>
        <v>0</v>
      </c>
      <c r="K54">
        <f>SUMIF(RawDataTotal!$B:$B,$A54,RawDataTotal!N:N)</f>
        <v>0</v>
      </c>
      <c r="L54">
        <f>SUMIF(RawDataTotal!$B:$B,$A54,RawDataTotal!O:O)</f>
        <v>0</v>
      </c>
      <c r="M54">
        <f>SUMIF(RawDataTotal!$B:$B,$A54,RawDataTotal!P:P)</f>
        <v>0</v>
      </c>
      <c r="N54">
        <f>SUMIF(RawDataTotal!$B:$B,$A54,RawDataTotal!Q:Q)</f>
        <v>0</v>
      </c>
      <c r="O54">
        <f>SUMIF(RawDataTotal!$B:$B,$A54,RawDataTotal!R:R)</f>
        <v>0</v>
      </c>
      <c r="P54">
        <f>SUMIF(RawDataTotal!$B:$B,$A54,RawDataTotal!S:S)</f>
        <v>0</v>
      </c>
      <c r="Q54">
        <f>SUMIF(RawDataTotal!$B:$B,$A54,RawDataTotal!T:T)</f>
        <v>0</v>
      </c>
      <c r="R54">
        <f>SUMIF(RawDataTotal!$B:$B,$A54,RawDataTotal!U:U)</f>
        <v>0</v>
      </c>
      <c r="S54">
        <f>SUMIF(RawDataTotal!$B:$B,$A54,RawDataTotal!V:V)</f>
        <v>0</v>
      </c>
      <c r="T54">
        <f>SUMIF(RawDataTotal!$B:$B,$A54,RawDataTotal!W:W)</f>
        <v>0</v>
      </c>
      <c r="U54">
        <f>SUMIF(RawDataTotal!$B:$B,$A54,RawDataTotal!X:X)</f>
        <v>0</v>
      </c>
      <c r="V54">
        <f>SUMIF(RawDataTotal!$B:$B,$A54,RawDataTotal!Y:Y)</f>
        <v>0</v>
      </c>
      <c r="W54">
        <f>SUMIF(RawDataTotal!$B:$B,$A54,RawDataTotal!Z:Z)</f>
        <v>0</v>
      </c>
      <c r="X54">
        <f>SUMIF(RawDataTotal!$B:$B,$A54,RawDataTotal!AA:AA)</f>
        <v>0</v>
      </c>
      <c r="Y54">
        <f>SUMIF(RawDataTotal!$B:$B,$A54,RawDataTotal!AB:AB)</f>
        <v>0</v>
      </c>
      <c r="Z54">
        <f>SUMIF(RawDataTotal!$B:$B,$A54,RawDataTotal!AC:AC)</f>
        <v>0</v>
      </c>
      <c r="AA54">
        <f>SUMIF(RawDataTotal!$B:$B,$A54,RawDataTotal!AD:AD)</f>
        <v>0</v>
      </c>
      <c r="AB54">
        <f>SUMIF(RawDataTotal!$B:$B,$A54,RawDataTotal!AE:AE)</f>
        <v>0</v>
      </c>
      <c r="AC54">
        <f>SUMIF(RawDataTotal!$B:$B,$A54,RawDataTotal!AF:AF)</f>
        <v>0</v>
      </c>
      <c r="AD54">
        <f>SUMIF(RawDataTotal!$B:$B,$A54,RawDataTotal!AG:AG)</f>
        <v>0</v>
      </c>
      <c r="AE54">
        <f>SUMIF(RawDataTotal!$B:$B,$A54,RawDataTotal!AH:AH)</f>
        <v>0</v>
      </c>
      <c r="AF54">
        <f>SUMIF(RawDataTotal!$B:$B,$A54,RawDataTotal!AI:AI)</f>
        <v>0</v>
      </c>
      <c r="AG54">
        <f>SUMIF(RawDataTotal!$B:$B,$A54,RawDataTotal!AJ:AJ)</f>
        <v>0</v>
      </c>
      <c r="AH54">
        <f>SUMIF(RawDataTotal!$B:$B,$A54,RawDataTotal!AK:AK)</f>
        <v>0</v>
      </c>
      <c r="AI54">
        <f>SUMIF(RawDataTotal!$B:$B,$A54,RawDataTotal!AL:AL)</f>
        <v>0</v>
      </c>
      <c r="AJ54">
        <f>SUMIF(RawDataTotal!$B:$B,$A54,RawDataTotal!AM:AM)</f>
        <v>0</v>
      </c>
      <c r="AK54">
        <f>SUMIF(RawDataTotal!$B:$B,$A54,RawDataTotal!AN:AN)</f>
        <v>0</v>
      </c>
      <c r="AL54">
        <f>SUMIF(RawDataTotal!$B:$B,$A54,RawDataTotal!AO:AO)</f>
        <v>0</v>
      </c>
      <c r="AM54">
        <f>SUMIF(RawDataTotal!$B:$B,$A54,RawDataTotal!AP:AP)</f>
        <v>0</v>
      </c>
      <c r="AN54">
        <f>SUMIF(RawDataTotal!$B:$B,$A54,RawDataTotal!AQ:AQ)</f>
        <v>0</v>
      </c>
      <c r="AO54">
        <f>SUMIF(RawDataTotal!$B:$B,$A54,RawDataTotal!AR:AR)</f>
        <v>0</v>
      </c>
      <c r="AP54">
        <f>SUMIF(RawDataTotal!$B:$B,$A54,RawDataTotal!AS:AS)</f>
        <v>0</v>
      </c>
      <c r="AQ54">
        <f>SUMIF(RawDataTotal!$B:$B,$A54,RawDataTotal!AT:AT)</f>
        <v>0</v>
      </c>
      <c r="AR54">
        <f>SUMIF(RawDataTotal!$B:$B,$A54,RawDataTotal!AU:AU)</f>
        <v>0</v>
      </c>
      <c r="AS54">
        <f>SUMIF(RawDataTotal!$B:$B,$A54,RawDataTotal!AV:AV)</f>
        <v>0</v>
      </c>
      <c r="AT54">
        <f>SUMIF(RawDataTotal!$B:$B,$A54,RawDataTotal!AW:AW)</f>
        <v>1</v>
      </c>
      <c r="AU54">
        <f>SUMIF(RawDataTotal!$B:$B,$A54,RawDataTotal!AX:AX)</f>
        <v>1</v>
      </c>
      <c r="AV54">
        <f>SUMIF(RawDataTotal!$B:$B,$A54,RawDataTotal!AY:AY)</f>
        <v>1</v>
      </c>
      <c r="AW54">
        <f>SUMIF(RawDataTotal!$B:$B,$A54,RawDataTotal!AZ:AZ)</f>
        <v>1</v>
      </c>
      <c r="AX54">
        <f>SUMIF(RawDataTotal!$B:$B,$A54,RawDataTotal!BA:BA)</f>
        <v>5</v>
      </c>
      <c r="AY54">
        <f>SUMIF(RawDataTotal!$B:$B,$A54,RawDataTotal!BB:BB)</f>
        <v>12</v>
      </c>
      <c r="AZ54">
        <f>SUMIF(RawDataTotal!$B:$B,$A54,RawDataTotal!BC:BC)</f>
        <v>19</v>
      </c>
      <c r="BA54">
        <f>SUMIF(RawDataTotal!$B:$B,$A54,RawDataTotal!BD:BD)</f>
        <v>35</v>
      </c>
      <c r="BB54">
        <f>SUMIF(RawDataTotal!$B:$B,$A54,RawDataTotal!BE:BE)</f>
        <v>46</v>
      </c>
      <c r="BC54">
        <f>SUMIF(RawDataTotal!$B:$B,$A54,RawDataTotal!BF:BF)</f>
        <v>48</v>
      </c>
      <c r="BD54">
        <f>SUMIF(RawDataTotal!$B:$B,$A54,RawDataTotal!BG:BG)</f>
        <v>55</v>
      </c>
      <c r="BE54">
        <f>SUMIF(RawDataTotal!$B:$B,$A54,RawDataTotal!BH:BH)</f>
        <v>65</v>
      </c>
      <c r="BF54">
        <f>SUMIF(RawDataTotal!$B:$B,$A54,RawDataTotal!BI:BI)</f>
        <v>0</v>
      </c>
      <c r="BG54">
        <f>SUMIF(RawDataTotal!$B:$B,$A54,RawDataTotal!BJ:BJ)</f>
        <v>0</v>
      </c>
      <c r="BH54">
        <f>SUMIF(RawDataTotal!$B:$B,$A54,RawDataTotal!BK:BK)</f>
        <v>0</v>
      </c>
      <c r="BI54">
        <f>SUMIF(RawDataTotal!$B:$B,$A54,RawDataTotal!BL:BL)</f>
        <v>0</v>
      </c>
      <c r="BJ54">
        <f>SUMIF(RawDataTotal!$B:$B,$A54,RawDataTotal!BM:BM)</f>
        <v>0</v>
      </c>
      <c r="BK54">
        <f>SUMIF(RawDataTotal!$B:$B,$A54,RawDataTotal!BN:BN)</f>
        <v>0</v>
      </c>
      <c r="BL54">
        <f>SUMIF(RawDataTotal!$B:$B,$A54,RawDataTotal!BO:BO)</f>
        <v>0</v>
      </c>
      <c r="BM54">
        <f>SUMIF(RawDataTotal!$B:$B,$A54,RawDataTotal!BP:BP)</f>
        <v>0</v>
      </c>
      <c r="BN54">
        <f>SUMIF(RawDataTotal!$B:$B,$A54,RawDataTotal!BQ:BQ)</f>
        <v>0</v>
      </c>
      <c r="BO54">
        <f>SUMIF(RawDataTotal!$B:$B,$A54,RawDataTotal!BR:BR)</f>
        <v>0</v>
      </c>
      <c r="BP54">
        <f>SUMIF(RawDataTotal!$B:$B,$A54,RawDataTotal!BS:BS)</f>
        <v>0</v>
      </c>
      <c r="BQ54">
        <f>SUMIF(RawDataTotal!$B:$B,$A54,RawDataTotal!BT:BT)</f>
        <v>0</v>
      </c>
      <c r="BR54">
        <f>SUMIF(RawDataTotal!$B:$B,$A54,RawDataTotal!BU:BU)</f>
        <v>0</v>
      </c>
      <c r="BS54">
        <f>SUMIF(RawDataTotal!$B:$B,$A54,RawDataTotal!BV:BV)</f>
        <v>0</v>
      </c>
      <c r="BT54">
        <f>SUMIF(RawDataTotal!$B:$B,$A54,RawDataTotal!BW:BW)</f>
        <v>0</v>
      </c>
    </row>
    <row r="55" spans="1:72" ht="15" thickBot="1" x14ac:dyDescent="0.35">
      <c r="A55" s="3" t="s">
        <v>126</v>
      </c>
      <c r="B55">
        <f>SUMIF(RawDataTotal!$B:$B,$A55,RawDataTotal!E:E)</f>
        <v>0</v>
      </c>
      <c r="C55">
        <f>SUMIF(RawDataTotal!$B:$B,$A55,RawDataTotal!F:F)</f>
        <v>0</v>
      </c>
      <c r="D55">
        <f>SUMIF(RawDataTotal!$B:$B,$A55,RawDataTotal!G:G)</f>
        <v>0</v>
      </c>
      <c r="E55">
        <f>SUMIF(RawDataTotal!$B:$B,$A55,RawDataTotal!H:H)</f>
        <v>0</v>
      </c>
      <c r="F55">
        <f>SUMIF(RawDataTotal!$B:$B,$A55,RawDataTotal!I:I)</f>
        <v>0</v>
      </c>
      <c r="G55">
        <f>SUMIF(RawDataTotal!$B:$B,$A55,RawDataTotal!J:J)</f>
        <v>0</v>
      </c>
      <c r="H55">
        <f>SUMIF(RawDataTotal!$B:$B,$A55,RawDataTotal!K:K)</f>
        <v>0</v>
      </c>
      <c r="I55">
        <f>SUMIF(RawDataTotal!$B:$B,$A55,RawDataTotal!L:L)</f>
        <v>0</v>
      </c>
      <c r="J55">
        <f>SUMIF(RawDataTotal!$B:$B,$A55,RawDataTotal!M:M)</f>
        <v>0</v>
      </c>
      <c r="K55">
        <f>SUMIF(RawDataTotal!$B:$B,$A55,RawDataTotal!N:N)</f>
        <v>0</v>
      </c>
      <c r="L55">
        <f>SUMIF(RawDataTotal!$B:$B,$A55,RawDataTotal!O:O)</f>
        <v>0</v>
      </c>
      <c r="M55">
        <f>SUMIF(RawDataTotal!$B:$B,$A55,RawDataTotal!P:P)</f>
        <v>0</v>
      </c>
      <c r="N55">
        <f>SUMIF(RawDataTotal!$B:$B,$A55,RawDataTotal!Q:Q)</f>
        <v>0</v>
      </c>
      <c r="O55">
        <f>SUMIF(RawDataTotal!$B:$B,$A55,RawDataTotal!R:R)</f>
        <v>0</v>
      </c>
      <c r="P55">
        <f>SUMIF(RawDataTotal!$B:$B,$A55,RawDataTotal!S:S)</f>
        <v>0</v>
      </c>
      <c r="Q55">
        <f>SUMIF(RawDataTotal!$B:$B,$A55,RawDataTotal!T:T)</f>
        <v>0</v>
      </c>
      <c r="R55">
        <f>SUMIF(RawDataTotal!$B:$B,$A55,RawDataTotal!U:U)</f>
        <v>0</v>
      </c>
      <c r="S55">
        <f>SUMIF(RawDataTotal!$B:$B,$A55,RawDataTotal!V:V)</f>
        <v>0</v>
      </c>
      <c r="T55">
        <f>SUMIF(RawDataTotal!$B:$B,$A55,RawDataTotal!W:W)</f>
        <v>0</v>
      </c>
      <c r="U55">
        <f>SUMIF(RawDataTotal!$B:$B,$A55,RawDataTotal!X:X)</f>
        <v>0</v>
      </c>
      <c r="V55">
        <f>SUMIF(RawDataTotal!$B:$B,$A55,RawDataTotal!Y:Y)</f>
        <v>0</v>
      </c>
      <c r="W55">
        <f>SUMIF(RawDataTotal!$B:$B,$A55,RawDataTotal!Z:Z)</f>
        <v>0</v>
      </c>
      <c r="X55">
        <f>SUMIF(RawDataTotal!$B:$B,$A55,RawDataTotal!AA:AA)</f>
        <v>0</v>
      </c>
      <c r="Y55">
        <f>SUMIF(RawDataTotal!$B:$B,$A55,RawDataTotal!AB:AB)</f>
        <v>0</v>
      </c>
      <c r="Z55">
        <f>SUMIF(RawDataTotal!$B:$B,$A55,RawDataTotal!AC:AC)</f>
        <v>0</v>
      </c>
      <c r="AA55">
        <f>SUMIF(RawDataTotal!$B:$B,$A55,RawDataTotal!AD:AD)</f>
        <v>0</v>
      </c>
      <c r="AB55">
        <f>SUMIF(RawDataTotal!$B:$B,$A55,RawDataTotal!AE:AE)</f>
        <v>0</v>
      </c>
      <c r="AC55">
        <f>SUMIF(RawDataTotal!$B:$B,$A55,RawDataTotal!AF:AF)</f>
        <v>0</v>
      </c>
      <c r="AD55">
        <f>SUMIF(RawDataTotal!$B:$B,$A55,RawDataTotal!AG:AG)</f>
        <v>0</v>
      </c>
      <c r="AE55">
        <f>SUMIF(RawDataTotal!$B:$B,$A55,RawDataTotal!AH:AH)</f>
        <v>0</v>
      </c>
      <c r="AF55">
        <f>SUMIF(RawDataTotal!$B:$B,$A55,RawDataTotal!AI:AI)</f>
        <v>0</v>
      </c>
      <c r="AG55">
        <f>SUMIF(RawDataTotal!$B:$B,$A55,RawDataTotal!AJ:AJ)</f>
        <v>0</v>
      </c>
      <c r="AH55">
        <f>SUMIF(RawDataTotal!$B:$B,$A55,RawDataTotal!AK:AK)</f>
        <v>0</v>
      </c>
      <c r="AI55">
        <f>SUMIF(RawDataTotal!$B:$B,$A55,RawDataTotal!AL:AL)</f>
        <v>0</v>
      </c>
      <c r="AJ55">
        <f>SUMIF(RawDataTotal!$B:$B,$A55,RawDataTotal!AM:AM)</f>
        <v>0</v>
      </c>
      <c r="AK55">
        <f>SUMIF(RawDataTotal!$B:$B,$A55,RawDataTotal!AN:AN)</f>
        <v>0</v>
      </c>
      <c r="AL55">
        <f>SUMIF(RawDataTotal!$B:$B,$A55,RawDataTotal!AO:AO)</f>
        <v>0</v>
      </c>
      <c r="AM55">
        <f>SUMIF(RawDataTotal!$B:$B,$A55,RawDataTotal!AP:AP)</f>
        <v>0</v>
      </c>
      <c r="AN55">
        <f>SUMIF(RawDataTotal!$B:$B,$A55,RawDataTotal!AQ:AQ)</f>
        <v>1</v>
      </c>
      <c r="AO55">
        <f>SUMIF(RawDataTotal!$B:$B,$A55,RawDataTotal!AR:AR)</f>
        <v>1</v>
      </c>
      <c r="AP55">
        <f>SUMIF(RawDataTotal!$B:$B,$A55,RawDataTotal!AS:AS)</f>
        <v>1</v>
      </c>
      <c r="AQ55">
        <f>SUMIF(RawDataTotal!$B:$B,$A55,RawDataTotal!AT:AT)</f>
        <v>1</v>
      </c>
      <c r="AR55">
        <f>SUMIF(RawDataTotal!$B:$B,$A55,RawDataTotal!AU:AU)</f>
        <v>1</v>
      </c>
      <c r="AS55">
        <f>SUMIF(RawDataTotal!$B:$B,$A55,RawDataTotal!AV:AV)</f>
        <v>1</v>
      </c>
      <c r="AT55">
        <f>SUMIF(RawDataTotal!$B:$B,$A55,RawDataTotal!AW:AW)</f>
        <v>2</v>
      </c>
      <c r="AU55">
        <f>SUMIF(RawDataTotal!$B:$B,$A55,RawDataTotal!AX:AX)</f>
        <v>2</v>
      </c>
      <c r="AV55">
        <f>SUMIF(RawDataTotal!$B:$B,$A55,RawDataTotal!AY:AY)</f>
        <v>3</v>
      </c>
      <c r="AW55">
        <f>SUMIF(RawDataTotal!$B:$B,$A55,RawDataTotal!AZ:AZ)</f>
        <v>3</v>
      </c>
      <c r="AX55">
        <f>SUMIF(RawDataTotal!$B:$B,$A55,RawDataTotal!BA:BA)</f>
        <v>5</v>
      </c>
      <c r="AY55">
        <f>SUMIF(RawDataTotal!$B:$B,$A55,RawDataTotal!BB:BB)</f>
        <v>7</v>
      </c>
      <c r="AZ55">
        <f>SUMIF(RawDataTotal!$B:$B,$A55,RawDataTotal!BC:BC)</f>
        <v>19</v>
      </c>
      <c r="BA55">
        <f>SUMIF(RawDataTotal!$B:$B,$A55,RawDataTotal!BD:BD)</f>
        <v>34</v>
      </c>
      <c r="BB55">
        <f>SUMIF(RawDataTotal!$B:$B,$A55,RawDataTotal!BE:BE)</f>
        <v>51</v>
      </c>
      <c r="BC55">
        <f>SUMIF(RawDataTotal!$B:$B,$A55,RawDataTotal!BF:BF)</f>
        <v>59</v>
      </c>
      <c r="BD55">
        <f>SUMIF(RawDataTotal!$B:$B,$A55,RawDataTotal!BG:BG)</f>
        <v>77</v>
      </c>
      <c r="BE55">
        <f>SUMIF(RawDataTotal!$B:$B,$A55,RawDataTotal!BH:BH)</f>
        <v>140</v>
      </c>
      <c r="BF55">
        <f>SUMIF(RawDataTotal!$B:$B,$A55,RawDataTotal!BI:BI)</f>
        <v>0</v>
      </c>
      <c r="BG55">
        <f>SUMIF(RawDataTotal!$B:$B,$A55,RawDataTotal!BJ:BJ)</f>
        <v>0</v>
      </c>
      <c r="BH55">
        <f>SUMIF(RawDataTotal!$B:$B,$A55,RawDataTotal!BK:BK)</f>
        <v>0</v>
      </c>
      <c r="BI55">
        <f>SUMIF(RawDataTotal!$B:$B,$A55,RawDataTotal!BL:BL)</f>
        <v>0</v>
      </c>
      <c r="BJ55">
        <f>SUMIF(RawDataTotal!$B:$B,$A55,RawDataTotal!BM:BM)</f>
        <v>0</v>
      </c>
      <c r="BK55">
        <f>SUMIF(RawDataTotal!$B:$B,$A55,RawDataTotal!BN:BN)</f>
        <v>0</v>
      </c>
      <c r="BL55">
        <f>SUMIF(RawDataTotal!$B:$B,$A55,RawDataTotal!BO:BO)</f>
        <v>0</v>
      </c>
      <c r="BM55">
        <f>SUMIF(RawDataTotal!$B:$B,$A55,RawDataTotal!BP:BP)</f>
        <v>0</v>
      </c>
      <c r="BN55">
        <f>SUMIF(RawDataTotal!$B:$B,$A55,RawDataTotal!BQ:BQ)</f>
        <v>0</v>
      </c>
      <c r="BO55">
        <f>SUMIF(RawDataTotal!$B:$B,$A55,RawDataTotal!BR:BR)</f>
        <v>0</v>
      </c>
      <c r="BP55">
        <f>SUMIF(RawDataTotal!$B:$B,$A55,RawDataTotal!BS:BS)</f>
        <v>0</v>
      </c>
      <c r="BQ55">
        <f>SUMIF(RawDataTotal!$B:$B,$A55,RawDataTotal!BT:BT)</f>
        <v>0</v>
      </c>
      <c r="BR55">
        <f>SUMIF(RawDataTotal!$B:$B,$A55,RawDataTotal!BU:BU)</f>
        <v>0</v>
      </c>
      <c r="BS55">
        <f>SUMIF(RawDataTotal!$B:$B,$A55,RawDataTotal!BV:BV)</f>
        <v>0</v>
      </c>
      <c r="BT55">
        <f>SUMIF(RawDataTotal!$B:$B,$A55,RawDataTotal!BW:BW)</f>
        <v>0</v>
      </c>
    </row>
    <row r="56" spans="1:72" ht="15" thickBot="1" x14ac:dyDescent="0.35">
      <c r="A56" s="4" t="s">
        <v>257</v>
      </c>
      <c r="B56">
        <f>SUMIF(RawDataTotal!$B:$B,$A56,RawDataTotal!E:E)</f>
        <v>0</v>
      </c>
      <c r="C56">
        <f>SUMIF(RawDataTotal!$B:$B,$A56,RawDataTotal!F:F)</f>
        <v>0</v>
      </c>
      <c r="D56">
        <f>SUMIF(RawDataTotal!$B:$B,$A56,RawDataTotal!G:G)</f>
        <v>0</v>
      </c>
      <c r="E56">
        <f>SUMIF(RawDataTotal!$B:$B,$A56,RawDataTotal!H:H)</f>
        <v>0</v>
      </c>
      <c r="F56">
        <f>SUMIF(RawDataTotal!$B:$B,$A56,RawDataTotal!I:I)</f>
        <v>0</v>
      </c>
      <c r="G56">
        <f>SUMIF(RawDataTotal!$B:$B,$A56,RawDataTotal!J:J)</f>
        <v>0</v>
      </c>
      <c r="H56">
        <f>SUMIF(RawDataTotal!$B:$B,$A56,RawDataTotal!K:K)</f>
        <v>0</v>
      </c>
      <c r="I56">
        <f>SUMIF(RawDataTotal!$B:$B,$A56,RawDataTotal!L:L)</f>
        <v>0</v>
      </c>
      <c r="J56">
        <f>SUMIF(RawDataTotal!$B:$B,$A56,RawDataTotal!M:M)</f>
        <v>0</v>
      </c>
      <c r="K56">
        <f>SUMIF(RawDataTotal!$B:$B,$A56,RawDataTotal!N:N)</f>
        <v>0</v>
      </c>
      <c r="L56">
        <f>SUMIF(RawDataTotal!$B:$B,$A56,RawDataTotal!O:O)</f>
        <v>0</v>
      </c>
      <c r="M56">
        <f>SUMIF(RawDataTotal!$B:$B,$A56,RawDataTotal!P:P)</f>
        <v>0</v>
      </c>
      <c r="N56">
        <f>SUMIF(RawDataTotal!$B:$B,$A56,RawDataTotal!Q:Q)</f>
        <v>0</v>
      </c>
      <c r="O56">
        <f>SUMIF(RawDataTotal!$B:$B,$A56,RawDataTotal!R:R)</f>
        <v>0</v>
      </c>
      <c r="P56">
        <f>SUMIF(RawDataTotal!$B:$B,$A56,RawDataTotal!S:S)</f>
        <v>0</v>
      </c>
      <c r="Q56">
        <f>SUMIF(RawDataTotal!$B:$B,$A56,RawDataTotal!T:T)</f>
        <v>0</v>
      </c>
      <c r="R56">
        <f>SUMIF(RawDataTotal!$B:$B,$A56,RawDataTotal!U:U)</f>
        <v>0</v>
      </c>
      <c r="S56">
        <f>SUMIF(RawDataTotal!$B:$B,$A56,RawDataTotal!V:V)</f>
        <v>0</v>
      </c>
      <c r="T56">
        <f>SUMIF(RawDataTotal!$B:$B,$A56,RawDataTotal!W:W)</f>
        <v>0</v>
      </c>
      <c r="U56">
        <f>SUMIF(RawDataTotal!$B:$B,$A56,RawDataTotal!X:X)</f>
        <v>0</v>
      </c>
      <c r="V56">
        <f>SUMIF(RawDataTotal!$B:$B,$A56,RawDataTotal!Y:Y)</f>
        <v>0</v>
      </c>
      <c r="W56">
        <f>SUMIF(RawDataTotal!$B:$B,$A56,RawDataTotal!Z:Z)</f>
        <v>0</v>
      </c>
      <c r="X56">
        <f>SUMIF(RawDataTotal!$B:$B,$A56,RawDataTotal!AA:AA)</f>
        <v>0</v>
      </c>
      <c r="Y56">
        <f>SUMIF(RawDataTotal!$B:$B,$A56,RawDataTotal!AB:AB)</f>
        <v>0</v>
      </c>
      <c r="Z56">
        <f>SUMIF(RawDataTotal!$B:$B,$A56,RawDataTotal!AC:AC)</f>
        <v>0</v>
      </c>
      <c r="AA56">
        <f>SUMIF(RawDataTotal!$B:$B,$A56,RawDataTotal!AD:AD)</f>
        <v>0</v>
      </c>
      <c r="AB56">
        <f>SUMIF(RawDataTotal!$B:$B,$A56,RawDataTotal!AE:AE)</f>
        <v>0</v>
      </c>
      <c r="AC56">
        <f>SUMIF(RawDataTotal!$B:$B,$A56,RawDataTotal!AF:AF)</f>
        <v>0</v>
      </c>
      <c r="AD56">
        <f>SUMIF(RawDataTotal!$B:$B,$A56,RawDataTotal!AG:AG)</f>
        <v>0</v>
      </c>
      <c r="AE56">
        <f>SUMIF(RawDataTotal!$B:$B,$A56,RawDataTotal!AH:AH)</f>
        <v>0</v>
      </c>
      <c r="AF56">
        <f>SUMIF(RawDataTotal!$B:$B,$A56,RawDataTotal!AI:AI)</f>
        <v>0</v>
      </c>
      <c r="AG56">
        <f>SUMIF(RawDataTotal!$B:$B,$A56,RawDataTotal!AJ:AJ)</f>
        <v>0</v>
      </c>
      <c r="AH56">
        <f>SUMIF(RawDataTotal!$B:$B,$A56,RawDataTotal!AK:AK)</f>
        <v>0</v>
      </c>
      <c r="AI56">
        <f>SUMIF(RawDataTotal!$B:$B,$A56,RawDataTotal!AL:AL)</f>
        <v>0</v>
      </c>
      <c r="AJ56">
        <f>SUMIF(RawDataTotal!$B:$B,$A56,RawDataTotal!AM:AM)</f>
        <v>0</v>
      </c>
      <c r="AK56">
        <f>SUMIF(RawDataTotal!$B:$B,$A56,RawDataTotal!AN:AN)</f>
        <v>0</v>
      </c>
      <c r="AL56">
        <f>SUMIF(RawDataTotal!$B:$B,$A56,RawDataTotal!AO:AO)</f>
        <v>0</v>
      </c>
      <c r="AM56">
        <f>SUMIF(RawDataTotal!$B:$B,$A56,RawDataTotal!AP:AP)</f>
        <v>0</v>
      </c>
      <c r="AN56">
        <f>SUMIF(RawDataTotal!$B:$B,$A56,RawDataTotal!AQ:AQ)</f>
        <v>0</v>
      </c>
      <c r="AO56">
        <f>SUMIF(RawDataTotal!$B:$B,$A56,RawDataTotal!AR:AR)</f>
        <v>0</v>
      </c>
      <c r="AP56">
        <f>SUMIF(RawDataTotal!$B:$B,$A56,RawDataTotal!AS:AS)</f>
        <v>0</v>
      </c>
      <c r="AQ56">
        <f>SUMIF(RawDataTotal!$B:$B,$A56,RawDataTotal!AT:AT)</f>
        <v>0</v>
      </c>
      <c r="AR56">
        <f>SUMIF(RawDataTotal!$B:$B,$A56,RawDataTotal!AU:AU)</f>
        <v>0</v>
      </c>
      <c r="AS56">
        <f>SUMIF(RawDataTotal!$B:$B,$A56,RawDataTotal!AV:AV)</f>
        <v>0</v>
      </c>
      <c r="AT56">
        <f>SUMIF(RawDataTotal!$B:$B,$A56,RawDataTotal!AW:AW)</f>
        <v>0</v>
      </c>
      <c r="AU56">
        <f>SUMIF(RawDataTotal!$B:$B,$A56,RawDataTotal!AX:AX)</f>
        <v>0</v>
      </c>
      <c r="AV56">
        <f>SUMIF(RawDataTotal!$B:$B,$A56,RawDataTotal!AY:AY)</f>
        <v>0</v>
      </c>
      <c r="AW56">
        <f>SUMIF(RawDataTotal!$B:$B,$A56,RawDataTotal!AZ:AZ)</f>
        <v>2</v>
      </c>
      <c r="AX56">
        <f>SUMIF(RawDataTotal!$B:$B,$A56,RawDataTotal!BA:BA)</f>
        <v>10</v>
      </c>
      <c r="AY56">
        <f>SUMIF(RawDataTotal!$B:$B,$A56,RawDataTotal!BB:BB)</f>
        <v>12</v>
      </c>
      <c r="AZ56">
        <f>SUMIF(RawDataTotal!$B:$B,$A56,RawDataTotal!BC:BC)</f>
        <v>23</v>
      </c>
      <c r="BA56">
        <f>SUMIF(RawDataTotal!$B:$B,$A56,RawDataTotal!BD:BD)</f>
        <v>33</v>
      </c>
      <c r="BB56">
        <f>SUMIF(RawDataTotal!$B:$B,$A56,RawDataTotal!BE:BE)</f>
        <v>38</v>
      </c>
      <c r="BC56">
        <f>SUMIF(RawDataTotal!$B:$B,$A56,RawDataTotal!BF:BF)</f>
        <v>42</v>
      </c>
      <c r="BD56">
        <f>SUMIF(RawDataTotal!$B:$B,$A56,RawDataTotal!BG:BG)</f>
        <v>51</v>
      </c>
      <c r="BE56">
        <f>SUMIF(RawDataTotal!$B:$B,$A56,RawDataTotal!BH:BH)</f>
        <v>55</v>
      </c>
      <c r="BF56">
        <f>SUMIF(RawDataTotal!$B:$B,$A56,RawDataTotal!BI:BI)</f>
        <v>0</v>
      </c>
      <c r="BG56">
        <f>SUMIF(RawDataTotal!$B:$B,$A56,RawDataTotal!BJ:BJ)</f>
        <v>0</v>
      </c>
      <c r="BH56">
        <f>SUMIF(RawDataTotal!$B:$B,$A56,RawDataTotal!BK:BK)</f>
        <v>0</v>
      </c>
      <c r="BI56">
        <f>SUMIF(RawDataTotal!$B:$B,$A56,RawDataTotal!BL:BL)</f>
        <v>0</v>
      </c>
      <c r="BJ56">
        <f>SUMIF(RawDataTotal!$B:$B,$A56,RawDataTotal!BM:BM)</f>
        <v>0</v>
      </c>
      <c r="BK56">
        <f>SUMIF(RawDataTotal!$B:$B,$A56,RawDataTotal!BN:BN)</f>
        <v>0</v>
      </c>
      <c r="BL56">
        <f>SUMIF(RawDataTotal!$B:$B,$A56,RawDataTotal!BO:BO)</f>
        <v>0</v>
      </c>
      <c r="BM56">
        <f>SUMIF(RawDataTotal!$B:$B,$A56,RawDataTotal!BP:BP)</f>
        <v>0</v>
      </c>
      <c r="BN56">
        <f>SUMIF(RawDataTotal!$B:$B,$A56,RawDataTotal!BQ:BQ)</f>
        <v>0</v>
      </c>
      <c r="BO56">
        <f>SUMIF(RawDataTotal!$B:$B,$A56,RawDataTotal!BR:BR)</f>
        <v>0</v>
      </c>
      <c r="BP56">
        <f>SUMIF(RawDataTotal!$B:$B,$A56,RawDataTotal!BS:BS)</f>
        <v>0</v>
      </c>
      <c r="BQ56">
        <f>SUMIF(RawDataTotal!$B:$B,$A56,RawDataTotal!BT:BT)</f>
        <v>0</v>
      </c>
      <c r="BR56">
        <f>SUMIF(RawDataTotal!$B:$B,$A56,RawDataTotal!BU:BU)</f>
        <v>0</v>
      </c>
      <c r="BS56">
        <f>SUMIF(RawDataTotal!$B:$B,$A56,RawDataTotal!BV:BV)</f>
        <v>0</v>
      </c>
      <c r="BT56">
        <f>SUMIF(RawDataTotal!$B:$B,$A56,RawDataTotal!BW:BW)</f>
        <v>0</v>
      </c>
    </row>
    <row r="57" spans="1:72" ht="15" thickBot="1" x14ac:dyDescent="0.35">
      <c r="A57" s="3" t="s">
        <v>103</v>
      </c>
      <c r="B57">
        <f>SUMIF(RawDataTotal!$B:$B,$A57,RawDataTotal!E:E)</f>
        <v>0</v>
      </c>
      <c r="C57">
        <f>SUMIF(RawDataTotal!$B:$B,$A57,RawDataTotal!F:F)</f>
        <v>0</v>
      </c>
      <c r="D57">
        <f>SUMIF(RawDataTotal!$B:$B,$A57,RawDataTotal!G:G)</f>
        <v>0</v>
      </c>
      <c r="E57">
        <f>SUMIF(RawDataTotal!$B:$B,$A57,RawDataTotal!H:H)</f>
        <v>0</v>
      </c>
      <c r="F57">
        <f>SUMIF(RawDataTotal!$B:$B,$A57,RawDataTotal!I:I)</f>
        <v>0</v>
      </c>
      <c r="G57">
        <f>SUMIF(RawDataTotal!$B:$B,$A57,RawDataTotal!J:J)</f>
        <v>0</v>
      </c>
      <c r="H57">
        <f>SUMIF(RawDataTotal!$B:$B,$A57,RawDataTotal!K:K)</f>
        <v>0</v>
      </c>
      <c r="I57">
        <f>SUMIF(RawDataTotal!$B:$B,$A57,RawDataTotal!L:L)</f>
        <v>0</v>
      </c>
      <c r="J57">
        <f>SUMIF(RawDataTotal!$B:$B,$A57,RawDataTotal!M:M)</f>
        <v>0</v>
      </c>
      <c r="K57">
        <f>SUMIF(RawDataTotal!$B:$B,$A57,RawDataTotal!N:N)</f>
        <v>0</v>
      </c>
      <c r="L57">
        <f>SUMIF(RawDataTotal!$B:$B,$A57,RawDataTotal!O:O)</f>
        <v>0</v>
      </c>
      <c r="M57">
        <f>SUMIF(RawDataTotal!$B:$B,$A57,RawDataTotal!P:P)</f>
        <v>0</v>
      </c>
      <c r="N57">
        <f>SUMIF(RawDataTotal!$B:$B,$A57,RawDataTotal!Q:Q)</f>
        <v>0</v>
      </c>
      <c r="O57">
        <f>SUMIF(RawDataTotal!$B:$B,$A57,RawDataTotal!R:R)</f>
        <v>0</v>
      </c>
      <c r="P57">
        <f>SUMIF(RawDataTotal!$B:$B,$A57,RawDataTotal!S:S)</f>
        <v>0</v>
      </c>
      <c r="Q57">
        <f>SUMIF(RawDataTotal!$B:$B,$A57,RawDataTotal!T:T)</f>
        <v>0</v>
      </c>
      <c r="R57">
        <f>SUMIF(RawDataTotal!$B:$B,$A57,RawDataTotal!U:U)</f>
        <v>0</v>
      </c>
      <c r="S57">
        <f>SUMIF(RawDataTotal!$B:$B,$A57,RawDataTotal!V:V)</f>
        <v>0</v>
      </c>
      <c r="T57">
        <f>SUMIF(RawDataTotal!$B:$B,$A57,RawDataTotal!W:W)</f>
        <v>0</v>
      </c>
      <c r="U57">
        <f>SUMIF(RawDataTotal!$B:$B,$A57,RawDataTotal!X:X)</f>
        <v>0</v>
      </c>
      <c r="V57">
        <f>SUMIF(RawDataTotal!$B:$B,$A57,RawDataTotal!Y:Y)</f>
        <v>0</v>
      </c>
      <c r="W57">
        <f>SUMIF(RawDataTotal!$B:$B,$A57,RawDataTotal!Z:Z)</f>
        <v>0</v>
      </c>
      <c r="X57">
        <f>SUMIF(RawDataTotal!$B:$B,$A57,RawDataTotal!AA:AA)</f>
        <v>0</v>
      </c>
      <c r="Y57">
        <f>SUMIF(RawDataTotal!$B:$B,$A57,RawDataTotal!AB:AB)</f>
        <v>0</v>
      </c>
      <c r="Z57">
        <f>SUMIF(RawDataTotal!$B:$B,$A57,RawDataTotal!AC:AC)</f>
        <v>0</v>
      </c>
      <c r="AA57">
        <f>SUMIF(RawDataTotal!$B:$B,$A57,RawDataTotal!AD:AD)</f>
        <v>0</v>
      </c>
      <c r="AB57">
        <f>SUMIF(RawDataTotal!$B:$B,$A57,RawDataTotal!AE:AE)</f>
        <v>0</v>
      </c>
      <c r="AC57">
        <f>SUMIF(RawDataTotal!$B:$B,$A57,RawDataTotal!AF:AF)</f>
        <v>0</v>
      </c>
      <c r="AD57">
        <f>SUMIF(RawDataTotal!$B:$B,$A57,RawDataTotal!AG:AG)</f>
        <v>0</v>
      </c>
      <c r="AE57">
        <f>SUMIF(RawDataTotal!$B:$B,$A57,RawDataTotal!AH:AH)</f>
        <v>0</v>
      </c>
      <c r="AF57">
        <f>SUMIF(RawDataTotal!$B:$B,$A57,RawDataTotal!AI:AI)</f>
        <v>0</v>
      </c>
      <c r="AG57">
        <f>SUMIF(RawDataTotal!$B:$B,$A57,RawDataTotal!AJ:AJ)</f>
        <v>0</v>
      </c>
      <c r="AH57">
        <f>SUMIF(RawDataTotal!$B:$B,$A57,RawDataTotal!AK:AK)</f>
        <v>0</v>
      </c>
      <c r="AI57">
        <f>SUMIF(RawDataTotal!$B:$B,$A57,RawDataTotal!AL:AL)</f>
        <v>0</v>
      </c>
      <c r="AJ57">
        <f>SUMIF(RawDataTotal!$B:$B,$A57,RawDataTotal!AM:AM)</f>
        <v>1</v>
      </c>
      <c r="AK57">
        <f>SUMIF(RawDataTotal!$B:$B,$A57,RawDataTotal!AN:AN)</f>
        <v>3</v>
      </c>
      <c r="AL57">
        <f>SUMIF(RawDataTotal!$B:$B,$A57,RawDataTotal!AO:AO)</f>
        <v>3</v>
      </c>
      <c r="AM57">
        <f>SUMIF(RawDataTotal!$B:$B,$A57,RawDataTotal!AP:AP)</f>
        <v>5</v>
      </c>
      <c r="AN57">
        <f>SUMIF(RawDataTotal!$B:$B,$A57,RawDataTotal!AQ:AQ)</f>
        <v>6</v>
      </c>
      <c r="AO57">
        <f>SUMIF(RawDataTotal!$B:$B,$A57,RawDataTotal!AR:AR)</f>
        <v>7</v>
      </c>
      <c r="AP57">
        <f>SUMIF(RawDataTotal!$B:$B,$A57,RawDataTotal!AS:AS)</f>
        <v>7</v>
      </c>
      <c r="AQ57">
        <f>SUMIF(RawDataTotal!$B:$B,$A57,RawDataTotal!AT:AT)</f>
        <v>9</v>
      </c>
      <c r="AR57">
        <f>SUMIF(RawDataTotal!$B:$B,$A57,RawDataTotal!AU:AU)</f>
        <v>10</v>
      </c>
      <c r="AS57">
        <f>SUMIF(RawDataTotal!$B:$B,$A57,RawDataTotal!AV:AV)</f>
        <v>10</v>
      </c>
      <c r="AT57">
        <f>SUMIF(RawDataTotal!$B:$B,$A57,RawDataTotal!AW:AW)</f>
        <v>11</v>
      </c>
      <c r="AU57">
        <f>SUMIF(RawDataTotal!$B:$B,$A57,RawDataTotal!AX:AX)</f>
        <v>12</v>
      </c>
      <c r="AV57">
        <f>SUMIF(RawDataTotal!$B:$B,$A57,RawDataTotal!AY:AY)</f>
        <v>12</v>
      </c>
      <c r="AW57">
        <f>SUMIF(RawDataTotal!$B:$B,$A57,RawDataTotal!AZ:AZ)</f>
        <v>12</v>
      </c>
      <c r="AX57">
        <f>SUMIF(RawDataTotal!$B:$B,$A57,RawDataTotal!BA:BA)</f>
        <v>14</v>
      </c>
      <c r="AY57">
        <f>SUMIF(RawDataTotal!$B:$B,$A57,RawDataTotal!BB:BB)</f>
        <v>19</v>
      </c>
      <c r="AZ57">
        <f>SUMIF(RawDataTotal!$B:$B,$A57,RawDataTotal!BC:BC)</f>
        <v>19</v>
      </c>
      <c r="BA57">
        <f>SUMIF(RawDataTotal!$B:$B,$A57,RawDataTotal!BD:BD)</f>
        <v>32</v>
      </c>
      <c r="BB57">
        <f>SUMIF(RawDataTotal!$B:$B,$A57,RawDataTotal!BE:BE)</f>
        <v>38</v>
      </c>
      <c r="BC57">
        <f>SUMIF(RawDataTotal!$B:$B,$A57,RawDataTotal!BF:BF)</f>
        <v>49</v>
      </c>
      <c r="BD57">
        <f>SUMIF(RawDataTotal!$B:$B,$A57,RawDataTotal!BG:BG)</f>
        <v>57</v>
      </c>
      <c r="BE57">
        <f>SUMIF(RawDataTotal!$B:$B,$A57,RawDataTotal!BH:BH)</f>
        <v>65</v>
      </c>
      <c r="BF57">
        <f>SUMIF(RawDataTotal!$B:$B,$A57,RawDataTotal!BI:BI)</f>
        <v>0</v>
      </c>
      <c r="BG57">
        <f>SUMIF(RawDataTotal!$B:$B,$A57,RawDataTotal!BJ:BJ)</f>
        <v>0</v>
      </c>
      <c r="BH57">
        <f>SUMIF(RawDataTotal!$B:$B,$A57,RawDataTotal!BK:BK)</f>
        <v>0</v>
      </c>
      <c r="BI57">
        <f>SUMIF(RawDataTotal!$B:$B,$A57,RawDataTotal!BL:BL)</f>
        <v>0</v>
      </c>
      <c r="BJ57">
        <f>SUMIF(RawDataTotal!$B:$B,$A57,RawDataTotal!BM:BM)</f>
        <v>0</v>
      </c>
      <c r="BK57">
        <f>SUMIF(RawDataTotal!$B:$B,$A57,RawDataTotal!BN:BN)</f>
        <v>0</v>
      </c>
      <c r="BL57">
        <f>SUMIF(RawDataTotal!$B:$B,$A57,RawDataTotal!BO:BO)</f>
        <v>0</v>
      </c>
      <c r="BM57">
        <f>SUMIF(RawDataTotal!$B:$B,$A57,RawDataTotal!BP:BP)</f>
        <v>0</v>
      </c>
      <c r="BN57">
        <f>SUMIF(RawDataTotal!$B:$B,$A57,RawDataTotal!BQ:BQ)</f>
        <v>0</v>
      </c>
      <c r="BO57">
        <f>SUMIF(RawDataTotal!$B:$B,$A57,RawDataTotal!BR:BR)</f>
        <v>0</v>
      </c>
      <c r="BP57">
        <f>SUMIF(RawDataTotal!$B:$B,$A57,RawDataTotal!BS:BS)</f>
        <v>0</v>
      </c>
      <c r="BQ57">
        <f>SUMIF(RawDataTotal!$B:$B,$A57,RawDataTotal!BT:BT)</f>
        <v>0</v>
      </c>
      <c r="BR57">
        <f>SUMIF(RawDataTotal!$B:$B,$A57,RawDataTotal!BU:BU)</f>
        <v>0</v>
      </c>
      <c r="BS57">
        <f>SUMIF(RawDataTotal!$B:$B,$A57,RawDataTotal!BV:BV)</f>
        <v>0</v>
      </c>
      <c r="BT57">
        <f>SUMIF(RawDataTotal!$B:$B,$A57,RawDataTotal!BW:BW)</f>
        <v>0</v>
      </c>
    </row>
    <row r="58" spans="1:72" ht="15" thickBot="1" x14ac:dyDescent="0.35">
      <c r="A58" s="4" t="s">
        <v>189</v>
      </c>
      <c r="B58">
        <f>SUMIF(RawDataTotal!$B:$B,$A58,RawDataTotal!E:E)</f>
        <v>0</v>
      </c>
      <c r="C58">
        <f>SUMIF(RawDataTotal!$B:$B,$A58,RawDataTotal!F:F)</f>
        <v>0</v>
      </c>
      <c r="D58">
        <f>SUMIF(RawDataTotal!$B:$B,$A58,RawDataTotal!G:G)</f>
        <v>0</v>
      </c>
      <c r="E58">
        <f>SUMIF(RawDataTotal!$B:$B,$A58,RawDataTotal!H:H)</f>
        <v>0</v>
      </c>
      <c r="F58">
        <f>SUMIF(RawDataTotal!$B:$B,$A58,RawDataTotal!I:I)</f>
        <v>0</v>
      </c>
      <c r="G58">
        <f>SUMIF(RawDataTotal!$B:$B,$A58,RawDataTotal!J:J)</f>
        <v>0</v>
      </c>
      <c r="H58">
        <f>SUMIF(RawDataTotal!$B:$B,$A58,RawDataTotal!K:K)</f>
        <v>0</v>
      </c>
      <c r="I58">
        <f>SUMIF(RawDataTotal!$B:$B,$A58,RawDataTotal!L:L)</f>
        <v>0</v>
      </c>
      <c r="J58">
        <f>SUMIF(RawDataTotal!$B:$B,$A58,RawDataTotal!M:M)</f>
        <v>0</v>
      </c>
      <c r="K58">
        <f>SUMIF(RawDataTotal!$B:$B,$A58,RawDataTotal!N:N)</f>
        <v>0</v>
      </c>
      <c r="L58">
        <f>SUMIF(RawDataTotal!$B:$B,$A58,RawDataTotal!O:O)</f>
        <v>0</v>
      </c>
      <c r="M58">
        <f>SUMIF(RawDataTotal!$B:$B,$A58,RawDataTotal!P:P)</f>
        <v>0</v>
      </c>
      <c r="N58">
        <f>SUMIF(RawDataTotal!$B:$B,$A58,RawDataTotal!Q:Q)</f>
        <v>0</v>
      </c>
      <c r="O58">
        <f>SUMIF(RawDataTotal!$B:$B,$A58,RawDataTotal!R:R)</f>
        <v>0</v>
      </c>
      <c r="P58">
        <f>SUMIF(RawDataTotal!$B:$B,$A58,RawDataTotal!S:S)</f>
        <v>0</v>
      </c>
      <c r="Q58">
        <f>SUMIF(RawDataTotal!$B:$B,$A58,RawDataTotal!T:T)</f>
        <v>0</v>
      </c>
      <c r="R58">
        <f>SUMIF(RawDataTotal!$B:$B,$A58,RawDataTotal!U:U)</f>
        <v>0</v>
      </c>
      <c r="S58">
        <f>SUMIF(RawDataTotal!$B:$B,$A58,RawDataTotal!V:V)</f>
        <v>0</v>
      </c>
      <c r="T58">
        <f>SUMIF(RawDataTotal!$B:$B,$A58,RawDataTotal!W:W)</f>
        <v>0</v>
      </c>
      <c r="U58">
        <f>SUMIF(RawDataTotal!$B:$B,$A58,RawDataTotal!X:X)</f>
        <v>0</v>
      </c>
      <c r="V58">
        <f>SUMIF(RawDataTotal!$B:$B,$A58,RawDataTotal!Y:Y)</f>
        <v>0</v>
      </c>
      <c r="W58">
        <f>SUMIF(RawDataTotal!$B:$B,$A58,RawDataTotal!Z:Z)</f>
        <v>0</v>
      </c>
      <c r="X58">
        <f>SUMIF(RawDataTotal!$B:$B,$A58,RawDataTotal!AA:AA)</f>
        <v>0</v>
      </c>
      <c r="Y58">
        <f>SUMIF(RawDataTotal!$B:$B,$A58,RawDataTotal!AB:AB)</f>
        <v>0</v>
      </c>
      <c r="Z58">
        <f>SUMIF(RawDataTotal!$B:$B,$A58,RawDataTotal!AC:AC)</f>
        <v>0</v>
      </c>
      <c r="AA58">
        <f>SUMIF(RawDataTotal!$B:$B,$A58,RawDataTotal!AD:AD)</f>
        <v>0</v>
      </c>
      <c r="AB58">
        <f>SUMIF(RawDataTotal!$B:$B,$A58,RawDataTotal!AE:AE)</f>
        <v>0</v>
      </c>
      <c r="AC58">
        <f>SUMIF(RawDataTotal!$B:$B,$A58,RawDataTotal!AF:AF)</f>
        <v>0</v>
      </c>
      <c r="AD58">
        <f>SUMIF(RawDataTotal!$B:$B,$A58,RawDataTotal!AG:AG)</f>
        <v>0</v>
      </c>
      <c r="AE58">
        <f>SUMIF(RawDataTotal!$B:$B,$A58,RawDataTotal!AH:AH)</f>
        <v>0</v>
      </c>
      <c r="AF58">
        <f>SUMIF(RawDataTotal!$B:$B,$A58,RawDataTotal!AI:AI)</f>
        <v>0</v>
      </c>
      <c r="AG58">
        <f>SUMIF(RawDataTotal!$B:$B,$A58,RawDataTotal!AJ:AJ)</f>
        <v>0</v>
      </c>
      <c r="AH58">
        <f>SUMIF(RawDataTotal!$B:$B,$A58,RawDataTotal!AK:AK)</f>
        <v>0</v>
      </c>
      <c r="AI58">
        <f>SUMIF(RawDataTotal!$B:$B,$A58,RawDataTotal!AL:AL)</f>
        <v>0</v>
      </c>
      <c r="AJ58">
        <f>SUMIF(RawDataTotal!$B:$B,$A58,RawDataTotal!AM:AM)</f>
        <v>0</v>
      </c>
      <c r="AK58">
        <f>SUMIF(RawDataTotal!$B:$B,$A58,RawDataTotal!AN:AN)</f>
        <v>0</v>
      </c>
      <c r="AL58">
        <f>SUMIF(RawDataTotal!$B:$B,$A58,RawDataTotal!AO:AO)</f>
        <v>0</v>
      </c>
      <c r="AM58">
        <f>SUMIF(RawDataTotal!$B:$B,$A58,RawDataTotal!AP:AP)</f>
        <v>0</v>
      </c>
      <c r="AN58">
        <f>SUMIF(RawDataTotal!$B:$B,$A58,RawDataTotal!AQ:AQ)</f>
        <v>0</v>
      </c>
      <c r="AO58">
        <f>SUMIF(RawDataTotal!$B:$B,$A58,RawDataTotal!AR:AR)</f>
        <v>0</v>
      </c>
      <c r="AP58">
        <f>SUMIF(RawDataTotal!$B:$B,$A58,RawDataTotal!AS:AS)</f>
        <v>0</v>
      </c>
      <c r="AQ58">
        <f>SUMIF(RawDataTotal!$B:$B,$A58,RawDataTotal!AT:AT)</f>
        <v>0</v>
      </c>
      <c r="AR58">
        <f>SUMIF(RawDataTotal!$B:$B,$A58,RawDataTotal!AU:AU)</f>
        <v>0</v>
      </c>
      <c r="AS58">
        <f>SUMIF(RawDataTotal!$B:$B,$A58,RawDataTotal!AV:AV)</f>
        <v>0</v>
      </c>
      <c r="AT58">
        <f>SUMIF(RawDataTotal!$B:$B,$A58,RawDataTotal!AW:AW)</f>
        <v>1</v>
      </c>
      <c r="AU58">
        <f>SUMIF(RawDataTotal!$B:$B,$A58,RawDataTotal!AX:AX)</f>
        <v>1</v>
      </c>
      <c r="AV58">
        <f>SUMIF(RawDataTotal!$B:$B,$A58,RawDataTotal!AY:AY)</f>
        <v>3</v>
      </c>
      <c r="AW58">
        <f>SUMIF(RawDataTotal!$B:$B,$A58,RawDataTotal!AZ:AZ)</f>
        <v>3</v>
      </c>
      <c r="AX58">
        <f>SUMIF(RawDataTotal!$B:$B,$A58,RawDataTotal!BA:BA)</f>
        <v>7</v>
      </c>
      <c r="AY58">
        <f>SUMIF(RawDataTotal!$B:$B,$A58,RawDataTotal!BB:BB)</f>
        <v>10</v>
      </c>
      <c r="AZ58">
        <f>SUMIF(RawDataTotal!$B:$B,$A58,RawDataTotal!BC:BC)</f>
        <v>16</v>
      </c>
      <c r="BA58">
        <f>SUMIF(RawDataTotal!$B:$B,$A58,RawDataTotal!BD:BD)</f>
        <v>32</v>
      </c>
      <c r="BB58">
        <f>SUMIF(RawDataTotal!$B:$B,$A58,RawDataTotal!BE:BE)</f>
        <v>44</v>
      </c>
      <c r="BC58">
        <f>SUMIF(RawDataTotal!$B:$B,$A58,RawDataTotal!BF:BF)</f>
        <v>54</v>
      </c>
      <c r="BD58">
        <f>SUMIF(RawDataTotal!$B:$B,$A58,RawDataTotal!BG:BG)</f>
        <v>63</v>
      </c>
      <c r="BE58">
        <f>SUMIF(RawDataTotal!$B:$B,$A58,RawDataTotal!BH:BH)</f>
        <v>72</v>
      </c>
      <c r="BF58">
        <f>SUMIF(RawDataTotal!$B:$B,$A58,RawDataTotal!BI:BI)</f>
        <v>0</v>
      </c>
      <c r="BG58">
        <f>SUMIF(RawDataTotal!$B:$B,$A58,RawDataTotal!BJ:BJ)</f>
        <v>0</v>
      </c>
      <c r="BH58">
        <f>SUMIF(RawDataTotal!$B:$B,$A58,RawDataTotal!BK:BK)</f>
        <v>0</v>
      </c>
      <c r="BI58">
        <f>SUMIF(RawDataTotal!$B:$B,$A58,RawDataTotal!BL:BL)</f>
        <v>0</v>
      </c>
      <c r="BJ58">
        <f>SUMIF(RawDataTotal!$B:$B,$A58,RawDataTotal!BM:BM)</f>
        <v>0</v>
      </c>
      <c r="BK58">
        <f>SUMIF(RawDataTotal!$B:$B,$A58,RawDataTotal!BN:BN)</f>
        <v>0</v>
      </c>
      <c r="BL58">
        <f>SUMIF(RawDataTotal!$B:$B,$A58,RawDataTotal!BO:BO)</f>
        <v>0</v>
      </c>
      <c r="BM58">
        <f>SUMIF(RawDataTotal!$B:$B,$A58,RawDataTotal!BP:BP)</f>
        <v>0</v>
      </c>
      <c r="BN58">
        <f>SUMIF(RawDataTotal!$B:$B,$A58,RawDataTotal!BQ:BQ)</f>
        <v>0</v>
      </c>
      <c r="BO58">
        <f>SUMIF(RawDataTotal!$B:$B,$A58,RawDataTotal!BR:BR)</f>
        <v>0</v>
      </c>
      <c r="BP58">
        <f>SUMIF(RawDataTotal!$B:$B,$A58,RawDataTotal!BS:BS)</f>
        <v>0</v>
      </c>
      <c r="BQ58">
        <f>SUMIF(RawDataTotal!$B:$B,$A58,RawDataTotal!BT:BT)</f>
        <v>0</v>
      </c>
      <c r="BR58">
        <f>SUMIF(RawDataTotal!$B:$B,$A58,RawDataTotal!BU:BU)</f>
        <v>0</v>
      </c>
      <c r="BS58">
        <f>SUMIF(RawDataTotal!$B:$B,$A58,RawDataTotal!BV:BV)</f>
        <v>0</v>
      </c>
      <c r="BT58">
        <f>SUMIF(RawDataTotal!$B:$B,$A58,RawDataTotal!BW:BW)</f>
        <v>0</v>
      </c>
    </row>
    <row r="59" spans="1:72" ht="15" thickBot="1" x14ac:dyDescent="0.35">
      <c r="A59" s="4" t="s">
        <v>150</v>
      </c>
      <c r="B59">
        <f>SUMIF(RawDataTotal!$B:$B,$A59,RawDataTotal!E:E)</f>
        <v>0</v>
      </c>
      <c r="C59">
        <f>SUMIF(RawDataTotal!$B:$B,$A59,RawDataTotal!F:F)</f>
        <v>0</v>
      </c>
      <c r="D59">
        <f>SUMIF(RawDataTotal!$B:$B,$A59,RawDataTotal!G:G)</f>
        <v>0</v>
      </c>
      <c r="E59">
        <f>SUMIF(RawDataTotal!$B:$B,$A59,RawDataTotal!H:H)</f>
        <v>0</v>
      </c>
      <c r="F59">
        <f>SUMIF(RawDataTotal!$B:$B,$A59,RawDataTotal!I:I)</f>
        <v>0</v>
      </c>
      <c r="G59">
        <f>SUMIF(RawDataTotal!$B:$B,$A59,RawDataTotal!J:J)</f>
        <v>0</v>
      </c>
      <c r="H59">
        <f>SUMIF(RawDataTotal!$B:$B,$A59,RawDataTotal!K:K)</f>
        <v>0</v>
      </c>
      <c r="I59">
        <f>SUMIF(RawDataTotal!$B:$B,$A59,RawDataTotal!L:L)</f>
        <v>0</v>
      </c>
      <c r="J59">
        <f>SUMIF(RawDataTotal!$B:$B,$A59,RawDataTotal!M:M)</f>
        <v>0</v>
      </c>
      <c r="K59">
        <f>SUMIF(RawDataTotal!$B:$B,$A59,RawDataTotal!N:N)</f>
        <v>0</v>
      </c>
      <c r="L59">
        <f>SUMIF(RawDataTotal!$B:$B,$A59,RawDataTotal!O:O)</f>
        <v>0</v>
      </c>
      <c r="M59">
        <f>SUMIF(RawDataTotal!$B:$B,$A59,RawDataTotal!P:P)</f>
        <v>0</v>
      </c>
      <c r="N59">
        <f>SUMIF(RawDataTotal!$B:$B,$A59,RawDataTotal!Q:Q)</f>
        <v>0</v>
      </c>
      <c r="O59">
        <f>SUMIF(RawDataTotal!$B:$B,$A59,RawDataTotal!R:R)</f>
        <v>0</v>
      </c>
      <c r="P59">
        <f>SUMIF(RawDataTotal!$B:$B,$A59,RawDataTotal!S:S)</f>
        <v>0</v>
      </c>
      <c r="Q59">
        <f>SUMIF(RawDataTotal!$B:$B,$A59,RawDataTotal!T:T)</f>
        <v>0</v>
      </c>
      <c r="R59">
        <f>SUMIF(RawDataTotal!$B:$B,$A59,RawDataTotal!U:U)</f>
        <v>0</v>
      </c>
      <c r="S59">
        <f>SUMIF(RawDataTotal!$B:$B,$A59,RawDataTotal!V:V)</f>
        <v>0</v>
      </c>
      <c r="T59">
        <f>SUMIF(RawDataTotal!$B:$B,$A59,RawDataTotal!W:W)</f>
        <v>0</v>
      </c>
      <c r="U59">
        <f>SUMIF(RawDataTotal!$B:$B,$A59,RawDataTotal!X:X)</f>
        <v>0</v>
      </c>
      <c r="V59">
        <f>SUMIF(RawDataTotal!$B:$B,$A59,RawDataTotal!Y:Y)</f>
        <v>0</v>
      </c>
      <c r="W59">
        <f>SUMIF(RawDataTotal!$B:$B,$A59,RawDataTotal!Z:Z)</f>
        <v>0</v>
      </c>
      <c r="X59">
        <f>SUMIF(RawDataTotal!$B:$B,$A59,RawDataTotal!AA:AA)</f>
        <v>0</v>
      </c>
      <c r="Y59">
        <f>SUMIF(RawDataTotal!$B:$B,$A59,RawDataTotal!AB:AB)</f>
        <v>0</v>
      </c>
      <c r="Z59">
        <f>SUMIF(RawDataTotal!$B:$B,$A59,RawDataTotal!AC:AC)</f>
        <v>0</v>
      </c>
      <c r="AA59">
        <f>SUMIF(RawDataTotal!$B:$B,$A59,RawDataTotal!AD:AD)</f>
        <v>0</v>
      </c>
      <c r="AB59">
        <f>SUMIF(RawDataTotal!$B:$B,$A59,RawDataTotal!AE:AE)</f>
        <v>0</v>
      </c>
      <c r="AC59">
        <f>SUMIF(RawDataTotal!$B:$B,$A59,RawDataTotal!AF:AF)</f>
        <v>0</v>
      </c>
      <c r="AD59">
        <f>SUMIF(RawDataTotal!$B:$B,$A59,RawDataTotal!AG:AG)</f>
        <v>0</v>
      </c>
      <c r="AE59">
        <f>SUMIF(RawDataTotal!$B:$B,$A59,RawDataTotal!AH:AH)</f>
        <v>0</v>
      </c>
      <c r="AF59">
        <f>SUMIF(RawDataTotal!$B:$B,$A59,RawDataTotal!AI:AI)</f>
        <v>0</v>
      </c>
      <c r="AG59">
        <f>SUMIF(RawDataTotal!$B:$B,$A59,RawDataTotal!AJ:AJ)</f>
        <v>0</v>
      </c>
      <c r="AH59">
        <f>SUMIF(RawDataTotal!$B:$B,$A59,RawDataTotal!AK:AK)</f>
        <v>0</v>
      </c>
      <c r="AI59">
        <f>SUMIF(RawDataTotal!$B:$B,$A59,RawDataTotal!AL:AL)</f>
        <v>0</v>
      </c>
      <c r="AJ59">
        <f>SUMIF(RawDataTotal!$B:$B,$A59,RawDataTotal!AM:AM)</f>
        <v>0</v>
      </c>
      <c r="AK59">
        <f>SUMIF(RawDataTotal!$B:$B,$A59,RawDataTotal!AN:AN)</f>
        <v>0</v>
      </c>
      <c r="AL59">
        <f>SUMIF(RawDataTotal!$B:$B,$A59,RawDataTotal!AO:AO)</f>
        <v>0</v>
      </c>
      <c r="AM59">
        <f>SUMIF(RawDataTotal!$B:$B,$A59,RawDataTotal!AP:AP)</f>
        <v>0</v>
      </c>
      <c r="AN59">
        <f>SUMIF(RawDataTotal!$B:$B,$A59,RawDataTotal!AQ:AQ)</f>
        <v>0</v>
      </c>
      <c r="AO59">
        <f>SUMIF(RawDataTotal!$B:$B,$A59,RawDataTotal!AR:AR)</f>
        <v>0</v>
      </c>
      <c r="AP59">
        <f>SUMIF(RawDataTotal!$B:$B,$A59,RawDataTotal!AS:AS)</f>
        <v>0</v>
      </c>
      <c r="AQ59">
        <f>SUMIF(RawDataTotal!$B:$B,$A59,RawDataTotal!AT:AT)</f>
        <v>1</v>
      </c>
      <c r="AR59">
        <f>SUMIF(RawDataTotal!$B:$B,$A59,RawDataTotal!AU:AU)</f>
        <v>1</v>
      </c>
      <c r="AS59">
        <f>SUMIF(RawDataTotal!$B:$B,$A59,RawDataTotal!AV:AV)</f>
        <v>1</v>
      </c>
      <c r="AT59">
        <f>SUMIF(RawDataTotal!$B:$B,$A59,RawDataTotal!AW:AW)</f>
        <v>2</v>
      </c>
      <c r="AU59">
        <f>SUMIF(RawDataTotal!$B:$B,$A59,RawDataTotal!AX:AX)</f>
        <v>8</v>
      </c>
      <c r="AV59">
        <f>SUMIF(RawDataTotal!$B:$B,$A59,RawDataTotal!AY:AY)</f>
        <v>12</v>
      </c>
      <c r="AW59">
        <f>SUMIF(RawDataTotal!$B:$B,$A59,RawDataTotal!AZ:AZ)</f>
        <v>12</v>
      </c>
      <c r="AX59">
        <f>SUMIF(RawDataTotal!$B:$B,$A59,RawDataTotal!BA:BA)</f>
        <v>17</v>
      </c>
      <c r="AY59">
        <f>SUMIF(RawDataTotal!$B:$B,$A59,RawDataTotal!BB:BB)</f>
        <v>19</v>
      </c>
      <c r="AZ59">
        <f>SUMIF(RawDataTotal!$B:$B,$A59,RawDataTotal!BC:BC)</f>
        <v>19</v>
      </c>
      <c r="BA59">
        <f>SUMIF(RawDataTotal!$B:$B,$A59,RawDataTotal!BD:BD)</f>
        <v>31</v>
      </c>
      <c r="BB59">
        <f>SUMIF(RawDataTotal!$B:$B,$A59,RawDataTotal!BE:BE)</f>
        <v>34</v>
      </c>
      <c r="BC59">
        <f>SUMIF(RawDataTotal!$B:$B,$A59,RawDataTotal!BF:BF)</f>
        <v>45</v>
      </c>
      <c r="BD59">
        <f>SUMIF(RawDataTotal!$B:$B,$A59,RawDataTotal!BG:BG)</f>
        <v>56</v>
      </c>
      <c r="BE59">
        <f>SUMIF(RawDataTotal!$B:$B,$A59,RawDataTotal!BH:BH)</f>
        <v>68</v>
      </c>
      <c r="BF59">
        <f>SUMIF(RawDataTotal!$B:$B,$A59,RawDataTotal!BI:BI)</f>
        <v>0</v>
      </c>
      <c r="BG59">
        <f>SUMIF(RawDataTotal!$B:$B,$A59,RawDataTotal!BJ:BJ)</f>
        <v>0</v>
      </c>
      <c r="BH59">
        <f>SUMIF(RawDataTotal!$B:$B,$A59,RawDataTotal!BK:BK)</f>
        <v>0</v>
      </c>
      <c r="BI59">
        <f>SUMIF(RawDataTotal!$B:$B,$A59,RawDataTotal!BL:BL)</f>
        <v>0</v>
      </c>
      <c r="BJ59">
        <f>SUMIF(RawDataTotal!$B:$B,$A59,RawDataTotal!BM:BM)</f>
        <v>0</v>
      </c>
      <c r="BK59">
        <f>SUMIF(RawDataTotal!$B:$B,$A59,RawDataTotal!BN:BN)</f>
        <v>0</v>
      </c>
      <c r="BL59">
        <f>SUMIF(RawDataTotal!$B:$B,$A59,RawDataTotal!BO:BO)</f>
        <v>0</v>
      </c>
      <c r="BM59">
        <f>SUMIF(RawDataTotal!$B:$B,$A59,RawDataTotal!BP:BP)</f>
        <v>0</v>
      </c>
      <c r="BN59">
        <f>SUMIF(RawDataTotal!$B:$B,$A59,RawDataTotal!BQ:BQ)</f>
        <v>0</v>
      </c>
      <c r="BO59">
        <f>SUMIF(RawDataTotal!$B:$B,$A59,RawDataTotal!BR:BR)</f>
        <v>0</v>
      </c>
      <c r="BP59">
        <f>SUMIF(RawDataTotal!$B:$B,$A59,RawDataTotal!BS:BS)</f>
        <v>0</v>
      </c>
      <c r="BQ59">
        <f>SUMIF(RawDataTotal!$B:$B,$A59,RawDataTotal!BT:BT)</f>
        <v>0</v>
      </c>
      <c r="BR59">
        <f>SUMIF(RawDataTotal!$B:$B,$A59,RawDataTotal!BU:BU)</f>
        <v>0</v>
      </c>
      <c r="BS59">
        <f>SUMIF(RawDataTotal!$B:$B,$A59,RawDataTotal!BV:BV)</f>
        <v>0</v>
      </c>
      <c r="BT59">
        <f>SUMIF(RawDataTotal!$B:$B,$A59,RawDataTotal!BW:BW)</f>
        <v>0</v>
      </c>
    </row>
    <row r="60" spans="1:72" ht="15" thickBot="1" x14ac:dyDescent="0.35">
      <c r="A60" s="3" t="s">
        <v>107</v>
      </c>
      <c r="B60">
        <f>SUMIF(RawDataTotal!$B:$B,$A60,RawDataTotal!E:E)</f>
        <v>0</v>
      </c>
      <c r="C60">
        <f>SUMIF(RawDataTotal!$B:$B,$A60,RawDataTotal!F:F)</f>
        <v>0</v>
      </c>
      <c r="D60">
        <f>SUMIF(RawDataTotal!$B:$B,$A60,RawDataTotal!G:G)</f>
        <v>0</v>
      </c>
      <c r="E60">
        <f>SUMIF(RawDataTotal!$B:$B,$A60,RawDataTotal!H:H)</f>
        <v>0</v>
      </c>
      <c r="F60">
        <f>SUMIF(RawDataTotal!$B:$B,$A60,RawDataTotal!I:I)</f>
        <v>0</v>
      </c>
      <c r="G60">
        <f>SUMIF(RawDataTotal!$B:$B,$A60,RawDataTotal!J:J)</f>
        <v>0</v>
      </c>
      <c r="H60">
        <f>SUMIF(RawDataTotal!$B:$B,$A60,RawDataTotal!K:K)</f>
        <v>0</v>
      </c>
      <c r="I60">
        <f>SUMIF(RawDataTotal!$B:$B,$A60,RawDataTotal!L:L)</f>
        <v>0</v>
      </c>
      <c r="J60">
        <f>SUMIF(RawDataTotal!$B:$B,$A60,RawDataTotal!M:M)</f>
        <v>0</v>
      </c>
      <c r="K60">
        <f>SUMIF(RawDataTotal!$B:$B,$A60,RawDataTotal!N:N)</f>
        <v>0</v>
      </c>
      <c r="L60">
        <f>SUMIF(RawDataTotal!$B:$B,$A60,RawDataTotal!O:O)</f>
        <v>0</v>
      </c>
      <c r="M60">
        <f>SUMIF(RawDataTotal!$B:$B,$A60,RawDataTotal!P:P)</f>
        <v>0</v>
      </c>
      <c r="N60">
        <f>SUMIF(RawDataTotal!$B:$B,$A60,RawDataTotal!Q:Q)</f>
        <v>0</v>
      </c>
      <c r="O60">
        <f>SUMIF(RawDataTotal!$B:$B,$A60,RawDataTotal!R:R)</f>
        <v>0</v>
      </c>
      <c r="P60">
        <f>SUMIF(RawDataTotal!$B:$B,$A60,RawDataTotal!S:S)</f>
        <v>0</v>
      </c>
      <c r="Q60">
        <f>SUMIF(RawDataTotal!$B:$B,$A60,RawDataTotal!T:T)</f>
        <v>0</v>
      </c>
      <c r="R60">
        <f>SUMIF(RawDataTotal!$B:$B,$A60,RawDataTotal!U:U)</f>
        <v>0</v>
      </c>
      <c r="S60">
        <f>SUMIF(RawDataTotal!$B:$B,$A60,RawDataTotal!V:V)</f>
        <v>0</v>
      </c>
      <c r="T60">
        <f>SUMIF(RawDataTotal!$B:$B,$A60,RawDataTotal!W:W)</f>
        <v>0</v>
      </c>
      <c r="U60">
        <f>SUMIF(RawDataTotal!$B:$B,$A60,RawDataTotal!X:X)</f>
        <v>0</v>
      </c>
      <c r="V60">
        <f>SUMIF(RawDataTotal!$B:$B,$A60,RawDataTotal!Y:Y)</f>
        <v>0</v>
      </c>
      <c r="W60">
        <f>SUMIF(RawDataTotal!$B:$B,$A60,RawDataTotal!Z:Z)</f>
        <v>0</v>
      </c>
      <c r="X60">
        <f>SUMIF(RawDataTotal!$B:$B,$A60,RawDataTotal!AA:AA)</f>
        <v>0</v>
      </c>
      <c r="Y60">
        <f>SUMIF(RawDataTotal!$B:$B,$A60,RawDataTotal!AB:AB)</f>
        <v>0</v>
      </c>
      <c r="Z60">
        <f>SUMIF(RawDataTotal!$B:$B,$A60,RawDataTotal!AC:AC)</f>
        <v>0</v>
      </c>
      <c r="AA60">
        <f>SUMIF(RawDataTotal!$B:$B,$A60,RawDataTotal!AD:AD)</f>
        <v>0</v>
      </c>
      <c r="AB60">
        <f>SUMIF(RawDataTotal!$B:$B,$A60,RawDataTotal!AE:AE)</f>
        <v>0</v>
      </c>
      <c r="AC60">
        <f>SUMIF(RawDataTotal!$B:$B,$A60,RawDataTotal!AF:AF)</f>
        <v>0</v>
      </c>
      <c r="AD60">
        <f>SUMIF(RawDataTotal!$B:$B,$A60,RawDataTotal!AG:AG)</f>
        <v>0</v>
      </c>
      <c r="AE60">
        <f>SUMIF(RawDataTotal!$B:$B,$A60,RawDataTotal!AH:AH)</f>
        <v>0</v>
      </c>
      <c r="AF60">
        <f>SUMIF(RawDataTotal!$B:$B,$A60,RawDataTotal!AI:AI)</f>
        <v>0</v>
      </c>
      <c r="AG60">
        <f>SUMIF(RawDataTotal!$B:$B,$A60,RawDataTotal!AJ:AJ)</f>
        <v>0</v>
      </c>
      <c r="AH60">
        <f>SUMIF(RawDataTotal!$B:$B,$A60,RawDataTotal!AK:AK)</f>
        <v>0</v>
      </c>
      <c r="AI60">
        <f>SUMIF(RawDataTotal!$B:$B,$A60,RawDataTotal!AL:AL)</f>
        <v>0</v>
      </c>
      <c r="AJ60">
        <f>SUMIF(RawDataTotal!$B:$B,$A60,RawDataTotal!AM:AM)</f>
        <v>0</v>
      </c>
      <c r="AK60">
        <f>SUMIF(RawDataTotal!$B:$B,$A60,RawDataTotal!AN:AN)</f>
        <v>2</v>
      </c>
      <c r="AL60">
        <f>SUMIF(RawDataTotal!$B:$B,$A60,RawDataTotal!AO:AO)</f>
        <v>2</v>
      </c>
      <c r="AM60">
        <f>SUMIF(RawDataTotal!$B:$B,$A60,RawDataTotal!AP:AP)</f>
        <v>2</v>
      </c>
      <c r="AN60">
        <f>SUMIF(RawDataTotal!$B:$B,$A60,RawDataTotal!AQ:AQ)</f>
        <v>4</v>
      </c>
      <c r="AO60">
        <f>SUMIF(RawDataTotal!$B:$B,$A60,RawDataTotal!AR:AR)</f>
        <v>4</v>
      </c>
      <c r="AP60">
        <f>SUMIF(RawDataTotal!$B:$B,$A60,RawDataTotal!AS:AS)</f>
        <v>4</v>
      </c>
      <c r="AQ60">
        <f>SUMIF(RawDataTotal!$B:$B,$A60,RawDataTotal!AT:AT)</f>
        <v>5</v>
      </c>
      <c r="AR60">
        <f>SUMIF(RawDataTotal!$B:$B,$A60,RawDataTotal!AU:AU)</f>
        <v>5</v>
      </c>
      <c r="AS60">
        <f>SUMIF(RawDataTotal!$B:$B,$A60,RawDataTotal!AV:AV)</f>
        <v>5</v>
      </c>
      <c r="AT60">
        <f>SUMIF(RawDataTotal!$B:$B,$A60,RawDataTotal!AW:AW)</f>
        <v>6</v>
      </c>
      <c r="AU60">
        <f>SUMIF(RawDataTotal!$B:$B,$A60,RawDataTotal!AX:AX)</f>
        <v>6</v>
      </c>
      <c r="AV60">
        <f>SUMIF(RawDataTotal!$B:$B,$A60,RawDataTotal!AY:AY)</f>
        <v>6</v>
      </c>
      <c r="AW60">
        <f>SUMIF(RawDataTotal!$B:$B,$A60,RawDataTotal!AZ:AZ)</f>
        <v>6</v>
      </c>
      <c r="AX60">
        <f>SUMIF(RawDataTotal!$B:$B,$A60,RawDataTotal!BA:BA)</f>
        <v>16</v>
      </c>
      <c r="AY60">
        <f>SUMIF(RawDataTotal!$B:$B,$A60,RawDataTotal!BB:BB)</f>
        <v>19</v>
      </c>
      <c r="AZ60">
        <f>SUMIF(RawDataTotal!$B:$B,$A60,RawDataTotal!BC:BC)</f>
        <v>20</v>
      </c>
      <c r="BA60">
        <f>SUMIF(RawDataTotal!$B:$B,$A60,RawDataTotal!BD:BD)</f>
        <v>28</v>
      </c>
      <c r="BB60">
        <f>SUMIF(RawDataTotal!$B:$B,$A60,RawDataTotal!BE:BE)</f>
        <v>31</v>
      </c>
      <c r="BC60">
        <f>SUMIF(RawDataTotal!$B:$B,$A60,RawDataTotal!BF:BF)</f>
        <v>53</v>
      </c>
      <c r="BD60">
        <f>SUMIF(RawDataTotal!$B:$B,$A60,RawDataTotal!BG:BG)</f>
        <v>136</v>
      </c>
      <c r="BE60">
        <f>SUMIF(RawDataTotal!$B:$B,$A60,RawDataTotal!BH:BH)</f>
        <v>236</v>
      </c>
      <c r="BF60">
        <f>SUMIF(RawDataTotal!$B:$B,$A60,RawDataTotal!BI:BI)</f>
        <v>0</v>
      </c>
      <c r="BG60">
        <f>SUMIF(RawDataTotal!$B:$B,$A60,RawDataTotal!BJ:BJ)</f>
        <v>0</v>
      </c>
      <c r="BH60">
        <f>SUMIF(RawDataTotal!$B:$B,$A60,RawDataTotal!BK:BK)</f>
        <v>0</v>
      </c>
      <c r="BI60">
        <f>SUMIF(RawDataTotal!$B:$B,$A60,RawDataTotal!BL:BL)</f>
        <v>0</v>
      </c>
      <c r="BJ60">
        <f>SUMIF(RawDataTotal!$B:$B,$A60,RawDataTotal!BM:BM)</f>
        <v>0</v>
      </c>
      <c r="BK60">
        <f>SUMIF(RawDataTotal!$B:$B,$A60,RawDataTotal!BN:BN)</f>
        <v>0</v>
      </c>
      <c r="BL60">
        <f>SUMIF(RawDataTotal!$B:$B,$A60,RawDataTotal!BO:BO)</f>
        <v>0</v>
      </c>
      <c r="BM60">
        <f>SUMIF(RawDataTotal!$B:$B,$A60,RawDataTotal!BP:BP)</f>
        <v>0</v>
      </c>
      <c r="BN60">
        <f>SUMIF(RawDataTotal!$B:$B,$A60,RawDataTotal!BQ:BQ)</f>
        <v>0</v>
      </c>
      <c r="BO60">
        <f>SUMIF(RawDataTotal!$B:$B,$A60,RawDataTotal!BR:BR)</f>
        <v>0</v>
      </c>
      <c r="BP60">
        <f>SUMIF(RawDataTotal!$B:$B,$A60,RawDataTotal!BS:BS)</f>
        <v>0</v>
      </c>
      <c r="BQ60">
        <f>SUMIF(RawDataTotal!$B:$B,$A60,RawDataTotal!BT:BT)</f>
        <v>0</v>
      </c>
      <c r="BR60">
        <f>SUMIF(RawDataTotal!$B:$B,$A60,RawDataTotal!BU:BU)</f>
        <v>0</v>
      </c>
      <c r="BS60">
        <f>SUMIF(RawDataTotal!$B:$B,$A60,RawDataTotal!BV:BV)</f>
        <v>0</v>
      </c>
      <c r="BT60">
        <f>SUMIF(RawDataTotal!$B:$B,$A60,RawDataTotal!BW:BW)</f>
        <v>0</v>
      </c>
    </row>
    <row r="61" spans="1:72" ht="15" thickBot="1" x14ac:dyDescent="0.35">
      <c r="A61" s="4" t="s">
        <v>187</v>
      </c>
      <c r="B61">
        <f>SUMIF(RawDataTotal!$B:$B,$A61,RawDataTotal!E:E)</f>
        <v>0</v>
      </c>
      <c r="C61">
        <f>SUMIF(RawDataTotal!$B:$B,$A61,RawDataTotal!F:F)</f>
        <v>0</v>
      </c>
      <c r="D61">
        <f>SUMIF(RawDataTotal!$B:$B,$A61,RawDataTotal!G:G)</f>
        <v>0</v>
      </c>
      <c r="E61">
        <f>SUMIF(RawDataTotal!$B:$B,$A61,RawDataTotal!H:H)</f>
        <v>0</v>
      </c>
      <c r="F61">
        <f>SUMIF(RawDataTotal!$B:$B,$A61,RawDataTotal!I:I)</f>
        <v>0</v>
      </c>
      <c r="G61">
        <f>SUMIF(RawDataTotal!$B:$B,$A61,RawDataTotal!J:J)</f>
        <v>0</v>
      </c>
      <c r="H61">
        <f>SUMIF(RawDataTotal!$B:$B,$A61,RawDataTotal!K:K)</f>
        <v>0</v>
      </c>
      <c r="I61">
        <f>SUMIF(RawDataTotal!$B:$B,$A61,RawDataTotal!L:L)</f>
        <v>0</v>
      </c>
      <c r="J61">
        <f>SUMIF(RawDataTotal!$B:$B,$A61,RawDataTotal!M:M)</f>
        <v>0</v>
      </c>
      <c r="K61">
        <f>SUMIF(RawDataTotal!$B:$B,$A61,RawDataTotal!N:N)</f>
        <v>0</v>
      </c>
      <c r="L61">
        <f>SUMIF(RawDataTotal!$B:$B,$A61,RawDataTotal!O:O)</f>
        <v>0</v>
      </c>
      <c r="M61">
        <f>SUMIF(RawDataTotal!$B:$B,$A61,RawDataTotal!P:P)</f>
        <v>0</v>
      </c>
      <c r="N61">
        <f>SUMIF(RawDataTotal!$B:$B,$A61,RawDataTotal!Q:Q)</f>
        <v>0</v>
      </c>
      <c r="O61">
        <f>SUMIF(RawDataTotal!$B:$B,$A61,RawDataTotal!R:R)</f>
        <v>0</v>
      </c>
      <c r="P61">
        <f>SUMIF(RawDataTotal!$B:$B,$A61,RawDataTotal!S:S)</f>
        <v>0</v>
      </c>
      <c r="Q61">
        <f>SUMIF(RawDataTotal!$B:$B,$A61,RawDataTotal!T:T)</f>
        <v>0</v>
      </c>
      <c r="R61">
        <f>SUMIF(RawDataTotal!$B:$B,$A61,RawDataTotal!U:U)</f>
        <v>0</v>
      </c>
      <c r="S61">
        <f>SUMIF(RawDataTotal!$B:$B,$A61,RawDataTotal!V:V)</f>
        <v>0</v>
      </c>
      <c r="T61">
        <f>SUMIF(RawDataTotal!$B:$B,$A61,RawDataTotal!W:W)</f>
        <v>0</v>
      </c>
      <c r="U61">
        <f>SUMIF(RawDataTotal!$B:$B,$A61,RawDataTotal!X:X)</f>
        <v>0</v>
      </c>
      <c r="V61">
        <f>SUMIF(RawDataTotal!$B:$B,$A61,RawDataTotal!Y:Y)</f>
        <v>0</v>
      </c>
      <c r="W61">
        <f>SUMIF(RawDataTotal!$B:$B,$A61,RawDataTotal!Z:Z)</f>
        <v>0</v>
      </c>
      <c r="X61">
        <f>SUMIF(RawDataTotal!$B:$B,$A61,RawDataTotal!AA:AA)</f>
        <v>0</v>
      </c>
      <c r="Y61">
        <f>SUMIF(RawDataTotal!$B:$B,$A61,RawDataTotal!AB:AB)</f>
        <v>0</v>
      </c>
      <c r="Z61">
        <f>SUMIF(RawDataTotal!$B:$B,$A61,RawDataTotal!AC:AC)</f>
        <v>0</v>
      </c>
      <c r="AA61">
        <f>SUMIF(RawDataTotal!$B:$B,$A61,RawDataTotal!AD:AD)</f>
        <v>0</v>
      </c>
      <c r="AB61">
        <f>SUMIF(RawDataTotal!$B:$B,$A61,RawDataTotal!AE:AE)</f>
        <v>0</v>
      </c>
      <c r="AC61">
        <f>SUMIF(RawDataTotal!$B:$B,$A61,RawDataTotal!AF:AF)</f>
        <v>0</v>
      </c>
      <c r="AD61">
        <f>SUMIF(RawDataTotal!$B:$B,$A61,RawDataTotal!AG:AG)</f>
        <v>0</v>
      </c>
      <c r="AE61">
        <f>SUMIF(RawDataTotal!$B:$B,$A61,RawDataTotal!AH:AH)</f>
        <v>0</v>
      </c>
      <c r="AF61">
        <f>SUMIF(RawDataTotal!$B:$B,$A61,RawDataTotal!AI:AI)</f>
        <v>0</v>
      </c>
      <c r="AG61">
        <f>SUMIF(RawDataTotal!$B:$B,$A61,RawDataTotal!AJ:AJ)</f>
        <v>0</v>
      </c>
      <c r="AH61">
        <f>SUMIF(RawDataTotal!$B:$B,$A61,RawDataTotal!AK:AK)</f>
        <v>0</v>
      </c>
      <c r="AI61">
        <f>SUMIF(RawDataTotal!$B:$B,$A61,RawDataTotal!AL:AL)</f>
        <v>0</v>
      </c>
      <c r="AJ61">
        <f>SUMIF(RawDataTotal!$B:$B,$A61,RawDataTotal!AM:AM)</f>
        <v>0</v>
      </c>
      <c r="AK61">
        <f>SUMIF(RawDataTotal!$B:$B,$A61,RawDataTotal!AN:AN)</f>
        <v>0</v>
      </c>
      <c r="AL61">
        <f>SUMIF(RawDataTotal!$B:$B,$A61,RawDataTotal!AO:AO)</f>
        <v>0</v>
      </c>
      <c r="AM61">
        <f>SUMIF(RawDataTotal!$B:$B,$A61,RawDataTotal!AP:AP)</f>
        <v>0</v>
      </c>
      <c r="AN61">
        <f>SUMIF(RawDataTotal!$B:$B,$A61,RawDataTotal!AQ:AQ)</f>
        <v>0</v>
      </c>
      <c r="AO61">
        <f>SUMIF(RawDataTotal!$B:$B,$A61,RawDataTotal!AR:AR)</f>
        <v>0</v>
      </c>
      <c r="AP61">
        <f>SUMIF(RawDataTotal!$B:$B,$A61,RawDataTotal!AS:AS)</f>
        <v>0</v>
      </c>
      <c r="AQ61">
        <f>SUMIF(RawDataTotal!$B:$B,$A61,RawDataTotal!AT:AT)</f>
        <v>0</v>
      </c>
      <c r="AR61">
        <f>SUMIF(RawDataTotal!$B:$B,$A61,RawDataTotal!AU:AU)</f>
        <v>0</v>
      </c>
      <c r="AS61">
        <f>SUMIF(RawDataTotal!$B:$B,$A61,RawDataTotal!AV:AV)</f>
        <v>0</v>
      </c>
      <c r="AT61">
        <f>SUMIF(RawDataTotal!$B:$B,$A61,RawDataTotal!AW:AW)</f>
        <v>1</v>
      </c>
      <c r="AU61">
        <f>SUMIF(RawDataTotal!$B:$B,$A61,RawDataTotal!AX:AX)</f>
        <v>1</v>
      </c>
      <c r="AV61">
        <f>SUMIF(RawDataTotal!$B:$B,$A61,RawDataTotal!AY:AY)</f>
        <v>6</v>
      </c>
      <c r="AW61">
        <f>SUMIF(RawDataTotal!$B:$B,$A61,RawDataTotal!AZ:AZ)</f>
        <v>7</v>
      </c>
      <c r="AX61">
        <f>SUMIF(RawDataTotal!$B:$B,$A61,RawDataTotal!BA:BA)</f>
        <v>11</v>
      </c>
      <c r="AY61">
        <f>SUMIF(RawDataTotal!$B:$B,$A61,RawDataTotal!BB:BB)</f>
        <v>11</v>
      </c>
      <c r="AZ61">
        <f>SUMIF(RawDataTotal!$B:$B,$A61,RawDataTotal!BC:BC)</f>
        <v>15</v>
      </c>
      <c r="BA61">
        <f>SUMIF(RawDataTotal!$B:$B,$A61,RawDataTotal!BD:BD)</f>
        <v>28</v>
      </c>
      <c r="BB61">
        <f>SUMIF(RawDataTotal!$B:$B,$A61,RawDataTotal!BE:BE)</f>
        <v>38</v>
      </c>
      <c r="BC61">
        <f>SUMIF(RawDataTotal!$B:$B,$A61,RawDataTotal!BF:BF)</f>
        <v>43</v>
      </c>
      <c r="BD61">
        <f>SUMIF(RawDataTotal!$B:$B,$A61,RawDataTotal!BG:BG)</f>
        <v>86</v>
      </c>
      <c r="BE61">
        <f>SUMIF(RawDataTotal!$B:$B,$A61,RawDataTotal!BH:BH)</f>
        <v>117</v>
      </c>
      <c r="BF61">
        <f>SUMIF(RawDataTotal!$B:$B,$A61,RawDataTotal!BI:BI)</f>
        <v>0</v>
      </c>
      <c r="BG61">
        <f>SUMIF(RawDataTotal!$B:$B,$A61,RawDataTotal!BJ:BJ)</f>
        <v>0</v>
      </c>
      <c r="BH61">
        <f>SUMIF(RawDataTotal!$B:$B,$A61,RawDataTotal!BK:BK)</f>
        <v>0</v>
      </c>
      <c r="BI61">
        <f>SUMIF(RawDataTotal!$B:$B,$A61,RawDataTotal!BL:BL)</f>
        <v>0</v>
      </c>
      <c r="BJ61">
        <f>SUMIF(RawDataTotal!$B:$B,$A61,RawDataTotal!BM:BM)</f>
        <v>0</v>
      </c>
      <c r="BK61">
        <f>SUMIF(RawDataTotal!$B:$B,$A61,RawDataTotal!BN:BN)</f>
        <v>0</v>
      </c>
      <c r="BL61">
        <f>SUMIF(RawDataTotal!$B:$B,$A61,RawDataTotal!BO:BO)</f>
        <v>0</v>
      </c>
      <c r="BM61">
        <f>SUMIF(RawDataTotal!$B:$B,$A61,RawDataTotal!BP:BP)</f>
        <v>0</v>
      </c>
      <c r="BN61">
        <f>SUMIF(RawDataTotal!$B:$B,$A61,RawDataTotal!BQ:BQ)</f>
        <v>0</v>
      </c>
      <c r="BO61">
        <f>SUMIF(RawDataTotal!$B:$B,$A61,RawDataTotal!BR:BR)</f>
        <v>0</v>
      </c>
      <c r="BP61">
        <f>SUMIF(RawDataTotal!$B:$B,$A61,RawDataTotal!BS:BS)</f>
        <v>0</v>
      </c>
      <c r="BQ61">
        <f>SUMIF(RawDataTotal!$B:$B,$A61,RawDataTotal!BT:BT)</f>
        <v>0</v>
      </c>
      <c r="BR61">
        <f>SUMIF(RawDataTotal!$B:$B,$A61,RawDataTotal!BU:BU)</f>
        <v>0</v>
      </c>
      <c r="BS61">
        <f>SUMIF(RawDataTotal!$B:$B,$A61,RawDataTotal!BV:BV)</f>
        <v>0</v>
      </c>
      <c r="BT61">
        <f>SUMIF(RawDataTotal!$B:$B,$A61,RawDataTotal!BW:BW)</f>
        <v>0</v>
      </c>
    </row>
    <row r="62" spans="1:72" ht="15" thickBot="1" x14ac:dyDescent="0.35">
      <c r="A62" s="3" t="s">
        <v>118</v>
      </c>
      <c r="B62">
        <f>SUMIF(RawDataTotal!$B:$B,$A62,RawDataTotal!E:E)</f>
        <v>0</v>
      </c>
      <c r="C62">
        <f>SUMIF(RawDataTotal!$B:$B,$A62,RawDataTotal!F:F)</f>
        <v>0</v>
      </c>
      <c r="D62">
        <f>SUMIF(RawDataTotal!$B:$B,$A62,RawDataTotal!G:G)</f>
        <v>0</v>
      </c>
      <c r="E62">
        <f>SUMIF(RawDataTotal!$B:$B,$A62,RawDataTotal!H:H)</f>
        <v>0</v>
      </c>
      <c r="F62">
        <f>SUMIF(RawDataTotal!$B:$B,$A62,RawDataTotal!I:I)</f>
        <v>0</v>
      </c>
      <c r="G62">
        <f>SUMIF(RawDataTotal!$B:$B,$A62,RawDataTotal!J:J)</f>
        <v>0</v>
      </c>
      <c r="H62">
        <f>SUMIF(RawDataTotal!$B:$B,$A62,RawDataTotal!K:K)</f>
        <v>0</v>
      </c>
      <c r="I62">
        <f>SUMIF(RawDataTotal!$B:$B,$A62,RawDataTotal!L:L)</f>
        <v>0</v>
      </c>
      <c r="J62">
        <f>SUMIF(RawDataTotal!$B:$B,$A62,RawDataTotal!M:M)</f>
        <v>0</v>
      </c>
      <c r="K62">
        <f>SUMIF(RawDataTotal!$B:$B,$A62,RawDataTotal!N:N)</f>
        <v>0</v>
      </c>
      <c r="L62">
        <f>SUMIF(RawDataTotal!$B:$B,$A62,RawDataTotal!O:O)</f>
        <v>0</v>
      </c>
      <c r="M62">
        <f>SUMIF(RawDataTotal!$B:$B,$A62,RawDataTotal!P:P)</f>
        <v>0</v>
      </c>
      <c r="N62">
        <f>SUMIF(RawDataTotal!$B:$B,$A62,RawDataTotal!Q:Q)</f>
        <v>0</v>
      </c>
      <c r="O62">
        <f>SUMIF(RawDataTotal!$B:$B,$A62,RawDataTotal!R:R)</f>
        <v>0</v>
      </c>
      <c r="P62">
        <f>SUMIF(RawDataTotal!$B:$B,$A62,RawDataTotal!S:S)</f>
        <v>0</v>
      </c>
      <c r="Q62">
        <f>SUMIF(RawDataTotal!$B:$B,$A62,RawDataTotal!T:T)</f>
        <v>0</v>
      </c>
      <c r="R62">
        <f>SUMIF(RawDataTotal!$B:$B,$A62,RawDataTotal!U:U)</f>
        <v>0</v>
      </c>
      <c r="S62">
        <f>SUMIF(RawDataTotal!$B:$B,$A62,RawDataTotal!V:V)</f>
        <v>0</v>
      </c>
      <c r="T62">
        <f>SUMIF(RawDataTotal!$B:$B,$A62,RawDataTotal!W:W)</f>
        <v>0</v>
      </c>
      <c r="U62">
        <f>SUMIF(RawDataTotal!$B:$B,$A62,RawDataTotal!X:X)</f>
        <v>0</v>
      </c>
      <c r="V62">
        <f>SUMIF(RawDataTotal!$B:$B,$A62,RawDataTotal!Y:Y)</f>
        <v>0</v>
      </c>
      <c r="W62">
        <f>SUMIF(RawDataTotal!$B:$B,$A62,RawDataTotal!Z:Z)</f>
        <v>0</v>
      </c>
      <c r="X62">
        <f>SUMIF(RawDataTotal!$B:$B,$A62,RawDataTotal!AA:AA)</f>
        <v>0</v>
      </c>
      <c r="Y62">
        <f>SUMIF(RawDataTotal!$B:$B,$A62,RawDataTotal!AB:AB)</f>
        <v>0</v>
      </c>
      <c r="Z62">
        <f>SUMIF(RawDataTotal!$B:$B,$A62,RawDataTotal!AC:AC)</f>
        <v>0</v>
      </c>
      <c r="AA62">
        <f>SUMIF(RawDataTotal!$B:$B,$A62,RawDataTotal!AD:AD)</f>
        <v>0</v>
      </c>
      <c r="AB62">
        <f>SUMIF(RawDataTotal!$B:$B,$A62,RawDataTotal!AE:AE)</f>
        <v>0</v>
      </c>
      <c r="AC62">
        <f>SUMIF(RawDataTotal!$B:$B,$A62,RawDataTotal!AF:AF)</f>
        <v>0</v>
      </c>
      <c r="AD62">
        <f>SUMIF(RawDataTotal!$B:$B,$A62,RawDataTotal!AG:AG)</f>
        <v>0</v>
      </c>
      <c r="AE62">
        <f>SUMIF(RawDataTotal!$B:$B,$A62,RawDataTotal!AH:AH)</f>
        <v>0</v>
      </c>
      <c r="AF62">
        <f>SUMIF(RawDataTotal!$B:$B,$A62,RawDataTotal!AI:AI)</f>
        <v>0</v>
      </c>
      <c r="AG62">
        <f>SUMIF(RawDataTotal!$B:$B,$A62,RawDataTotal!AJ:AJ)</f>
        <v>0</v>
      </c>
      <c r="AH62">
        <f>SUMIF(RawDataTotal!$B:$B,$A62,RawDataTotal!AK:AK)</f>
        <v>0</v>
      </c>
      <c r="AI62">
        <f>SUMIF(RawDataTotal!$B:$B,$A62,RawDataTotal!AL:AL)</f>
        <v>0</v>
      </c>
      <c r="AJ62">
        <f>SUMIF(RawDataTotal!$B:$B,$A62,RawDataTotal!AM:AM)</f>
        <v>0</v>
      </c>
      <c r="AK62">
        <f>SUMIF(RawDataTotal!$B:$B,$A62,RawDataTotal!AN:AN)</f>
        <v>0</v>
      </c>
      <c r="AL62">
        <f>SUMIF(RawDataTotal!$B:$B,$A62,RawDataTotal!AO:AO)</f>
        <v>0</v>
      </c>
      <c r="AM62">
        <f>SUMIF(RawDataTotal!$B:$B,$A62,RawDataTotal!AP:AP)</f>
        <v>1</v>
      </c>
      <c r="AN62">
        <f>SUMIF(RawDataTotal!$B:$B,$A62,RawDataTotal!AQ:AQ)</f>
        <v>1</v>
      </c>
      <c r="AO62">
        <f>SUMIF(RawDataTotal!$B:$B,$A62,RawDataTotal!AR:AR)</f>
        <v>1</v>
      </c>
      <c r="AP62">
        <f>SUMIF(RawDataTotal!$B:$B,$A62,RawDataTotal!AS:AS)</f>
        <v>1</v>
      </c>
      <c r="AQ62">
        <f>SUMIF(RawDataTotal!$B:$B,$A62,RawDataTotal!AT:AT)</f>
        <v>1</v>
      </c>
      <c r="AR62">
        <f>SUMIF(RawDataTotal!$B:$B,$A62,RawDataTotal!AU:AU)</f>
        <v>6</v>
      </c>
      <c r="AS62">
        <f>SUMIF(RawDataTotal!$B:$B,$A62,RawDataTotal!AV:AV)</f>
        <v>6</v>
      </c>
      <c r="AT62">
        <f>SUMIF(RawDataTotal!$B:$B,$A62,RawDataTotal!AW:AW)</f>
        <v>6</v>
      </c>
      <c r="AU62">
        <f>SUMIF(RawDataTotal!$B:$B,$A62,RawDataTotal!AX:AX)</f>
        <v>6</v>
      </c>
      <c r="AV62">
        <f>SUMIF(RawDataTotal!$B:$B,$A62,RawDataTotal!AY:AY)</f>
        <v>6</v>
      </c>
      <c r="AW62">
        <f>SUMIF(RawDataTotal!$B:$B,$A62,RawDataTotal!AZ:AZ)</f>
        <v>6</v>
      </c>
      <c r="AX62">
        <f>SUMIF(RawDataTotal!$B:$B,$A62,RawDataTotal!BA:BA)</f>
        <v>9</v>
      </c>
      <c r="AY62">
        <f>SUMIF(RawDataTotal!$B:$B,$A62,RawDataTotal!BB:BB)</f>
        <v>9</v>
      </c>
      <c r="AZ62">
        <f>SUMIF(RawDataTotal!$B:$B,$A62,RawDataTotal!BC:BC)</f>
        <v>12</v>
      </c>
      <c r="BA62">
        <f>SUMIF(RawDataTotal!$B:$B,$A62,RawDataTotal!BD:BD)</f>
        <v>27</v>
      </c>
      <c r="BB62">
        <f>SUMIF(RawDataTotal!$B:$B,$A62,RawDataTotal!BE:BE)</f>
        <v>27</v>
      </c>
      <c r="BC62">
        <f>SUMIF(RawDataTotal!$B:$B,$A62,RawDataTotal!BF:BF)</f>
        <v>27</v>
      </c>
      <c r="BD62">
        <f>SUMIF(RawDataTotal!$B:$B,$A62,RawDataTotal!BG:BG)</f>
        <v>36</v>
      </c>
      <c r="BE62">
        <f>SUMIF(RawDataTotal!$B:$B,$A62,RawDataTotal!BH:BH)</f>
        <v>36</v>
      </c>
      <c r="BF62">
        <f>SUMIF(RawDataTotal!$B:$B,$A62,RawDataTotal!BI:BI)</f>
        <v>0</v>
      </c>
      <c r="BG62">
        <f>SUMIF(RawDataTotal!$B:$B,$A62,RawDataTotal!BJ:BJ)</f>
        <v>0</v>
      </c>
      <c r="BH62">
        <f>SUMIF(RawDataTotal!$B:$B,$A62,RawDataTotal!BK:BK)</f>
        <v>0</v>
      </c>
      <c r="BI62">
        <f>SUMIF(RawDataTotal!$B:$B,$A62,RawDataTotal!BL:BL)</f>
        <v>0</v>
      </c>
      <c r="BJ62">
        <f>SUMIF(RawDataTotal!$B:$B,$A62,RawDataTotal!BM:BM)</f>
        <v>0</v>
      </c>
      <c r="BK62">
        <f>SUMIF(RawDataTotal!$B:$B,$A62,RawDataTotal!BN:BN)</f>
        <v>0</v>
      </c>
      <c r="BL62">
        <f>SUMIF(RawDataTotal!$B:$B,$A62,RawDataTotal!BO:BO)</f>
        <v>0</v>
      </c>
      <c r="BM62">
        <f>SUMIF(RawDataTotal!$B:$B,$A62,RawDataTotal!BP:BP)</f>
        <v>0</v>
      </c>
      <c r="BN62">
        <f>SUMIF(RawDataTotal!$B:$B,$A62,RawDataTotal!BQ:BQ)</f>
        <v>0</v>
      </c>
      <c r="BO62">
        <f>SUMIF(RawDataTotal!$B:$B,$A62,RawDataTotal!BR:BR)</f>
        <v>0</v>
      </c>
      <c r="BP62">
        <f>SUMIF(RawDataTotal!$B:$B,$A62,RawDataTotal!BS:BS)</f>
        <v>0</v>
      </c>
      <c r="BQ62">
        <f>SUMIF(RawDataTotal!$B:$B,$A62,RawDataTotal!BT:BT)</f>
        <v>0</v>
      </c>
      <c r="BR62">
        <f>SUMIF(RawDataTotal!$B:$B,$A62,RawDataTotal!BU:BU)</f>
        <v>0</v>
      </c>
      <c r="BS62">
        <f>SUMIF(RawDataTotal!$B:$B,$A62,RawDataTotal!BV:BV)</f>
        <v>0</v>
      </c>
      <c r="BT62">
        <f>SUMIF(RawDataTotal!$B:$B,$A62,RawDataTotal!BW:BW)</f>
        <v>0</v>
      </c>
    </row>
    <row r="63" spans="1:72" ht="15" thickBot="1" x14ac:dyDescent="0.35">
      <c r="A63" s="3" t="s">
        <v>310</v>
      </c>
      <c r="B63">
        <f>SUMIF(RawDataTotal!$B:$B,$A63,RawDataTotal!E:E)</f>
        <v>0</v>
      </c>
      <c r="C63">
        <f>SUMIF(RawDataTotal!$B:$B,$A63,RawDataTotal!F:F)</f>
        <v>0</v>
      </c>
      <c r="D63">
        <f>SUMIF(RawDataTotal!$B:$B,$A63,RawDataTotal!G:G)</f>
        <v>0</v>
      </c>
      <c r="E63">
        <f>SUMIF(RawDataTotal!$B:$B,$A63,RawDataTotal!H:H)</f>
        <v>0</v>
      </c>
      <c r="F63">
        <f>SUMIF(RawDataTotal!$B:$B,$A63,RawDataTotal!I:I)</f>
        <v>0</v>
      </c>
      <c r="G63">
        <f>SUMIF(RawDataTotal!$B:$B,$A63,RawDataTotal!J:J)</f>
        <v>0</v>
      </c>
      <c r="H63">
        <f>SUMIF(RawDataTotal!$B:$B,$A63,RawDataTotal!K:K)</f>
        <v>0</v>
      </c>
      <c r="I63">
        <f>SUMIF(RawDataTotal!$B:$B,$A63,RawDataTotal!L:L)</f>
        <v>0</v>
      </c>
      <c r="J63">
        <f>SUMIF(RawDataTotal!$B:$B,$A63,RawDataTotal!M:M)</f>
        <v>0</v>
      </c>
      <c r="K63">
        <f>SUMIF(RawDataTotal!$B:$B,$A63,RawDataTotal!N:N)</f>
        <v>0</v>
      </c>
      <c r="L63">
        <f>SUMIF(RawDataTotal!$B:$B,$A63,RawDataTotal!O:O)</f>
        <v>0</v>
      </c>
      <c r="M63">
        <f>SUMIF(RawDataTotal!$B:$B,$A63,RawDataTotal!P:P)</f>
        <v>0</v>
      </c>
      <c r="N63">
        <f>SUMIF(RawDataTotal!$B:$B,$A63,RawDataTotal!Q:Q)</f>
        <v>0</v>
      </c>
      <c r="O63">
        <f>SUMIF(RawDataTotal!$B:$B,$A63,RawDataTotal!R:R)</f>
        <v>0</v>
      </c>
      <c r="P63">
        <f>SUMIF(RawDataTotal!$B:$B,$A63,RawDataTotal!S:S)</f>
        <v>0</v>
      </c>
      <c r="Q63">
        <f>SUMIF(RawDataTotal!$B:$B,$A63,RawDataTotal!T:T)</f>
        <v>0</v>
      </c>
      <c r="R63">
        <f>SUMIF(RawDataTotal!$B:$B,$A63,RawDataTotal!U:U)</f>
        <v>0</v>
      </c>
      <c r="S63">
        <f>SUMIF(RawDataTotal!$B:$B,$A63,RawDataTotal!V:V)</f>
        <v>0</v>
      </c>
      <c r="T63">
        <f>SUMIF(RawDataTotal!$B:$B,$A63,RawDataTotal!W:W)</f>
        <v>0</v>
      </c>
      <c r="U63">
        <f>SUMIF(RawDataTotal!$B:$B,$A63,RawDataTotal!X:X)</f>
        <v>0</v>
      </c>
      <c r="V63">
        <f>SUMIF(RawDataTotal!$B:$B,$A63,RawDataTotal!Y:Y)</f>
        <v>0</v>
      </c>
      <c r="W63">
        <f>SUMIF(RawDataTotal!$B:$B,$A63,RawDataTotal!Z:Z)</f>
        <v>0</v>
      </c>
      <c r="X63">
        <f>SUMIF(RawDataTotal!$B:$B,$A63,RawDataTotal!AA:AA)</f>
        <v>0</v>
      </c>
      <c r="Y63">
        <f>SUMIF(RawDataTotal!$B:$B,$A63,RawDataTotal!AB:AB)</f>
        <v>0</v>
      </c>
      <c r="Z63">
        <f>SUMIF(RawDataTotal!$B:$B,$A63,RawDataTotal!AC:AC)</f>
        <v>0</v>
      </c>
      <c r="AA63">
        <f>SUMIF(RawDataTotal!$B:$B,$A63,RawDataTotal!AD:AD)</f>
        <v>0</v>
      </c>
      <c r="AB63">
        <f>SUMIF(RawDataTotal!$B:$B,$A63,RawDataTotal!AE:AE)</f>
        <v>0</v>
      </c>
      <c r="AC63">
        <f>SUMIF(RawDataTotal!$B:$B,$A63,RawDataTotal!AF:AF)</f>
        <v>0</v>
      </c>
      <c r="AD63">
        <f>SUMIF(RawDataTotal!$B:$B,$A63,RawDataTotal!AG:AG)</f>
        <v>0</v>
      </c>
      <c r="AE63">
        <f>SUMIF(RawDataTotal!$B:$B,$A63,RawDataTotal!AH:AH)</f>
        <v>0</v>
      </c>
      <c r="AF63">
        <f>SUMIF(RawDataTotal!$B:$B,$A63,RawDataTotal!AI:AI)</f>
        <v>0</v>
      </c>
      <c r="AG63">
        <f>SUMIF(RawDataTotal!$B:$B,$A63,RawDataTotal!AJ:AJ)</f>
        <v>0</v>
      </c>
      <c r="AH63">
        <f>SUMIF(RawDataTotal!$B:$B,$A63,RawDataTotal!AK:AK)</f>
        <v>0</v>
      </c>
      <c r="AI63">
        <f>SUMIF(RawDataTotal!$B:$B,$A63,RawDataTotal!AL:AL)</f>
        <v>0</v>
      </c>
      <c r="AJ63">
        <f>SUMIF(RawDataTotal!$B:$B,$A63,RawDataTotal!AM:AM)</f>
        <v>0</v>
      </c>
      <c r="AK63">
        <f>SUMIF(RawDataTotal!$B:$B,$A63,RawDataTotal!AN:AN)</f>
        <v>0</v>
      </c>
      <c r="AL63">
        <f>SUMIF(RawDataTotal!$B:$B,$A63,RawDataTotal!AO:AO)</f>
        <v>0</v>
      </c>
      <c r="AM63">
        <f>SUMIF(RawDataTotal!$B:$B,$A63,RawDataTotal!AP:AP)</f>
        <v>0</v>
      </c>
      <c r="AN63">
        <f>SUMIF(RawDataTotal!$B:$B,$A63,RawDataTotal!AQ:AQ)</f>
        <v>0</v>
      </c>
      <c r="AO63">
        <f>SUMIF(RawDataTotal!$B:$B,$A63,RawDataTotal!AR:AR)</f>
        <v>0</v>
      </c>
      <c r="AP63">
        <f>SUMIF(RawDataTotal!$B:$B,$A63,RawDataTotal!AS:AS)</f>
        <v>0</v>
      </c>
      <c r="AQ63">
        <f>SUMIF(RawDataTotal!$B:$B,$A63,RawDataTotal!AT:AT)</f>
        <v>0</v>
      </c>
      <c r="AR63">
        <f>SUMIF(RawDataTotal!$B:$B,$A63,RawDataTotal!AU:AU)</f>
        <v>0</v>
      </c>
      <c r="AS63">
        <f>SUMIF(RawDataTotal!$B:$B,$A63,RawDataTotal!AV:AV)</f>
        <v>0</v>
      </c>
      <c r="AT63">
        <f>SUMIF(RawDataTotal!$B:$B,$A63,RawDataTotal!AW:AW)</f>
        <v>0</v>
      </c>
      <c r="AU63">
        <f>SUMIF(RawDataTotal!$B:$B,$A63,RawDataTotal!AX:AX)</f>
        <v>0</v>
      </c>
      <c r="AV63">
        <f>SUMIF(RawDataTotal!$B:$B,$A63,RawDataTotal!AY:AY)</f>
        <v>0</v>
      </c>
      <c r="AW63">
        <f>SUMIF(RawDataTotal!$B:$B,$A63,RawDataTotal!AZ:AZ)</f>
        <v>0</v>
      </c>
      <c r="AX63">
        <f>SUMIF(RawDataTotal!$B:$B,$A63,RawDataTotal!BA:BA)</f>
        <v>1</v>
      </c>
      <c r="AY63">
        <f>SUMIF(RawDataTotal!$B:$B,$A63,RawDataTotal!BB:BB)</f>
        <v>8</v>
      </c>
      <c r="AZ63">
        <f>SUMIF(RawDataTotal!$B:$B,$A63,RawDataTotal!BC:BC)</f>
        <v>11</v>
      </c>
      <c r="BA63">
        <f>SUMIF(RawDataTotal!$B:$B,$A63,RawDataTotal!BD:BD)</f>
        <v>27</v>
      </c>
      <c r="BB63">
        <f>SUMIF(RawDataTotal!$B:$B,$A63,RawDataTotal!BE:BE)</f>
        <v>36</v>
      </c>
      <c r="BC63">
        <f>SUMIF(RawDataTotal!$B:$B,$A63,RawDataTotal!BF:BF)</f>
        <v>43</v>
      </c>
      <c r="BD63">
        <f>SUMIF(RawDataTotal!$B:$B,$A63,RawDataTotal!BG:BG)</f>
        <v>55</v>
      </c>
      <c r="BE63">
        <f>SUMIF(RawDataTotal!$B:$B,$A63,RawDataTotal!BH:BH)</f>
        <v>69</v>
      </c>
      <c r="BF63">
        <f>SUMIF(RawDataTotal!$B:$B,$A63,RawDataTotal!BI:BI)</f>
        <v>0</v>
      </c>
      <c r="BG63">
        <f>SUMIF(RawDataTotal!$B:$B,$A63,RawDataTotal!BJ:BJ)</f>
        <v>0</v>
      </c>
      <c r="BH63">
        <f>SUMIF(RawDataTotal!$B:$B,$A63,RawDataTotal!BK:BK)</f>
        <v>0</v>
      </c>
      <c r="BI63">
        <f>SUMIF(RawDataTotal!$B:$B,$A63,RawDataTotal!BL:BL)</f>
        <v>0</v>
      </c>
      <c r="BJ63">
        <f>SUMIF(RawDataTotal!$B:$B,$A63,RawDataTotal!BM:BM)</f>
        <v>0</v>
      </c>
      <c r="BK63">
        <f>SUMIF(RawDataTotal!$B:$B,$A63,RawDataTotal!BN:BN)</f>
        <v>0</v>
      </c>
      <c r="BL63">
        <f>SUMIF(RawDataTotal!$B:$B,$A63,RawDataTotal!BO:BO)</f>
        <v>0</v>
      </c>
      <c r="BM63">
        <f>SUMIF(RawDataTotal!$B:$B,$A63,RawDataTotal!BP:BP)</f>
        <v>0</v>
      </c>
      <c r="BN63">
        <f>SUMIF(RawDataTotal!$B:$B,$A63,RawDataTotal!BQ:BQ)</f>
        <v>0</v>
      </c>
      <c r="BO63">
        <f>SUMIF(RawDataTotal!$B:$B,$A63,RawDataTotal!BR:BR)</f>
        <v>0</v>
      </c>
      <c r="BP63">
        <f>SUMIF(RawDataTotal!$B:$B,$A63,RawDataTotal!BS:BS)</f>
        <v>0</v>
      </c>
      <c r="BQ63">
        <f>SUMIF(RawDataTotal!$B:$B,$A63,RawDataTotal!BT:BT)</f>
        <v>0</v>
      </c>
      <c r="BR63">
        <f>SUMIF(RawDataTotal!$B:$B,$A63,RawDataTotal!BU:BU)</f>
        <v>0</v>
      </c>
      <c r="BS63">
        <f>SUMIF(RawDataTotal!$B:$B,$A63,RawDataTotal!BV:BV)</f>
        <v>0</v>
      </c>
      <c r="BT63">
        <f>SUMIF(RawDataTotal!$B:$B,$A63,RawDataTotal!BW:BW)</f>
        <v>0</v>
      </c>
    </row>
    <row r="64" spans="1:72" ht="15" thickBot="1" x14ac:dyDescent="0.35">
      <c r="A64" s="4" t="s">
        <v>102</v>
      </c>
      <c r="B64">
        <f>SUMIF(RawDataTotal!$B:$B,$A64,RawDataTotal!E:E)</f>
        <v>0</v>
      </c>
      <c r="C64">
        <f>SUMIF(RawDataTotal!$B:$B,$A64,RawDataTotal!F:F)</f>
        <v>0</v>
      </c>
      <c r="D64">
        <f>SUMIF(RawDataTotal!$B:$B,$A64,RawDataTotal!G:G)</f>
        <v>0</v>
      </c>
      <c r="E64">
        <f>SUMIF(RawDataTotal!$B:$B,$A64,RawDataTotal!H:H)</f>
        <v>0</v>
      </c>
      <c r="F64">
        <f>SUMIF(RawDataTotal!$B:$B,$A64,RawDataTotal!I:I)</f>
        <v>0</v>
      </c>
      <c r="G64">
        <f>SUMIF(RawDataTotal!$B:$B,$A64,RawDataTotal!J:J)</f>
        <v>0</v>
      </c>
      <c r="H64">
        <f>SUMIF(RawDataTotal!$B:$B,$A64,RawDataTotal!K:K)</f>
        <v>0</v>
      </c>
      <c r="I64">
        <f>SUMIF(RawDataTotal!$B:$B,$A64,RawDataTotal!L:L)</f>
        <v>0</v>
      </c>
      <c r="J64">
        <f>SUMIF(RawDataTotal!$B:$B,$A64,RawDataTotal!M:M)</f>
        <v>0</v>
      </c>
      <c r="K64">
        <f>SUMIF(RawDataTotal!$B:$B,$A64,RawDataTotal!N:N)</f>
        <v>0</v>
      </c>
      <c r="L64">
        <f>SUMIF(RawDataTotal!$B:$B,$A64,RawDataTotal!O:O)</f>
        <v>0</v>
      </c>
      <c r="M64">
        <f>SUMIF(RawDataTotal!$B:$B,$A64,RawDataTotal!P:P)</f>
        <v>0</v>
      </c>
      <c r="N64">
        <f>SUMIF(RawDataTotal!$B:$B,$A64,RawDataTotal!Q:Q)</f>
        <v>0</v>
      </c>
      <c r="O64">
        <f>SUMIF(RawDataTotal!$B:$B,$A64,RawDataTotal!R:R)</f>
        <v>0</v>
      </c>
      <c r="P64">
        <f>SUMIF(RawDataTotal!$B:$B,$A64,RawDataTotal!S:S)</f>
        <v>0</v>
      </c>
      <c r="Q64">
        <f>SUMIF(RawDataTotal!$B:$B,$A64,RawDataTotal!T:T)</f>
        <v>0</v>
      </c>
      <c r="R64">
        <f>SUMIF(RawDataTotal!$B:$B,$A64,RawDataTotal!U:U)</f>
        <v>0</v>
      </c>
      <c r="S64">
        <f>SUMIF(RawDataTotal!$B:$B,$A64,RawDataTotal!V:V)</f>
        <v>0</v>
      </c>
      <c r="T64">
        <f>SUMIF(RawDataTotal!$B:$B,$A64,RawDataTotal!W:W)</f>
        <v>0</v>
      </c>
      <c r="U64">
        <f>SUMIF(RawDataTotal!$B:$B,$A64,RawDataTotal!X:X)</f>
        <v>0</v>
      </c>
      <c r="V64">
        <f>SUMIF(RawDataTotal!$B:$B,$A64,RawDataTotal!Y:Y)</f>
        <v>0</v>
      </c>
      <c r="W64">
        <f>SUMIF(RawDataTotal!$B:$B,$A64,RawDataTotal!Z:Z)</f>
        <v>0</v>
      </c>
      <c r="X64">
        <f>SUMIF(RawDataTotal!$B:$B,$A64,RawDataTotal!AA:AA)</f>
        <v>0</v>
      </c>
      <c r="Y64">
        <f>SUMIF(RawDataTotal!$B:$B,$A64,RawDataTotal!AB:AB)</f>
        <v>0</v>
      </c>
      <c r="Z64">
        <f>SUMIF(RawDataTotal!$B:$B,$A64,RawDataTotal!AC:AC)</f>
        <v>0</v>
      </c>
      <c r="AA64">
        <f>SUMIF(RawDataTotal!$B:$B,$A64,RawDataTotal!AD:AD)</f>
        <v>0</v>
      </c>
      <c r="AB64">
        <f>SUMIF(RawDataTotal!$B:$B,$A64,RawDataTotal!AE:AE)</f>
        <v>0</v>
      </c>
      <c r="AC64">
        <f>SUMIF(RawDataTotal!$B:$B,$A64,RawDataTotal!AF:AF)</f>
        <v>0</v>
      </c>
      <c r="AD64">
        <f>SUMIF(RawDataTotal!$B:$B,$A64,RawDataTotal!AG:AG)</f>
        <v>0</v>
      </c>
      <c r="AE64">
        <f>SUMIF(RawDataTotal!$B:$B,$A64,RawDataTotal!AH:AH)</f>
        <v>0</v>
      </c>
      <c r="AF64">
        <f>SUMIF(RawDataTotal!$B:$B,$A64,RawDataTotal!AI:AI)</f>
        <v>0</v>
      </c>
      <c r="AG64">
        <f>SUMIF(RawDataTotal!$B:$B,$A64,RawDataTotal!AJ:AJ)</f>
        <v>0</v>
      </c>
      <c r="AH64">
        <f>SUMIF(RawDataTotal!$B:$B,$A64,RawDataTotal!AK:AK)</f>
        <v>0</v>
      </c>
      <c r="AI64">
        <f>SUMIF(RawDataTotal!$B:$B,$A64,RawDataTotal!AL:AL)</f>
        <v>0</v>
      </c>
      <c r="AJ64">
        <f>SUMIF(RawDataTotal!$B:$B,$A64,RawDataTotal!AM:AM)</f>
        <v>1</v>
      </c>
      <c r="AK64">
        <f>SUMIF(RawDataTotal!$B:$B,$A64,RawDataTotal!AN:AN)</f>
        <v>1</v>
      </c>
      <c r="AL64">
        <f>SUMIF(RawDataTotal!$B:$B,$A64,RawDataTotal!AO:AO)</f>
        <v>1</v>
      </c>
      <c r="AM64">
        <f>SUMIF(RawDataTotal!$B:$B,$A64,RawDataTotal!AP:AP)</f>
        <v>1</v>
      </c>
      <c r="AN64">
        <f>SUMIF(RawDataTotal!$B:$B,$A64,RawDataTotal!AQ:AQ)</f>
        <v>1</v>
      </c>
      <c r="AO64">
        <f>SUMIF(RawDataTotal!$B:$B,$A64,RawDataTotal!AR:AR)</f>
        <v>1</v>
      </c>
      <c r="AP64">
        <f>SUMIF(RawDataTotal!$B:$B,$A64,RawDataTotal!AS:AS)</f>
        <v>3</v>
      </c>
      <c r="AQ64">
        <f>SUMIF(RawDataTotal!$B:$B,$A64,RawDataTotal!AT:AT)</f>
        <v>5</v>
      </c>
      <c r="AR64">
        <f>SUMIF(RawDataTotal!$B:$B,$A64,RawDataTotal!AU:AU)</f>
        <v>12</v>
      </c>
      <c r="AS64">
        <f>SUMIF(RawDataTotal!$B:$B,$A64,RawDataTotal!AV:AV)</f>
        <v>12</v>
      </c>
      <c r="AT64">
        <f>SUMIF(RawDataTotal!$B:$B,$A64,RawDataTotal!AW:AW)</f>
        <v>17</v>
      </c>
      <c r="AU64">
        <f>SUMIF(RawDataTotal!$B:$B,$A64,RawDataTotal!AX:AX)</f>
        <v>17</v>
      </c>
      <c r="AV64">
        <f>SUMIF(RawDataTotal!$B:$B,$A64,RawDataTotal!AY:AY)</f>
        <v>19</v>
      </c>
      <c r="AW64">
        <f>SUMIF(RawDataTotal!$B:$B,$A64,RawDataTotal!AZ:AZ)</f>
        <v>20</v>
      </c>
      <c r="AX64">
        <f>SUMIF(RawDataTotal!$B:$B,$A64,RawDataTotal!BA:BA)</f>
        <v>20</v>
      </c>
      <c r="AY64">
        <f>SUMIF(RawDataTotal!$B:$B,$A64,RawDataTotal!BB:BB)</f>
        <v>20</v>
      </c>
      <c r="AZ64">
        <f>SUMIF(RawDataTotal!$B:$B,$A64,RawDataTotal!BC:BC)</f>
        <v>24</v>
      </c>
      <c r="BA64">
        <f>SUMIF(RawDataTotal!$B:$B,$A64,RawDataTotal!BD:BD)</f>
        <v>26</v>
      </c>
      <c r="BB64">
        <f>SUMIF(RawDataTotal!$B:$B,$A64,RawDataTotal!BE:BE)</f>
        <v>37</v>
      </c>
      <c r="BC64">
        <f>SUMIF(RawDataTotal!$B:$B,$A64,RawDataTotal!BF:BF)</f>
        <v>48</v>
      </c>
      <c r="BD64">
        <f>SUMIF(RawDataTotal!$B:$B,$A64,RawDataTotal!BG:BG)</f>
        <v>54</v>
      </c>
      <c r="BE64">
        <f>SUMIF(RawDataTotal!$B:$B,$A64,RawDataTotal!BH:BH)</f>
        <v>60</v>
      </c>
      <c r="BF64">
        <f>SUMIF(RawDataTotal!$B:$B,$A64,RawDataTotal!BI:BI)</f>
        <v>0</v>
      </c>
      <c r="BG64">
        <f>SUMIF(RawDataTotal!$B:$B,$A64,RawDataTotal!BJ:BJ)</f>
        <v>0</v>
      </c>
      <c r="BH64">
        <f>SUMIF(RawDataTotal!$B:$B,$A64,RawDataTotal!BK:BK)</f>
        <v>0</v>
      </c>
      <c r="BI64">
        <f>SUMIF(RawDataTotal!$B:$B,$A64,RawDataTotal!BL:BL)</f>
        <v>0</v>
      </c>
      <c r="BJ64">
        <f>SUMIF(RawDataTotal!$B:$B,$A64,RawDataTotal!BM:BM)</f>
        <v>0</v>
      </c>
      <c r="BK64">
        <f>SUMIF(RawDataTotal!$B:$B,$A64,RawDataTotal!BN:BN)</f>
        <v>0</v>
      </c>
      <c r="BL64">
        <f>SUMIF(RawDataTotal!$B:$B,$A64,RawDataTotal!BO:BO)</f>
        <v>0</v>
      </c>
      <c r="BM64">
        <f>SUMIF(RawDataTotal!$B:$B,$A64,RawDataTotal!BP:BP)</f>
        <v>0</v>
      </c>
      <c r="BN64">
        <f>SUMIF(RawDataTotal!$B:$B,$A64,RawDataTotal!BQ:BQ)</f>
        <v>0</v>
      </c>
      <c r="BO64">
        <f>SUMIF(RawDataTotal!$B:$B,$A64,RawDataTotal!BR:BR)</f>
        <v>0</v>
      </c>
      <c r="BP64">
        <f>SUMIF(RawDataTotal!$B:$B,$A64,RawDataTotal!BS:BS)</f>
        <v>0</v>
      </c>
      <c r="BQ64">
        <f>SUMIF(RawDataTotal!$B:$B,$A64,RawDataTotal!BT:BT)</f>
        <v>0</v>
      </c>
      <c r="BR64">
        <f>SUMIF(RawDataTotal!$B:$B,$A64,RawDataTotal!BU:BU)</f>
        <v>0</v>
      </c>
      <c r="BS64">
        <f>SUMIF(RawDataTotal!$B:$B,$A64,RawDataTotal!BV:BV)</f>
        <v>0</v>
      </c>
      <c r="BT64">
        <f>SUMIF(RawDataTotal!$B:$B,$A64,RawDataTotal!BW:BW)</f>
        <v>0</v>
      </c>
    </row>
    <row r="65" spans="1:72" ht="15" thickBot="1" x14ac:dyDescent="0.35">
      <c r="A65" s="3" t="s">
        <v>109</v>
      </c>
      <c r="B65">
        <f>SUMIF(RawDataTotal!$B:$B,$A65,RawDataTotal!E:E)</f>
        <v>0</v>
      </c>
      <c r="C65">
        <f>SUMIF(RawDataTotal!$B:$B,$A65,RawDataTotal!F:F)</f>
        <v>0</v>
      </c>
      <c r="D65">
        <f>SUMIF(RawDataTotal!$B:$B,$A65,RawDataTotal!G:G)</f>
        <v>0</v>
      </c>
      <c r="E65">
        <f>SUMIF(RawDataTotal!$B:$B,$A65,RawDataTotal!H:H)</f>
        <v>0</v>
      </c>
      <c r="F65">
        <f>SUMIF(RawDataTotal!$B:$B,$A65,RawDataTotal!I:I)</f>
        <v>0</v>
      </c>
      <c r="G65">
        <f>SUMIF(RawDataTotal!$B:$B,$A65,RawDataTotal!J:J)</f>
        <v>0</v>
      </c>
      <c r="H65">
        <f>SUMIF(RawDataTotal!$B:$B,$A65,RawDataTotal!K:K)</f>
        <v>0</v>
      </c>
      <c r="I65">
        <f>SUMIF(RawDataTotal!$B:$B,$A65,RawDataTotal!L:L)</f>
        <v>0</v>
      </c>
      <c r="J65">
        <f>SUMIF(RawDataTotal!$B:$B,$A65,RawDataTotal!M:M)</f>
        <v>0</v>
      </c>
      <c r="K65">
        <f>SUMIF(RawDataTotal!$B:$B,$A65,RawDataTotal!N:N)</f>
        <v>0</v>
      </c>
      <c r="L65">
        <f>SUMIF(RawDataTotal!$B:$B,$A65,RawDataTotal!O:O)</f>
        <v>0</v>
      </c>
      <c r="M65">
        <f>SUMIF(RawDataTotal!$B:$B,$A65,RawDataTotal!P:P)</f>
        <v>0</v>
      </c>
      <c r="N65">
        <f>SUMIF(RawDataTotal!$B:$B,$A65,RawDataTotal!Q:Q)</f>
        <v>0</v>
      </c>
      <c r="O65">
        <f>SUMIF(RawDataTotal!$B:$B,$A65,RawDataTotal!R:R)</f>
        <v>0</v>
      </c>
      <c r="P65">
        <f>SUMIF(RawDataTotal!$B:$B,$A65,RawDataTotal!S:S)</f>
        <v>0</v>
      </c>
      <c r="Q65">
        <f>SUMIF(RawDataTotal!$B:$B,$A65,RawDataTotal!T:T)</f>
        <v>0</v>
      </c>
      <c r="R65">
        <f>SUMIF(RawDataTotal!$B:$B,$A65,RawDataTotal!U:U)</f>
        <v>0</v>
      </c>
      <c r="S65">
        <f>SUMIF(RawDataTotal!$B:$B,$A65,RawDataTotal!V:V)</f>
        <v>0</v>
      </c>
      <c r="T65">
        <f>SUMIF(RawDataTotal!$B:$B,$A65,RawDataTotal!W:W)</f>
        <v>0</v>
      </c>
      <c r="U65">
        <f>SUMIF(RawDataTotal!$B:$B,$A65,RawDataTotal!X:X)</f>
        <v>0</v>
      </c>
      <c r="V65">
        <f>SUMIF(RawDataTotal!$B:$B,$A65,RawDataTotal!Y:Y)</f>
        <v>0</v>
      </c>
      <c r="W65">
        <f>SUMIF(RawDataTotal!$B:$B,$A65,RawDataTotal!Z:Z)</f>
        <v>0</v>
      </c>
      <c r="X65">
        <f>SUMIF(RawDataTotal!$B:$B,$A65,RawDataTotal!AA:AA)</f>
        <v>0</v>
      </c>
      <c r="Y65">
        <f>SUMIF(RawDataTotal!$B:$B,$A65,RawDataTotal!AB:AB)</f>
        <v>0</v>
      </c>
      <c r="Z65">
        <f>SUMIF(RawDataTotal!$B:$B,$A65,RawDataTotal!AC:AC)</f>
        <v>0</v>
      </c>
      <c r="AA65">
        <f>SUMIF(RawDataTotal!$B:$B,$A65,RawDataTotal!AD:AD)</f>
        <v>0</v>
      </c>
      <c r="AB65">
        <f>SUMIF(RawDataTotal!$B:$B,$A65,RawDataTotal!AE:AE)</f>
        <v>0</v>
      </c>
      <c r="AC65">
        <f>SUMIF(RawDataTotal!$B:$B,$A65,RawDataTotal!AF:AF)</f>
        <v>0</v>
      </c>
      <c r="AD65">
        <f>SUMIF(RawDataTotal!$B:$B,$A65,RawDataTotal!AG:AG)</f>
        <v>0</v>
      </c>
      <c r="AE65">
        <f>SUMIF(RawDataTotal!$B:$B,$A65,RawDataTotal!AH:AH)</f>
        <v>0</v>
      </c>
      <c r="AF65">
        <f>SUMIF(RawDataTotal!$B:$B,$A65,RawDataTotal!AI:AI)</f>
        <v>0</v>
      </c>
      <c r="AG65">
        <f>SUMIF(RawDataTotal!$B:$B,$A65,RawDataTotal!AJ:AJ)</f>
        <v>0</v>
      </c>
      <c r="AH65">
        <f>SUMIF(RawDataTotal!$B:$B,$A65,RawDataTotal!AK:AK)</f>
        <v>0</v>
      </c>
      <c r="AI65">
        <f>SUMIF(RawDataTotal!$B:$B,$A65,RawDataTotal!AL:AL)</f>
        <v>0</v>
      </c>
      <c r="AJ65">
        <f>SUMIF(RawDataTotal!$B:$B,$A65,RawDataTotal!AM:AM)</f>
        <v>0</v>
      </c>
      <c r="AK65">
        <f>SUMIF(RawDataTotal!$B:$B,$A65,RawDataTotal!AN:AN)</f>
        <v>1</v>
      </c>
      <c r="AL65">
        <f>SUMIF(RawDataTotal!$B:$B,$A65,RawDataTotal!AO:AO)</f>
        <v>1</v>
      </c>
      <c r="AM65">
        <f>SUMIF(RawDataTotal!$B:$B,$A65,RawDataTotal!AP:AP)</f>
        <v>1</v>
      </c>
      <c r="AN65">
        <f>SUMIF(RawDataTotal!$B:$B,$A65,RawDataTotal!AQ:AQ)</f>
        <v>1</v>
      </c>
      <c r="AO65">
        <f>SUMIF(RawDataTotal!$B:$B,$A65,RawDataTotal!AR:AR)</f>
        <v>3</v>
      </c>
      <c r="AP65">
        <f>SUMIF(RawDataTotal!$B:$B,$A65,RawDataTotal!AS:AS)</f>
        <v>3</v>
      </c>
      <c r="AQ65">
        <f>SUMIF(RawDataTotal!$B:$B,$A65,RawDataTotal!AT:AT)</f>
        <v>3</v>
      </c>
      <c r="AR65">
        <f>SUMIF(RawDataTotal!$B:$B,$A65,RawDataTotal!AU:AU)</f>
        <v>3</v>
      </c>
      <c r="AS65">
        <f>SUMIF(RawDataTotal!$B:$B,$A65,RawDataTotal!AV:AV)</f>
        <v>4</v>
      </c>
      <c r="AT65">
        <f>SUMIF(RawDataTotal!$B:$B,$A65,RawDataTotal!AW:AW)</f>
        <v>4</v>
      </c>
      <c r="AU65">
        <f>SUMIF(RawDataTotal!$B:$B,$A65,RawDataTotal!AX:AX)</f>
        <v>4</v>
      </c>
      <c r="AV65">
        <f>SUMIF(RawDataTotal!$B:$B,$A65,RawDataTotal!AY:AY)</f>
        <v>13</v>
      </c>
      <c r="AW65">
        <f>SUMIF(RawDataTotal!$B:$B,$A65,RawDataTotal!AZ:AZ)</f>
        <v>15</v>
      </c>
      <c r="AX65">
        <f>SUMIF(RawDataTotal!$B:$B,$A65,RawDataTotal!BA:BA)</f>
        <v>15</v>
      </c>
      <c r="AY65">
        <f>SUMIF(RawDataTotal!$B:$B,$A65,RawDataTotal!BB:BB)</f>
        <v>24</v>
      </c>
      <c r="AZ65">
        <f>SUMIF(RawDataTotal!$B:$B,$A65,RawDataTotal!BC:BC)</f>
        <v>24</v>
      </c>
      <c r="BA65">
        <f>SUMIF(RawDataTotal!$B:$B,$A65,RawDataTotal!BD:BD)</f>
        <v>25</v>
      </c>
      <c r="BB65">
        <f>SUMIF(RawDataTotal!$B:$B,$A65,RawDataTotal!BE:BE)</f>
        <v>30</v>
      </c>
      <c r="BC65">
        <f>SUMIF(RawDataTotal!$B:$B,$A65,RawDataTotal!BF:BF)</f>
        <v>33</v>
      </c>
      <c r="BD65">
        <f>SUMIF(RawDataTotal!$B:$B,$A65,RawDataTotal!BG:BG)</f>
        <v>33</v>
      </c>
      <c r="BE65">
        <f>SUMIF(RawDataTotal!$B:$B,$A65,RawDataTotal!BH:BH)</f>
        <v>34</v>
      </c>
      <c r="BF65">
        <f>SUMIF(RawDataTotal!$B:$B,$A65,RawDataTotal!BI:BI)</f>
        <v>0</v>
      </c>
      <c r="BG65">
        <f>SUMIF(RawDataTotal!$B:$B,$A65,RawDataTotal!BJ:BJ)</f>
        <v>0</v>
      </c>
      <c r="BH65">
        <f>SUMIF(RawDataTotal!$B:$B,$A65,RawDataTotal!BK:BK)</f>
        <v>0</v>
      </c>
      <c r="BI65">
        <f>SUMIF(RawDataTotal!$B:$B,$A65,RawDataTotal!BL:BL)</f>
        <v>0</v>
      </c>
      <c r="BJ65">
        <f>SUMIF(RawDataTotal!$B:$B,$A65,RawDataTotal!BM:BM)</f>
        <v>0</v>
      </c>
      <c r="BK65">
        <f>SUMIF(RawDataTotal!$B:$B,$A65,RawDataTotal!BN:BN)</f>
        <v>0</v>
      </c>
      <c r="BL65">
        <f>SUMIF(RawDataTotal!$B:$B,$A65,RawDataTotal!BO:BO)</f>
        <v>0</v>
      </c>
      <c r="BM65">
        <f>SUMIF(RawDataTotal!$B:$B,$A65,RawDataTotal!BP:BP)</f>
        <v>0</v>
      </c>
      <c r="BN65">
        <f>SUMIF(RawDataTotal!$B:$B,$A65,RawDataTotal!BQ:BQ)</f>
        <v>0</v>
      </c>
      <c r="BO65">
        <f>SUMIF(RawDataTotal!$B:$B,$A65,RawDataTotal!BR:BR)</f>
        <v>0</v>
      </c>
      <c r="BP65">
        <f>SUMIF(RawDataTotal!$B:$B,$A65,RawDataTotal!BS:BS)</f>
        <v>0</v>
      </c>
      <c r="BQ65">
        <f>SUMIF(RawDataTotal!$B:$B,$A65,RawDataTotal!BT:BT)</f>
        <v>0</v>
      </c>
      <c r="BR65">
        <f>SUMIF(RawDataTotal!$B:$B,$A65,RawDataTotal!BU:BU)</f>
        <v>0</v>
      </c>
      <c r="BS65">
        <f>SUMIF(RawDataTotal!$B:$B,$A65,RawDataTotal!BV:BV)</f>
        <v>0</v>
      </c>
      <c r="BT65">
        <f>SUMIF(RawDataTotal!$B:$B,$A65,RawDataTotal!BW:BW)</f>
        <v>0</v>
      </c>
    </row>
    <row r="66" spans="1:72" ht="15" thickBot="1" x14ac:dyDescent="0.35">
      <c r="A66" s="3" t="s">
        <v>172</v>
      </c>
      <c r="B66">
        <f>SUMIF(RawDataTotal!$B:$B,$A66,RawDataTotal!E:E)</f>
        <v>0</v>
      </c>
      <c r="C66">
        <f>SUMIF(RawDataTotal!$B:$B,$A66,RawDataTotal!F:F)</f>
        <v>0</v>
      </c>
      <c r="D66">
        <f>SUMIF(RawDataTotal!$B:$B,$A66,RawDataTotal!G:G)</f>
        <v>0</v>
      </c>
      <c r="E66">
        <f>SUMIF(RawDataTotal!$B:$B,$A66,RawDataTotal!H:H)</f>
        <v>0</v>
      </c>
      <c r="F66">
        <f>SUMIF(RawDataTotal!$B:$B,$A66,RawDataTotal!I:I)</f>
        <v>0</v>
      </c>
      <c r="G66">
        <f>SUMIF(RawDataTotal!$B:$B,$A66,RawDataTotal!J:J)</f>
        <v>0</v>
      </c>
      <c r="H66">
        <f>SUMIF(RawDataTotal!$B:$B,$A66,RawDataTotal!K:K)</f>
        <v>0</v>
      </c>
      <c r="I66">
        <f>SUMIF(RawDataTotal!$B:$B,$A66,RawDataTotal!L:L)</f>
        <v>0</v>
      </c>
      <c r="J66">
        <f>SUMIF(RawDataTotal!$B:$B,$A66,RawDataTotal!M:M)</f>
        <v>0</v>
      </c>
      <c r="K66">
        <f>SUMIF(RawDataTotal!$B:$B,$A66,RawDataTotal!N:N)</f>
        <v>0</v>
      </c>
      <c r="L66">
        <f>SUMIF(RawDataTotal!$B:$B,$A66,RawDataTotal!O:O)</f>
        <v>0</v>
      </c>
      <c r="M66">
        <f>SUMIF(RawDataTotal!$B:$B,$A66,RawDataTotal!P:P)</f>
        <v>0</v>
      </c>
      <c r="N66">
        <f>SUMIF(RawDataTotal!$B:$B,$A66,RawDataTotal!Q:Q)</f>
        <v>0</v>
      </c>
      <c r="O66">
        <f>SUMIF(RawDataTotal!$B:$B,$A66,RawDataTotal!R:R)</f>
        <v>0</v>
      </c>
      <c r="P66">
        <f>SUMIF(RawDataTotal!$B:$B,$A66,RawDataTotal!S:S)</f>
        <v>0</v>
      </c>
      <c r="Q66">
        <f>SUMIF(RawDataTotal!$B:$B,$A66,RawDataTotal!T:T)</f>
        <v>0</v>
      </c>
      <c r="R66">
        <f>SUMIF(RawDataTotal!$B:$B,$A66,RawDataTotal!U:U)</f>
        <v>0</v>
      </c>
      <c r="S66">
        <f>SUMIF(RawDataTotal!$B:$B,$A66,RawDataTotal!V:V)</f>
        <v>0</v>
      </c>
      <c r="T66">
        <f>SUMIF(RawDataTotal!$B:$B,$A66,RawDataTotal!W:W)</f>
        <v>0</v>
      </c>
      <c r="U66">
        <f>SUMIF(RawDataTotal!$B:$B,$A66,RawDataTotal!X:X)</f>
        <v>0</v>
      </c>
      <c r="V66">
        <f>SUMIF(RawDataTotal!$B:$B,$A66,RawDataTotal!Y:Y)</f>
        <v>0</v>
      </c>
      <c r="W66">
        <f>SUMIF(RawDataTotal!$B:$B,$A66,RawDataTotal!Z:Z)</f>
        <v>0</v>
      </c>
      <c r="X66">
        <f>SUMIF(RawDataTotal!$B:$B,$A66,RawDataTotal!AA:AA)</f>
        <v>0</v>
      </c>
      <c r="Y66">
        <f>SUMIF(RawDataTotal!$B:$B,$A66,RawDataTotal!AB:AB)</f>
        <v>0</v>
      </c>
      <c r="Z66">
        <f>SUMIF(RawDataTotal!$B:$B,$A66,RawDataTotal!AC:AC)</f>
        <v>0</v>
      </c>
      <c r="AA66">
        <f>SUMIF(RawDataTotal!$B:$B,$A66,RawDataTotal!AD:AD)</f>
        <v>0</v>
      </c>
      <c r="AB66">
        <f>SUMIF(RawDataTotal!$B:$B,$A66,RawDataTotal!AE:AE)</f>
        <v>0</v>
      </c>
      <c r="AC66">
        <f>SUMIF(RawDataTotal!$B:$B,$A66,RawDataTotal!AF:AF)</f>
        <v>0</v>
      </c>
      <c r="AD66">
        <f>SUMIF(RawDataTotal!$B:$B,$A66,RawDataTotal!AG:AG)</f>
        <v>0</v>
      </c>
      <c r="AE66">
        <f>SUMIF(RawDataTotal!$B:$B,$A66,RawDataTotal!AH:AH)</f>
        <v>0</v>
      </c>
      <c r="AF66">
        <f>SUMIF(RawDataTotal!$B:$B,$A66,RawDataTotal!AI:AI)</f>
        <v>0</v>
      </c>
      <c r="AG66">
        <f>SUMIF(RawDataTotal!$B:$B,$A66,RawDataTotal!AJ:AJ)</f>
        <v>0</v>
      </c>
      <c r="AH66">
        <f>SUMIF(RawDataTotal!$B:$B,$A66,RawDataTotal!AK:AK)</f>
        <v>0</v>
      </c>
      <c r="AI66">
        <f>SUMIF(RawDataTotal!$B:$B,$A66,RawDataTotal!AL:AL)</f>
        <v>0</v>
      </c>
      <c r="AJ66">
        <f>SUMIF(RawDataTotal!$B:$B,$A66,RawDataTotal!AM:AM)</f>
        <v>0</v>
      </c>
      <c r="AK66">
        <f>SUMIF(RawDataTotal!$B:$B,$A66,RawDataTotal!AN:AN)</f>
        <v>0</v>
      </c>
      <c r="AL66">
        <f>SUMIF(RawDataTotal!$B:$B,$A66,RawDataTotal!AO:AO)</f>
        <v>0</v>
      </c>
      <c r="AM66">
        <f>SUMIF(RawDataTotal!$B:$B,$A66,RawDataTotal!AP:AP)</f>
        <v>0</v>
      </c>
      <c r="AN66">
        <f>SUMIF(RawDataTotal!$B:$B,$A66,RawDataTotal!AQ:AQ)</f>
        <v>0</v>
      </c>
      <c r="AO66">
        <f>SUMIF(RawDataTotal!$B:$B,$A66,RawDataTotal!AR:AR)</f>
        <v>0</v>
      </c>
      <c r="AP66">
        <f>SUMIF(RawDataTotal!$B:$B,$A66,RawDataTotal!AS:AS)</f>
        <v>0</v>
      </c>
      <c r="AQ66">
        <f>SUMIF(RawDataTotal!$B:$B,$A66,RawDataTotal!AT:AT)</f>
        <v>0</v>
      </c>
      <c r="AR66">
        <f>SUMIF(RawDataTotal!$B:$B,$A66,RawDataTotal!AU:AU)</f>
        <v>0</v>
      </c>
      <c r="AS66">
        <f>SUMIF(RawDataTotal!$B:$B,$A66,RawDataTotal!AV:AV)</f>
        <v>1</v>
      </c>
      <c r="AT66">
        <f>SUMIF(RawDataTotal!$B:$B,$A66,RawDataTotal!AW:AW)</f>
        <v>1</v>
      </c>
      <c r="AU66">
        <f>SUMIF(RawDataTotal!$B:$B,$A66,RawDataTotal!AX:AX)</f>
        <v>1</v>
      </c>
      <c r="AV66">
        <f>SUMIF(RawDataTotal!$B:$B,$A66,RawDataTotal!AY:AY)</f>
        <v>3</v>
      </c>
      <c r="AW66">
        <f>SUMIF(RawDataTotal!$B:$B,$A66,RawDataTotal!AZ:AZ)</f>
        <v>3</v>
      </c>
      <c r="AX66">
        <f>SUMIF(RawDataTotal!$B:$B,$A66,RawDataTotal!BA:BA)</f>
        <v>7</v>
      </c>
      <c r="AY66">
        <f>SUMIF(RawDataTotal!$B:$B,$A66,RawDataTotal!BB:BB)</f>
        <v>13</v>
      </c>
      <c r="AZ66">
        <f>SUMIF(RawDataTotal!$B:$B,$A66,RawDataTotal!BC:BC)</f>
        <v>17</v>
      </c>
      <c r="BA66">
        <f>SUMIF(RawDataTotal!$B:$B,$A66,RawDataTotal!BD:BD)</f>
        <v>24</v>
      </c>
      <c r="BB66">
        <f>SUMIF(RawDataTotal!$B:$B,$A66,RawDataTotal!BE:BE)</f>
        <v>38</v>
      </c>
      <c r="BC66">
        <f>SUMIF(RawDataTotal!$B:$B,$A66,RawDataTotal!BF:BF)</f>
        <v>51</v>
      </c>
      <c r="BD66">
        <f>SUMIF(RawDataTotal!$B:$B,$A66,RawDataTotal!BG:BG)</f>
        <v>62</v>
      </c>
      <c r="BE66">
        <f>SUMIF(RawDataTotal!$B:$B,$A66,RawDataTotal!BH:BH)</f>
        <v>62</v>
      </c>
      <c r="BF66">
        <f>SUMIF(RawDataTotal!$B:$B,$A66,RawDataTotal!BI:BI)</f>
        <v>0</v>
      </c>
      <c r="BG66">
        <f>SUMIF(RawDataTotal!$B:$B,$A66,RawDataTotal!BJ:BJ)</f>
        <v>0</v>
      </c>
      <c r="BH66">
        <f>SUMIF(RawDataTotal!$B:$B,$A66,RawDataTotal!BK:BK)</f>
        <v>0</v>
      </c>
      <c r="BI66">
        <f>SUMIF(RawDataTotal!$B:$B,$A66,RawDataTotal!BL:BL)</f>
        <v>0</v>
      </c>
      <c r="BJ66">
        <f>SUMIF(RawDataTotal!$B:$B,$A66,RawDataTotal!BM:BM)</f>
        <v>0</v>
      </c>
      <c r="BK66">
        <f>SUMIF(RawDataTotal!$B:$B,$A66,RawDataTotal!BN:BN)</f>
        <v>0</v>
      </c>
      <c r="BL66">
        <f>SUMIF(RawDataTotal!$B:$B,$A66,RawDataTotal!BO:BO)</f>
        <v>0</v>
      </c>
      <c r="BM66">
        <f>SUMIF(RawDataTotal!$B:$B,$A66,RawDataTotal!BP:BP)</f>
        <v>0</v>
      </c>
      <c r="BN66">
        <f>SUMIF(RawDataTotal!$B:$B,$A66,RawDataTotal!BQ:BQ)</f>
        <v>0</v>
      </c>
      <c r="BO66">
        <f>SUMIF(RawDataTotal!$B:$B,$A66,RawDataTotal!BR:BR)</f>
        <v>0</v>
      </c>
      <c r="BP66">
        <f>SUMIF(RawDataTotal!$B:$B,$A66,RawDataTotal!BS:BS)</f>
        <v>0</v>
      </c>
      <c r="BQ66">
        <f>SUMIF(RawDataTotal!$B:$B,$A66,RawDataTotal!BT:BT)</f>
        <v>0</v>
      </c>
      <c r="BR66">
        <f>SUMIF(RawDataTotal!$B:$B,$A66,RawDataTotal!BU:BU)</f>
        <v>0</v>
      </c>
      <c r="BS66">
        <f>SUMIF(RawDataTotal!$B:$B,$A66,RawDataTotal!BV:BV)</f>
        <v>0</v>
      </c>
      <c r="BT66">
        <f>SUMIF(RawDataTotal!$B:$B,$A66,RawDataTotal!BW:BW)</f>
        <v>0</v>
      </c>
    </row>
    <row r="67" spans="1:72" ht="15" thickBot="1" x14ac:dyDescent="0.35">
      <c r="A67" s="3" t="s">
        <v>226</v>
      </c>
      <c r="B67">
        <f>SUMIF(RawDataTotal!$B:$B,$A67,RawDataTotal!E:E)</f>
        <v>0</v>
      </c>
      <c r="C67">
        <f>SUMIF(RawDataTotal!$B:$B,$A67,RawDataTotal!F:F)</f>
        <v>0</v>
      </c>
      <c r="D67">
        <f>SUMIF(RawDataTotal!$B:$B,$A67,RawDataTotal!G:G)</f>
        <v>0</v>
      </c>
      <c r="E67">
        <f>SUMIF(RawDataTotal!$B:$B,$A67,RawDataTotal!H:H)</f>
        <v>0</v>
      </c>
      <c r="F67">
        <f>SUMIF(RawDataTotal!$B:$B,$A67,RawDataTotal!I:I)</f>
        <v>0</v>
      </c>
      <c r="G67">
        <f>SUMIF(RawDataTotal!$B:$B,$A67,RawDataTotal!J:J)</f>
        <v>0</v>
      </c>
      <c r="H67">
        <f>SUMIF(RawDataTotal!$B:$B,$A67,RawDataTotal!K:K)</f>
        <v>0</v>
      </c>
      <c r="I67">
        <f>SUMIF(RawDataTotal!$B:$B,$A67,RawDataTotal!L:L)</f>
        <v>0</v>
      </c>
      <c r="J67">
        <f>SUMIF(RawDataTotal!$B:$B,$A67,RawDataTotal!M:M)</f>
        <v>0</v>
      </c>
      <c r="K67">
        <f>SUMIF(RawDataTotal!$B:$B,$A67,RawDataTotal!N:N)</f>
        <v>0</v>
      </c>
      <c r="L67">
        <f>SUMIF(RawDataTotal!$B:$B,$A67,RawDataTotal!O:O)</f>
        <v>0</v>
      </c>
      <c r="M67">
        <f>SUMIF(RawDataTotal!$B:$B,$A67,RawDataTotal!P:P)</f>
        <v>0</v>
      </c>
      <c r="N67">
        <f>SUMIF(RawDataTotal!$B:$B,$A67,RawDataTotal!Q:Q)</f>
        <v>0</v>
      </c>
      <c r="O67">
        <f>SUMIF(RawDataTotal!$B:$B,$A67,RawDataTotal!R:R)</f>
        <v>0</v>
      </c>
      <c r="P67">
        <f>SUMIF(RawDataTotal!$B:$B,$A67,RawDataTotal!S:S)</f>
        <v>0</v>
      </c>
      <c r="Q67">
        <f>SUMIF(RawDataTotal!$B:$B,$A67,RawDataTotal!T:T)</f>
        <v>0</v>
      </c>
      <c r="R67">
        <f>SUMIF(RawDataTotal!$B:$B,$A67,RawDataTotal!U:U)</f>
        <v>0</v>
      </c>
      <c r="S67">
        <f>SUMIF(RawDataTotal!$B:$B,$A67,RawDataTotal!V:V)</f>
        <v>0</v>
      </c>
      <c r="T67">
        <f>SUMIF(RawDataTotal!$B:$B,$A67,RawDataTotal!W:W)</f>
        <v>0</v>
      </c>
      <c r="U67">
        <f>SUMIF(RawDataTotal!$B:$B,$A67,RawDataTotal!X:X)</f>
        <v>0</v>
      </c>
      <c r="V67">
        <f>SUMIF(RawDataTotal!$B:$B,$A67,RawDataTotal!Y:Y)</f>
        <v>0</v>
      </c>
      <c r="W67">
        <f>SUMIF(RawDataTotal!$B:$B,$A67,RawDataTotal!Z:Z)</f>
        <v>0</v>
      </c>
      <c r="X67">
        <f>SUMIF(RawDataTotal!$B:$B,$A67,RawDataTotal!AA:AA)</f>
        <v>0</v>
      </c>
      <c r="Y67">
        <f>SUMIF(RawDataTotal!$B:$B,$A67,RawDataTotal!AB:AB)</f>
        <v>0</v>
      </c>
      <c r="Z67">
        <f>SUMIF(RawDataTotal!$B:$B,$A67,RawDataTotal!AC:AC)</f>
        <v>0</v>
      </c>
      <c r="AA67">
        <f>SUMIF(RawDataTotal!$B:$B,$A67,RawDataTotal!AD:AD)</f>
        <v>0</v>
      </c>
      <c r="AB67">
        <f>SUMIF(RawDataTotal!$B:$B,$A67,RawDataTotal!AE:AE)</f>
        <v>0</v>
      </c>
      <c r="AC67">
        <f>SUMIF(RawDataTotal!$B:$B,$A67,RawDataTotal!AF:AF)</f>
        <v>0</v>
      </c>
      <c r="AD67">
        <f>SUMIF(RawDataTotal!$B:$B,$A67,RawDataTotal!AG:AG)</f>
        <v>0</v>
      </c>
      <c r="AE67">
        <f>SUMIF(RawDataTotal!$B:$B,$A67,RawDataTotal!AH:AH)</f>
        <v>0</v>
      </c>
      <c r="AF67">
        <f>SUMIF(RawDataTotal!$B:$B,$A67,RawDataTotal!AI:AI)</f>
        <v>0</v>
      </c>
      <c r="AG67">
        <f>SUMIF(RawDataTotal!$B:$B,$A67,RawDataTotal!AJ:AJ)</f>
        <v>0</v>
      </c>
      <c r="AH67">
        <f>SUMIF(RawDataTotal!$B:$B,$A67,RawDataTotal!AK:AK)</f>
        <v>0</v>
      </c>
      <c r="AI67">
        <f>SUMIF(RawDataTotal!$B:$B,$A67,RawDataTotal!AL:AL)</f>
        <v>0</v>
      </c>
      <c r="AJ67">
        <f>SUMIF(RawDataTotal!$B:$B,$A67,RawDataTotal!AM:AM)</f>
        <v>0</v>
      </c>
      <c r="AK67">
        <f>SUMIF(RawDataTotal!$B:$B,$A67,RawDataTotal!AN:AN)</f>
        <v>0</v>
      </c>
      <c r="AL67">
        <f>SUMIF(RawDataTotal!$B:$B,$A67,RawDataTotal!AO:AO)</f>
        <v>0</v>
      </c>
      <c r="AM67">
        <f>SUMIF(RawDataTotal!$B:$B,$A67,RawDataTotal!AP:AP)</f>
        <v>0</v>
      </c>
      <c r="AN67">
        <f>SUMIF(RawDataTotal!$B:$B,$A67,RawDataTotal!AQ:AQ)</f>
        <v>0</v>
      </c>
      <c r="AO67">
        <f>SUMIF(RawDataTotal!$B:$B,$A67,RawDataTotal!AR:AR)</f>
        <v>0</v>
      </c>
      <c r="AP67">
        <f>SUMIF(RawDataTotal!$B:$B,$A67,RawDataTotal!AS:AS)</f>
        <v>0</v>
      </c>
      <c r="AQ67">
        <f>SUMIF(RawDataTotal!$B:$B,$A67,RawDataTotal!AT:AT)</f>
        <v>0</v>
      </c>
      <c r="AR67">
        <f>SUMIF(RawDataTotal!$B:$B,$A67,RawDataTotal!AU:AU)</f>
        <v>0</v>
      </c>
      <c r="AS67">
        <f>SUMIF(RawDataTotal!$B:$B,$A67,RawDataTotal!AV:AV)</f>
        <v>0</v>
      </c>
      <c r="AT67">
        <f>SUMIF(RawDataTotal!$B:$B,$A67,RawDataTotal!AW:AW)</f>
        <v>0</v>
      </c>
      <c r="AU67">
        <f>SUMIF(RawDataTotal!$B:$B,$A67,RawDataTotal!AX:AX)</f>
        <v>0</v>
      </c>
      <c r="AV67">
        <f>SUMIF(RawDataTotal!$B:$B,$A67,RawDataTotal!AY:AY)</f>
        <v>4</v>
      </c>
      <c r="AW67">
        <f>SUMIF(RawDataTotal!$B:$B,$A67,RawDataTotal!AZ:AZ)</f>
        <v>4</v>
      </c>
      <c r="AX67">
        <f>SUMIF(RawDataTotal!$B:$B,$A67,RawDataTotal!BA:BA)</f>
        <v>4</v>
      </c>
      <c r="AY67">
        <f>SUMIF(RawDataTotal!$B:$B,$A67,RawDataTotal!BB:BB)</f>
        <v>7</v>
      </c>
      <c r="AZ67">
        <f>SUMIF(RawDataTotal!$B:$B,$A67,RawDataTotal!BC:BC)</f>
        <v>7</v>
      </c>
      <c r="BA67">
        <f>SUMIF(RawDataTotal!$B:$B,$A67,RawDataTotal!BD:BD)</f>
        <v>23</v>
      </c>
      <c r="BB67">
        <f>SUMIF(RawDataTotal!$B:$B,$A67,RawDataTotal!BE:BE)</f>
        <v>41</v>
      </c>
      <c r="BC67">
        <f>SUMIF(RawDataTotal!$B:$B,$A67,RawDataTotal!BF:BF)</f>
        <v>51</v>
      </c>
      <c r="BD67">
        <f>SUMIF(RawDataTotal!$B:$B,$A67,RawDataTotal!BG:BG)</f>
        <v>52</v>
      </c>
      <c r="BE67">
        <f>SUMIF(RawDataTotal!$B:$B,$A67,RawDataTotal!BH:BH)</f>
        <v>67</v>
      </c>
      <c r="BF67">
        <f>SUMIF(RawDataTotal!$B:$B,$A67,RawDataTotal!BI:BI)</f>
        <v>0</v>
      </c>
      <c r="BG67">
        <f>SUMIF(RawDataTotal!$B:$B,$A67,RawDataTotal!BJ:BJ)</f>
        <v>0</v>
      </c>
      <c r="BH67">
        <f>SUMIF(RawDataTotal!$B:$B,$A67,RawDataTotal!BK:BK)</f>
        <v>0</v>
      </c>
      <c r="BI67">
        <f>SUMIF(RawDataTotal!$B:$B,$A67,RawDataTotal!BL:BL)</f>
        <v>0</v>
      </c>
      <c r="BJ67">
        <f>SUMIF(RawDataTotal!$B:$B,$A67,RawDataTotal!BM:BM)</f>
        <v>0</v>
      </c>
      <c r="BK67">
        <f>SUMIF(RawDataTotal!$B:$B,$A67,RawDataTotal!BN:BN)</f>
        <v>0</v>
      </c>
      <c r="BL67">
        <f>SUMIF(RawDataTotal!$B:$B,$A67,RawDataTotal!BO:BO)</f>
        <v>0</v>
      </c>
      <c r="BM67">
        <f>SUMIF(RawDataTotal!$B:$B,$A67,RawDataTotal!BP:BP)</f>
        <v>0</v>
      </c>
      <c r="BN67">
        <f>SUMIF(RawDataTotal!$B:$B,$A67,RawDataTotal!BQ:BQ)</f>
        <v>0</v>
      </c>
      <c r="BO67">
        <f>SUMIF(RawDataTotal!$B:$B,$A67,RawDataTotal!BR:BR)</f>
        <v>0</v>
      </c>
      <c r="BP67">
        <f>SUMIF(RawDataTotal!$B:$B,$A67,RawDataTotal!BS:BS)</f>
        <v>0</v>
      </c>
      <c r="BQ67">
        <f>SUMIF(RawDataTotal!$B:$B,$A67,RawDataTotal!BT:BT)</f>
        <v>0</v>
      </c>
      <c r="BR67">
        <f>SUMIF(RawDataTotal!$B:$B,$A67,RawDataTotal!BU:BU)</f>
        <v>0</v>
      </c>
      <c r="BS67">
        <f>SUMIF(RawDataTotal!$B:$B,$A67,RawDataTotal!BV:BV)</f>
        <v>0</v>
      </c>
      <c r="BT67">
        <f>SUMIF(RawDataTotal!$B:$B,$A67,RawDataTotal!BW:BW)</f>
        <v>0</v>
      </c>
    </row>
    <row r="68" spans="1:72" ht="15" thickBot="1" x14ac:dyDescent="0.35">
      <c r="A68" s="3" t="s">
        <v>186</v>
      </c>
      <c r="B68">
        <f>SUMIF(RawDataTotal!$B:$B,$A68,RawDataTotal!E:E)</f>
        <v>0</v>
      </c>
      <c r="C68">
        <f>SUMIF(RawDataTotal!$B:$B,$A68,RawDataTotal!F:F)</f>
        <v>0</v>
      </c>
      <c r="D68">
        <f>SUMIF(RawDataTotal!$B:$B,$A68,RawDataTotal!G:G)</f>
        <v>0</v>
      </c>
      <c r="E68">
        <f>SUMIF(RawDataTotal!$B:$B,$A68,RawDataTotal!H:H)</f>
        <v>0</v>
      </c>
      <c r="F68">
        <f>SUMIF(RawDataTotal!$B:$B,$A68,RawDataTotal!I:I)</f>
        <v>0</v>
      </c>
      <c r="G68">
        <f>SUMIF(RawDataTotal!$B:$B,$A68,RawDataTotal!J:J)</f>
        <v>0</v>
      </c>
      <c r="H68">
        <f>SUMIF(RawDataTotal!$B:$B,$A68,RawDataTotal!K:K)</f>
        <v>0</v>
      </c>
      <c r="I68">
        <f>SUMIF(RawDataTotal!$B:$B,$A68,RawDataTotal!L:L)</f>
        <v>0</v>
      </c>
      <c r="J68">
        <f>SUMIF(RawDataTotal!$B:$B,$A68,RawDataTotal!M:M)</f>
        <v>0</v>
      </c>
      <c r="K68">
        <f>SUMIF(RawDataTotal!$B:$B,$A68,RawDataTotal!N:N)</f>
        <v>0</v>
      </c>
      <c r="L68">
        <f>SUMIF(RawDataTotal!$B:$B,$A68,RawDataTotal!O:O)</f>
        <v>0</v>
      </c>
      <c r="M68">
        <f>SUMIF(RawDataTotal!$B:$B,$A68,RawDataTotal!P:P)</f>
        <v>0</v>
      </c>
      <c r="N68">
        <f>SUMIF(RawDataTotal!$B:$B,$A68,RawDataTotal!Q:Q)</f>
        <v>0</v>
      </c>
      <c r="O68">
        <f>SUMIF(RawDataTotal!$B:$B,$A68,RawDataTotal!R:R)</f>
        <v>0</v>
      </c>
      <c r="P68">
        <f>SUMIF(RawDataTotal!$B:$B,$A68,RawDataTotal!S:S)</f>
        <v>0</v>
      </c>
      <c r="Q68">
        <f>SUMIF(RawDataTotal!$B:$B,$A68,RawDataTotal!T:T)</f>
        <v>0</v>
      </c>
      <c r="R68">
        <f>SUMIF(RawDataTotal!$B:$B,$A68,RawDataTotal!U:U)</f>
        <v>0</v>
      </c>
      <c r="S68">
        <f>SUMIF(RawDataTotal!$B:$B,$A68,RawDataTotal!V:V)</f>
        <v>0</v>
      </c>
      <c r="T68">
        <f>SUMIF(RawDataTotal!$B:$B,$A68,RawDataTotal!W:W)</f>
        <v>0</v>
      </c>
      <c r="U68">
        <f>SUMIF(RawDataTotal!$B:$B,$A68,RawDataTotal!X:X)</f>
        <v>0</v>
      </c>
      <c r="V68">
        <f>SUMIF(RawDataTotal!$B:$B,$A68,RawDataTotal!Y:Y)</f>
        <v>0</v>
      </c>
      <c r="W68">
        <f>SUMIF(RawDataTotal!$B:$B,$A68,RawDataTotal!Z:Z)</f>
        <v>0</v>
      </c>
      <c r="X68">
        <f>SUMIF(RawDataTotal!$B:$B,$A68,RawDataTotal!AA:AA)</f>
        <v>0</v>
      </c>
      <c r="Y68">
        <f>SUMIF(RawDataTotal!$B:$B,$A68,RawDataTotal!AB:AB)</f>
        <v>0</v>
      </c>
      <c r="Z68">
        <f>SUMIF(RawDataTotal!$B:$B,$A68,RawDataTotal!AC:AC)</f>
        <v>0</v>
      </c>
      <c r="AA68">
        <f>SUMIF(RawDataTotal!$B:$B,$A68,RawDataTotal!AD:AD)</f>
        <v>0</v>
      </c>
      <c r="AB68">
        <f>SUMIF(RawDataTotal!$B:$B,$A68,RawDataTotal!AE:AE)</f>
        <v>0</v>
      </c>
      <c r="AC68">
        <f>SUMIF(RawDataTotal!$B:$B,$A68,RawDataTotal!AF:AF)</f>
        <v>0</v>
      </c>
      <c r="AD68">
        <f>SUMIF(RawDataTotal!$B:$B,$A68,RawDataTotal!AG:AG)</f>
        <v>0</v>
      </c>
      <c r="AE68">
        <f>SUMIF(RawDataTotal!$B:$B,$A68,RawDataTotal!AH:AH)</f>
        <v>0</v>
      </c>
      <c r="AF68">
        <f>SUMIF(RawDataTotal!$B:$B,$A68,RawDataTotal!AI:AI)</f>
        <v>0</v>
      </c>
      <c r="AG68">
        <f>SUMIF(RawDataTotal!$B:$B,$A68,RawDataTotal!AJ:AJ)</f>
        <v>0</v>
      </c>
      <c r="AH68">
        <f>SUMIF(RawDataTotal!$B:$B,$A68,RawDataTotal!AK:AK)</f>
        <v>0</v>
      </c>
      <c r="AI68">
        <f>SUMIF(RawDataTotal!$B:$B,$A68,RawDataTotal!AL:AL)</f>
        <v>0</v>
      </c>
      <c r="AJ68">
        <f>SUMIF(RawDataTotal!$B:$B,$A68,RawDataTotal!AM:AM)</f>
        <v>0</v>
      </c>
      <c r="AK68">
        <f>SUMIF(RawDataTotal!$B:$B,$A68,RawDataTotal!AN:AN)</f>
        <v>0</v>
      </c>
      <c r="AL68">
        <f>SUMIF(RawDataTotal!$B:$B,$A68,RawDataTotal!AO:AO)</f>
        <v>0</v>
      </c>
      <c r="AM68">
        <f>SUMIF(RawDataTotal!$B:$B,$A68,RawDataTotal!AP:AP)</f>
        <v>0</v>
      </c>
      <c r="AN68">
        <f>SUMIF(RawDataTotal!$B:$B,$A68,RawDataTotal!AQ:AQ)</f>
        <v>0</v>
      </c>
      <c r="AO68">
        <f>SUMIF(RawDataTotal!$B:$B,$A68,RawDataTotal!AR:AR)</f>
        <v>0</v>
      </c>
      <c r="AP68">
        <f>SUMIF(RawDataTotal!$B:$B,$A68,RawDataTotal!AS:AS)</f>
        <v>0</v>
      </c>
      <c r="AQ68">
        <f>SUMIF(RawDataTotal!$B:$B,$A68,RawDataTotal!AT:AT)</f>
        <v>0</v>
      </c>
      <c r="AR68">
        <f>SUMIF(RawDataTotal!$B:$B,$A68,RawDataTotal!AU:AU)</f>
        <v>0</v>
      </c>
      <c r="AS68">
        <f>SUMIF(RawDataTotal!$B:$B,$A68,RawDataTotal!AV:AV)</f>
        <v>0</v>
      </c>
      <c r="AT68">
        <f>SUMIF(RawDataTotal!$B:$B,$A68,RawDataTotal!AW:AW)</f>
        <v>1</v>
      </c>
      <c r="AU68">
        <f>SUMIF(RawDataTotal!$B:$B,$A68,RawDataTotal!AX:AX)</f>
        <v>1</v>
      </c>
      <c r="AV68">
        <f>SUMIF(RawDataTotal!$B:$B,$A68,RawDataTotal!AY:AY)</f>
        <v>5</v>
      </c>
      <c r="AW68">
        <f>SUMIF(RawDataTotal!$B:$B,$A68,RawDataTotal!AZ:AZ)</f>
        <v>9</v>
      </c>
      <c r="AX68">
        <f>SUMIF(RawDataTotal!$B:$B,$A68,RawDataTotal!BA:BA)</f>
        <v>9</v>
      </c>
      <c r="AY68">
        <f>SUMIF(RawDataTotal!$B:$B,$A68,RawDataTotal!BB:BB)</f>
        <v>13</v>
      </c>
      <c r="AZ68">
        <f>SUMIF(RawDataTotal!$B:$B,$A68,RawDataTotal!BC:BC)</f>
        <v>22</v>
      </c>
      <c r="BA68">
        <f>SUMIF(RawDataTotal!$B:$B,$A68,RawDataTotal!BD:BD)</f>
        <v>23</v>
      </c>
      <c r="BB68">
        <f>SUMIF(RawDataTotal!$B:$B,$A68,RawDataTotal!BE:BE)</f>
        <v>26</v>
      </c>
      <c r="BC68">
        <f>SUMIF(RawDataTotal!$B:$B,$A68,RawDataTotal!BF:BF)</f>
        <v>27</v>
      </c>
      <c r="BD68">
        <f>SUMIF(RawDataTotal!$B:$B,$A68,RawDataTotal!BG:BG)</f>
        <v>35</v>
      </c>
      <c r="BE68">
        <f>SUMIF(RawDataTotal!$B:$B,$A68,RawDataTotal!BH:BH)</f>
        <v>41</v>
      </c>
      <c r="BF68">
        <f>SUMIF(RawDataTotal!$B:$B,$A68,RawDataTotal!BI:BI)</f>
        <v>0</v>
      </c>
      <c r="BG68">
        <f>SUMIF(RawDataTotal!$B:$B,$A68,RawDataTotal!BJ:BJ)</f>
        <v>0</v>
      </c>
      <c r="BH68">
        <f>SUMIF(RawDataTotal!$B:$B,$A68,RawDataTotal!BK:BK)</f>
        <v>0</v>
      </c>
      <c r="BI68">
        <f>SUMIF(RawDataTotal!$B:$B,$A68,RawDataTotal!BL:BL)</f>
        <v>0</v>
      </c>
      <c r="BJ68">
        <f>SUMIF(RawDataTotal!$B:$B,$A68,RawDataTotal!BM:BM)</f>
        <v>0</v>
      </c>
      <c r="BK68">
        <f>SUMIF(RawDataTotal!$B:$B,$A68,RawDataTotal!BN:BN)</f>
        <v>0</v>
      </c>
      <c r="BL68">
        <f>SUMIF(RawDataTotal!$B:$B,$A68,RawDataTotal!BO:BO)</f>
        <v>0</v>
      </c>
      <c r="BM68">
        <f>SUMIF(RawDataTotal!$B:$B,$A68,RawDataTotal!BP:BP)</f>
        <v>0</v>
      </c>
      <c r="BN68">
        <f>SUMIF(RawDataTotal!$B:$B,$A68,RawDataTotal!BQ:BQ)</f>
        <v>0</v>
      </c>
      <c r="BO68">
        <f>SUMIF(RawDataTotal!$B:$B,$A68,RawDataTotal!BR:BR)</f>
        <v>0</v>
      </c>
      <c r="BP68">
        <f>SUMIF(RawDataTotal!$B:$B,$A68,RawDataTotal!BS:BS)</f>
        <v>0</v>
      </c>
      <c r="BQ68">
        <f>SUMIF(RawDataTotal!$B:$B,$A68,RawDataTotal!BT:BT)</f>
        <v>0</v>
      </c>
      <c r="BR68">
        <f>SUMIF(RawDataTotal!$B:$B,$A68,RawDataTotal!BU:BU)</f>
        <v>0</v>
      </c>
      <c r="BS68">
        <f>SUMIF(RawDataTotal!$B:$B,$A68,RawDataTotal!BV:BV)</f>
        <v>0</v>
      </c>
      <c r="BT68">
        <f>SUMIF(RawDataTotal!$B:$B,$A68,RawDataTotal!BW:BW)</f>
        <v>0</v>
      </c>
    </row>
    <row r="69" spans="1:72" ht="15" thickBot="1" x14ac:dyDescent="0.35">
      <c r="A69" s="4" t="s">
        <v>159</v>
      </c>
      <c r="B69">
        <f>SUMIF(RawDataTotal!$B:$B,$A69,RawDataTotal!E:E)</f>
        <v>0</v>
      </c>
      <c r="C69">
        <f>SUMIF(RawDataTotal!$B:$B,$A69,RawDataTotal!F:F)</f>
        <v>0</v>
      </c>
      <c r="D69">
        <f>SUMIF(RawDataTotal!$B:$B,$A69,RawDataTotal!G:G)</f>
        <v>0</v>
      </c>
      <c r="E69">
        <f>SUMIF(RawDataTotal!$B:$B,$A69,RawDataTotal!H:H)</f>
        <v>0</v>
      </c>
      <c r="F69">
        <f>SUMIF(RawDataTotal!$B:$B,$A69,RawDataTotal!I:I)</f>
        <v>0</v>
      </c>
      <c r="G69">
        <f>SUMIF(RawDataTotal!$B:$B,$A69,RawDataTotal!J:J)</f>
        <v>0</v>
      </c>
      <c r="H69">
        <f>SUMIF(RawDataTotal!$B:$B,$A69,RawDataTotal!K:K)</f>
        <v>0</v>
      </c>
      <c r="I69">
        <f>SUMIF(RawDataTotal!$B:$B,$A69,RawDataTotal!L:L)</f>
        <v>0</v>
      </c>
      <c r="J69">
        <f>SUMIF(RawDataTotal!$B:$B,$A69,RawDataTotal!M:M)</f>
        <v>0</v>
      </c>
      <c r="K69">
        <f>SUMIF(RawDataTotal!$B:$B,$A69,RawDataTotal!N:N)</f>
        <v>0</v>
      </c>
      <c r="L69">
        <f>SUMIF(RawDataTotal!$B:$B,$A69,RawDataTotal!O:O)</f>
        <v>0</v>
      </c>
      <c r="M69">
        <f>SUMIF(RawDataTotal!$B:$B,$A69,RawDataTotal!P:P)</f>
        <v>0</v>
      </c>
      <c r="N69">
        <f>SUMIF(RawDataTotal!$B:$B,$A69,RawDataTotal!Q:Q)</f>
        <v>0</v>
      </c>
      <c r="O69">
        <f>SUMIF(RawDataTotal!$B:$B,$A69,RawDataTotal!R:R)</f>
        <v>0</v>
      </c>
      <c r="P69">
        <f>SUMIF(RawDataTotal!$B:$B,$A69,RawDataTotal!S:S)</f>
        <v>0</v>
      </c>
      <c r="Q69">
        <f>SUMIF(RawDataTotal!$B:$B,$A69,RawDataTotal!T:T)</f>
        <v>0</v>
      </c>
      <c r="R69">
        <f>SUMIF(RawDataTotal!$B:$B,$A69,RawDataTotal!U:U)</f>
        <v>0</v>
      </c>
      <c r="S69">
        <f>SUMIF(RawDataTotal!$B:$B,$A69,RawDataTotal!V:V)</f>
        <v>0</v>
      </c>
      <c r="T69">
        <f>SUMIF(RawDataTotal!$B:$B,$A69,RawDataTotal!W:W)</f>
        <v>0</v>
      </c>
      <c r="U69">
        <f>SUMIF(RawDataTotal!$B:$B,$A69,RawDataTotal!X:X)</f>
        <v>0</v>
      </c>
      <c r="V69">
        <f>SUMIF(RawDataTotal!$B:$B,$A69,RawDataTotal!Y:Y)</f>
        <v>0</v>
      </c>
      <c r="W69">
        <f>SUMIF(RawDataTotal!$B:$B,$A69,RawDataTotal!Z:Z)</f>
        <v>0</v>
      </c>
      <c r="X69">
        <f>SUMIF(RawDataTotal!$B:$B,$A69,RawDataTotal!AA:AA)</f>
        <v>0</v>
      </c>
      <c r="Y69">
        <f>SUMIF(RawDataTotal!$B:$B,$A69,RawDataTotal!AB:AB)</f>
        <v>0</v>
      </c>
      <c r="Z69">
        <f>SUMIF(RawDataTotal!$B:$B,$A69,RawDataTotal!AC:AC)</f>
        <v>0</v>
      </c>
      <c r="AA69">
        <f>SUMIF(RawDataTotal!$B:$B,$A69,RawDataTotal!AD:AD)</f>
        <v>0</v>
      </c>
      <c r="AB69">
        <f>SUMIF(RawDataTotal!$B:$B,$A69,RawDataTotal!AE:AE)</f>
        <v>0</v>
      </c>
      <c r="AC69">
        <f>SUMIF(RawDataTotal!$B:$B,$A69,RawDataTotal!AF:AF)</f>
        <v>0</v>
      </c>
      <c r="AD69">
        <f>SUMIF(RawDataTotal!$B:$B,$A69,RawDataTotal!AG:AG)</f>
        <v>0</v>
      </c>
      <c r="AE69">
        <f>SUMIF(RawDataTotal!$B:$B,$A69,RawDataTotal!AH:AH)</f>
        <v>0</v>
      </c>
      <c r="AF69">
        <f>SUMIF(RawDataTotal!$B:$B,$A69,RawDataTotal!AI:AI)</f>
        <v>0</v>
      </c>
      <c r="AG69">
        <f>SUMIF(RawDataTotal!$B:$B,$A69,RawDataTotal!AJ:AJ)</f>
        <v>0</v>
      </c>
      <c r="AH69">
        <f>SUMIF(RawDataTotal!$B:$B,$A69,RawDataTotal!AK:AK)</f>
        <v>0</v>
      </c>
      <c r="AI69">
        <f>SUMIF(RawDataTotal!$B:$B,$A69,RawDataTotal!AL:AL)</f>
        <v>0</v>
      </c>
      <c r="AJ69">
        <f>SUMIF(RawDataTotal!$B:$B,$A69,RawDataTotal!AM:AM)</f>
        <v>0</v>
      </c>
      <c r="AK69">
        <f>SUMIF(RawDataTotal!$B:$B,$A69,RawDataTotal!AN:AN)</f>
        <v>0</v>
      </c>
      <c r="AL69">
        <f>SUMIF(RawDataTotal!$B:$B,$A69,RawDataTotal!AO:AO)</f>
        <v>0</v>
      </c>
      <c r="AM69">
        <f>SUMIF(RawDataTotal!$B:$B,$A69,RawDataTotal!AP:AP)</f>
        <v>0</v>
      </c>
      <c r="AN69">
        <f>SUMIF(RawDataTotal!$B:$B,$A69,RawDataTotal!AQ:AQ)</f>
        <v>0</v>
      </c>
      <c r="AO69">
        <f>SUMIF(RawDataTotal!$B:$B,$A69,RawDataTotal!AR:AR)</f>
        <v>0</v>
      </c>
      <c r="AP69">
        <f>SUMIF(RawDataTotal!$B:$B,$A69,RawDataTotal!AS:AS)</f>
        <v>0</v>
      </c>
      <c r="AQ69">
        <f>SUMIF(RawDataTotal!$B:$B,$A69,RawDataTotal!AT:AT)</f>
        <v>0</v>
      </c>
      <c r="AR69">
        <f>SUMIF(RawDataTotal!$B:$B,$A69,RawDataTotal!AU:AU)</f>
        <v>2</v>
      </c>
      <c r="AS69">
        <f>SUMIF(RawDataTotal!$B:$B,$A69,RawDataTotal!AV:AV)</f>
        <v>2</v>
      </c>
      <c r="AT69">
        <f>SUMIF(RawDataTotal!$B:$B,$A69,RawDataTotal!AW:AW)</f>
        <v>2</v>
      </c>
      <c r="AU69">
        <f>SUMIF(RawDataTotal!$B:$B,$A69,RawDataTotal!AX:AX)</f>
        <v>4</v>
      </c>
      <c r="AV69">
        <f>SUMIF(RawDataTotal!$B:$B,$A69,RawDataTotal!AY:AY)</f>
        <v>7</v>
      </c>
      <c r="AW69">
        <f>SUMIF(RawDataTotal!$B:$B,$A69,RawDataTotal!AZ:AZ)</f>
        <v>9</v>
      </c>
      <c r="AX69">
        <f>SUMIF(RawDataTotal!$B:$B,$A69,RawDataTotal!BA:BA)</f>
        <v>9</v>
      </c>
      <c r="AY69">
        <f>SUMIF(RawDataTotal!$B:$B,$A69,RawDataTotal!BB:BB)</f>
        <v>13</v>
      </c>
      <c r="AZ69">
        <f>SUMIF(RawDataTotal!$B:$B,$A69,RawDataTotal!BC:BC)</f>
        <v>13</v>
      </c>
      <c r="BA69">
        <f>SUMIF(RawDataTotal!$B:$B,$A69,RawDataTotal!BD:BD)</f>
        <v>19</v>
      </c>
      <c r="BB69">
        <f>SUMIF(RawDataTotal!$B:$B,$A69,RawDataTotal!BE:BE)</f>
        <v>30</v>
      </c>
      <c r="BC69">
        <f>SUMIF(RawDataTotal!$B:$B,$A69,RawDataTotal!BF:BF)</f>
        <v>32</v>
      </c>
      <c r="BD69">
        <f>SUMIF(RawDataTotal!$B:$B,$A69,RawDataTotal!BG:BG)</f>
        <v>39</v>
      </c>
      <c r="BE69">
        <f>SUMIF(RawDataTotal!$B:$B,$A69,RawDataTotal!BH:BH)</f>
        <v>50</v>
      </c>
      <c r="BF69">
        <f>SUMIF(RawDataTotal!$B:$B,$A69,RawDataTotal!BI:BI)</f>
        <v>0</v>
      </c>
      <c r="BG69">
        <f>SUMIF(RawDataTotal!$B:$B,$A69,RawDataTotal!BJ:BJ)</f>
        <v>0</v>
      </c>
      <c r="BH69">
        <f>SUMIF(RawDataTotal!$B:$B,$A69,RawDataTotal!BK:BK)</f>
        <v>0</v>
      </c>
      <c r="BI69">
        <f>SUMIF(RawDataTotal!$B:$B,$A69,RawDataTotal!BL:BL)</f>
        <v>0</v>
      </c>
      <c r="BJ69">
        <f>SUMIF(RawDataTotal!$B:$B,$A69,RawDataTotal!BM:BM)</f>
        <v>0</v>
      </c>
      <c r="BK69">
        <f>SUMIF(RawDataTotal!$B:$B,$A69,RawDataTotal!BN:BN)</f>
        <v>0</v>
      </c>
      <c r="BL69">
        <f>SUMIF(RawDataTotal!$B:$B,$A69,RawDataTotal!BO:BO)</f>
        <v>0</v>
      </c>
      <c r="BM69">
        <f>SUMIF(RawDataTotal!$B:$B,$A69,RawDataTotal!BP:BP)</f>
        <v>0</v>
      </c>
      <c r="BN69">
        <f>SUMIF(RawDataTotal!$B:$B,$A69,RawDataTotal!BQ:BQ)</f>
        <v>0</v>
      </c>
      <c r="BO69">
        <f>SUMIF(RawDataTotal!$B:$B,$A69,RawDataTotal!BR:BR)</f>
        <v>0</v>
      </c>
      <c r="BP69">
        <f>SUMIF(RawDataTotal!$B:$B,$A69,RawDataTotal!BS:BS)</f>
        <v>0</v>
      </c>
      <c r="BQ69">
        <f>SUMIF(RawDataTotal!$B:$B,$A69,RawDataTotal!BT:BT)</f>
        <v>0</v>
      </c>
      <c r="BR69">
        <f>SUMIF(RawDataTotal!$B:$B,$A69,RawDataTotal!BU:BU)</f>
        <v>0</v>
      </c>
      <c r="BS69">
        <f>SUMIF(RawDataTotal!$B:$B,$A69,RawDataTotal!BV:BV)</f>
        <v>0</v>
      </c>
      <c r="BT69">
        <f>SUMIF(RawDataTotal!$B:$B,$A69,RawDataTotal!BW:BW)</f>
        <v>0</v>
      </c>
    </row>
    <row r="70" spans="1:72" ht="15" thickBot="1" x14ac:dyDescent="0.35">
      <c r="A70" s="4" t="s">
        <v>98</v>
      </c>
      <c r="B70">
        <f>SUMIF(RawDataTotal!$B:$B,$A70,RawDataTotal!E:E)</f>
        <v>0</v>
      </c>
      <c r="C70">
        <f>SUMIF(RawDataTotal!$B:$B,$A70,RawDataTotal!F:F)</f>
        <v>0</v>
      </c>
      <c r="D70">
        <f>SUMIF(RawDataTotal!$B:$B,$A70,RawDataTotal!G:G)</f>
        <v>0</v>
      </c>
      <c r="E70">
        <f>SUMIF(RawDataTotal!$B:$B,$A70,RawDataTotal!H:H)</f>
        <v>0</v>
      </c>
      <c r="F70">
        <f>SUMIF(RawDataTotal!$B:$B,$A70,RawDataTotal!I:I)</f>
        <v>0</v>
      </c>
      <c r="G70">
        <f>SUMIF(RawDataTotal!$B:$B,$A70,RawDataTotal!J:J)</f>
        <v>0</v>
      </c>
      <c r="H70">
        <f>SUMIF(RawDataTotal!$B:$B,$A70,RawDataTotal!K:K)</f>
        <v>0</v>
      </c>
      <c r="I70">
        <f>SUMIF(RawDataTotal!$B:$B,$A70,RawDataTotal!L:L)</f>
        <v>0</v>
      </c>
      <c r="J70">
        <f>SUMIF(RawDataTotal!$B:$B,$A70,RawDataTotal!M:M)</f>
        <v>0</v>
      </c>
      <c r="K70">
        <f>SUMIF(RawDataTotal!$B:$B,$A70,RawDataTotal!N:N)</f>
        <v>0</v>
      </c>
      <c r="L70">
        <f>SUMIF(RawDataTotal!$B:$B,$A70,RawDataTotal!O:O)</f>
        <v>0</v>
      </c>
      <c r="M70">
        <f>SUMIF(RawDataTotal!$B:$B,$A70,RawDataTotal!P:P)</f>
        <v>0</v>
      </c>
      <c r="N70">
        <f>SUMIF(RawDataTotal!$B:$B,$A70,RawDataTotal!Q:Q)</f>
        <v>0</v>
      </c>
      <c r="O70">
        <f>SUMIF(RawDataTotal!$B:$B,$A70,RawDataTotal!R:R)</f>
        <v>0</v>
      </c>
      <c r="P70">
        <f>SUMIF(RawDataTotal!$B:$B,$A70,RawDataTotal!S:S)</f>
        <v>0</v>
      </c>
      <c r="Q70">
        <f>SUMIF(RawDataTotal!$B:$B,$A70,RawDataTotal!T:T)</f>
        <v>0</v>
      </c>
      <c r="R70">
        <f>SUMIF(RawDataTotal!$B:$B,$A70,RawDataTotal!U:U)</f>
        <v>0</v>
      </c>
      <c r="S70">
        <f>SUMIF(RawDataTotal!$B:$B,$A70,RawDataTotal!V:V)</f>
        <v>0</v>
      </c>
      <c r="T70">
        <f>SUMIF(RawDataTotal!$B:$B,$A70,RawDataTotal!W:W)</f>
        <v>0</v>
      </c>
      <c r="U70">
        <f>SUMIF(RawDataTotal!$B:$B,$A70,RawDataTotal!X:X)</f>
        <v>0</v>
      </c>
      <c r="V70">
        <f>SUMIF(RawDataTotal!$B:$B,$A70,RawDataTotal!Y:Y)</f>
        <v>0</v>
      </c>
      <c r="W70">
        <f>SUMIF(RawDataTotal!$B:$B,$A70,RawDataTotal!Z:Z)</f>
        <v>0</v>
      </c>
      <c r="X70">
        <f>SUMIF(RawDataTotal!$B:$B,$A70,RawDataTotal!AA:AA)</f>
        <v>0</v>
      </c>
      <c r="Y70">
        <f>SUMIF(RawDataTotal!$B:$B,$A70,RawDataTotal!AB:AB)</f>
        <v>0</v>
      </c>
      <c r="Z70">
        <f>SUMIF(RawDataTotal!$B:$B,$A70,RawDataTotal!AC:AC)</f>
        <v>0</v>
      </c>
      <c r="AA70">
        <f>SUMIF(RawDataTotal!$B:$B,$A70,RawDataTotal!AD:AD)</f>
        <v>0</v>
      </c>
      <c r="AB70">
        <f>SUMIF(RawDataTotal!$B:$B,$A70,RawDataTotal!AE:AE)</f>
        <v>0</v>
      </c>
      <c r="AC70">
        <f>SUMIF(RawDataTotal!$B:$B,$A70,RawDataTotal!AF:AF)</f>
        <v>0</v>
      </c>
      <c r="AD70">
        <f>SUMIF(RawDataTotal!$B:$B,$A70,RawDataTotal!AG:AG)</f>
        <v>0</v>
      </c>
      <c r="AE70">
        <f>SUMIF(RawDataTotal!$B:$B,$A70,RawDataTotal!AH:AH)</f>
        <v>0</v>
      </c>
      <c r="AF70">
        <f>SUMIF(RawDataTotal!$B:$B,$A70,RawDataTotal!AI:AI)</f>
        <v>0</v>
      </c>
      <c r="AG70">
        <f>SUMIF(RawDataTotal!$B:$B,$A70,RawDataTotal!AJ:AJ)</f>
        <v>0</v>
      </c>
      <c r="AH70">
        <f>SUMIF(RawDataTotal!$B:$B,$A70,RawDataTotal!AK:AK)</f>
        <v>0</v>
      </c>
      <c r="AI70">
        <f>SUMIF(RawDataTotal!$B:$B,$A70,RawDataTotal!AL:AL)</f>
        <v>2</v>
      </c>
      <c r="AJ70">
        <f>SUMIF(RawDataTotal!$B:$B,$A70,RawDataTotal!AM:AM)</f>
        <v>2</v>
      </c>
      <c r="AK70">
        <f>SUMIF(RawDataTotal!$B:$B,$A70,RawDataTotal!AN:AN)</f>
        <v>4</v>
      </c>
      <c r="AL70">
        <f>SUMIF(RawDataTotal!$B:$B,$A70,RawDataTotal!AO:AO)</f>
        <v>4</v>
      </c>
      <c r="AM70">
        <f>SUMIF(RawDataTotal!$B:$B,$A70,RawDataTotal!AP:AP)</f>
        <v>4</v>
      </c>
      <c r="AN70">
        <f>SUMIF(RawDataTotal!$B:$B,$A70,RawDataTotal!AQ:AQ)</f>
        <v>6</v>
      </c>
      <c r="AO70">
        <f>SUMIF(RawDataTotal!$B:$B,$A70,RawDataTotal!AR:AR)</f>
        <v>6</v>
      </c>
      <c r="AP70">
        <f>SUMIF(RawDataTotal!$B:$B,$A70,RawDataTotal!AS:AS)</f>
        <v>6</v>
      </c>
      <c r="AQ70">
        <f>SUMIF(RawDataTotal!$B:$B,$A70,RawDataTotal!AT:AT)</f>
        <v>12</v>
      </c>
      <c r="AR70">
        <f>SUMIF(RawDataTotal!$B:$B,$A70,RawDataTotal!AU:AU)</f>
        <v>15</v>
      </c>
      <c r="AS70">
        <f>SUMIF(RawDataTotal!$B:$B,$A70,RawDataTotal!AV:AV)</f>
        <v>16</v>
      </c>
      <c r="AT70">
        <f>SUMIF(RawDataTotal!$B:$B,$A70,RawDataTotal!AW:AW)</f>
        <v>16</v>
      </c>
      <c r="AU70">
        <f>SUMIF(RawDataTotal!$B:$B,$A70,RawDataTotal!AX:AX)</f>
        <v>16</v>
      </c>
      <c r="AV70">
        <f>SUMIF(RawDataTotal!$B:$B,$A70,RawDataTotal!AY:AY)</f>
        <v>16</v>
      </c>
      <c r="AW70">
        <f>SUMIF(RawDataTotal!$B:$B,$A70,RawDataTotal!AZ:AZ)</f>
        <v>16</v>
      </c>
      <c r="AX70">
        <f>SUMIF(RawDataTotal!$B:$B,$A70,RawDataTotal!BA:BA)</f>
        <v>18</v>
      </c>
      <c r="AY70">
        <f>SUMIF(RawDataTotal!$B:$B,$A70,RawDataTotal!BB:BB)</f>
        <v>18</v>
      </c>
      <c r="AZ70">
        <f>SUMIF(RawDataTotal!$B:$B,$A70,RawDataTotal!BC:BC)</f>
        <v>18</v>
      </c>
      <c r="BA70">
        <f>SUMIF(RawDataTotal!$B:$B,$A70,RawDataTotal!BD:BD)</f>
        <v>19</v>
      </c>
      <c r="BB70">
        <f>SUMIF(RawDataTotal!$B:$B,$A70,RawDataTotal!BE:BE)</f>
        <v>19</v>
      </c>
      <c r="BC70">
        <f>SUMIF(RawDataTotal!$B:$B,$A70,RawDataTotal!BF:BF)</f>
        <v>22</v>
      </c>
      <c r="BD70">
        <f>SUMIF(RawDataTotal!$B:$B,$A70,RawDataTotal!BG:BG)</f>
        <v>22</v>
      </c>
      <c r="BE70">
        <f>SUMIF(RawDataTotal!$B:$B,$A70,RawDataTotal!BH:BH)</f>
        <v>24</v>
      </c>
      <c r="BF70">
        <f>SUMIF(RawDataTotal!$B:$B,$A70,RawDataTotal!BI:BI)</f>
        <v>0</v>
      </c>
      <c r="BG70">
        <f>SUMIF(RawDataTotal!$B:$B,$A70,RawDataTotal!BJ:BJ)</f>
        <v>0</v>
      </c>
      <c r="BH70">
        <f>SUMIF(RawDataTotal!$B:$B,$A70,RawDataTotal!BK:BK)</f>
        <v>0</v>
      </c>
      <c r="BI70">
        <f>SUMIF(RawDataTotal!$B:$B,$A70,RawDataTotal!BL:BL)</f>
        <v>0</v>
      </c>
      <c r="BJ70">
        <f>SUMIF(RawDataTotal!$B:$B,$A70,RawDataTotal!BM:BM)</f>
        <v>0</v>
      </c>
      <c r="BK70">
        <f>SUMIF(RawDataTotal!$B:$B,$A70,RawDataTotal!BN:BN)</f>
        <v>0</v>
      </c>
      <c r="BL70">
        <f>SUMIF(RawDataTotal!$B:$B,$A70,RawDataTotal!BO:BO)</f>
        <v>0</v>
      </c>
      <c r="BM70">
        <f>SUMIF(RawDataTotal!$B:$B,$A70,RawDataTotal!BP:BP)</f>
        <v>0</v>
      </c>
      <c r="BN70">
        <f>SUMIF(RawDataTotal!$B:$B,$A70,RawDataTotal!BQ:BQ)</f>
        <v>0</v>
      </c>
      <c r="BO70">
        <f>SUMIF(RawDataTotal!$B:$B,$A70,RawDataTotal!BR:BR)</f>
        <v>0</v>
      </c>
      <c r="BP70">
        <f>SUMIF(RawDataTotal!$B:$B,$A70,RawDataTotal!BS:BS)</f>
        <v>0</v>
      </c>
      <c r="BQ70">
        <f>SUMIF(RawDataTotal!$B:$B,$A70,RawDataTotal!BT:BT)</f>
        <v>0</v>
      </c>
      <c r="BR70">
        <f>SUMIF(RawDataTotal!$B:$B,$A70,RawDataTotal!BU:BU)</f>
        <v>0</v>
      </c>
      <c r="BS70">
        <f>SUMIF(RawDataTotal!$B:$B,$A70,RawDataTotal!BV:BV)</f>
        <v>0</v>
      </c>
      <c r="BT70">
        <f>SUMIF(RawDataTotal!$B:$B,$A70,RawDataTotal!BW:BW)</f>
        <v>0</v>
      </c>
    </row>
    <row r="71" spans="1:72" ht="15" thickBot="1" x14ac:dyDescent="0.35">
      <c r="A71" s="4" t="s">
        <v>130</v>
      </c>
      <c r="B71">
        <f>SUMIF(RawDataTotal!$B:$B,$A71,RawDataTotal!E:E)</f>
        <v>0</v>
      </c>
      <c r="C71">
        <f>SUMIF(RawDataTotal!$B:$B,$A71,RawDataTotal!F:F)</f>
        <v>0</v>
      </c>
      <c r="D71">
        <f>SUMIF(RawDataTotal!$B:$B,$A71,RawDataTotal!G:G)</f>
        <v>0</v>
      </c>
      <c r="E71">
        <f>SUMIF(RawDataTotal!$B:$B,$A71,RawDataTotal!H:H)</f>
        <v>0</v>
      </c>
      <c r="F71">
        <f>SUMIF(RawDataTotal!$B:$B,$A71,RawDataTotal!I:I)</f>
        <v>0</v>
      </c>
      <c r="G71">
        <f>SUMIF(RawDataTotal!$B:$B,$A71,RawDataTotal!J:J)</f>
        <v>0</v>
      </c>
      <c r="H71">
        <f>SUMIF(RawDataTotal!$B:$B,$A71,RawDataTotal!K:K)</f>
        <v>0</v>
      </c>
      <c r="I71">
        <f>SUMIF(RawDataTotal!$B:$B,$A71,RawDataTotal!L:L)</f>
        <v>0</v>
      </c>
      <c r="J71">
        <f>SUMIF(RawDataTotal!$B:$B,$A71,RawDataTotal!M:M)</f>
        <v>0</v>
      </c>
      <c r="K71">
        <f>SUMIF(RawDataTotal!$B:$B,$A71,RawDataTotal!N:N)</f>
        <v>0</v>
      </c>
      <c r="L71">
        <f>SUMIF(RawDataTotal!$B:$B,$A71,RawDataTotal!O:O)</f>
        <v>0</v>
      </c>
      <c r="M71">
        <f>SUMIF(RawDataTotal!$B:$B,$A71,RawDataTotal!P:P)</f>
        <v>0</v>
      </c>
      <c r="N71">
        <f>SUMIF(RawDataTotal!$B:$B,$A71,RawDataTotal!Q:Q)</f>
        <v>0</v>
      </c>
      <c r="O71">
        <f>SUMIF(RawDataTotal!$B:$B,$A71,RawDataTotal!R:R)</f>
        <v>0</v>
      </c>
      <c r="P71">
        <f>SUMIF(RawDataTotal!$B:$B,$A71,RawDataTotal!S:S)</f>
        <v>0</v>
      </c>
      <c r="Q71">
        <f>SUMIF(RawDataTotal!$B:$B,$A71,RawDataTotal!T:T)</f>
        <v>0</v>
      </c>
      <c r="R71">
        <f>SUMIF(RawDataTotal!$B:$B,$A71,RawDataTotal!U:U)</f>
        <v>0</v>
      </c>
      <c r="S71">
        <f>SUMIF(RawDataTotal!$B:$B,$A71,RawDataTotal!V:V)</f>
        <v>0</v>
      </c>
      <c r="T71">
        <f>SUMIF(RawDataTotal!$B:$B,$A71,RawDataTotal!W:W)</f>
        <v>0</v>
      </c>
      <c r="U71">
        <f>SUMIF(RawDataTotal!$B:$B,$A71,RawDataTotal!X:X)</f>
        <v>0</v>
      </c>
      <c r="V71">
        <f>SUMIF(RawDataTotal!$B:$B,$A71,RawDataTotal!Y:Y)</f>
        <v>0</v>
      </c>
      <c r="W71">
        <f>SUMIF(RawDataTotal!$B:$B,$A71,RawDataTotal!Z:Z)</f>
        <v>0</v>
      </c>
      <c r="X71">
        <f>SUMIF(RawDataTotal!$B:$B,$A71,RawDataTotal!AA:AA)</f>
        <v>0</v>
      </c>
      <c r="Y71">
        <f>SUMIF(RawDataTotal!$B:$B,$A71,RawDataTotal!AB:AB)</f>
        <v>0</v>
      </c>
      <c r="Z71">
        <f>SUMIF(RawDataTotal!$B:$B,$A71,RawDataTotal!AC:AC)</f>
        <v>0</v>
      </c>
      <c r="AA71">
        <f>SUMIF(RawDataTotal!$B:$B,$A71,RawDataTotal!AD:AD)</f>
        <v>0</v>
      </c>
      <c r="AB71">
        <f>SUMIF(RawDataTotal!$B:$B,$A71,RawDataTotal!AE:AE)</f>
        <v>0</v>
      </c>
      <c r="AC71">
        <f>SUMIF(RawDataTotal!$B:$B,$A71,RawDataTotal!AF:AF)</f>
        <v>0</v>
      </c>
      <c r="AD71">
        <f>SUMIF(RawDataTotal!$B:$B,$A71,RawDataTotal!AG:AG)</f>
        <v>0</v>
      </c>
      <c r="AE71">
        <f>SUMIF(RawDataTotal!$B:$B,$A71,RawDataTotal!AH:AH)</f>
        <v>0</v>
      </c>
      <c r="AF71">
        <f>SUMIF(RawDataTotal!$B:$B,$A71,RawDataTotal!AI:AI)</f>
        <v>0</v>
      </c>
      <c r="AG71">
        <f>SUMIF(RawDataTotal!$B:$B,$A71,RawDataTotal!AJ:AJ)</f>
        <v>0</v>
      </c>
      <c r="AH71">
        <f>SUMIF(RawDataTotal!$B:$B,$A71,RawDataTotal!AK:AK)</f>
        <v>0</v>
      </c>
      <c r="AI71">
        <f>SUMIF(RawDataTotal!$B:$B,$A71,RawDataTotal!AL:AL)</f>
        <v>0</v>
      </c>
      <c r="AJ71">
        <f>SUMIF(RawDataTotal!$B:$B,$A71,RawDataTotal!AM:AM)</f>
        <v>0</v>
      </c>
      <c r="AK71">
        <f>SUMIF(RawDataTotal!$B:$B,$A71,RawDataTotal!AN:AN)</f>
        <v>0</v>
      </c>
      <c r="AL71">
        <f>SUMIF(RawDataTotal!$B:$B,$A71,RawDataTotal!AO:AO)</f>
        <v>0</v>
      </c>
      <c r="AM71">
        <f>SUMIF(RawDataTotal!$B:$B,$A71,RawDataTotal!AP:AP)</f>
        <v>0</v>
      </c>
      <c r="AN71">
        <f>SUMIF(RawDataTotal!$B:$B,$A71,RawDataTotal!AQ:AQ)</f>
        <v>0</v>
      </c>
      <c r="AO71">
        <f>SUMIF(RawDataTotal!$B:$B,$A71,RawDataTotal!AR:AR)</f>
        <v>6</v>
      </c>
      <c r="AP71">
        <f>SUMIF(RawDataTotal!$B:$B,$A71,RawDataTotal!AS:AS)</f>
        <v>6</v>
      </c>
      <c r="AQ71">
        <f>SUMIF(RawDataTotal!$B:$B,$A71,RawDataTotal!AT:AT)</f>
        <v>7</v>
      </c>
      <c r="AR71">
        <f>SUMIF(RawDataTotal!$B:$B,$A71,RawDataTotal!AU:AU)</f>
        <v>10</v>
      </c>
      <c r="AS71">
        <f>SUMIF(RawDataTotal!$B:$B,$A71,RawDataTotal!AV:AV)</f>
        <v>13</v>
      </c>
      <c r="AT71">
        <f>SUMIF(RawDataTotal!$B:$B,$A71,RawDataTotal!AW:AW)</f>
        <v>13</v>
      </c>
      <c r="AU71">
        <f>SUMIF(RawDataTotal!$B:$B,$A71,RawDataTotal!AX:AX)</f>
        <v>13</v>
      </c>
      <c r="AV71">
        <f>SUMIF(RawDataTotal!$B:$B,$A71,RawDataTotal!AY:AY)</f>
        <v>14</v>
      </c>
      <c r="AW71">
        <f>SUMIF(RawDataTotal!$B:$B,$A71,RawDataTotal!AZ:AZ)</f>
        <v>15</v>
      </c>
      <c r="AX71">
        <f>SUMIF(RawDataTotal!$B:$B,$A71,RawDataTotal!BA:BA)</f>
        <v>15</v>
      </c>
      <c r="AY71">
        <f>SUMIF(RawDataTotal!$B:$B,$A71,RawDataTotal!BB:BB)</f>
        <v>17</v>
      </c>
      <c r="AZ71">
        <f>SUMIF(RawDataTotal!$B:$B,$A71,RawDataTotal!BC:BC)</f>
        <v>17</v>
      </c>
      <c r="BA71">
        <f>SUMIF(RawDataTotal!$B:$B,$A71,RawDataTotal!BD:BD)</f>
        <v>17</v>
      </c>
      <c r="BB71">
        <f>SUMIF(RawDataTotal!$B:$B,$A71,RawDataTotal!BE:BE)</f>
        <v>28</v>
      </c>
      <c r="BC71">
        <f>SUMIF(RawDataTotal!$B:$B,$A71,RawDataTotal!BF:BF)</f>
        <v>28</v>
      </c>
      <c r="BD71">
        <f>SUMIF(RawDataTotal!$B:$B,$A71,RawDataTotal!BG:BG)</f>
        <v>37</v>
      </c>
      <c r="BE71">
        <f>SUMIF(RawDataTotal!$B:$B,$A71,RawDataTotal!BH:BH)</f>
        <v>58</v>
      </c>
      <c r="BF71">
        <f>SUMIF(RawDataTotal!$B:$B,$A71,RawDataTotal!BI:BI)</f>
        <v>0</v>
      </c>
      <c r="BG71">
        <f>SUMIF(RawDataTotal!$B:$B,$A71,RawDataTotal!BJ:BJ)</f>
        <v>0</v>
      </c>
      <c r="BH71">
        <f>SUMIF(RawDataTotal!$B:$B,$A71,RawDataTotal!BK:BK)</f>
        <v>0</v>
      </c>
      <c r="BI71">
        <f>SUMIF(RawDataTotal!$B:$B,$A71,RawDataTotal!BL:BL)</f>
        <v>0</v>
      </c>
      <c r="BJ71">
        <f>SUMIF(RawDataTotal!$B:$B,$A71,RawDataTotal!BM:BM)</f>
        <v>0</v>
      </c>
      <c r="BK71">
        <f>SUMIF(RawDataTotal!$B:$B,$A71,RawDataTotal!BN:BN)</f>
        <v>0</v>
      </c>
      <c r="BL71">
        <f>SUMIF(RawDataTotal!$B:$B,$A71,RawDataTotal!BO:BO)</f>
        <v>0</v>
      </c>
      <c r="BM71">
        <f>SUMIF(RawDataTotal!$B:$B,$A71,RawDataTotal!BP:BP)</f>
        <v>0</v>
      </c>
      <c r="BN71">
        <f>SUMIF(RawDataTotal!$B:$B,$A71,RawDataTotal!BQ:BQ)</f>
        <v>0</v>
      </c>
      <c r="BO71">
        <f>SUMIF(RawDataTotal!$B:$B,$A71,RawDataTotal!BR:BR)</f>
        <v>0</v>
      </c>
      <c r="BP71">
        <f>SUMIF(RawDataTotal!$B:$B,$A71,RawDataTotal!BS:BS)</f>
        <v>0</v>
      </c>
      <c r="BQ71">
        <f>SUMIF(RawDataTotal!$B:$B,$A71,RawDataTotal!BT:BT)</f>
        <v>0</v>
      </c>
      <c r="BR71">
        <f>SUMIF(RawDataTotal!$B:$B,$A71,RawDataTotal!BU:BU)</f>
        <v>0</v>
      </c>
      <c r="BS71">
        <f>SUMIF(RawDataTotal!$B:$B,$A71,RawDataTotal!BV:BV)</f>
        <v>0</v>
      </c>
      <c r="BT71">
        <f>SUMIF(RawDataTotal!$B:$B,$A71,RawDataTotal!BW:BW)</f>
        <v>0</v>
      </c>
    </row>
    <row r="72" spans="1:72" ht="15" thickBot="1" x14ac:dyDescent="0.35">
      <c r="A72" s="4" t="s">
        <v>138</v>
      </c>
      <c r="B72">
        <f>SUMIF(RawDataTotal!$B:$B,$A72,RawDataTotal!E:E)</f>
        <v>0</v>
      </c>
      <c r="C72">
        <f>SUMIF(RawDataTotal!$B:$B,$A72,RawDataTotal!F:F)</f>
        <v>0</v>
      </c>
      <c r="D72">
        <f>SUMIF(RawDataTotal!$B:$B,$A72,RawDataTotal!G:G)</f>
        <v>0</v>
      </c>
      <c r="E72">
        <f>SUMIF(RawDataTotal!$B:$B,$A72,RawDataTotal!H:H)</f>
        <v>0</v>
      </c>
      <c r="F72">
        <f>SUMIF(RawDataTotal!$B:$B,$A72,RawDataTotal!I:I)</f>
        <v>0</v>
      </c>
      <c r="G72">
        <f>SUMIF(RawDataTotal!$B:$B,$A72,RawDataTotal!J:J)</f>
        <v>0</v>
      </c>
      <c r="H72">
        <f>SUMIF(RawDataTotal!$B:$B,$A72,RawDataTotal!K:K)</f>
        <v>0</v>
      </c>
      <c r="I72">
        <f>SUMIF(RawDataTotal!$B:$B,$A72,RawDataTotal!L:L)</f>
        <v>0</v>
      </c>
      <c r="J72">
        <f>SUMIF(RawDataTotal!$B:$B,$A72,RawDataTotal!M:M)</f>
        <v>0</v>
      </c>
      <c r="K72">
        <f>SUMIF(RawDataTotal!$B:$B,$A72,RawDataTotal!N:N)</f>
        <v>0</v>
      </c>
      <c r="L72">
        <f>SUMIF(RawDataTotal!$B:$B,$A72,RawDataTotal!O:O)</f>
        <v>0</v>
      </c>
      <c r="M72">
        <f>SUMIF(RawDataTotal!$B:$B,$A72,RawDataTotal!P:P)</f>
        <v>0</v>
      </c>
      <c r="N72">
        <f>SUMIF(RawDataTotal!$B:$B,$A72,RawDataTotal!Q:Q)</f>
        <v>0</v>
      </c>
      <c r="O72">
        <f>SUMIF(RawDataTotal!$B:$B,$A72,RawDataTotal!R:R)</f>
        <v>0</v>
      </c>
      <c r="P72">
        <f>SUMIF(RawDataTotal!$B:$B,$A72,RawDataTotal!S:S)</f>
        <v>0</v>
      </c>
      <c r="Q72">
        <f>SUMIF(RawDataTotal!$B:$B,$A72,RawDataTotal!T:T)</f>
        <v>0</v>
      </c>
      <c r="R72">
        <f>SUMIF(RawDataTotal!$B:$B,$A72,RawDataTotal!U:U)</f>
        <v>0</v>
      </c>
      <c r="S72">
        <f>SUMIF(RawDataTotal!$B:$B,$A72,RawDataTotal!V:V)</f>
        <v>0</v>
      </c>
      <c r="T72">
        <f>SUMIF(RawDataTotal!$B:$B,$A72,RawDataTotal!W:W)</f>
        <v>0</v>
      </c>
      <c r="U72">
        <f>SUMIF(RawDataTotal!$B:$B,$A72,RawDataTotal!X:X)</f>
        <v>0</v>
      </c>
      <c r="V72">
        <f>SUMIF(RawDataTotal!$B:$B,$A72,RawDataTotal!Y:Y)</f>
        <v>0</v>
      </c>
      <c r="W72">
        <f>SUMIF(RawDataTotal!$B:$B,$A72,RawDataTotal!Z:Z)</f>
        <v>0</v>
      </c>
      <c r="X72">
        <f>SUMIF(RawDataTotal!$B:$B,$A72,RawDataTotal!AA:AA)</f>
        <v>0</v>
      </c>
      <c r="Y72">
        <f>SUMIF(RawDataTotal!$B:$B,$A72,RawDataTotal!AB:AB)</f>
        <v>0</v>
      </c>
      <c r="Z72">
        <f>SUMIF(RawDataTotal!$B:$B,$A72,RawDataTotal!AC:AC)</f>
        <v>0</v>
      </c>
      <c r="AA72">
        <f>SUMIF(RawDataTotal!$B:$B,$A72,RawDataTotal!AD:AD)</f>
        <v>0</v>
      </c>
      <c r="AB72">
        <f>SUMIF(RawDataTotal!$B:$B,$A72,RawDataTotal!AE:AE)</f>
        <v>0</v>
      </c>
      <c r="AC72">
        <f>SUMIF(RawDataTotal!$B:$B,$A72,RawDataTotal!AF:AF)</f>
        <v>0</v>
      </c>
      <c r="AD72">
        <f>SUMIF(RawDataTotal!$B:$B,$A72,RawDataTotal!AG:AG)</f>
        <v>0</v>
      </c>
      <c r="AE72">
        <f>SUMIF(RawDataTotal!$B:$B,$A72,RawDataTotal!AH:AH)</f>
        <v>0</v>
      </c>
      <c r="AF72">
        <f>SUMIF(RawDataTotal!$B:$B,$A72,RawDataTotal!AI:AI)</f>
        <v>0</v>
      </c>
      <c r="AG72">
        <f>SUMIF(RawDataTotal!$B:$B,$A72,RawDataTotal!AJ:AJ)</f>
        <v>0</v>
      </c>
      <c r="AH72">
        <f>SUMIF(RawDataTotal!$B:$B,$A72,RawDataTotal!AK:AK)</f>
        <v>0</v>
      </c>
      <c r="AI72">
        <f>SUMIF(RawDataTotal!$B:$B,$A72,RawDataTotal!AL:AL)</f>
        <v>0</v>
      </c>
      <c r="AJ72">
        <f>SUMIF(RawDataTotal!$B:$B,$A72,RawDataTotal!AM:AM)</f>
        <v>0</v>
      </c>
      <c r="AK72">
        <f>SUMIF(RawDataTotal!$B:$B,$A72,RawDataTotal!AN:AN)</f>
        <v>0</v>
      </c>
      <c r="AL72">
        <f>SUMIF(RawDataTotal!$B:$B,$A72,RawDataTotal!AO:AO)</f>
        <v>0</v>
      </c>
      <c r="AM72">
        <f>SUMIF(RawDataTotal!$B:$B,$A72,RawDataTotal!AP:AP)</f>
        <v>0</v>
      </c>
      <c r="AN72">
        <f>SUMIF(RawDataTotal!$B:$B,$A72,RawDataTotal!AQ:AQ)</f>
        <v>0</v>
      </c>
      <c r="AO72">
        <f>SUMIF(RawDataTotal!$B:$B,$A72,RawDataTotal!AR:AR)</f>
        <v>0</v>
      </c>
      <c r="AP72">
        <f>SUMIF(RawDataTotal!$B:$B,$A72,RawDataTotal!AS:AS)</f>
        <v>1</v>
      </c>
      <c r="AQ72">
        <f>SUMIF(RawDataTotal!$B:$B,$A72,RawDataTotal!AT:AT)</f>
        <v>1</v>
      </c>
      <c r="AR72">
        <f>SUMIF(RawDataTotal!$B:$B,$A72,RawDataTotal!AU:AU)</f>
        <v>1</v>
      </c>
      <c r="AS72">
        <f>SUMIF(RawDataTotal!$B:$B,$A72,RawDataTotal!AV:AV)</f>
        <v>1</v>
      </c>
      <c r="AT72">
        <f>SUMIF(RawDataTotal!$B:$B,$A72,RawDataTotal!AW:AW)</f>
        <v>1</v>
      </c>
      <c r="AU72">
        <f>SUMIF(RawDataTotal!$B:$B,$A72,RawDataTotal!AX:AX)</f>
        <v>1</v>
      </c>
      <c r="AV72">
        <f>SUMIF(RawDataTotal!$B:$B,$A72,RawDataTotal!AY:AY)</f>
        <v>2</v>
      </c>
      <c r="AW72">
        <f>SUMIF(RawDataTotal!$B:$B,$A72,RawDataTotal!AZ:AZ)</f>
        <v>6</v>
      </c>
      <c r="AX72">
        <f>SUMIF(RawDataTotal!$B:$B,$A72,RawDataTotal!BA:BA)</f>
        <v>8</v>
      </c>
      <c r="AY72">
        <f>SUMIF(RawDataTotal!$B:$B,$A72,RawDataTotal!BB:BB)</f>
        <v>10</v>
      </c>
      <c r="AZ72">
        <f>SUMIF(RawDataTotal!$B:$B,$A72,RawDataTotal!BC:BC)</f>
        <v>10</v>
      </c>
      <c r="BA72">
        <f>SUMIF(RawDataTotal!$B:$B,$A72,RawDataTotal!BD:BD)</f>
        <v>17</v>
      </c>
      <c r="BB72">
        <f>SUMIF(RawDataTotal!$B:$B,$A72,RawDataTotal!BE:BE)</f>
        <v>26</v>
      </c>
      <c r="BC72">
        <f>SUMIF(RawDataTotal!$B:$B,$A72,RawDataTotal!BF:BF)</f>
        <v>30</v>
      </c>
      <c r="BD72">
        <f>SUMIF(RawDataTotal!$B:$B,$A72,RawDataTotal!BG:BG)</f>
        <v>34</v>
      </c>
      <c r="BE72">
        <f>SUMIF(RawDataTotal!$B:$B,$A72,RawDataTotal!BH:BH)</f>
        <v>49</v>
      </c>
      <c r="BF72">
        <f>SUMIF(RawDataTotal!$B:$B,$A72,RawDataTotal!BI:BI)</f>
        <v>0</v>
      </c>
      <c r="BG72">
        <f>SUMIF(RawDataTotal!$B:$B,$A72,RawDataTotal!BJ:BJ)</f>
        <v>0</v>
      </c>
      <c r="BH72">
        <f>SUMIF(RawDataTotal!$B:$B,$A72,RawDataTotal!BK:BK)</f>
        <v>0</v>
      </c>
      <c r="BI72">
        <f>SUMIF(RawDataTotal!$B:$B,$A72,RawDataTotal!BL:BL)</f>
        <v>0</v>
      </c>
      <c r="BJ72">
        <f>SUMIF(RawDataTotal!$B:$B,$A72,RawDataTotal!BM:BM)</f>
        <v>0</v>
      </c>
      <c r="BK72">
        <f>SUMIF(RawDataTotal!$B:$B,$A72,RawDataTotal!BN:BN)</f>
        <v>0</v>
      </c>
      <c r="BL72">
        <f>SUMIF(RawDataTotal!$B:$B,$A72,RawDataTotal!BO:BO)</f>
        <v>0</v>
      </c>
      <c r="BM72">
        <f>SUMIF(RawDataTotal!$B:$B,$A72,RawDataTotal!BP:BP)</f>
        <v>0</v>
      </c>
      <c r="BN72">
        <f>SUMIF(RawDataTotal!$B:$B,$A72,RawDataTotal!BQ:BQ)</f>
        <v>0</v>
      </c>
      <c r="BO72">
        <f>SUMIF(RawDataTotal!$B:$B,$A72,RawDataTotal!BR:BR)</f>
        <v>0</v>
      </c>
      <c r="BP72">
        <f>SUMIF(RawDataTotal!$B:$B,$A72,RawDataTotal!BS:BS)</f>
        <v>0</v>
      </c>
      <c r="BQ72">
        <f>SUMIF(RawDataTotal!$B:$B,$A72,RawDataTotal!BT:BT)</f>
        <v>0</v>
      </c>
      <c r="BR72">
        <f>SUMIF(RawDataTotal!$B:$B,$A72,RawDataTotal!BU:BU)</f>
        <v>0</v>
      </c>
      <c r="BS72">
        <f>SUMIF(RawDataTotal!$B:$B,$A72,RawDataTotal!BV:BV)</f>
        <v>0</v>
      </c>
      <c r="BT72">
        <f>SUMIF(RawDataTotal!$B:$B,$A72,RawDataTotal!BW:BW)</f>
        <v>0</v>
      </c>
    </row>
    <row r="73" spans="1:72" ht="15" thickBot="1" x14ac:dyDescent="0.35">
      <c r="A73" s="4" t="s">
        <v>165</v>
      </c>
      <c r="B73">
        <f>SUMIF(RawDataTotal!$B:$B,$A73,RawDataTotal!E:E)</f>
        <v>0</v>
      </c>
      <c r="C73">
        <f>SUMIF(RawDataTotal!$B:$B,$A73,RawDataTotal!F:F)</f>
        <v>0</v>
      </c>
      <c r="D73">
        <f>SUMIF(RawDataTotal!$B:$B,$A73,RawDataTotal!G:G)</f>
        <v>0</v>
      </c>
      <c r="E73">
        <f>SUMIF(RawDataTotal!$B:$B,$A73,RawDataTotal!H:H)</f>
        <v>0</v>
      </c>
      <c r="F73">
        <f>SUMIF(RawDataTotal!$B:$B,$A73,RawDataTotal!I:I)</f>
        <v>0</v>
      </c>
      <c r="G73">
        <f>SUMIF(RawDataTotal!$B:$B,$A73,RawDataTotal!J:J)</f>
        <v>0</v>
      </c>
      <c r="H73">
        <f>SUMIF(RawDataTotal!$B:$B,$A73,RawDataTotal!K:K)</f>
        <v>0</v>
      </c>
      <c r="I73">
        <f>SUMIF(RawDataTotal!$B:$B,$A73,RawDataTotal!L:L)</f>
        <v>0</v>
      </c>
      <c r="J73">
        <f>SUMIF(RawDataTotal!$B:$B,$A73,RawDataTotal!M:M)</f>
        <v>0</v>
      </c>
      <c r="K73">
        <f>SUMIF(RawDataTotal!$B:$B,$A73,RawDataTotal!N:N)</f>
        <v>0</v>
      </c>
      <c r="L73">
        <f>SUMIF(RawDataTotal!$B:$B,$A73,RawDataTotal!O:O)</f>
        <v>0</v>
      </c>
      <c r="M73">
        <f>SUMIF(RawDataTotal!$B:$B,$A73,RawDataTotal!P:P)</f>
        <v>0</v>
      </c>
      <c r="N73">
        <f>SUMIF(RawDataTotal!$B:$B,$A73,RawDataTotal!Q:Q)</f>
        <v>0</v>
      </c>
      <c r="O73">
        <f>SUMIF(RawDataTotal!$B:$B,$A73,RawDataTotal!R:R)</f>
        <v>0</v>
      </c>
      <c r="P73">
        <f>SUMIF(RawDataTotal!$B:$B,$A73,RawDataTotal!S:S)</f>
        <v>0</v>
      </c>
      <c r="Q73">
        <f>SUMIF(RawDataTotal!$B:$B,$A73,RawDataTotal!T:T)</f>
        <v>0</v>
      </c>
      <c r="R73">
        <f>SUMIF(RawDataTotal!$B:$B,$A73,RawDataTotal!U:U)</f>
        <v>0</v>
      </c>
      <c r="S73">
        <f>SUMIF(RawDataTotal!$B:$B,$A73,RawDataTotal!V:V)</f>
        <v>0</v>
      </c>
      <c r="T73">
        <f>SUMIF(RawDataTotal!$B:$B,$A73,RawDataTotal!W:W)</f>
        <v>0</v>
      </c>
      <c r="U73">
        <f>SUMIF(RawDataTotal!$B:$B,$A73,RawDataTotal!X:X)</f>
        <v>0</v>
      </c>
      <c r="V73">
        <f>SUMIF(RawDataTotal!$B:$B,$A73,RawDataTotal!Y:Y)</f>
        <v>0</v>
      </c>
      <c r="W73">
        <f>SUMIF(RawDataTotal!$B:$B,$A73,RawDataTotal!Z:Z)</f>
        <v>0</v>
      </c>
      <c r="X73">
        <f>SUMIF(RawDataTotal!$B:$B,$A73,RawDataTotal!AA:AA)</f>
        <v>0</v>
      </c>
      <c r="Y73">
        <f>SUMIF(RawDataTotal!$B:$B,$A73,RawDataTotal!AB:AB)</f>
        <v>0</v>
      </c>
      <c r="Z73">
        <f>SUMIF(RawDataTotal!$B:$B,$A73,RawDataTotal!AC:AC)</f>
        <v>0</v>
      </c>
      <c r="AA73">
        <f>SUMIF(RawDataTotal!$B:$B,$A73,RawDataTotal!AD:AD)</f>
        <v>0</v>
      </c>
      <c r="AB73">
        <f>SUMIF(RawDataTotal!$B:$B,$A73,RawDataTotal!AE:AE)</f>
        <v>0</v>
      </c>
      <c r="AC73">
        <f>SUMIF(RawDataTotal!$B:$B,$A73,RawDataTotal!AF:AF)</f>
        <v>0</v>
      </c>
      <c r="AD73">
        <f>SUMIF(RawDataTotal!$B:$B,$A73,RawDataTotal!AG:AG)</f>
        <v>0</v>
      </c>
      <c r="AE73">
        <f>SUMIF(RawDataTotal!$B:$B,$A73,RawDataTotal!AH:AH)</f>
        <v>0</v>
      </c>
      <c r="AF73">
        <f>SUMIF(RawDataTotal!$B:$B,$A73,RawDataTotal!AI:AI)</f>
        <v>0</v>
      </c>
      <c r="AG73">
        <f>SUMIF(RawDataTotal!$B:$B,$A73,RawDataTotal!AJ:AJ)</f>
        <v>0</v>
      </c>
      <c r="AH73">
        <f>SUMIF(RawDataTotal!$B:$B,$A73,RawDataTotal!AK:AK)</f>
        <v>0</v>
      </c>
      <c r="AI73">
        <f>SUMIF(RawDataTotal!$B:$B,$A73,RawDataTotal!AL:AL)</f>
        <v>0</v>
      </c>
      <c r="AJ73">
        <f>SUMIF(RawDataTotal!$B:$B,$A73,RawDataTotal!AM:AM)</f>
        <v>0</v>
      </c>
      <c r="AK73">
        <f>SUMIF(RawDataTotal!$B:$B,$A73,RawDataTotal!AN:AN)</f>
        <v>0</v>
      </c>
      <c r="AL73">
        <f>SUMIF(RawDataTotal!$B:$B,$A73,RawDataTotal!AO:AO)</f>
        <v>0</v>
      </c>
      <c r="AM73">
        <f>SUMIF(RawDataTotal!$B:$B,$A73,RawDataTotal!AP:AP)</f>
        <v>0</v>
      </c>
      <c r="AN73">
        <f>SUMIF(RawDataTotal!$B:$B,$A73,RawDataTotal!AQ:AQ)</f>
        <v>0</v>
      </c>
      <c r="AO73">
        <f>SUMIF(RawDataTotal!$B:$B,$A73,RawDataTotal!AR:AR)</f>
        <v>0</v>
      </c>
      <c r="AP73">
        <f>SUMIF(RawDataTotal!$B:$B,$A73,RawDataTotal!AS:AS)</f>
        <v>0</v>
      </c>
      <c r="AQ73">
        <f>SUMIF(RawDataTotal!$B:$B,$A73,RawDataTotal!AT:AT)</f>
        <v>0</v>
      </c>
      <c r="AR73">
        <f>SUMIF(RawDataTotal!$B:$B,$A73,RawDataTotal!AU:AU)</f>
        <v>1</v>
      </c>
      <c r="AS73">
        <f>SUMIF(RawDataTotal!$B:$B,$A73,RawDataTotal!AV:AV)</f>
        <v>1</v>
      </c>
      <c r="AT73">
        <f>SUMIF(RawDataTotal!$B:$B,$A73,RawDataTotal!AW:AW)</f>
        <v>1</v>
      </c>
      <c r="AU73">
        <f>SUMIF(RawDataTotal!$B:$B,$A73,RawDataTotal!AX:AX)</f>
        <v>1</v>
      </c>
      <c r="AV73">
        <f>SUMIF(RawDataTotal!$B:$B,$A73,RawDataTotal!AY:AY)</f>
        <v>2</v>
      </c>
      <c r="AW73">
        <f>SUMIF(RawDataTotal!$B:$B,$A73,RawDataTotal!AZ:AZ)</f>
        <v>2</v>
      </c>
      <c r="AX73">
        <f>SUMIF(RawDataTotal!$B:$B,$A73,RawDataTotal!BA:BA)</f>
        <v>5</v>
      </c>
      <c r="AY73">
        <f>SUMIF(RawDataTotal!$B:$B,$A73,RawDataTotal!BB:BB)</f>
        <v>7</v>
      </c>
      <c r="AZ73">
        <f>SUMIF(RawDataTotal!$B:$B,$A73,RawDataTotal!BC:BC)</f>
        <v>7</v>
      </c>
      <c r="BA73">
        <f>SUMIF(RawDataTotal!$B:$B,$A73,RawDataTotal!BD:BD)</f>
        <v>16</v>
      </c>
      <c r="BB73">
        <f>SUMIF(RawDataTotal!$B:$B,$A73,RawDataTotal!BE:BE)</f>
        <v>18</v>
      </c>
      <c r="BC73">
        <f>SUMIF(RawDataTotal!$B:$B,$A73,RawDataTotal!BF:BF)</f>
        <v>18</v>
      </c>
      <c r="BD73">
        <f>SUMIF(RawDataTotal!$B:$B,$A73,RawDataTotal!BG:BG)</f>
        <v>20</v>
      </c>
      <c r="BE73">
        <f>SUMIF(RawDataTotal!$B:$B,$A73,RawDataTotal!BH:BH)</f>
        <v>24</v>
      </c>
      <c r="BF73">
        <f>SUMIF(RawDataTotal!$B:$B,$A73,RawDataTotal!BI:BI)</f>
        <v>0</v>
      </c>
      <c r="BG73">
        <f>SUMIF(RawDataTotal!$B:$B,$A73,RawDataTotal!BJ:BJ)</f>
        <v>0</v>
      </c>
      <c r="BH73">
        <f>SUMIF(RawDataTotal!$B:$B,$A73,RawDataTotal!BK:BK)</f>
        <v>0</v>
      </c>
      <c r="BI73">
        <f>SUMIF(RawDataTotal!$B:$B,$A73,RawDataTotal!BL:BL)</f>
        <v>0</v>
      </c>
      <c r="BJ73">
        <f>SUMIF(RawDataTotal!$B:$B,$A73,RawDataTotal!BM:BM)</f>
        <v>0</v>
      </c>
      <c r="BK73">
        <f>SUMIF(RawDataTotal!$B:$B,$A73,RawDataTotal!BN:BN)</f>
        <v>0</v>
      </c>
      <c r="BL73">
        <f>SUMIF(RawDataTotal!$B:$B,$A73,RawDataTotal!BO:BO)</f>
        <v>0</v>
      </c>
      <c r="BM73">
        <f>SUMIF(RawDataTotal!$B:$B,$A73,RawDataTotal!BP:BP)</f>
        <v>0</v>
      </c>
      <c r="BN73">
        <f>SUMIF(RawDataTotal!$B:$B,$A73,RawDataTotal!BQ:BQ)</f>
        <v>0</v>
      </c>
      <c r="BO73">
        <f>SUMIF(RawDataTotal!$B:$B,$A73,RawDataTotal!BR:BR)</f>
        <v>0</v>
      </c>
      <c r="BP73">
        <f>SUMIF(RawDataTotal!$B:$B,$A73,RawDataTotal!BS:BS)</f>
        <v>0</v>
      </c>
      <c r="BQ73">
        <f>SUMIF(RawDataTotal!$B:$B,$A73,RawDataTotal!BT:BT)</f>
        <v>0</v>
      </c>
      <c r="BR73">
        <f>SUMIF(RawDataTotal!$B:$B,$A73,RawDataTotal!BU:BU)</f>
        <v>0</v>
      </c>
      <c r="BS73">
        <f>SUMIF(RawDataTotal!$B:$B,$A73,RawDataTotal!BV:BV)</f>
        <v>0</v>
      </c>
      <c r="BT73">
        <f>SUMIF(RawDataTotal!$B:$B,$A73,RawDataTotal!BW:BW)</f>
        <v>0</v>
      </c>
    </row>
    <row r="74" spans="1:72" ht="15" thickBot="1" x14ac:dyDescent="0.35">
      <c r="A74" s="3" t="s">
        <v>131</v>
      </c>
      <c r="B74">
        <f>SUMIF(RawDataTotal!$B:$B,$A74,RawDataTotal!E:E)</f>
        <v>0</v>
      </c>
      <c r="C74">
        <f>SUMIF(RawDataTotal!$B:$B,$A74,RawDataTotal!F:F)</f>
        <v>0</v>
      </c>
      <c r="D74">
        <f>SUMIF(RawDataTotal!$B:$B,$A74,RawDataTotal!G:G)</f>
        <v>0</v>
      </c>
      <c r="E74">
        <f>SUMIF(RawDataTotal!$B:$B,$A74,RawDataTotal!H:H)</f>
        <v>0</v>
      </c>
      <c r="F74">
        <f>SUMIF(RawDataTotal!$B:$B,$A74,RawDataTotal!I:I)</f>
        <v>0</v>
      </c>
      <c r="G74">
        <f>SUMIF(RawDataTotal!$B:$B,$A74,RawDataTotal!J:J)</f>
        <v>0</v>
      </c>
      <c r="H74">
        <f>SUMIF(RawDataTotal!$B:$B,$A74,RawDataTotal!K:K)</f>
        <v>0</v>
      </c>
      <c r="I74">
        <f>SUMIF(RawDataTotal!$B:$B,$A74,RawDataTotal!L:L)</f>
        <v>0</v>
      </c>
      <c r="J74">
        <f>SUMIF(RawDataTotal!$B:$B,$A74,RawDataTotal!M:M)</f>
        <v>0</v>
      </c>
      <c r="K74">
        <f>SUMIF(RawDataTotal!$B:$B,$A74,RawDataTotal!N:N)</f>
        <v>0</v>
      </c>
      <c r="L74">
        <f>SUMIF(RawDataTotal!$B:$B,$A74,RawDataTotal!O:O)</f>
        <v>0</v>
      </c>
      <c r="M74">
        <f>SUMIF(RawDataTotal!$B:$B,$A74,RawDataTotal!P:P)</f>
        <v>0</v>
      </c>
      <c r="N74">
        <f>SUMIF(RawDataTotal!$B:$B,$A74,RawDataTotal!Q:Q)</f>
        <v>0</v>
      </c>
      <c r="O74">
        <f>SUMIF(RawDataTotal!$B:$B,$A74,RawDataTotal!R:R)</f>
        <v>0</v>
      </c>
      <c r="P74">
        <f>SUMIF(RawDataTotal!$B:$B,$A74,RawDataTotal!S:S)</f>
        <v>0</v>
      </c>
      <c r="Q74">
        <f>SUMIF(RawDataTotal!$B:$B,$A74,RawDataTotal!T:T)</f>
        <v>0</v>
      </c>
      <c r="R74">
        <f>SUMIF(RawDataTotal!$B:$B,$A74,RawDataTotal!U:U)</f>
        <v>0</v>
      </c>
      <c r="S74">
        <f>SUMIF(RawDataTotal!$B:$B,$A74,RawDataTotal!V:V)</f>
        <v>0</v>
      </c>
      <c r="T74">
        <f>SUMIF(RawDataTotal!$B:$B,$A74,RawDataTotal!W:W)</f>
        <v>0</v>
      </c>
      <c r="U74">
        <f>SUMIF(RawDataTotal!$B:$B,$A74,RawDataTotal!X:X)</f>
        <v>0</v>
      </c>
      <c r="V74">
        <f>SUMIF(RawDataTotal!$B:$B,$A74,RawDataTotal!Y:Y)</f>
        <v>0</v>
      </c>
      <c r="W74">
        <f>SUMIF(RawDataTotal!$B:$B,$A74,RawDataTotal!Z:Z)</f>
        <v>0</v>
      </c>
      <c r="X74">
        <f>SUMIF(RawDataTotal!$B:$B,$A74,RawDataTotal!AA:AA)</f>
        <v>0</v>
      </c>
      <c r="Y74">
        <f>SUMIF(RawDataTotal!$B:$B,$A74,RawDataTotal!AB:AB)</f>
        <v>0</v>
      </c>
      <c r="Z74">
        <f>SUMIF(RawDataTotal!$B:$B,$A74,RawDataTotal!AC:AC)</f>
        <v>0</v>
      </c>
      <c r="AA74">
        <f>SUMIF(RawDataTotal!$B:$B,$A74,RawDataTotal!AD:AD)</f>
        <v>0</v>
      </c>
      <c r="AB74">
        <f>SUMIF(RawDataTotal!$B:$B,$A74,RawDataTotal!AE:AE)</f>
        <v>0</v>
      </c>
      <c r="AC74">
        <f>SUMIF(RawDataTotal!$B:$B,$A74,RawDataTotal!AF:AF)</f>
        <v>0</v>
      </c>
      <c r="AD74">
        <f>SUMIF(RawDataTotal!$B:$B,$A74,RawDataTotal!AG:AG)</f>
        <v>0</v>
      </c>
      <c r="AE74">
        <f>SUMIF(RawDataTotal!$B:$B,$A74,RawDataTotal!AH:AH)</f>
        <v>0</v>
      </c>
      <c r="AF74">
        <f>SUMIF(RawDataTotal!$B:$B,$A74,RawDataTotal!AI:AI)</f>
        <v>0</v>
      </c>
      <c r="AG74">
        <f>SUMIF(RawDataTotal!$B:$B,$A74,RawDataTotal!AJ:AJ)</f>
        <v>0</v>
      </c>
      <c r="AH74">
        <f>SUMIF(RawDataTotal!$B:$B,$A74,RawDataTotal!AK:AK)</f>
        <v>0</v>
      </c>
      <c r="AI74">
        <f>SUMIF(RawDataTotal!$B:$B,$A74,RawDataTotal!AL:AL)</f>
        <v>0</v>
      </c>
      <c r="AJ74">
        <f>SUMIF(RawDataTotal!$B:$B,$A74,RawDataTotal!AM:AM)</f>
        <v>0</v>
      </c>
      <c r="AK74">
        <f>SUMIF(RawDataTotal!$B:$B,$A74,RawDataTotal!AN:AN)</f>
        <v>0</v>
      </c>
      <c r="AL74">
        <f>SUMIF(RawDataTotal!$B:$B,$A74,RawDataTotal!AO:AO)</f>
        <v>0</v>
      </c>
      <c r="AM74">
        <f>SUMIF(RawDataTotal!$B:$B,$A74,RawDataTotal!AP:AP)</f>
        <v>0</v>
      </c>
      <c r="AN74">
        <f>SUMIF(RawDataTotal!$B:$B,$A74,RawDataTotal!AQ:AQ)</f>
        <v>0</v>
      </c>
      <c r="AO74">
        <f>SUMIF(RawDataTotal!$B:$B,$A74,RawDataTotal!AR:AR)</f>
        <v>3</v>
      </c>
      <c r="AP74">
        <f>SUMIF(RawDataTotal!$B:$B,$A74,RawDataTotal!AS:AS)</f>
        <v>3</v>
      </c>
      <c r="AQ74">
        <f>SUMIF(RawDataTotal!$B:$B,$A74,RawDataTotal!AT:AT)</f>
        <v>3</v>
      </c>
      <c r="AR74">
        <f>SUMIF(RawDataTotal!$B:$B,$A74,RawDataTotal!AU:AU)</f>
        <v>3</v>
      </c>
      <c r="AS74">
        <f>SUMIF(RawDataTotal!$B:$B,$A74,RawDataTotal!AV:AV)</f>
        <v>6</v>
      </c>
      <c r="AT74">
        <f>SUMIF(RawDataTotal!$B:$B,$A74,RawDataTotal!AW:AW)</f>
        <v>6</v>
      </c>
      <c r="AU74">
        <f>SUMIF(RawDataTotal!$B:$B,$A74,RawDataTotal!AX:AX)</f>
        <v>9</v>
      </c>
      <c r="AV74">
        <f>SUMIF(RawDataTotal!$B:$B,$A74,RawDataTotal!AY:AY)</f>
        <v>9</v>
      </c>
      <c r="AW74">
        <f>SUMIF(RawDataTotal!$B:$B,$A74,RawDataTotal!AZ:AZ)</f>
        <v>9</v>
      </c>
      <c r="AX74">
        <f>SUMIF(RawDataTotal!$B:$B,$A74,RawDataTotal!BA:BA)</f>
        <v>11</v>
      </c>
      <c r="AY74">
        <f>SUMIF(RawDataTotal!$B:$B,$A74,RawDataTotal!BB:BB)</f>
        <v>11</v>
      </c>
      <c r="AZ74">
        <f>SUMIF(RawDataTotal!$B:$B,$A74,RawDataTotal!BC:BC)</f>
        <v>11</v>
      </c>
      <c r="BA74">
        <f>SUMIF(RawDataTotal!$B:$B,$A74,RawDataTotal!BD:BD)</f>
        <v>15</v>
      </c>
      <c r="BB74">
        <f>SUMIF(RawDataTotal!$B:$B,$A74,RawDataTotal!BE:BE)</f>
        <v>15</v>
      </c>
      <c r="BC74">
        <f>SUMIF(RawDataTotal!$B:$B,$A74,RawDataTotal!BF:BF)</f>
        <v>23</v>
      </c>
      <c r="BD74">
        <f>SUMIF(RawDataTotal!$B:$B,$A74,RawDataTotal!BG:BG)</f>
        <v>15</v>
      </c>
      <c r="BE74">
        <f>SUMIF(RawDataTotal!$B:$B,$A74,RawDataTotal!BH:BH)</f>
        <v>28</v>
      </c>
      <c r="BF74">
        <f>SUMIF(RawDataTotal!$B:$B,$A74,RawDataTotal!BI:BI)</f>
        <v>0</v>
      </c>
      <c r="BG74">
        <f>SUMIF(RawDataTotal!$B:$B,$A74,RawDataTotal!BJ:BJ)</f>
        <v>0</v>
      </c>
      <c r="BH74">
        <f>SUMIF(RawDataTotal!$B:$B,$A74,RawDataTotal!BK:BK)</f>
        <v>0</v>
      </c>
      <c r="BI74">
        <f>SUMIF(RawDataTotal!$B:$B,$A74,RawDataTotal!BL:BL)</f>
        <v>0</v>
      </c>
      <c r="BJ74">
        <f>SUMIF(RawDataTotal!$B:$B,$A74,RawDataTotal!BM:BM)</f>
        <v>0</v>
      </c>
      <c r="BK74">
        <f>SUMIF(RawDataTotal!$B:$B,$A74,RawDataTotal!BN:BN)</f>
        <v>0</v>
      </c>
      <c r="BL74">
        <f>SUMIF(RawDataTotal!$B:$B,$A74,RawDataTotal!BO:BO)</f>
        <v>0</v>
      </c>
      <c r="BM74">
        <f>SUMIF(RawDataTotal!$B:$B,$A74,RawDataTotal!BP:BP)</f>
        <v>0</v>
      </c>
      <c r="BN74">
        <f>SUMIF(RawDataTotal!$B:$B,$A74,RawDataTotal!BQ:BQ)</f>
        <v>0</v>
      </c>
      <c r="BO74">
        <f>SUMIF(RawDataTotal!$B:$B,$A74,RawDataTotal!BR:BR)</f>
        <v>0</v>
      </c>
      <c r="BP74">
        <f>SUMIF(RawDataTotal!$B:$B,$A74,RawDataTotal!BS:BS)</f>
        <v>0</v>
      </c>
      <c r="BQ74">
        <f>SUMIF(RawDataTotal!$B:$B,$A74,RawDataTotal!BT:BT)</f>
        <v>0</v>
      </c>
      <c r="BR74">
        <f>SUMIF(RawDataTotal!$B:$B,$A74,RawDataTotal!BU:BU)</f>
        <v>0</v>
      </c>
      <c r="BS74">
        <f>SUMIF(RawDataTotal!$B:$B,$A74,RawDataTotal!BV:BV)</f>
        <v>0</v>
      </c>
      <c r="BT74">
        <f>SUMIF(RawDataTotal!$B:$B,$A74,RawDataTotal!BW:BW)</f>
        <v>0</v>
      </c>
    </row>
    <row r="75" spans="1:72" ht="15" thickBot="1" x14ac:dyDescent="0.35">
      <c r="A75" s="3" t="s">
        <v>258</v>
      </c>
      <c r="B75">
        <f>SUMIF(RawDataTotal!$B:$B,$A75,RawDataTotal!E:E)</f>
        <v>0</v>
      </c>
      <c r="C75">
        <f>SUMIF(RawDataTotal!$B:$B,$A75,RawDataTotal!F:F)</f>
        <v>0</v>
      </c>
      <c r="D75">
        <f>SUMIF(RawDataTotal!$B:$B,$A75,RawDataTotal!G:G)</f>
        <v>0</v>
      </c>
      <c r="E75">
        <f>SUMIF(RawDataTotal!$B:$B,$A75,RawDataTotal!H:H)</f>
        <v>0</v>
      </c>
      <c r="F75">
        <f>SUMIF(RawDataTotal!$B:$B,$A75,RawDataTotal!I:I)</f>
        <v>0</v>
      </c>
      <c r="G75">
        <f>SUMIF(RawDataTotal!$B:$B,$A75,RawDataTotal!J:J)</f>
        <v>0</v>
      </c>
      <c r="H75">
        <f>SUMIF(RawDataTotal!$B:$B,$A75,RawDataTotal!K:K)</f>
        <v>0</v>
      </c>
      <c r="I75">
        <f>SUMIF(RawDataTotal!$B:$B,$A75,RawDataTotal!L:L)</f>
        <v>0</v>
      </c>
      <c r="J75">
        <f>SUMIF(RawDataTotal!$B:$B,$A75,RawDataTotal!M:M)</f>
        <v>0</v>
      </c>
      <c r="K75">
        <f>SUMIF(RawDataTotal!$B:$B,$A75,RawDataTotal!N:N)</f>
        <v>0</v>
      </c>
      <c r="L75">
        <f>SUMIF(RawDataTotal!$B:$B,$A75,RawDataTotal!O:O)</f>
        <v>0</v>
      </c>
      <c r="M75">
        <f>SUMIF(RawDataTotal!$B:$B,$A75,RawDataTotal!P:P)</f>
        <v>0</v>
      </c>
      <c r="N75">
        <f>SUMIF(RawDataTotal!$B:$B,$A75,RawDataTotal!Q:Q)</f>
        <v>0</v>
      </c>
      <c r="O75">
        <f>SUMIF(RawDataTotal!$B:$B,$A75,RawDataTotal!R:R)</f>
        <v>0</v>
      </c>
      <c r="P75">
        <f>SUMIF(RawDataTotal!$B:$B,$A75,RawDataTotal!S:S)</f>
        <v>0</v>
      </c>
      <c r="Q75">
        <f>SUMIF(RawDataTotal!$B:$B,$A75,RawDataTotal!T:T)</f>
        <v>0</v>
      </c>
      <c r="R75">
        <f>SUMIF(RawDataTotal!$B:$B,$A75,RawDataTotal!U:U)</f>
        <v>0</v>
      </c>
      <c r="S75">
        <f>SUMIF(RawDataTotal!$B:$B,$A75,RawDataTotal!V:V)</f>
        <v>0</v>
      </c>
      <c r="T75">
        <f>SUMIF(RawDataTotal!$B:$B,$A75,RawDataTotal!W:W)</f>
        <v>0</v>
      </c>
      <c r="U75">
        <f>SUMIF(RawDataTotal!$B:$B,$A75,RawDataTotal!X:X)</f>
        <v>0</v>
      </c>
      <c r="V75">
        <f>SUMIF(RawDataTotal!$B:$B,$A75,RawDataTotal!Y:Y)</f>
        <v>0</v>
      </c>
      <c r="W75">
        <f>SUMIF(RawDataTotal!$B:$B,$A75,RawDataTotal!Z:Z)</f>
        <v>0</v>
      </c>
      <c r="X75">
        <f>SUMIF(RawDataTotal!$B:$B,$A75,RawDataTotal!AA:AA)</f>
        <v>0</v>
      </c>
      <c r="Y75">
        <f>SUMIF(RawDataTotal!$B:$B,$A75,RawDataTotal!AB:AB)</f>
        <v>0</v>
      </c>
      <c r="Z75">
        <f>SUMIF(RawDataTotal!$B:$B,$A75,RawDataTotal!AC:AC)</f>
        <v>0</v>
      </c>
      <c r="AA75">
        <f>SUMIF(RawDataTotal!$B:$B,$A75,RawDataTotal!AD:AD)</f>
        <v>0</v>
      </c>
      <c r="AB75">
        <f>SUMIF(RawDataTotal!$B:$B,$A75,RawDataTotal!AE:AE)</f>
        <v>0</v>
      </c>
      <c r="AC75">
        <f>SUMIF(RawDataTotal!$B:$B,$A75,RawDataTotal!AF:AF)</f>
        <v>0</v>
      </c>
      <c r="AD75">
        <f>SUMIF(RawDataTotal!$B:$B,$A75,RawDataTotal!AG:AG)</f>
        <v>0</v>
      </c>
      <c r="AE75">
        <f>SUMIF(RawDataTotal!$B:$B,$A75,RawDataTotal!AH:AH)</f>
        <v>0</v>
      </c>
      <c r="AF75">
        <f>SUMIF(RawDataTotal!$B:$B,$A75,RawDataTotal!AI:AI)</f>
        <v>0</v>
      </c>
      <c r="AG75">
        <f>SUMIF(RawDataTotal!$B:$B,$A75,RawDataTotal!AJ:AJ)</f>
        <v>0</v>
      </c>
      <c r="AH75">
        <f>SUMIF(RawDataTotal!$B:$B,$A75,RawDataTotal!AK:AK)</f>
        <v>0</v>
      </c>
      <c r="AI75">
        <f>SUMIF(RawDataTotal!$B:$B,$A75,RawDataTotal!AL:AL)</f>
        <v>0</v>
      </c>
      <c r="AJ75">
        <f>SUMIF(RawDataTotal!$B:$B,$A75,RawDataTotal!AM:AM)</f>
        <v>0</v>
      </c>
      <c r="AK75">
        <f>SUMIF(RawDataTotal!$B:$B,$A75,RawDataTotal!AN:AN)</f>
        <v>0</v>
      </c>
      <c r="AL75">
        <f>SUMIF(RawDataTotal!$B:$B,$A75,RawDataTotal!AO:AO)</f>
        <v>0</v>
      </c>
      <c r="AM75">
        <f>SUMIF(RawDataTotal!$B:$B,$A75,RawDataTotal!AP:AP)</f>
        <v>0</v>
      </c>
      <c r="AN75">
        <f>SUMIF(RawDataTotal!$B:$B,$A75,RawDataTotal!AQ:AQ)</f>
        <v>0</v>
      </c>
      <c r="AO75">
        <f>SUMIF(RawDataTotal!$B:$B,$A75,RawDataTotal!AR:AR)</f>
        <v>0</v>
      </c>
      <c r="AP75">
        <f>SUMIF(RawDataTotal!$B:$B,$A75,RawDataTotal!AS:AS)</f>
        <v>0</v>
      </c>
      <c r="AQ75">
        <f>SUMIF(RawDataTotal!$B:$B,$A75,RawDataTotal!AT:AT)</f>
        <v>0</v>
      </c>
      <c r="AR75">
        <f>SUMIF(RawDataTotal!$B:$B,$A75,RawDataTotal!AU:AU)</f>
        <v>0</v>
      </c>
      <c r="AS75">
        <f>SUMIF(RawDataTotal!$B:$B,$A75,RawDataTotal!AV:AV)</f>
        <v>0</v>
      </c>
      <c r="AT75">
        <f>SUMIF(RawDataTotal!$B:$B,$A75,RawDataTotal!AW:AW)</f>
        <v>0</v>
      </c>
      <c r="AU75">
        <f>SUMIF(RawDataTotal!$B:$B,$A75,RawDataTotal!AX:AX)</f>
        <v>0</v>
      </c>
      <c r="AV75">
        <f>SUMIF(RawDataTotal!$B:$B,$A75,RawDataTotal!AY:AY)</f>
        <v>0</v>
      </c>
      <c r="AW75">
        <f>SUMIF(RawDataTotal!$B:$B,$A75,RawDataTotal!AZ:AZ)</f>
        <v>2</v>
      </c>
      <c r="AX75">
        <f>SUMIF(RawDataTotal!$B:$B,$A75,RawDataTotal!BA:BA)</f>
        <v>3</v>
      </c>
      <c r="AY75">
        <f>SUMIF(RawDataTotal!$B:$B,$A75,RawDataTotal!BB:BB)</f>
        <v>6</v>
      </c>
      <c r="AZ75">
        <f>SUMIF(RawDataTotal!$B:$B,$A75,RawDataTotal!BC:BC)</f>
        <v>6</v>
      </c>
      <c r="BA75">
        <f>SUMIF(RawDataTotal!$B:$B,$A75,RawDataTotal!BD:BD)</f>
        <v>14</v>
      </c>
      <c r="BB75">
        <f>SUMIF(RawDataTotal!$B:$B,$A75,RawDataTotal!BE:BE)</f>
        <v>26</v>
      </c>
      <c r="BC75">
        <f>SUMIF(RawDataTotal!$B:$B,$A75,RawDataTotal!BF:BF)</f>
        <v>26</v>
      </c>
      <c r="BD75">
        <f>SUMIF(RawDataTotal!$B:$B,$A75,RawDataTotal!BG:BG)</f>
        <v>33</v>
      </c>
      <c r="BE75">
        <f>SUMIF(RawDataTotal!$B:$B,$A75,RawDataTotal!BH:BH)</f>
        <v>46</v>
      </c>
      <c r="BF75">
        <f>SUMIF(RawDataTotal!$B:$B,$A75,RawDataTotal!BI:BI)</f>
        <v>0</v>
      </c>
      <c r="BG75">
        <f>SUMIF(RawDataTotal!$B:$B,$A75,RawDataTotal!BJ:BJ)</f>
        <v>0</v>
      </c>
      <c r="BH75">
        <f>SUMIF(RawDataTotal!$B:$B,$A75,RawDataTotal!BK:BK)</f>
        <v>0</v>
      </c>
      <c r="BI75">
        <f>SUMIF(RawDataTotal!$B:$B,$A75,RawDataTotal!BL:BL)</f>
        <v>0</v>
      </c>
      <c r="BJ75">
        <f>SUMIF(RawDataTotal!$B:$B,$A75,RawDataTotal!BM:BM)</f>
        <v>0</v>
      </c>
      <c r="BK75">
        <f>SUMIF(RawDataTotal!$B:$B,$A75,RawDataTotal!BN:BN)</f>
        <v>0</v>
      </c>
      <c r="BL75">
        <f>SUMIF(RawDataTotal!$B:$B,$A75,RawDataTotal!BO:BO)</f>
        <v>0</v>
      </c>
      <c r="BM75">
        <f>SUMIF(RawDataTotal!$B:$B,$A75,RawDataTotal!BP:BP)</f>
        <v>0</v>
      </c>
      <c r="BN75">
        <f>SUMIF(RawDataTotal!$B:$B,$A75,RawDataTotal!BQ:BQ)</f>
        <v>0</v>
      </c>
      <c r="BO75">
        <f>SUMIF(RawDataTotal!$B:$B,$A75,RawDataTotal!BR:BR)</f>
        <v>0</v>
      </c>
      <c r="BP75">
        <f>SUMIF(RawDataTotal!$B:$B,$A75,RawDataTotal!BS:BS)</f>
        <v>0</v>
      </c>
      <c r="BQ75">
        <f>SUMIF(RawDataTotal!$B:$B,$A75,RawDataTotal!BT:BT)</f>
        <v>0</v>
      </c>
      <c r="BR75">
        <f>SUMIF(RawDataTotal!$B:$B,$A75,RawDataTotal!BU:BU)</f>
        <v>0</v>
      </c>
      <c r="BS75">
        <f>SUMIF(RawDataTotal!$B:$B,$A75,RawDataTotal!BV:BV)</f>
        <v>0</v>
      </c>
      <c r="BT75">
        <f>SUMIF(RawDataTotal!$B:$B,$A75,RawDataTotal!BW:BW)</f>
        <v>0</v>
      </c>
    </row>
    <row r="76" spans="1:72" ht="15" thickBot="1" x14ac:dyDescent="0.35">
      <c r="A76" s="3" t="s">
        <v>111</v>
      </c>
      <c r="B76">
        <f>SUMIF(RawDataTotal!$B:$B,$A76,RawDataTotal!E:E)</f>
        <v>0</v>
      </c>
      <c r="C76">
        <f>SUMIF(RawDataTotal!$B:$B,$A76,RawDataTotal!F:F)</f>
        <v>0</v>
      </c>
      <c r="D76">
        <f>SUMIF(RawDataTotal!$B:$B,$A76,RawDataTotal!G:G)</f>
        <v>0</v>
      </c>
      <c r="E76">
        <f>SUMIF(RawDataTotal!$B:$B,$A76,RawDataTotal!H:H)</f>
        <v>0</v>
      </c>
      <c r="F76">
        <f>SUMIF(RawDataTotal!$B:$B,$A76,RawDataTotal!I:I)</f>
        <v>0</v>
      </c>
      <c r="G76">
        <f>SUMIF(RawDataTotal!$B:$B,$A76,RawDataTotal!J:J)</f>
        <v>0</v>
      </c>
      <c r="H76">
        <f>SUMIF(RawDataTotal!$B:$B,$A76,RawDataTotal!K:K)</f>
        <v>0</v>
      </c>
      <c r="I76">
        <f>SUMIF(RawDataTotal!$B:$B,$A76,RawDataTotal!L:L)</f>
        <v>0</v>
      </c>
      <c r="J76">
        <f>SUMIF(RawDataTotal!$B:$B,$A76,RawDataTotal!M:M)</f>
        <v>0</v>
      </c>
      <c r="K76">
        <f>SUMIF(RawDataTotal!$B:$B,$A76,RawDataTotal!N:N)</f>
        <v>0</v>
      </c>
      <c r="L76">
        <f>SUMIF(RawDataTotal!$B:$B,$A76,RawDataTotal!O:O)</f>
        <v>0</v>
      </c>
      <c r="M76">
        <f>SUMIF(RawDataTotal!$B:$B,$A76,RawDataTotal!P:P)</f>
        <v>0</v>
      </c>
      <c r="N76">
        <f>SUMIF(RawDataTotal!$B:$B,$A76,RawDataTotal!Q:Q)</f>
        <v>0</v>
      </c>
      <c r="O76">
        <f>SUMIF(RawDataTotal!$B:$B,$A76,RawDataTotal!R:R)</f>
        <v>0</v>
      </c>
      <c r="P76">
        <f>SUMIF(RawDataTotal!$B:$B,$A76,RawDataTotal!S:S)</f>
        <v>0</v>
      </c>
      <c r="Q76">
        <f>SUMIF(RawDataTotal!$B:$B,$A76,RawDataTotal!T:T)</f>
        <v>0</v>
      </c>
      <c r="R76">
        <f>SUMIF(RawDataTotal!$B:$B,$A76,RawDataTotal!U:U)</f>
        <v>0</v>
      </c>
      <c r="S76">
        <f>SUMIF(RawDataTotal!$B:$B,$A76,RawDataTotal!V:V)</f>
        <v>0</v>
      </c>
      <c r="T76">
        <f>SUMIF(RawDataTotal!$B:$B,$A76,RawDataTotal!W:W)</f>
        <v>0</v>
      </c>
      <c r="U76">
        <f>SUMIF(RawDataTotal!$B:$B,$A76,RawDataTotal!X:X)</f>
        <v>0</v>
      </c>
      <c r="V76">
        <f>SUMIF(RawDataTotal!$B:$B,$A76,RawDataTotal!Y:Y)</f>
        <v>0</v>
      </c>
      <c r="W76">
        <f>SUMIF(RawDataTotal!$B:$B,$A76,RawDataTotal!Z:Z)</f>
        <v>0</v>
      </c>
      <c r="X76">
        <f>SUMIF(RawDataTotal!$B:$B,$A76,RawDataTotal!AA:AA)</f>
        <v>0</v>
      </c>
      <c r="Y76">
        <f>SUMIF(RawDataTotal!$B:$B,$A76,RawDataTotal!AB:AB)</f>
        <v>0</v>
      </c>
      <c r="Z76">
        <f>SUMIF(RawDataTotal!$B:$B,$A76,RawDataTotal!AC:AC)</f>
        <v>0</v>
      </c>
      <c r="AA76">
        <f>SUMIF(RawDataTotal!$B:$B,$A76,RawDataTotal!AD:AD)</f>
        <v>0</v>
      </c>
      <c r="AB76">
        <f>SUMIF(RawDataTotal!$B:$B,$A76,RawDataTotal!AE:AE)</f>
        <v>0</v>
      </c>
      <c r="AC76">
        <f>SUMIF(RawDataTotal!$B:$B,$A76,RawDataTotal!AF:AF)</f>
        <v>0</v>
      </c>
      <c r="AD76">
        <f>SUMIF(RawDataTotal!$B:$B,$A76,RawDataTotal!AG:AG)</f>
        <v>0</v>
      </c>
      <c r="AE76">
        <f>SUMIF(RawDataTotal!$B:$B,$A76,RawDataTotal!AH:AH)</f>
        <v>0</v>
      </c>
      <c r="AF76">
        <f>SUMIF(RawDataTotal!$B:$B,$A76,RawDataTotal!AI:AI)</f>
        <v>0</v>
      </c>
      <c r="AG76">
        <f>SUMIF(RawDataTotal!$B:$B,$A76,RawDataTotal!AJ:AJ)</f>
        <v>0</v>
      </c>
      <c r="AH76">
        <f>SUMIF(RawDataTotal!$B:$B,$A76,RawDataTotal!AK:AK)</f>
        <v>0</v>
      </c>
      <c r="AI76">
        <f>SUMIF(RawDataTotal!$B:$B,$A76,RawDataTotal!AL:AL)</f>
        <v>0</v>
      </c>
      <c r="AJ76">
        <f>SUMIF(RawDataTotal!$B:$B,$A76,RawDataTotal!AM:AM)</f>
        <v>0</v>
      </c>
      <c r="AK76">
        <f>SUMIF(RawDataTotal!$B:$B,$A76,RawDataTotal!AN:AN)</f>
        <v>1</v>
      </c>
      <c r="AL76">
        <f>SUMIF(RawDataTotal!$B:$B,$A76,RawDataTotal!AO:AO)</f>
        <v>1</v>
      </c>
      <c r="AM76">
        <f>SUMIF(RawDataTotal!$B:$B,$A76,RawDataTotal!AP:AP)</f>
        <v>1</v>
      </c>
      <c r="AN76">
        <f>SUMIF(RawDataTotal!$B:$B,$A76,RawDataTotal!AQ:AQ)</f>
        <v>1</v>
      </c>
      <c r="AO76">
        <f>SUMIF(RawDataTotal!$B:$B,$A76,RawDataTotal!AR:AR)</f>
        <v>1</v>
      </c>
      <c r="AP76">
        <f>SUMIF(RawDataTotal!$B:$B,$A76,RawDataTotal!AS:AS)</f>
        <v>1</v>
      </c>
      <c r="AQ76">
        <f>SUMIF(RawDataTotal!$B:$B,$A76,RawDataTotal!AT:AT)</f>
        <v>1</v>
      </c>
      <c r="AR76">
        <f>SUMIF(RawDataTotal!$B:$B,$A76,RawDataTotal!AU:AU)</f>
        <v>1</v>
      </c>
      <c r="AS76">
        <f>SUMIF(RawDataTotal!$B:$B,$A76,RawDataTotal!AV:AV)</f>
        <v>1</v>
      </c>
      <c r="AT76">
        <f>SUMIF(RawDataTotal!$B:$B,$A76,RawDataTotal!AW:AW)</f>
        <v>3</v>
      </c>
      <c r="AU76">
        <f>SUMIF(RawDataTotal!$B:$B,$A76,RawDataTotal!AX:AX)</f>
        <v>3</v>
      </c>
      <c r="AV76">
        <f>SUMIF(RawDataTotal!$B:$B,$A76,RawDataTotal!AY:AY)</f>
        <v>3</v>
      </c>
      <c r="AW76">
        <f>SUMIF(RawDataTotal!$B:$B,$A76,RawDataTotal!AZ:AZ)</f>
        <v>3</v>
      </c>
      <c r="AX76">
        <f>SUMIF(RawDataTotal!$B:$B,$A76,RawDataTotal!BA:BA)</f>
        <v>7</v>
      </c>
      <c r="AY76">
        <f>SUMIF(RawDataTotal!$B:$B,$A76,RawDataTotal!BB:BB)</f>
        <v>7</v>
      </c>
      <c r="AZ76">
        <f>SUMIF(RawDataTotal!$B:$B,$A76,RawDataTotal!BC:BC)</f>
        <v>7</v>
      </c>
      <c r="BA76">
        <f>SUMIF(RawDataTotal!$B:$B,$A76,RawDataTotal!BD:BD)</f>
        <v>14</v>
      </c>
      <c r="BB76">
        <f>SUMIF(RawDataTotal!$B:$B,$A76,RawDataTotal!BE:BE)</f>
        <v>14</v>
      </c>
      <c r="BC76">
        <f>SUMIF(RawDataTotal!$B:$B,$A76,RawDataTotal!BF:BF)</f>
        <v>14</v>
      </c>
      <c r="BD76">
        <f>SUMIF(RawDataTotal!$B:$B,$A76,RawDataTotal!BG:BG)</f>
        <v>18</v>
      </c>
      <c r="BE76">
        <f>SUMIF(RawDataTotal!$B:$B,$A76,RawDataTotal!BH:BH)</f>
        <v>26</v>
      </c>
      <c r="BF76">
        <f>SUMIF(RawDataTotal!$B:$B,$A76,RawDataTotal!BI:BI)</f>
        <v>0</v>
      </c>
      <c r="BG76">
        <f>SUMIF(RawDataTotal!$B:$B,$A76,RawDataTotal!BJ:BJ)</f>
        <v>0</v>
      </c>
      <c r="BH76">
        <f>SUMIF(RawDataTotal!$B:$B,$A76,RawDataTotal!BK:BK)</f>
        <v>0</v>
      </c>
      <c r="BI76">
        <f>SUMIF(RawDataTotal!$B:$B,$A76,RawDataTotal!BL:BL)</f>
        <v>0</v>
      </c>
      <c r="BJ76">
        <f>SUMIF(RawDataTotal!$B:$B,$A76,RawDataTotal!BM:BM)</f>
        <v>0</v>
      </c>
      <c r="BK76">
        <f>SUMIF(RawDataTotal!$B:$B,$A76,RawDataTotal!BN:BN)</f>
        <v>0</v>
      </c>
      <c r="BL76">
        <f>SUMIF(RawDataTotal!$B:$B,$A76,RawDataTotal!BO:BO)</f>
        <v>0</v>
      </c>
      <c r="BM76">
        <f>SUMIF(RawDataTotal!$B:$B,$A76,RawDataTotal!BP:BP)</f>
        <v>0</v>
      </c>
      <c r="BN76">
        <f>SUMIF(RawDataTotal!$B:$B,$A76,RawDataTotal!BQ:BQ)</f>
        <v>0</v>
      </c>
      <c r="BO76">
        <f>SUMIF(RawDataTotal!$B:$B,$A76,RawDataTotal!BR:BR)</f>
        <v>0</v>
      </c>
      <c r="BP76">
        <f>SUMIF(RawDataTotal!$B:$B,$A76,RawDataTotal!BS:BS)</f>
        <v>0</v>
      </c>
      <c r="BQ76">
        <f>SUMIF(RawDataTotal!$B:$B,$A76,RawDataTotal!BT:BT)</f>
        <v>0</v>
      </c>
      <c r="BR76">
        <f>SUMIF(RawDataTotal!$B:$B,$A76,RawDataTotal!BU:BU)</f>
        <v>0</v>
      </c>
      <c r="BS76">
        <f>SUMIF(RawDataTotal!$B:$B,$A76,RawDataTotal!BV:BV)</f>
        <v>0</v>
      </c>
      <c r="BT76">
        <f>SUMIF(RawDataTotal!$B:$B,$A76,RawDataTotal!BW:BW)</f>
        <v>0</v>
      </c>
    </row>
    <row r="77" spans="1:72" ht="15" thickBot="1" x14ac:dyDescent="0.35">
      <c r="A77" s="3" t="s">
        <v>167</v>
      </c>
      <c r="B77">
        <f>SUMIF(RawDataTotal!$B:$B,$A77,RawDataTotal!E:E)</f>
        <v>0</v>
      </c>
      <c r="C77">
        <f>SUMIF(RawDataTotal!$B:$B,$A77,RawDataTotal!F:F)</f>
        <v>0</v>
      </c>
      <c r="D77">
        <f>SUMIF(RawDataTotal!$B:$B,$A77,RawDataTotal!G:G)</f>
        <v>0</v>
      </c>
      <c r="E77">
        <f>SUMIF(RawDataTotal!$B:$B,$A77,RawDataTotal!H:H)</f>
        <v>0</v>
      </c>
      <c r="F77">
        <f>SUMIF(RawDataTotal!$B:$B,$A77,RawDataTotal!I:I)</f>
        <v>0</v>
      </c>
      <c r="G77">
        <f>SUMIF(RawDataTotal!$B:$B,$A77,RawDataTotal!J:J)</f>
        <v>0</v>
      </c>
      <c r="H77">
        <f>SUMIF(RawDataTotal!$B:$B,$A77,RawDataTotal!K:K)</f>
        <v>0</v>
      </c>
      <c r="I77">
        <f>SUMIF(RawDataTotal!$B:$B,$A77,RawDataTotal!L:L)</f>
        <v>0</v>
      </c>
      <c r="J77">
        <f>SUMIF(RawDataTotal!$B:$B,$A77,RawDataTotal!M:M)</f>
        <v>0</v>
      </c>
      <c r="K77">
        <f>SUMIF(RawDataTotal!$B:$B,$A77,RawDataTotal!N:N)</f>
        <v>0</v>
      </c>
      <c r="L77">
        <f>SUMIF(RawDataTotal!$B:$B,$A77,RawDataTotal!O:O)</f>
        <v>0</v>
      </c>
      <c r="M77">
        <f>SUMIF(RawDataTotal!$B:$B,$A77,RawDataTotal!P:P)</f>
        <v>0</v>
      </c>
      <c r="N77">
        <f>SUMIF(RawDataTotal!$B:$B,$A77,RawDataTotal!Q:Q)</f>
        <v>0</v>
      </c>
      <c r="O77">
        <f>SUMIF(RawDataTotal!$B:$B,$A77,RawDataTotal!R:R)</f>
        <v>0</v>
      </c>
      <c r="P77">
        <f>SUMIF(RawDataTotal!$B:$B,$A77,RawDataTotal!S:S)</f>
        <v>0</v>
      </c>
      <c r="Q77">
        <f>SUMIF(RawDataTotal!$B:$B,$A77,RawDataTotal!T:T)</f>
        <v>0</v>
      </c>
      <c r="R77">
        <f>SUMIF(RawDataTotal!$B:$B,$A77,RawDataTotal!U:U)</f>
        <v>0</v>
      </c>
      <c r="S77">
        <f>SUMIF(RawDataTotal!$B:$B,$A77,RawDataTotal!V:V)</f>
        <v>0</v>
      </c>
      <c r="T77">
        <f>SUMIF(RawDataTotal!$B:$B,$A77,RawDataTotal!W:W)</f>
        <v>0</v>
      </c>
      <c r="U77">
        <f>SUMIF(RawDataTotal!$B:$B,$A77,RawDataTotal!X:X)</f>
        <v>0</v>
      </c>
      <c r="V77">
        <f>SUMIF(RawDataTotal!$B:$B,$A77,RawDataTotal!Y:Y)</f>
        <v>0</v>
      </c>
      <c r="W77">
        <f>SUMIF(RawDataTotal!$B:$B,$A77,RawDataTotal!Z:Z)</f>
        <v>0</v>
      </c>
      <c r="X77">
        <f>SUMIF(RawDataTotal!$B:$B,$A77,RawDataTotal!AA:AA)</f>
        <v>0</v>
      </c>
      <c r="Y77">
        <f>SUMIF(RawDataTotal!$B:$B,$A77,RawDataTotal!AB:AB)</f>
        <v>0</v>
      </c>
      <c r="Z77">
        <f>SUMIF(RawDataTotal!$B:$B,$A77,RawDataTotal!AC:AC)</f>
        <v>0</v>
      </c>
      <c r="AA77">
        <f>SUMIF(RawDataTotal!$B:$B,$A77,RawDataTotal!AD:AD)</f>
        <v>0</v>
      </c>
      <c r="AB77">
        <f>SUMIF(RawDataTotal!$B:$B,$A77,RawDataTotal!AE:AE)</f>
        <v>0</v>
      </c>
      <c r="AC77">
        <f>SUMIF(RawDataTotal!$B:$B,$A77,RawDataTotal!AF:AF)</f>
        <v>0</v>
      </c>
      <c r="AD77">
        <f>SUMIF(RawDataTotal!$B:$B,$A77,RawDataTotal!AG:AG)</f>
        <v>0</v>
      </c>
      <c r="AE77">
        <f>SUMIF(RawDataTotal!$B:$B,$A77,RawDataTotal!AH:AH)</f>
        <v>0</v>
      </c>
      <c r="AF77">
        <f>SUMIF(RawDataTotal!$B:$B,$A77,RawDataTotal!AI:AI)</f>
        <v>0</v>
      </c>
      <c r="AG77">
        <f>SUMIF(RawDataTotal!$B:$B,$A77,RawDataTotal!AJ:AJ)</f>
        <v>0</v>
      </c>
      <c r="AH77">
        <f>SUMIF(RawDataTotal!$B:$B,$A77,RawDataTotal!AK:AK)</f>
        <v>0</v>
      </c>
      <c r="AI77">
        <f>SUMIF(RawDataTotal!$B:$B,$A77,RawDataTotal!AL:AL)</f>
        <v>0</v>
      </c>
      <c r="AJ77">
        <f>SUMIF(RawDataTotal!$B:$B,$A77,RawDataTotal!AM:AM)</f>
        <v>0</v>
      </c>
      <c r="AK77">
        <f>SUMIF(RawDataTotal!$B:$B,$A77,RawDataTotal!AN:AN)</f>
        <v>0</v>
      </c>
      <c r="AL77">
        <f>SUMIF(RawDataTotal!$B:$B,$A77,RawDataTotal!AO:AO)</f>
        <v>0</v>
      </c>
      <c r="AM77">
        <f>SUMIF(RawDataTotal!$B:$B,$A77,RawDataTotal!AP:AP)</f>
        <v>0</v>
      </c>
      <c r="AN77">
        <f>SUMIF(RawDataTotal!$B:$B,$A77,RawDataTotal!AQ:AQ)</f>
        <v>0</v>
      </c>
      <c r="AO77">
        <f>SUMIF(RawDataTotal!$B:$B,$A77,RawDataTotal!AR:AR)</f>
        <v>0</v>
      </c>
      <c r="AP77">
        <f>SUMIF(RawDataTotal!$B:$B,$A77,RawDataTotal!AS:AS)</f>
        <v>0</v>
      </c>
      <c r="AQ77">
        <f>SUMIF(RawDataTotal!$B:$B,$A77,RawDataTotal!AT:AT)</f>
        <v>0</v>
      </c>
      <c r="AR77">
        <f>SUMIF(RawDataTotal!$B:$B,$A77,RawDataTotal!AU:AU)</f>
        <v>0</v>
      </c>
      <c r="AS77">
        <f>SUMIF(RawDataTotal!$B:$B,$A77,RawDataTotal!AV:AV)</f>
        <v>2</v>
      </c>
      <c r="AT77">
        <f>SUMIF(RawDataTotal!$B:$B,$A77,RawDataTotal!AW:AW)</f>
        <v>2</v>
      </c>
      <c r="AU77">
        <f>SUMIF(RawDataTotal!$B:$B,$A77,RawDataTotal!AX:AX)</f>
        <v>3</v>
      </c>
      <c r="AV77">
        <f>SUMIF(RawDataTotal!$B:$B,$A77,RawDataTotal!AY:AY)</f>
        <v>3</v>
      </c>
      <c r="AW77">
        <f>SUMIF(RawDataTotal!$B:$B,$A77,RawDataTotal!AZ:AZ)</f>
        <v>3</v>
      </c>
      <c r="AX77">
        <f>SUMIF(RawDataTotal!$B:$B,$A77,RawDataTotal!BA:BA)</f>
        <v>5</v>
      </c>
      <c r="AY77">
        <f>SUMIF(RawDataTotal!$B:$B,$A77,RawDataTotal!BB:BB)</f>
        <v>7</v>
      </c>
      <c r="AZ77">
        <f>SUMIF(RawDataTotal!$B:$B,$A77,RawDataTotal!BC:BC)</f>
        <v>11</v>
      </c>
      <c r="BA77">
        <f>SUMIF(RawDataTotal!$B:$B,$A77,RawDataTotal!BD:BD)</f>
        <v>13</v>
      </c>
      <c r="BB77">
        <f>SUMIF(RawDataTotal!$B:$B,$A77,RawDataTotal!BE:BE)</f>
        <v>18</v>
      </c>
      <c r="BC77">
        <f>SUMIF(RawDataTotal!$B:$B,$A77,RawDataTotal!BF:BF)</f>
        <v>24</v>
      </c>
      <c r="BD77">
        <f>SUMIF(RawDataTotal!$B:$B,$A77,RawDataTotal!BG:BG)</f>
        <v>25</v>
      </c>
      <c r="BE77">
        <f>SUMIF(RawDataTotal!$B:$B,$A77,RawDataTotal!BH:BH)</f>
        <v>26</v>
      </c>
      <c r="BF77">
        <f>SUMIF(RawDataTotal!$B:$B,$A77,RawDataTotal!BI:BI)</f>
        <v>0</v>
      </c>
      <c r="BG77">
        <f>SUMIF(RawDataTotal!$B:$B,$A77,RawDataTotal!BJ:BJ)</f>
        <v>0</v>
      </c>
      <c r="BH77">
        <f>SUMIF(RawDataTotal!$B:$B,$A77,RawDataTotal!BK:BK)</f>
        <v>0</v>
      </c>
      <c r="BI77">
        <f>SUMIF(RawDataTotal!$B:$B,$A77,RawDataTotal!BL:BL)</f>
        <v>0</v>
      </c>
      <c r="BJ77">
        <f>SUMIF(RawDataTotal!$B:$B,$A77,RawDataTotal!BM:BM)</f>
        <v>0</v>
      </c>
      <c r="BK77">
        <f>SUMIF(RawDataTotal!$B:$B,$A77,RawDataTotal!BN:BN)</f>
        <v>0</v>
      </c>
      <c r="BL77">
        <f>SUMIF(RawDataTotal!$B:$B,$A77,RawDataTotal!BO:BO)</f>
        <v>0</v>
      </c>
      <c r="BM77">
        <f>SUMIF(RawDataTotal!$B:$B,$A77,RawDataTotal!BP:BP)</f>
        <v>0</v>
      </c>
      <c r="BN77">
        <f>SUMIF(RawDataTotal!$B:$B,$A77,RawDataTotal!BQ:BQ)</f>
        <v>0</v>
      </c>
      <c r="BO77">
        <f>SUMIF(RawDataTotal!$B:$B,$A77,RawDataTotal!BR:BR)</f>
        <v>0</v>
      </c>
      <c r="BP77">
        <f>SUMIF(RawDataTotal!$B:$B,$A77,RawDataTotal!BS:BS)</f>
        <v>0</v>
      </c>
      <c r="BQ77">
        <f>SUMIF(RawDataTotal!$B:$B,$A77,RawDataTotal!BT:BT)</f>
        <v>0</v>
      </c>
      <c r="BR77">
        <f>SUMIF(RawDataTotal!$B:$B,$A77,RawDataTotal!BU:BU)</f>
        <v>0</v>
      </c>
      <c r="BS77">
        <f>SUMIF(RawDataTotal!$B:$B,$A77,RawDataTotal!BV:BV)</f>
        <v>0</v>
      </c>
      <c r="BT77">
        <f>SUMIF(RawDataTotal!$B:$B,$A77,RawDataTotal!BW:BW)</f>
        <v>0</v>
      </c>
    </row>
    <row r="78" spans="1:72" ht="15" thickBot="1" x14ac:dyDescent="0.35">
      <c r="A78" s="4" t="s">
        <v>185</v>
      </c>
      <c r="B78">
        <f>SUMIF(RawDataTotal!$B:$B,$A78,RawDataTotal!E:E)</f>
        <v>0</v>
      </c>
      <c r="C78">
        <f>SUMIF(RawDataTotal!$B:$B,$A78,RawDataTotal!F:F)</f>
        <v>0</v>
      </c>
      <c r="D78">
        <f>SUMIF(RawDataTotal!$B:$B,$A78,RawDataTotal!G:G)</f>
        <v>0</v>
      </c>
      <c r="E78">
        <f>SUMIF(RawDataTotal!$B:$B,$A78,RawDataTotal!H:H)</f>
        <v>0</v>
      </c>
      <c r="F78">
        <f>SUMIF(RawDataTotal!$B:$B,$A78,RawDataTotal!I:I)</f>
        <v>0</v>
      </c>
      <c r="G78">
        <f>SUMIF(RawDataTotal!$B:$B,$A78,RawDataTotal!J:J)</f>
        <v>0</v>
      </c>
      <c r="H78">
        <f>SUMIF(RawDataTotal!$B:$B,$A78,RawDataTotal!K:K)</f>
        <v>0</v>
      </c>
      <c r="I78">
        <f>SUMIF(RawDataTotal!$B:$B,$A78,RawDataTotal!L:L)</f>
        <v>0</v>
      </c>
      <c r="J78">
        <f>SUMIF(RawDataTotal!$B:$B,$A78,RawDataTotal!M:M)</f>
        <v>0</v>
      </c>
      <c r="K78">
        <f>SUMIF(RawDataTotal!$B:$B,$A78,RawDataTotal!N:N)</f>
        <v>0</v>
      </c>
      <c r="L78">
        <f>SUMIF(RawDataTotal!$B:$B,$A78,RawDataTotal!O:O)</f>
        <v>0</v>
      </c>
      <c r="M78">
        <f>SUMIF(RawDataTotal!$B:$B,$A78,RawDataTotal!P:P)</f>
        <v>0</v>
      </c>
      <c r="N78">
        <f>SUMIF(RawDataTotal!$B:$B,$A78,RawDataTotal!Q:Q)</f>
        <v>0</v>
      </c>
      <c r="O78">
        <f>SUMIF(RawDataTotal!$B:$B,$A78,RawDataTotal!R:R)</f>
        <v>0</v>
      </c>
      <c r="P78">
        <f>SUMIF(RawDataTotal!$B:$B,$A78,RawDataTotal!S:S)</f>
        <v>0</v>
      </c>
      <c r="Q78">
        <f>SUMIF(RawDataTotal!$B:$B,$A78,RawDataTotal!T:T)</f>
        <v>0</v>
      </c>
      <c r="R78">
        <f>SUMIF(RawDataTotal!$B:$B,$A78,RawDataTotal!U:U)</f>
        <v>0</v>
      </c>
      <c r="S78">
        <f>SUMIF(RawDataTotal!$B:$B,$A78,RawDataTotal!V:V)</f>
        <v>0</v>
      </c>
      <c r="T78">
        <f>SUMIF(RawDataTotal!$B:$B,$A78,RawDataTotal!W:W)</f>
        <v>0</v>
      </c>
      <c r="U78">
        <f>SUMIF(RawDataTotal!$B:$B,$A78,RawDataTotal!X:X)</f>
        <v>0</v>
      </c>
      <c r="V78">
        <f>SUMIF(RawDataTotal!$B:$B,$A78,RawDataTotal!Y:Y)</f>
        <v>0</v>
      </c>
      <c r="W78">
        <f>SUMIF(RawDataTotal!$B:$B,$A78,RawDataTotal!Z:Z)</f>
        <v>0</v>
      </c>
      <c r="X78">
        <f>SUMIF(RawDataTotal!$B:$B,$A78,RawDataTotal!AA:AA)</f>
        <v>0</v>
      </c>
      <c r="Y78">
        <f>SUMIF(RawDataTotal!$B:$B,$A78,RawDataTotal!AB:AB)</f>
        <v>0</v>
      </c>
      <c r="Z78">
        <f>SUMIF(RawDataTotal!$B:$B,$A78,RawDataTotal!AC:AC)</f>
        <v>0</v>
      </c>
      <c r="AA78">
        <f>SUMIF(RawDataTotal!$B:$B,$A78,RawDataTotal!AD:AD)</f>
        <v>0</v>
      </c>
      <c r="AB78">
        <f>SUMIF(RawDataTotal!$B:$B,$A78,RawDataTotal!AE:AE)</f>
        <v>0</v>
      </c>
      <c r="AC78">
        <f>SUMIF(RawDataTotal!$B:$B,$A78,RawDataTotal!AF:AF)</f>
        <v>0</v>
      </c>
      <c r="AD78">
        <f>SUMIF(RawDataTotal!$B:$B,$A78,RawDataTotal!AG:AG)</f>
        <v>0</v>
      </c>
      <c r="AE78">
        <f>SUMIF(RawDataTotal!$B:$B,$A78,RawDataTotal!AH:AH)</f>
        <v>0</v>
      </c>
      <c r="AF78">
        <f>SUMIF(RawDataTotal!$B:$B,$A78,RawDataTotal!AI:AI)</f>
        <v>0</v>
      </c>
      <c r="AG78">
        <f>SUMIF(RawDataTotal!$B:$B,$A78,RawDataTotal!AJ:AJ)</f>
        <v>0</v>
      </c>
      <c r="AH78">
        <f>SUMIF(RawDataTotal!$B:$B,$A78,RawDataTotal!AK:AK)</f>
        <v>0</v>
      </c>
      <c r="AI78">
        <f>SUMIF(RawDataTotal!$B:$B,$A78,RawDataTotal!AL:AL)</f>
        <v>0</v>
      </c>
      <c r="AJ78">
        <f>SUMIF(RawDataTotal!$B:$B,$A78,RawDataTotal!AM:AM)</f>
        <v>0</v>
      </c>
      <c r="AK78">
        <f>SUMIF(RawDataTotal!$B:$B,$A78,RawDataTotal!AN:AN)</f>
        <v>0</v>
      </c>
      <c r="AL78">
        <f>SUMIF(RawDataTotal!$B:$B,$A78,RawDataTotal!AO:AO)</f>
        <v>0</v>
      </c>
      <c r="AM78">
        <f>SUMIF(RawDataTotal!$B:$B,$A78,RawDataTotal!AP:AP)</f>
        <v>0</v>
      </c>
      <c r="AN78">
        <f>SUMIF(RawDataTotal!$B:$B,$A78,RawDataTotal!AQ:AQ)</f>
        <v>0</v>
      </c>
      <c r="AO78">
        <f>SUMIF(RawDataTotal!$B:$B,$A78,RawDataTotal!AR:AR)</f>
        <v>0</v>
      </c>
      <c r="AP78">
        <f>SUMIF(RawDataTotal!$B:$B,$A78,RawDataTotal!AS:AS)</f>
        <v>0</v>
      </c>
      <c r="AQ78">
        <f>SUMIF(RawDataTotal!$B:$B,$A78,RawDataTotal!AT:AT)</f>
        <v>0</v>
      </c>
      <c r="AR78">
        <f>SUMIF(RawDataTotal!$B:$B,$A78,RawDataTotal!AU:AU)</f>
        <v>0</v>
      </c>
      <c r="AS78">
        <f>SUMIF(RawDataTotal!$B:$B,$A78,RawDataTotal!AV:AV)</f>
        <v>0</v>
      </c>
      <c r="AT78">
        <f>SUMIF(RawDataTotal!$B:$B,$A78,RawDataTotal!AW:AW)</f>
        <v>1</v>
      </c>
      <c r="AU78">
        <f>SUMIF(RawDataTotal!$B:$B,$A78,RawDataTotal!AX:AX)</f>
        <v>1</v>
      </c>
      <c r="AV78">
        <f>SUMIF(RawDataTotal!$B:$B,$A78,RawDataTotal!AY:AY)</f>
        <v>1</v>
      </c>
      <c r="AW78">
        <f>SUMIF(RawDataTotal!$B:$B,$A78,RawDataTotal!AZ:AZ)</f>
        <v>1</v>
      </c>
      <c r="AX78">
        <f>SUMIF(RawDataTotal!$B:$B,$A78,RawDataTotal!BA:BA)</f>
        <v>3</v>
      </c>
      <c r="AY78">
        <f>SUMIF(RawDataTotal!$B:$B,$A78,RawDataTotal!BB:BB)</f>
        <v>9</v>
      </c>
      <c r="AZ78">
        <f>SUMIF(RawDataTotal!$B:$B,$A78,RawDataTotal!BC:BC)</f>
        <v>9</v>
      </c>
      <c r="BA78">
        <f>SUMIF(RawDataTotal!$B:$B,$A78,RawDataTotal!BD:BD)</f>
        <v>13</v>
      </c>
      <c r="BB78">
        <f>SUMIF(RawDataTotal!$B:$B,$A78,RawDataTotal!BE:BE)</f>
        <v>22</v>
      </c>
      <c r="BC78">
        <f>SUMIF(RawDataTotal!$B:$B,$A78,RawDataTotal!BF:BF)</f>
        <v>34</v>
      </c>
      <c r="BD78">
        <f>SUMIF(RawDataTotal!$B:$B,$A78,RawDataTotal!BG:BG)</f>
        <v>54</v>
      </c>
      <c r="BE78">
        <f>SUMIF(RawDataTotal!$B:$B,$A78,RawDataTotal!BH:BH)</f>
        <v>65</v>
      </c>
      <c r="BF78">
        <f>SUMIF(RawDataTotal!$B:$B,$A78,RawDataTotal!BI:BI)</f>
        <v>0</v>
      </c>
      <c r="BG78">
        <f>SUMIF(RawDataTotal!$B:$B,$A78,RawDataTotal!BJ:BJ)</f>
        <v>0</v>
      </c>
      <c r="BH78">
        <f>SUMIF(RawDataTotal!$B:$B,$A78,RawDataTotal!BK:BK)</f>
        <v>0</v>
      </c>
      <c r="BI78">
        <f>SUMIF(RawDataTotal!$B:$B,$A78,RawDataTotal!BL:BL)</f>
        <v>0</v>
      </c>
      <c r="BJ78">
        <f>SUMIF(RawDataTotal!$B:$B,$A78,RawDataTotal!BM:BM)</f>
        <v>0</v>
      </c>
      <c r="BK78">
        <f>SUMIF(RawDataTotal!$B:$B,$A78,RawDataTotal!BN:BN)</f>
        <v>0</v>
      </c>
      <c r="BL78">
        <f>SUMIF(RawDataTotal!$B:$B,$A78,RawDataTotal!BO:BO)</f>
        <v>0</v>
      </c>
      <c r="BM78">
        <f>SUMIF(RawDataTotal!$B:$B,$A78,RawDataTotal!BP:BP)</f>
        <v>0</v>
      </c>
      <c r="BN78">
        <f>SUMIF(RawDataTotal!$B:$B,$A78,RawDataTotal!BQ:BQ)</f>
        <v>0</v>
      </c>
      <c r="BO78">
        <f>SUMIF(RawDataTotal!$B:$B,$A78,RawDataTotal!BR:BR)</f>
        <v>0</v>
      </c>
      <c r="BP78">
        <f>SUMIF(RawDataTotal!$B:$B,$A78,RawDataTotal!BS:BS)</f>
        <v>0</v>
      </c>
      <c r="BQ78">
        <f>SUMIF(RawDataTotal!$B:$B,$A78,RawDataTotal!BT:BT)</f>
        <v>0</v>
      </c>
      <c r="BR78">
        <f>SUMIF(RawDataTotal!$B:$B,$A78,RawDataTotal!BU:BU)</f>
        <v>0</v>
      </c>
      <c r="BS78">
        <f>SUMIF(RawDataTotal!$B:$B,$A78,RawDataTotal!BV:BV)</f>
        <v>0</v>
      </c>
      <c r="BT78">
        <f>SUMIF(RawDataTotal!$B:$B,$A78,RawDataTotal!BW:BW)</f>
        <v>0</v>
      </c>
    </row>
    <row r="79" spans="1:72" ht="15" thickBot="1" x14ac:dyDescent="0.35">
      <c r="A79" s="3" t="s">
        <v>204</v>
      </c>
      <c r="B79">
        <f>SUMIF(RawDataTotal!$B:$B,$A79,RawDataTotal!E:E)</f>
        <v>0</v>
      </c>
      <c r="C79">
        <f>SUMIF(RawDataTotal!$B:$B,$A79,RawDataTotal!F:F)</f>
        <v>0</v>
      </c>
      <c r="D79">
        <f>SUMIF(RawDataTotal!$B:$B,$A79,RawDataTotal!G:G)</f>
        <v>0</v>
      </c>
      <c r="E79">
        <f>SUMIF(RawDataTotal!$B:$B,$A79,RawDataTotal!H:H)</f>
        <v>0</v>
      </c>
      <c r="F79">
        <f>SUMIF(RawDataTotal!$B:$B,$A79,RawDataTotal!I:I)</f>
        <v>0</v>
      </c>
      <c r="G79">
        <f>SUMIF(RawDataTotal!$B:$B,$A79,RawDataTotal!J:J)</f>
        <v>0</v>
      </c>
      <c r="H79">
        <f>SUMIF(RawDataTotal!$B:$B,$A79,RawDataTotal!K:K)</f>
        <v>0</v>
      </c>
      <c r="I79">
        <f>SUMIF(RawDataTotal!$B:$B,$A79,RawDataTotal!L:L)</f>
        <v>0</v>
      </c>
      <c r="J79">
        <f>SUMIF(RawDataTotal!$B:$B,$A79,RawDataTotal!M:M)</f>
        <v>0</v>
      </c>
      <c r="K79">
        <f>SUMIF(RawDataTotal!$B:$B,$A79,RawDataTotal!N:N)</f>
        <v>0</v>
      </c>
      <c r="L79">
        <f>SUMIF(RawDataTotal!$B:$B,$A79,RawDataTotal!O:O)</f>
        <v>0</v>
      </c>
      <c r="M79">
        <f>SUMIF(RawDataTotal!$B:$B,$A79,RawDataTotal!P:P)</f>
        <v>0</v>
      </c>
      <c r="N79">
        <f>SUMIF(RawDataTotal!$B:$B,$A79,RawDataTotal!Q:Q)</f>
        <v>0</v>
      </c>
      <c r="O79">
        <f>SUMIF(RawDataTotal!$B:$B,$A79,RawDataTotal!R:R)</f>
        <v>0</v>
      </c>
      <c r="P79">
        <f>SUMIF(RawDataTotal!$B:$B,$A79,RawDataTotal!S:S)</f>
        <v>0</v>
      </c>
      <c r="Q79">
        <f>SUMIF(RawDataTotal!$B:$B,$A79,RawDataTotal!T:T)</f>
        <v>0</v>
      </c>
      <c r="R79">
        <f>SUMIF(RawDataTotal!$B:$B,$A79,RawDataTotal!U:U)</f>
        <v>0</v>
      </c>
      <c r="S79">
        <f>SUMIF(RawDataTotal!$B:$B,$A79,RawDataTotal!V:V)</f>
        <v>0</v>
      </c>
      <c r="T79">
        <f>SUMIF(RawDataTotal!$B:$B,$A79,RawDataTotal!W:W)</f>
        <v>0</v>
      </c>
      <c r="U79">
        <f>SUMIF(RawDataTotal!$B:$B,$A79,RawDataTotal!X:X)</f>
        <v>0</v>
      </c>
      <c r="V79">
        <f>SUMIF(RawDataTotal!$B:$B,$A79,RawDataTotal!Y:Y)</f>
        <v>0</v>
      </c>
      <c r="W79">
        <f>SUMIF(RawDataTotal!$B:$B,$A79,RawDataTotal!Z:Z)</f>
        <v>0</v>
      </c>
      <c r="X79">
        <f>SUMIF(RawDataTotal!$B:$B,$A79,RawDataTotal!AA:AA)</f>
        <v>0</v>
      </c>
      <c r="Y79">
        <f>SUMIF(RawDataTotal!$B:$B,$A79,RawDataTotal!AB:AB)</f>
        <v>0</v>
      </c>
      <c r="Z79">
        <f>SUMIF(RawDataTotal!$B:$B,$A79,RawDataTotal!AC:AC)</f>
        <v>0</v>
      </c>
      <c r="AA79">
        <f>SUMIF(RawDataTotal!$B:$B,$A79,RawDataTotal!AD:AD)</f>
        <v>0</v>
      </c>
      <c r="AB79">
        <f>SUMIF(RawDataTotal!$B:$B,$A79,RawDataTotal!AE:AE)</f>
        <v>0</v>
      </c>
      <c r="AC79">
        <f>SUMIF(RawDataTotal!$B:$B,$A79,RawDataTotal!AF:AF)</f>
        <v>0</v>
      </c>
      <c r="AD79">
        <f>SUMIF(RawDataTotal!$B:$B,$A79,RawDataTotal!AG:AG)</f>
        <v>0</v>
      </c>
      <c r="AE79">
        <f>SUMIF(RawDataTotal!$B:$B,$A79,RawDataTotal!AH:AH)</f>
        <v>0</v>
      </c>
      <c r="AF79">
        <f>SUMIF(RawDataTotal!$B:$B,$A79,RawDataTotal!AI:AI)</f>
        <v>0</v>
      </c>
      <c r="AG79">
        <f>SUMIF(RawDataTotal!$B:$B,$A79,RawDataTotal!AJ:AJ)</f>
        <v>0</v>
      </c>
      <c r="AH79">
        <f>SUMIF(RawDataTotal!$B:$B,$A79,RawDataTotal!AK:AK)</f>
        <v>0</v>
      </c>
      <c r="AI79">
        <f>SUMIF(RawDataTotal!$B:$B,$A79,RawDataTotal!AL:AL)</f>
        <v>0</v>
      </c>
      <c r="AJ79">
        <f>SUMIF(RawDataTotal!$B:$B,$A79,RawDataTotal!AM:AM)</f>
        <v>0</v>
      </c>
      <c r="AK79">
        <f>SUMIF(RawDataTotal!$B:$B,$A79,RawDataTotal!AN:AN)</f>
        <v>0</v>
      </c>
      <c r="AL79">
        <f>SUMIF(RawDataTotal!$B:$B,$A79,RawDataTotal!AO:AO)</f>
        <v>0</v>
      </c>
      <c r="AM79">
        <f>SUMIF(RawDataTotal!$B:$B,$A79,RawDataTotal!AP:AP)</f>
        <v>0</v>
      </c>
      <c r="AN79">
        <f>SUMIF(RawDataTotal!$B:$B,$A79,RawDataTotal!AQ:AQ)</f>
        <v>0</v>
      </c>
      <c r="AO79">
        <f>SUMIF(RawDataTotal!$B:$B,$A79,RawDataTotal!AR:AR)</f>
        <v>0</v>
      </c>
      <c r="AP79">
        <f>SUMIF(RawDataTotal!$B:$B,$A79,RawDataTotal!AS:AS)</f>
        <v>0</v>
      </c>
      <c r="AQ79">
        <f>SUMIF(RawDataTotal!$B:$B,$A79,RawDataTotal!AT:AT)</f>
        <v>0</v>
      </c>
      <c r="AR79">
        <f>SUMIF(RawDataTotal!$B:$B,$A79,RawDataTotal!AU:AU)</f>
        <v>0</v>
      </c>
      <c r="AS79">
        <f>SUMIF(RawDataTotal!$B:$B,$A79,RawDataTotal!AV:AV)</f>
        <v>0</v>
      </c>
      <c r="AT79">
        <f>SUMIF(RawDataTotal!$B:$B,$A79,RawDataTotal!AW:AW)</f>
        <v>0</v>
      </c>
      <c r="AU79">
        <f>SUMIF(RawDataTotal!$B:$B,$A79,RawDataTotal!AX:AX)</f>
        <v>3</v>
      </c>
      <c r="AV79">
        <f>SUMIF(RawDataTotal!$B:$B,$A79,RawDataTotal!AY:AY)</f>
        <v>3</v>
      </c>
      <c r="AW79">
        <f>SUMIF(RawDataTotal!$B:$B,$A79,RawDataTotal!AZ:AZ)</f>
        <v>3</v>
      </c>
      <c r="AX79">
        <f>SUMIF(RawDataTotal!$B:$B,$A79,RawDataTotal!BA:BA)</f>
        <v>5</v>
      </c>
      <c r="AY79">
        <f>SUMIF(RawDataTotal!$B:$B,$A79,RawDataTotal!BB:BB)</f>
        <v>6</v>
      </c>
      <c r="AZ79">
        <f>SUMIF(RawDataTotal!$B:$B,$A79,RawDataTotal!BC:BC)</f>
        <v>6</v>
      </c>
      <c r="BA79">
        <f>SUMIF(RawDataTotal!$B:$B,$A79,RawDataTotal!BD:BD)</f>
        <v>12</v>
      </c>
      <c r="BB79">
        <f>SUMIF(RawDataTotal!$B:$B,$A79,RawDataTotal!BE:BE)</f>
        <v>18</v>
      </c>
      <c r="BC79">
        <f>SUMIF(RawDataTotal!$B:$B,$A79,RawDataTotal!BF:BF)</f>
        <v>21</v>
      </c>
      <c r="BD79">
        <f>SUMIF(RawDataTotal!$B:$B,$A79,RawDataTotal!BG:BG)</f>
        <v>30</v>
      </c>
      <c r="BE79">
        <f>SUMIF(RawDataTotal!$B:$B,$A79,RawDataTotal!BH:BH)</f>
        <v>38</v>
      </c>
      <c r="BF79">
        <f>SUMIF(RawDataTotal!$B:$B,$A79,RawDataTotal!BI:BI)</f>
        <v>0</v>
      </c>
      <c r="BG79">
        <f>SUMIF(RawDataTotal!$B:$B,$A79,RawDataTotal!BJ:BJ)</f>
        <v>0</v>
      </c>
      <c r="BH79">
        <f>SUMIF(RawDataTotal!$B:$B,$A79,RawDataTotal!BK:BK)</f>
        <v>0</v>
      </c>
      <c r="BI79">
        <f>SUMIF(RawDataTotal!$B:$B,$A79,RawDataTotal!BL:BL)</f>
        <v>0</v>
      </c>
      <c r="BJ79">
        <f>SUMIF(RawDataTotal!$B:$B,$A79,RawDataTotal!BM:BM)</f>
        <v>0</v>
      </c>
      <c r="BK79">
        <f>SUMIF(RawDataTotal!$B:$B,$A79,RawDataTotal!BN:BN)</f>
        <v>0</v>
      </c>
      <c r="BL79">
        <f>SUMIF(RawDataTotal!$B:$B,$A79,RawDataTotal!BO:BO)</f>
        <v>0</v>
      </c>
      <c r="BM79">
        <f>SUMIF(RawDataTotal!$B:$B,$A79,RawDataTotal!BP:BP)</f>
        <v>0</v>
      </c>
      <c r="BN79">
        <f>SUMIF(RawDataTotal!$B:$B,$A79,RawDataTotal!BQ:BQ)</f>
        <v>0</v>
      </c>
      <c r="BO79">
        <f>SUMIF(RawDataTotal!$B:$B,$A79,RawDataTotal!BR:BR)</f>
        <v>0</v>
      </c>
      <c r="BP79">
        <f>SUMIF(RawDataTotal!$B:$B,$A79,RawDataTotal!BS:BS)</f>
        <v>0</v>
      </c>
      <c r="BQ79">
        <f>SUMIF(RawDataTotal!$B:$B,$A79,RawDataTotal!BT:BT)</f>
        <v>0</v>
      </c>
      <c r="BR79">
        <f>SUMIF(RawDataTotal!$B:$B,$A79,RawDataTotal!BU:BU)</f>
        <v>0</v>
      </c>
      <c r="BS79">
        <f>SUMIF(RawDataTotal!$B:$B,$A79,RawDataTotal!BV:BV)</f>
        <v>0</v>
      </c>
      <c r="BT79">
        <f>SUMIF(RawDataTotal!$B:$B,$A79,RawDataTotal!BW:BW)</f>
        <v>0</v>
      </c>
    </row>
    <row r="80" spans="1:72" ht="15" thickBot="1" x14ac:dyDescent="0.35">
      <c r="A80" s="4" t="s">
        <v>121</v>
      </c>
      <c r="B80">
        <f>SUMIF(RawDataTotal!$B:$B,$A80,RawDataTotal!E:E)</f>
        <v>0</v>
      </c>
      <c r="C80">
        <f>SUMIF(RawDataTotal!$B:$B,$A80,RawDataTotal!F:F)</f>
        <v>0</v>
      </c>
      <c r="D80">
        <f>SUMIF(RawDataTotal!$B:$B,$A80,RawDataTotal!G:G)</f>
        <v>0</v>
      </c>
      <c r="E80">
        <f>SUMIF(RawDataTotal!$B:$B,$A80,RawDataTotal!H:H)</f>
        <v>0</v>
      </c>
      <c r="F80">
        <f>SUMIF(RawDataTotal!$B:$B,$A80,RawDataTotal!I:I)</f>
        <v>0</v>
      </c>
      <c r="G80">
        <f>SUMIF(RawDataTotal!$B:$B,$A80,RawDataTotal!J:J)</f>
        <v>0</v>
      </c>
      <c r="H80">
        <f>SUMIF(RawDataTotal!$B:$B,$A80,RawDataTotal!K:K)</f>
        <v>0</v>
      </c>
      <c r="I80">
        <f>SUMIF(RawDataTotal!$B:$B,$A80,RawDataTotal!L:L)</f>
        <v>0</v>
      </c>
      <c r="J80">
        <f>SUMIF(RawDataTotal!$B:$B,$A80,RawDataTotal!M:M)</f>
        <v>0</v>
      </c>
      <c r="K80">
        <f>SUMIF(RawDataTotal!$B:$B,$A80,RawDataTotal!N:N)</f>
        <v>0</v>
      </c>
      <c r="L80">
        <f>SUMIF(RawDataTotal!$B:$B,$A80,RawDataTotal!O:O)</f>
        <v>0</v>
      </c>
      <c r="M80">
        <f>SUMIF(RawDataTotal!$B:$B,$A80,RawDataTotal!P:P)</f>
        <v>0</v>
      </c>
      <c r="N80">
        <f>SUMIF(RawDataTotal!$B:$B,$A80,RawDataTotal!Q:Q)</f>
        <v>0</v>
      </c>
      <c r="O80">
        <f>SUMIF(RawDataTotal!$B:$B,$A80,RawDataTotal!R:R)</f>
        <v>0</v>
      </c>
      <c r="P80">
        <f>SUMIF(RawDataTotal!$B:$B,$A80,RawDataTotal!S:S)</f>
        <v>0</v>
      </c>
      <c r="Q80">
        <f>SUMIF(RawDataTotal!$B:$B,$A80,RawDataTotal!T:T)</f>
        <v>0</v>
      </c>
      <c r="R80">
        <f>SUMIF(RawDataTotal!$B:$B,$A80,RawDataTotal!U:U)</f>
        <v>0</v>
      </c>
      <c r="S80">
        <f>SUMIF(RawDataTotal!$B:$B,$A80,RawDataTotal!V:V)</f>
        <v>0</v>
      </c>
      <c r="T80">
        <f>SUMIF(RawDataTotal!$B:$B,$A80,RawDataTotal!W:W)</f>
        <v>0</v>
      </c>
      <c r="U80">
        <f>SUMIF(RawDataTotal!$B:$B,$A80,RawDataTotal!X:X)</f>
        <v>0</v>
      </c>
      <c r="V80">
        <f>SUMIF(RawDataTotal!$B:$B,$A80,RawDataTotal!Y:Y)</f>
        <v>0</v>
      </c>
      <c r="W80">
        <f>SUMIF(RawDataTotal!$B:$B,$A80,RawDataTotal!Z:Z)</f>
        <v>0</v>
      </c>
      <c r="X80">
        <f>SUMIF(RawDataTotal!$B:$B,$A80,RawDataTotal!AA:AA)</f>
        <v>0</v>
      </c>
      <c r="Y80">
        <f>SUMIF(RawDataTotal!$B:$B,$A80,RawDataTotal!AB:AB)</f>
        <v>0</v>
      </c>
      <c r="Z80">
        <f>SUMIF(RawDataTotal!$B:$B,$A80,RawDataTotal!AC:AC)</f>
        <v>0</v>
      </c>
      <c r="AA80">
        <f>SUMIF(RawDataTotal!$B:$B,$A80,RawDataTotal!AD:AD)</f>
        <v>0</v>
      </c>
      <c r="AB80">
        <f>SUMIF(RawDataTotal!$B:$B,$A80,RawDataTotal!AE:AE)</f>
        <v>0</v>
      </c>
      <c r="AC80">
        <f>SUMIF(RawDataTotal!$B:$B,$A80,RawDataTotal!AF:AF)</f>
        <v>0</v>
      </c>
      <c r="AD80">
        <f>SUMIF(RawDataTotal!$B:$B,$A80,RawDataTotal!AG:AG)</f>
        <v>0</v>
      </c>
      <c r="AE80">
        <f>SUMIF(RawDataTotal!$B:$B,$A80,RawDataTotal!AH:AH)</f>
        <v>0</v>
      </c>
      <c r="AF80">
        <f>SUMIF(RawDataTotal!$B:$B,$A80,RawDataTotal!AI:AI)</f>
        <v>0</v>
      </c>
      <c r="AG80">
        <f>SUMIF(RawDataTotal!$B:$B,$A80,RawDataTotal!AJ:AJ)</f>
        <v>0</v>
      </c>
      <c r="AH80">
        <f>SUMIF(RawDataTotal!$B:$B,$A80,RawDataTotal!AK:AK)</f>
        <v>0</v>
      </c>
      <c r="AI80">
        <f>SUMIF(RawDataTotal!$B:$B,$A80,RawDataTotal!AL:AL)</f>
        <v>0</v>
      </c>
      <c r="AJ80">
        <f>SUMIF(RawDataTotal!$B:$B,$A80,RawDataTotal!AM:AM)</f>
        <v>0</v>
      </c>
      <c r="AK80">
        <f>SUMIF(RawDataTotal!$B:$B,$A80,RawDataTotal!AN:AN)</f>
        <v>0</v>
      </c>
      <c r="AL80">
        <f>SUMIF(RawDataTotal!$B:$B,$A80,RawDataTotal!AO:AO)</f>
        <v>0</v>
      </c>
      <c r="AM80">
        <f>SUMIF(RawDataTotal!$B:$B,$A80,RawDataTotal!AP:AP)</f>
        <v>1</v>
      </c>
      <c r="AN80">
        <f>SUMIF(RawDataTotal!$B:$B,$A80,RawDataTotal!AQ:AQ)</f>
        <v>4</v>
      </c>
      <c r="AO80">
        <f>SUMIF(RawDataTotal!$B:$B,$A80,RawDataTotal!AR:AR)</f>
        <v>5</v>
      </c>
      <c r="AP80">
        <f>SUMIF(RawDataTotal!$B:$B,$A80,RawDataTotal!AS:AS)</f>
        <v>5</v>
      </c>
      <c r="AQ80">
        <f>SUMIF(RawDataTotal!$B:$B,$A80,RawDataTotal!AT:AT)</f>
        <v>5</v>
      </c>
      <c r="AR80">
        <f>SUMIF(RawDataTotal!$B:$B,$A80,RawDataTotal!AU:AU)</f>
        <v>5</v>
      </c>
      <c r="AS80">
        <f>SUMIF(RawDataTotal!$B:$B,$A80,RawDataTotal!AV:AV)</f>
        <v>5</v>
      </c>
      <c r="AT80">
        <f>SUMIF(RawDataTotal!$B:$B,$A80,RawDataTotal!AW:AW)</f>
        <v>6</v>
      </c>
      <c r="AU80">
        <f>SUMIF(RawDataTotal!$B:$B,$A80,RawDataTotal!AX:AX)</f>
        <v>6</v>
      </c>
      <c r="AV80">
        <f>SUMIF(RawDataTotal!$B:$B,$A80,RawDataTotal!AY:AY)</f>
        <v>7</v>
      </c>
      <c r="AW80">
        <f>SUMIF(RawDataTotal!$B:$B,$A80,RawDataTotal!AZ:AZ)</f>
        <v>7</v>
      </c>
      <c r="AX80">
        <f>SUMIF(RawDataTotal!$B:$B,$A80,RawDataTotal!BA:BA)</f>
        <v>7</v>
      </c>
      <c r="AY80">
        <f>SUMIF(RawDataTotal!$B:$B,$A80,RawDataTotal!BB:BB)</f>
        <v>8</v>
      </c>
      <c r="AZ80">
        <f>SUMIF(RawDataTotal!$B:$B,$A80,RawDataTotal!BC:BC)</f>
        <v>12</v>
      </c>
      <c r="BA80">
        <f>SUMIF(RawDataTotal!$B:$B,$A80,RawDataTotal!BD:BD)</f>
        <v>12</v>
      </c>
      <c r="BB80">
        <f>SUMIF(RawDataTotal!$B:$B,$A80,RawDataTotal!BE:BE)</f>
        <v>26</v>
      </c>
      <c r="BC80">
        <f>SUMIF(RawDataTotal!$B:$B,$A80,RawDataTotal!BF:BF)</f>
        <v>41</v>
      </c>
      <c r="BD80">
        <f>SUMIF(RawDataTotal!$B:$B,$A80,RawDataTotal!BG:BG)</f>
        <v>53</v>
      </c>
      <c r="BE80">
        <f>SUMIF(RawDataTotal!$B:$B,$A80,RawDataTotal!BH:BH)</f>
        <v>82</v>
      </c>
      <c r="BF80">
        <f>SUMIF(RawDataTotal!$B:$B,$A80,RawDataTotal!BI:BI)</f>
        <v>0</v>
      </c>
      <c r="BG80">
        <f>SUMIF(RawDataTotal!$B:$B,$A80,RawDataTotal!BJ:BJ)</f>
        <v>0</v>
      </c>
      <c r="BH80">
        <f>SUMIF(RawDataTotal!$B:$B,$A80,RawDataTotal!BK:BK)</f>
        <v>0</v>
      </c>
      <c r="BI80">
        <f>SUMIF(RawDataTotal!$B:$B,$A80,RawDataTotal!BL:BL)</f>
        <v>0</v>
      </c>
      <c r="BJ80">
        <f>SUMIF(RawDataTotal!$B:$B,$A80,RawDataTotal!BM:BM)</f>
        <v>0</v>
      </c>
      <c r="BK80">
        <f>SUMIF(RawDataTotal!$B:$B,$A80,RawDataTotal!BN:BN)</f>
        <v>0</v>
      </c>
      <c r="BL80">
        <f>SUMIF(RawDataTotal!$B:$B,$A80,RawDataTotal!BO:BO)</f>
        <v>0</v>
      </c>
      <c r="BM80">
        <f>SUMIF(RawDataTotal!$B:$B,$A80,RawDataTotal!BP:BP)</f>
        <v>0</v>
      </c>
      <c r="BN80">
        <f>SUMIF(RawDataTotal!$B:$B,$A80,RawDataTotal!BQ:BQ)</f>
        <v>0</v>
      </c>
      <c r="BO80">
        <f>SUMIF(RawDataTotal!$B:$B,$A80,RawDataTotal!BR:BR)</f>
        <v>0</v>
      </c>
      <c r="BP80">
        <f>SUMIF(RawDataTotal!$B:$B,$A80,RawDataTotal!BS:BS)</f>
        <v>0</v>
      </c>
      <c r="BQ80">
        <f>SUMIF(RawDataTotal!$B:$B,$A80,RawDataTotal!BT:BT)</f>
        <v>0</v>
      </c>
      <c r="BR80">
        <f>SUMIF(RawDataTotal!$B:$B,$A80,RawDataTotal!BU:BU)</f>
        <v>0</v>
      </c>
      <c r="BS80">
        <f>SUMIF(RawDataTotal!$B:$B,$A80,RawDataTotal!BV:BV)</f>
        <v>0</v>
      </c>
      <c r="BT80">
        <f>SUMIF(RawDataTotal!$B:$B,$A80,RawDataTotal!BW:BW)</f>
        <v>0</v>
      </c>
    </row>
    <row r="81" spans="1:72" ht="15" thickBot="1" x14ac:dyDescent="0.35">
      <c r="A81" s="3" t="s">
        <v>141</v>
      </c>
      <c r="B81">
        <f>SUMIF(RawDataTotal!$B:$B,$A81,RawDataTotal!E:E)</f>
        <v>0</v>
      </c>
      <c r="C81">
        <f>SUMIF(RawDataTotal!$B:$B,$A81,RawDataTotal!F:F)</f>
        <v>0</v>
      </c>
      <c r="D81">
        <f>SUMIF(RawDataTotal!$B:$B,$A81,RawDataTotal!G:G)</f>
        <v>0</v>
      </c>
      <c r="E81">
        <f>SUMIF(RawDataTotal!$B:$B,$A81,RawDataTotal!H:H)</f>
        <v>0</v>
      </c>
      <c r="F81">
        <f>SUMIF(RawDataTotal!$B:$B,$A81,RawDataTotal!I:I)</f>
        <v>0</v>
      </c>
      <c r="G81">
        <f>SUMIF(RawDataTotal!$B:$B,$A81,RawDataTotal!J:J)</f>
        <v>0</v>
      </c>
      <c r="H81">
        <f>SUMIF(RawDataTotal!$B:$B,$A81,RawDataTotal!K:K)</f>
        <v>0</v>
      </c>
      <c r="I81">
        <f>SUMIF(RawDataTotal!$B:$B,$A81,RawDataTotal!L:L)</f>
        <v>0</v>
      </c>
      <c r="J81">
        <f>SUMIF(RawDataTotal!$B:$B,$A81,RawDataTotal!M:M)</f>
        <v>0</v>
      </c>
      <c r="K81">
        <f>SUMIF(RawDataTotal!$B:$B,$A81,RawDataTotal!N:N)</f>
        <v>0</v>
      </c>
      <c r="L81">
        <f>SUMIF(RawDataTotal!$B:$B,$A81,RawDataTotal!O:O)</f>
        <v>0</v>
      </c>
      <c r="M81">
        <f>SUMIF(RawDataTotal!$B:$B,$A81,RawDataTotal!P:P)</f>
        <v>0</v>
      </c>
      <c r="N81">
        <f>SUMIF(RawDataTotal!$B:$B,$A81,RawDataTotal!Q:Q)</f>
        <v>0</v>
      </c>
      <c r="O81">
        <f>SUMIF(RawDataTotal!$B:$B,$A81,RawDataTotal!R:R)</f>
        <v>0</v>
      </c>
      <c r="P81">
        <f>SUMIF(RawDataTotal!$B:$B,$A81,RawDataTotal!S:S)</f>
        <v>0</v>
      </c>
      <c r="Q81">
        <f>SUMIF(RawDataTotal!$B:$B,$A81,RawDataTotal!T:T)</f>
        <v>0</v>
      </c>
      <c r="R81">
        <f>SUMIF(RawDataTotal!$B:$B,$A81,RawDataTotal!U:U)</f>
        <v>0</v>
      </c>
      <c r="S81">
        <f>SUMIF(RawDataTotal!$B:$B,$A81,RawDataTotal!V:V)</f>
        <v>0</v>
      </c>
      <c r="T81">
        <f>SUMIF(RawDataTotal!$B:$B,$A81,RawDataTotal!W:W)</f>
        <v>0</v>
      </c>
      <c r="U81">
        <f>SUMIF(RawDataTotal!$B:$B,$A81,RawDataTotal!X:X)</f>
        <v>0</v>
      </c>
      <c r="V81">
        <f>SUMIF(RawDataTotal!$B:$B,$A81,RawDataTotal!Y:Y)</f>
        <v>0</v>
      </c>
      <c r="W81">
        <f>SUMIF(RawDataTotal!$B:$B,$A81,RawDataTotal!Z:Z)</f>
        <v>0</v>
      </c>
      <c r="X81">
        <f>SUMIF(RawDataTotal!$B:$B,$A81,RawDataTotal!AA:AA)</f>
        <v>0</v>
      </c>
      <c r="Y81">
        <f>SUMIF(RawDataTotal!$B:$B,$A81,RawDataTotal!AB:AB)</f>
        <v>0</v>
      </c>
      <c r="Z81">
        <f>SUMIF(RawDataTotal!$B:$B,$A81,RawDataTotal!AC:AC)</f>
        <v>0</v>
      </c>
      <c r="AA81">
        <f>SUMIF(RawDataTotal!$B:$B,$A81,RawDataTotal!AD:AD)</f>
        <v>0</v>
      </c>
      <c r="AB81">
        <f>SUMIF(RawDataTotal!$B:$B,$A81,RawDataTotal!AE:AE)</f>
        <v>0</v>
      </c>
      <c r="AC81">
        <f>SUMIF(RawDataTotal!$B:$B,$A81,RawDataTotal!AF:AF)</f>
        <v>0</v>
      </c>
      <c r="AD81">
        <f>SUMIF(RawDataTotal!$B:$B,$A81,RawDataTotal!AG:AG)</f>
        <v>0</v>
      </c>
      <c r="AE81">
        <f>SUMIF(RawDataTotal!$B:$B,$A81,RawDataTotal!AH:AH)</f>
        <v>0</v>
      </c>
      <c r="AF81">
        <f>SUMIF(RawDataTotal!$B:$B,$A81,RawDataTotal!AI:AI)</f>
        <v>0</v>
      </c>
      <c r="AG81">
        <f>SUMIF(RawDataTotal!$B:$B,$A81,RawDataTotal!AJ:AJ)</f>
        <v>0</v>
      </c>
      <c r="AH81">
        <f>SUMIF(RawDataTotal!$B:$B,$A81,RawDataTotal!AK:AK)</f>
        <v>0</v>
      </c>
      <c r="AI81">
        <f>SUMIF(RawDataTotal!$B:$B,$A81,RawDataTotal!AL:AL)</f>
        <v>0</v>
      </c>
      <c r="AJ81">
        <f>SUMIF(RawDataTotal!$B:$B,$A81,RawDataTotal!AM:AM)</f>
        <v>0</v>
      </c>
      <c r="AK81">
        <f>SUMIF(RawDataTotal!$B:$B,$A81,RawDataTotal!AN:AN)</f>
        <v>0</v>
      </c>
      <c r="AL81">
        <f>SUMIF(RawDataTotal!$B:$B,$A81,RawDataTotal!AO:AO)</f>
        <v>0</v>
      </c>
      <c r="AM81">
        <f>SUMIF(RawDataTotal!$B:$B,$A81,RawDataTotal!AP:AP)</f>
        <v>0</v>
      </c>
      <c r="AN81">
        <f>SUMIF(RawDataTotal!$B:$B,$A81,RawDataTotal!AQ:AQ)</f>
        <v>0</v>
      </c>
      <c r="AO81">
        <f>SUMIF(RawDataTotal!$B:$B,$A81,RawDataTotal!AR:AR)</f>
        <v>0</v>
      </c>
      <c r="AP81">
        <f>SUMIF(RawDataTotal!$B:$B,$A81,RawDataTotal!AS:AS)</f>
        <v>1</v>
      </c>
      <c r="AQ81">
        <f>SUMIF(RawDataTotal!$B:$B,$A81,RawDataTotal!AT:AT)</f>
        <v>2</v>
      </c>
      <c r="AR81">
        <f>SUMIF(RawDataTotal!$B:$B,$A81,RawDataTotal!AU:AU)</f>
        <v>4</v>
      </c>
      <c r="AS81">
        <f>SUMIF(RawDataTotal!$B:$B,$A81,RawDataTotal!AV:AV)</f>
        <v>4</v>
      </c>
      <c r="AT81">
        <f>SUMIF(RawDataTotal!$B:$B,$A81,RawDataTotal!AW:AW)</f>
        <v>4</v>
      </c>
      <c r="AU81">
        <f>SUMIF(RawDataTotal!$B:$B,$A81,RawDataTotal!AX:AX)</f>
        <v>4</v>
      </c>
      <c r="AV81">
        <f>SUMIF(RawDataTotal!$B:$B,$A81,RawDataTotal!AY:AY)</f>
        <v>4</v>
      </c>
      <c r="AW81">
        <f>SUMIF(RawDataTotal!$B:$B,$A81,RawDataTotal!AZ:AZ)</f>
        <v>4</v>
      </c>
      <c r="AX81">
        <f>SUMIF(RawDataTotal!$B:$B,$A81,RawDataTotal!BA:BA)</f>
        <v>4</v>
      </c>
      <c r="AY81">
        <f>SUMIF(RawDataTotal!$B:$B,$A81,RawDataTotal!BB:BB)</f>
        <v>4</v>
      </c>
      <c r="AZ81">
        <f>SUMIF(RawDataTotal!$B:$B,$A81,RawDataTotal!BC:BC)</f>
        <v>4</v>
      </c>
      <c r="BA81">
        <f>SUMIF(RawDataTotal!$B:$B,$A81,RawDataTotal!BD:BD)</f>
        <v>10</v>
      </c>
      <c r="BB81">
        <f>SUMIF(RawDataTotal!$B:$B,$A81,RawDataTotal!BE:BE)</f>
        <v>10</v>
      </c>
      <c r="BC81">
        <f>SUMIF(RawDataTotal!$B:$B,$A81,RawDataTotal!BF:BF)</f>
        <v>24</v>
      </c>
      <c r="BD81">
        <f>SUMIF(RawDataTotal!$B:$B,$A81,RawDataTotal!BG:BG)</f>
        <v>24</v>
      </c>
      <c r="BE81">
        <f>SUMIF(RawDataTotal!$B:$B,$A81,RawDataTotal!BH:BH)</f>
        <v>26</v>
      </c>
      <c r="BF81">
        <f>SUMIF(RawDataTotal!$B:$B,$A81,RawDataTotal!BI:BI)</f>
        <v>0</v>
      </c>
      <c r="BG81">
        <f>SUMIF(RawDataTotal!$B:$B,$A81,RawDataTotal!BJ:BJ)</f>
        <v>0</v>
      </c>
      <c r="BH81">
        <f>SUMIF(RawDataTotal!$B:$B,$A81,RawDataTotal!BK:BK)</f>
        <v>0</v>
      </c>
      <c r="BI81">
        <f>SUMIF(RawDataTotal!$B:$B,$A81,RawDataTotal!BL:BL)</f>
        <v>0</v>
      </c>
      <c r="BJ81">
        <f>SUMIF(RawDataTotal!$B:$B,$A81,RawDataTotal!BM:BM)</f>
        <v>0</v>
      </c>
      <c r="BK81">
        <f>SUMIF(RawDataTotal!$B:$B,$A81,RawDataTotal!BN:BN)</f>
        <v>0</v>
      </c>
      <c r="BL81">
        <f>SUMIF(RawDataTotal!$B:$B,$A81,RawDataTotal!BO:BO)</f>
        <v>0</v>
      </c>
      <c r="BM81">
        <f>SUMIF(RawDataTotal!$B:$B,$A81,RawDataTotal!BP:BP)</f>
        <v>0</v>
      </c>
      <c r="BN81">
        <f>SUMIF(RawDataTotal!$B:$B,$A81,RawDataTotal!BQ:BQ)</f>
        <v>0</v>
      </c>
      <c r="BO81">
        <f>SUMIF(RawDataTotal!$B:$B,$A81,RawDataTotal!BR:BR)</f>
        <v>0</v>
      </c>
      <c r="BP81">
        <f>SUMIF(RawDataTotal!$B:$B,$A81,RawDataTotal!BS:BS)</f>
        <v>0</v>
      </c>
      <c r="BQ81">
        <f>SUMIF(RawDataTotal!$B:$B,$A81,RawDataTotal!BT:BT)</f>
        <v>0</v>
      </c>
      <c r="BR81">
        <f>SUMIF(RawDataTotal!$B:$B,$A81,RawDataTotal!BU:BU)</f>
        <v>0</v>
      </c>
      <c r="BS81">
        <f>SUMIF(RawDataTotal!$B:$B,$A81,RawDataTotal!BV:BV)</f>
        <v>0</v>
      </c>
      <c r="BT81">
        <f>SUMIF(RawDataTotal!$B:$B,$A81,RawDataTotal!BW:BW)</f>
        <v>0</v>
      </c>
    </row>
    <row r="82" spans="1:72" ht="15" thickBot="1" x14ac:dyDescent="0.35">
      <c r="A82" s="4" t="s">
        <v>227</v>
      </c>
      <c r="B82">
        <f>SUMIF(RawDataTotal!$B:$B,$A82,RawDataTotal!E:E)</f>
        <v>0</v>
      </c>
      <c r="C82">
        <f>SUMIF(RawDataTotal!$B:$B,$A82,RawDataTotal!F:F)</f>
        <v>0</v>
      </c>
      <c r="D82">
        <f>SUMIF(RawDataTotal!$B:$B,$A82,RawDataTotal!G:G)</f>
        <v>0</v>
      </c>
      <c r="E82">
        <f>SUMIF(RawDataTotal!$B:$B,$A82,RawDataTotal!H:H)</f>
        <v>0</v>
      </c>
      <c r="F82">
        <f>SUMIF(RawDataTotal!$B:$B,$A82,RawDataTotal!I:I)</f>
        <v>0</v>
      </c>
      <c r="G82">
        <f>SUMIF(RawDataTotal!$B:$B,$A82,RawDataTotal!J:J)</f>
        <v>0</v>
      </c>
      <c r="H82">
        <f>SUMIF(RawDataTotal!$B:$B,$A82,RawDataTotal!K:K)</f>
        <v>0</v>
      </c>
      <c r="I82">
        <f>SUMIF(RawDataTotal!$B:$B,$A82,RawDataTotal!L:L)</f>
        <v>0</v>
      </c>
      <c r="J82">
        <f>SUMIF(RawDataTotal!$B:$B,$A82,RawDataTotal!M:M)</f>
        <v>0</v>
      </c>
      <c r="K82">
        <f>SUMIF(RawDataTotal!$B:$B,$A82,RawDataTotal!N:N)</f>
        <v>0</v>
      </c>
      <c r="L82">
        <f>SUMIF(RawDataTotal!$B:$B,$A82,RawDataTotal!O:O)</f>
        <v>0</v>
      </c>
      <c r="M82">
        <f>SUMIF(RawDataTotal!$B:$B,$A82,RawDataTotal!P:P)</f>
        <v>0</v>
      </c>
      <c r="N82">
        <f>SUMIF(RawDataTotal!$B:$B,$A82,RawDataTotal!Q:Q)</f>
        <v>0</v>
      </c>
      <c r="O82">
        <f>SUMIF(RawDataTotal!$B:$B,$A82,RawDataTotal!R:R)</f>
        <v>0</v>
      </c>
      <c r="P82">
        <f>SUMIF(RawDataTotal!$B:$B,$A82,RawDataTotal!S:S)</f>
        <v>0</v>
      </c>
      <c r="Q82">
        <f>SUMIF(RawDataTotal!$B:$B,$A82,RawDataTotal!T:T)</f>
        <v>0</v>
      </c>
      <c r="R82">
        <f>SUMIF(RawDataTotal!$B:$B,$A82,RawDataTotal!U:U)</f>
        <v>0</v>
      </c>
      <c r="S82">
        <f>SUMIF(RawDataTotal!$B:$B,$A82,RawDataTotal!V:V)</f>
        <v>0</v>
      </c>
      <c r="T82">
        <f>SUMIF(RawDataTotal!$B:$B,$A82,RawDataTotal!W:W)</f>
        <v>0</v>
      </c>
      <c r="U82">
        <f>SUMIF(RawDataTotal!$B:$B,$A82,RawDataTotal!X:X)</f>
        <v>0</v>
      </c>
      <c r="V82">
        <f>SUMIF(RawDataTotal!$B:$B,$A82,RawDataTotal!Y:Y)</f>
        <v>0</v>
      </c>
      <c r="W82">
        <f>SUMIF(RawDataTotal!$B:$B,$A82,RawDataTotal!Z:Z)</f>
        <v>0</v>
      </c>
      <c r="X82">
        <f>SUMIF(RawDataTotal!$B:$B,$A82,RawDataTotal!AA:AA)</f>
        <v>0</v>
      </c>
      <c r="Y82">
        <f>SUMIF(RawDataTotal!$B:$B,$A82,RawDataTotal!AB:AB)</f>
        <v>0</v>
      </c>
      <c r="Z82">
        <f>SUMIF(RawDataTotal!$B:$B,$A82,RawDataTotal!AC:AC)</f>
        <v>0</v>
      </c>
      <c r="AA82">
        <f>SUMIF(RawDataTotal!$B:$B,$A82,RawDataTotal!AD:AD)</f>
        <v>0</v>
      </c>
      <c r="AB82">
        <f>SUMIF(RawDataTotal!$B:$B,$A82,RawDataTotal!AE:AE)</f>
        <v>0</v>
      </c>
      <c r="AC82">
        <f>SUMIF(RawDataTotal!$B:$B,$A82,RawDataTotal!AF:AF)</f>
        <v>0</v>
      </c>
      <c r="AD82">
        <f>SUMIF(RawDataTotal!$B:$B,$A82,RawDataTotal!AG:AG)</f>
        <v>0</v>
      </c>
      <c r="AE82">
        <f>SUMIF(RawDataTotal!$B:$B,$A82,RawDataTotal!AH:AH)</f>
        <v>0</v>
      </c>
      <c r="AF82">
        <f>SUMIF(RawDataTotal!$B:$B,$A82,RawDataTotal!AI:AI)</f>
        <v>0</v>
      </c>
      <c r="AG82">
        <f>SUMIF(RawDataTotal!$B:$B,$A82,RawDataTotal!AJ:AJ)</f>
        <v>0</v>
      </c>
      <c r="AH82">
        <f>SUMIF(RawDataTotal!$B:$B,$A82,RawDataTotal!AK:AK)</f>
        <v>0</v>
      </c>
      <c r="AI82">
        <f>SUMIF(RawDataTotal!$B:$B,$A82,RawDataTotal!AL:AL)</f>
        <v>0</v>
      </c>
      <c r="AJ82">
        <f>SUMIF(RawDataTotal!$B:$B,$A82,RawDataTotal!AM:AM)</f>
        <v>0</v>
      </c>
      <c r="AK82">
        <f>SUMIF(RawDataTotal!$B:$B,$A82,RawDataTotal!AN:AN)</f>
        <v>0</v>
      </c>
      <c r="AL82">
        <f>SUMIF(RawDataTotal!$B:$B,$A82,RawDataTotal!AO:AO)</f>
        <v>0</v>
      </c>
      <c r="AM82">
        <f>SUMIF(RawDataTotal!$B:$B,$A82,RawDataTotal!AP:AP)</f>
        <v>0</v>
      </c>
      <c r="AN82">
        <f>SUMIF(RawDataTotal!$B:$B,$A82,RawDataTotal!AQ:AQ)</f>
        <v>0</v>
      </c>
      <c r="AO82">
        <f>SUMIF(RawDataTotal!$B:$B,$A82,RawDataTotal!AR:AR)</f>
        <v>0</v>
      </c>
      <c r="AP82">
        <f>SUMIF(RawDataTotal!$B:$B,$A82,RawDataTotal!AS:AS)</f>
        <v>0</v>
      </c>
      <c r="AQ82">
        <f>SUMIF(RawDataTotal!$B:$B,$A82,RawDataTotal!AT:AT)</f>
        <v>0</v>
      </c>
      <c r="AR82">
        <f>SUMIF(RawDataTotal!$B:$B,$A82,RawDataTotal!AU:AU)</f>
        <v>0</v>
      </c>
      <c r="AS82">
        <f>SUMIF(RawDataTotal!$B:$B,$A82,RawDataTotal!AV:AV)</f>
        <v>0</v>
      </c>
      <c r="AT82">
        <f>SUMIF(RawDataTotal!$B:$B,$A82,RawDataTotal!AW:AW)</f>
        <v>0</v>
      </c>
      <c r="AU82">
        <f>SUMIF(RawDataTotal!$B:$B,$A82,RawDataTotal!AX:AX)</f>
        <v>0</v>
      </c>
      <c r="AV82">
        <f>SUMIF(RawDataTotal!$B:$B,$A82,RawDataTotal!AY:AY)</f>
        <v>4</v>
      </c>
      <c r="AW82">
        <f>SUMIF(RawDataTotal!$B:$B,$A82,RawDataTotal!AZ:AZ)</f>
        <v>4</v>
      </c>
      <c r="AX82">
        <f>SUMIF(RawDataTotal!$B:$B,$A82,RawDataTotal!BA:BA)</f>
        <v>6</v>
      </c>
      <c r="AY82">
        <f>SUMIF(RawDataTotal!$B:$B,$A82,RawDataTotal!BB:BB)</f>
        <v>8</v>
      </c>
      <c r="AZ82">
        <f>SUMIF(RawDataTotal!$B:$B,$A82,RawDataTotal!BC:BC)</f>
        <v>8</v>
      </c>
      <c r="BA82">
        <f>SUMIF(RawDataTotal!$B:$B,$A82,RawDataTotal!BD:BD)</f>
        <v>9</v>
      </c>
      <c r="BB82">
        <f>SUMIF(RawDataTotal!$B:$B,$A82,RawDataTotal!BE:BE)</f>
        <v>10</v>
      </c>
      <c r="BC82">
        <f>SUMIF(RawDataTotal!$B:$B,$A82,RawDataTotal!BF:BF)</f>
        <v>13</v>
      </c>
      <c r="BD82">
        <f>SUMIF(RawDataTotal!$B:$B,$A82,RawDataTotal!BG:BG)</f>
        <v>13</v>
      </c>
      <c r="BE82">
        <f>SUMIF(RawDataTotal!$B:$B,$A82,RawDataTotal!BH:BH)</f>
        <v>13</v>
      </c>
      <c r="BF82">
        <f>SUMIF(RawDataTotal!$B:$B,$A82,RawDataTotal!BI:BI)</f>
        <v>0</v>
      </c>
      <c r="BG82">
        <f>SUMIF(RawDataTotal!$B:$B,$A82,RawDataTotal!BJ:BJ)</f>
        <v>0</v>
      </c>
      <c r="BH82">
        <f>SUMIF(RawDataTotal!$B:$B,$A82,RawDataTotal!BK:BK)</f>
        <v>0</v>
      </c>
      <c r="BI82">
        <f>SUMIF(RawDataTotal!$B:$B,$A82,RawDataTotal!BL:BL)</f>
        <v>0</v>
      </c>
      <c r="BJ82">
        <f>SUMIF(RawDataTotal!$B:$B,$A82,RawDataTotal!BM:BM)</f>
        <v>0</v>
      </c>
      <c r="BK82">
        <f>SUMIF(RawDataTotal!$B:$B,$A82,RawDataTotal!BN:BN)</f>
        <v>0</v>
      </c>
      <c r="BL82">
        <f>SUMIF(RawDataTotal!$B:$B,$A82,RawDataTotal!BO:BO)</f>
        <v>0</v>
      </c>
      <c r="BM82">
        <f>SUMIF(RawDataTotal!$B:$B,$A82,RawDataTotal!BP:BP)</f>
        <v>0</v>
      </c>
      <c r="BN82">
        <f>SUMIF(RawDataTotal!$B:$B,$A82,RawDataTotal!BQ:BQ)</f>
        <v>0</v>
      </c>
      <c r="BO82">
        <f>SUMIF(RawDataTotal!$B:$B,$A82,RawDataTotal!BR:BR)</f>
        <v>0</v>
      </c>
      <c r="BP82">
        <f>SUMIF(RawDataTotal!$B:$B,$A82,RawDataTotal!BS:BS)</f>
        <v>0</v>
      </c>
      <c r="BQ82">
        <f>SUMIF(RawDataTotal!$B:$B,$A82,RawDataTotal!BT:BT)</f>
        <v>0</v>
      </c>
      <c r="BR82">
        <f>SUMIF(RawDataTotal!$B:$B,$A82,RawDataTotal!BU:BU)</f>
        <v>0</v>
      </c>
      <c r="BS82">
        <f>SUMIF(RawDataTotal!$B:$B,$A82,RawDataTotal!BV:BV)</f>
        <v>0</v>
      </c>
      <c r="BT82">
        <f>SUMIF(RawDataTotal!$B:$B,$A82,RawDataTotal!BW:BW)</f>
        <v>0</v>
      </c>
    </row>
    <row r="83" spans="1:72" ht="15" thickBot="1" x14ac:dyDescent="0.35">
      <c r="A83" s="4" t="s">
        <v>132</v>
      </c>
      <c r="B83">
        <f>SUMIF(RawDataTotal!$B:$B,$A83,RawDataTotal!E:E)</f>
        <v>0</v>
      </c>
      <c r="C83">
        <f>SUMIF(RawDataTotal!$B:$B,$A83,RawDataTotal!F:F)</f>
        <v>0</v>
      </c>
      <c r="D83">
        <f>SUMIF(RawDataTotal!$B:$B,$A83,RawDataTotal!G:G)</f>
        <v>0</v>
      </c>
      <c r="E83">
        <f>SUMIF(RawDataTotal!$B:$B,$A83,RawDataTotal!H:H)</f>
        <v>0</v>
      </c>
      <c r="F83">
        <f>SUMIF(RawDataTotal!$B:$B,$A83,RawDataTotal!I:I)</f>
        <v>0</v>
      </c>
      <c r="G83">
        <f>SUMIF(RawDataTotal!$B:$B,$A83,RawDataTotal!J:J)</f>
        <v>0</v>
      </c>
      <c r="H83">
        <f>SUMIF(RawDataTotal!$B:$B,$A83,RawDataTotal!K:K)</f>
        <v>0</v>
      </c>
      <c r="I83">
        <f>SUMIF(RawDataTotal!$B:$B,$A83,RawDataTotal!L:L)</f>
        <v>0</v>
      </c>
      <c r="J83">
        <f>SUMIF(RawDataTotal!$B:$B,$A83,RawDataTotal!M:M)</f>
        <v>0</v>
      </c>
      <c r="K83">
        <f>SUMIF(RawDataTotal!$B:$B,$A83,RawDataTotal!N:N)</f>
        <v>0</v>
      </c>
      <c r="L83">
        <f>SUMIF(RawDataTotal!$B:$B,$A83,RawDataTotal!O:O)</f>
        <v>0</v>
      </c>
      <c r="M83">
        <f>SUMIF(RawDataTotal!$B:$B,$A83,RawDataTotal!P:P)</f>
        <v>0</v>
      </c>
      <c r="N83">
        <f>SUMIF(RawDataTotal!$B:$B,$A83,RawDataTotal!Q:Q)</f>
        <v>0</v>
      </c>
      <c r="O83">
        <f>SUMIF(RawDataTotal!$B:$B,$A83,RawDataTotal!R:R)</f>
        <v>0</v>
      </c>
      <c r="P83">
        <f>SUMIF(RawDataTotal!$B:$B,$A83,RawDataTotal!S:S)</f>
        <v>0</v>
      </c>
      <c r="Q83">
        <f>SUMIF(RawDataTotal!$B:$B,$A83,RawDataTotal!T:T)</f>
        <v>0</v>
      </c>
      <c r="R83">
        <f>SUMIF(RawDataTotal!$B:$B,$A83,RawDataTotal!U:U)</f>
        <v>0</v>
      </c>
      <c r="S83">
        <f>SUMIF(RawDataTotal!$B:$B,$A83,RawDataTotal!V:V)</f>
        <v>0</v>
      </c>
      <c r="T83">
        <f>SUMIF(RawDataTotal!$B:$B,$A83,RawDataTotal!W:W)</f>
        <v>0</v>
      </c>
      <c r="U83">
        <f>SUMIF(RawDataTotal!$B:$B,$A83,RawDataTotal!X:X)</f>
        <v>0</v>
      </c>
      <c r="V83">
        <f>SUMIF(RawDataTotal!$B:$B,$A83,RawDataTotal!Y:Y)</f>
        <v>0</v>
      </c>
      <c r="W83">
        <f>SUMIF(RawDataTotal!$B:$B,$A83,RawDataTotal!Z:Z)</f>
        <v>0</v>
      </c>
      <c r="X83">
        <f>SUMIF(RawDataTotal!$B:$B,$A83,RawDataTotal!AA:AA)</f>
        <v>0</v>
      </c>
      <c r="Y83">
        <f>SUMIF(RawDataTotal!$B:$B,$A83,RawDataTotal!AB:AB)</f>
        <v>0</v>
      </c>
      <c r="Z83">
        <f>SUMIF(RawDataTotal!$B:$B,$A83,RawDataTotal!AC:AC)</f>
        <v>0</v>
      </c>
      <c r="AA83">
        <f>SUMIF(RawDataTotal!$B:$B,$A83,RawDataTotal!AD:AD)</f>
        <v>0</v>
      </c>
      <c r="AB83">
        <f>SUMIF(RawDataTotal!$B:$B,$A83,RawDataTotal!AE:AE)</f>
        <v>0</v>
      </c>
      <c r="AC83">
        <f>SUMIF(RawDataTotal!$B:$B,$A83,RawDataTotal!AF:AF)</f>
        <v>0</v>
      </c>
      <c r="AD83">
        <f>SUMIF(RawDataTotal!$B:$B,$A83,RawDataTotal!AG:AG)</f>
        <v>0</v>
      </c>
      <c r="AE83">
        <f>SUMIF(RawDataTotal!$B:$B,$A83,RawDataTotal!AH:AH)</f>
        <v>0</v>
      </c>
      <c r="AF83">
        <f>SUMIF(RawDataTotal!$B:$B,$A83,RawDataTotal!AI:AI)</f>
        <v>0</v>
      </c>
      <c r="AG83">
        <f>SUMIF(RawDataTotal!$B:$B,$A83,RawDataTotal!AJ:AJ)</f>
        <v>0</v>
      </c>
      <c r="AH83">
        <f>SUMIF(RawDataTotal!$B:$B,$A83,RawDataTotal!AK:AK)</f>
        <v>0</v>
      </c>
      <c r="AI83">
        <f>SUMIF(RawDataTotal!$B:$B,$A83,RawDataTotal!AL:AL)</f>
        <v>0</v>
      </c>
      <c r="AJ83">
        <f>SUMIF(RawDataTotal!$B:$B,$A83,RawDataTotal!AM:AM)</f>
        <v>0</v>
      </c>
      <c r="AK83">
        <f>SUMIF(RawDataTotal!$B:$B,$A83,RawDataTotal!AN:AN)</f>
        <v>0</v>
      </c>
      <c r="AL83">
        <f>SUMIF(RawDataTotal!$B:$B,$A83,RawDataTotal!AO:AO)</f>
        <v>0</v>
      </c>
      <c r="AM83">
        <f>SUMIF(RawDataTotal!$B:$B,$A83,RawDataTotal!AP:AP)</f>
        <v>0</v>
      </c>
      <c r="AN83">
        <f>SUMIF(RawDataTotal!$B:$B,$A83,RawDataTotal!AQ:AQ)</f>
        <v>0</v>
      </c>
      <c r="AO83">
        <f>SUMIF(RawDataTotal!$B:$B,$A83,RawDataTotal!AR:AR)</f>
        <v>1</v>
      </c>
      <c r="AP83">
        <f>SUMIF(RawDataTotal!$B:$B,$A83,RawDataTotal!AS:AS)</f>
        <v>1</v>
      </c>
      <c r="AQ83">
        <f>SUMIF(RawDataTotal!$B:$B,$A83,RawDataTotal!AT:AT)</f>
        <v>1</v>
      </c>
      <c r="AR83">
        <f>SUMIF(RawDataTotal!$B:$B,$A83,RawDataTotal!AU:AU)</f>
        <v>1</v>
      </c>
      <c r="AS83">
        <f>SUMIF(RawDataTotal!$B:$B,$A83,RawDataTotal!AV:AV)</f>
        <v>1</v>
      </c>
      <c r="AT83">
        <f>SUMIF(RawDataTotal!$B:$B,$A83,RawDataTotal!AW:AW)</f>
        <v>1</v>
      </c>
      <c r="AU83">
        <f>SUMIF(RawDataTotal!$B:$B,$A83,RawDataTotal!AX:AX)</f>
        <v>1</v>
      </c>
      <c r="AV83">
        <f>SUMIF(RawDataTotal!$B:$B,$A83,RawDataTotal!AY:AY)</f>
        <v>1</v>
      </c>
      <c r="AW83">
        <f>SUMIF(RawDataTotal!$B:$B,$A83,RawDataTotal!AZ:AZ)</f>
        <v>1</v>
      </c>
      <c r="AX83">
        <f>SUMIF(RawDataTotal!$B:$B,$A83,RawDataTotal!BA:BA)</f>
        <v>1</v>
      </c>
      <c r="AY83">
        <f>SUMIF(RawDataTotal!$B:$B,$A83,RawDataTotal!BB:BB)</f>
        <v>1</v>
      </c>
      <c r="AZ83">
        <f>SUMIF(RawDataTotal!$B:$B,$A83,RawDataTotal!BC:BC)</f>
        <v>4</v>
      </c>
      <c r="BA83">
        <f>SUMIF(RawDataTotal!$B:$B,$A83,RawDataTotal!BD:BD)</f>
        <v>8</v>
      </c>
      <c r="BB83">
        <f>SUMIF(RawDataTotal!$B:$B,$A83,RawDataTotal!BE:BE)</f>
        <v>18</v>
      </c>
      <c r="BC83">
        <f>SUMIF(RawDataTotal!$B:$B,$A83,RawDataTotal!BF:BF)</f>
        <v>26</v>
      </c>
      <c r="BD83">
        <f>SUMIF(RawDataTotal!$B:$B,$A83,RawDataTotal!BG:BG)</f>
        <v>52</v>
      </c>
      <c r="BE83">
        <f>SUMIF(RawDataTotal!$B:$B,$A83,RawDataTotal!BH:BH)</f>
        <v>78</v>
      </c>
      <c r="BF83">
        <f>SUMIF(RawDataTotal!$B:$B,$A83,RawDataTotal!BI:BI)</f>
        <v>0</v>
      </c>
      <c r="BG83">
        <f>SUMIF(RawDataTotal!$B:$B,$A83,RawDataTotal!BJ:BJ)</f>
        <v>0</v>
      </c>
      <c r="BH83">
        <f>SUMIF(RawDataTotal!$B:$B,$A83,RawDataTotal!BK:BK)</f>
        <v>0</v>
      </c>
      <c r="BI83">
        <f>SUMIF(RawDataTotal!$B:$B,$A83,RawDataTotal!BL:BL)</f>
        <v>0</v>
      </c>
      <c r="BJ83">
        <f>SUMIF(RawDataTotal!$B:$B,$A83,RawDataTotal!BM:BM)</f>
        <v>0</v>
      </c>
      <c r="BK83">
        <f>SUMIF(RawDataTotal!$B:$B,$A83,RawDataTotal!BN:BN)</f>
        <v>0</v>
      </c>
      <c r="BL83">
        <f>SUMIF(RawDataTotal!$B:$B,$A83,RawDataTotal!BO:BO)</f>
        <v>0</v>
      </c>
      <c r="BM83">
        <f>SUMIF(RawDataTotal!$B:$B,$A83,RawDataTotal!BP:BP)</f>
        <v>0</v>
      </c>
      <c r="BN83">
        <f>SUMIF(RawDataTotal!$B:$B,$A83,RawDataTotal!BQ:BQ)</f>
        <v>0</v>
      </c>
      <c r="BO83">
        <f>SUMIF(RawDataTotal!$B:$B,$A83,RawDataTotal!BR:BR)</f>
        <v>0</v>
      </c>
      <c r="BP83">
        <f>SUMIF(RawDataTotal!$B:$B,$A83,RawDataTotal!BS:BS)</f>
        <v>0</v>
      </c>
      <c r="BQ83">
        <f>SUMIF(RawDataTotal!$B:$B,$A83,RawDataTotal!BT:BT)</f>
        <v>0</v>
      </c>
      <c r="BR83">
        <f>SUMIF(RawDataTotal!$B:$B,$A83,RawDataTotal!BU:BU)</f>
        <v>0</v>
      </c>
      <c r="BS83">
        <f>SUMIF(RawDataTotal!$B:$B,$A83,RawDataTotal!BV:BV)</f>
        <v>0</v>
      </c>
      <c r="BT83">
        <f>SUMIF(RawDataTotal!$B:$B,$A83,RawDataTotal!BW:BW)</f>
        <v>0</v>
      </c>
    </row>
    <row r="84" spans="1:72" ht="15" thickBot="1" x14ac:dyDescent="0.35">
      <c r="A84" s="3" t="s">
        <v>381</v>
      </c>
      <c r="B84">
        <f>SUMIF(RawDataTotal!$B:$B,$A84,RawDataTotal!E:E)</f>
        <v>0</v>
      </c>
      <c r="C84">
        <f>SUMIF(RawDataTotal!$B:$B,$A84,RawDataTotal!F:F)</f>
        <v>0</v>
      </c>
      <c r="D84">
        <f>SUMIF(RawDataTotal!$B:$B,$A84,RawDataTotal!G:G)</f>
        <v>0</v>
      </c>
      <c r="E84">
        <f>SUMIF(RawDataTotal!$B:$B,$A84,RawDataTotal!H:H)</f>
        <v>0</v>
      </c>
      <c r="F84">
        <f>SUMIF(RawDataTotal!$B:$B,$A84,RawDataTotal!I:I)</f>
        <v>0</v>
      </c>
      <c r="G84">
        <f>SUMIF(RawDataTotal!$B:$B,$A84,RawDataTotal!J:J)</f>
        <v>0</v>
      </c>
      <c r="H84">
        <f>SUMIF(RawDataTotal!$B:$B,$A84,RawDataTotal!K:K)</f>
        <v>0</v>
      </c>
      <c r="I84">
        <f>SUMIF(RawDataTotal!$B:$B,$A84,RawDataTotal!L:L)</f>
        <v>0</v>
      </c>
      <c r="J84">
        <f>SUMIF(RawDataTotal!$B:$B,$A84,RawDataTotal!M:M)</f>
        <v>0</v>
      </c>
      <c r="K84">
        <f>SUMIF(RawDataTotal!$B:$B,$A84,RawDataTotal!N:N)</f>
        <v>0</v>
      </c>
      <c r="L84">
        <f>SUMIF(RawDataTotal!$B:$B,$A84,RawDataTotal!O:O)</f>
        <v>0</v>
      </c>
      <c r="M84">
        <f>SUMIF(RawDataTotal!$B:$B,$A84,RawDataTotal!P:P)</f>
        <v>0</v>
      </c>
      <c r="N84">
        <f>SUMIF(RawDataTotal!$B:$B,$A84,RawDataTotal!Q:Q)</f>
        <v>0</v>
      </c>
      <c r="O84">
        <f>SUMIF(RawDataTotal!$B:$B,$A84,RawDataTotal!R:R)</f>
        <v>0</v>
      </c>
      <c r="P84">
        <f>SUMIF(RawDataTotal!$B:$B,$A84,RawDataTotal!S:S)</f>
        <v>0</v>
      </c>
      <c r="Q84">
        <f>SUMIF(RawDataTotal!$B:$B,$A84,RawDataTotal!T:T)</f>
        <v>0</v>
      </c>
      <c r="R84">
        <f>SUMIF(RawDataTotal!$B:$B,$A84,RawDataTotal!U:U)</f>
        <v>0</v>
      </c>
      <c r="S84">
        <f>SUMIF(RawDataTotal!$B:$B,$A84,RawDataTotal!V:V)</f>
        <v>0</v>
      </c>
      <c r="T84">
        <f>SUMIF(RawDataTotal!$B:$B,$A84,RawDataTotal!W:W)</f>
        <v>0</v>
      </c>
      <c r="U84">
        <f>SUMIF(RawDataTotal!$B:$B,$A84,RawDataTotal!X:X)</f>
        <v>0</v>
      </c>
      <c r="V84">
        <f>SUMIF(RawDataTotal!$B:$B,$A84,RawDataTotal!Y:Y)</f>
        <v>0</v>
      </c>
      <c r="W84">
        <f>SUMIF(RawDataTotal!$B:$B,$A84,RawDataTotal!Z:Z)</f>
        <v>0</v>
      </c>
      <c r="X84">
        <f>SUMIF(RawDataTotal!$B:$B,$A84,RawDataTotal!AA:AA)</f>
        <v>0</v>
      </c>
      <c r="Y84">
        <f>SUMIF(RawDataTotal!$B:$B,$A84,RawDataTotal!AB:AB)</f>
        <v>0</v>
      </c>
      <c r="Z84">
        <f>SUMIF(RawDataTotal!$B:$B,$A84,RawDataTotal!AC:AC)</f>
        <v>0</v>
      </c>
      <c r="AA84">
        <f>SUMIF(RawDataTotal!$B:$B,$A84,RawDataTotal!AD:AD)</f>
        <v>0</v>
      </c>
      <c r="AB84">
        <f>SUMIF(RawDataTotal!$B:$B,$A84,RawDataTotal!AE:AE)</f>
        <v>0</v>
      </c>
      <c r="AC84">
        <f>SUMIF(RawDataTotal!$B:$B,$A84,RawDataTotal!AF:AF)</f>
        <v>0</v>
      </c>
      <c r="AD84">
        <f>SUMIF(RawDataTotal!$B:$B,$A84,RawDataTotal!AG:AG)</f>
        <v>0</v>
      </c>
      <c r="AE84">
        <f>SUMIF(RawDataTotal!$B:$B,$A84,RawDataTotal!AH:AH)</f>
        <v>0</v>
      </c>
      <c r="AF84">
        <f>SUMIF(RawDataTotal!$B:$B,$A84,RawDataTotal!AI:AI)</f>
        <v>0</v>
      </c>
      <c r="AG84">
        <f>SUMIF(RawDataTotal!$B:$B,$A84,RawDataTotal!AJ:AJ)</f>
        <v>0</v>
      </c>
      <c r="AH84">
        <f>SUMIF(RawDataTotal!$B:$B,$A84,RawDataTotal!AK:AK)</f>
        <v>0</v>
      </c>
      <c r="AI84">
        <f>SUMIF(RawDataTotal!$B:$B,$A84,RawDataTotal!AL:AL)</f>
        <v>0</v>
      </c>
      <c r="AJ84">
        <f>SUMIF(RawDataTotal!$B:$B,$A84,RawDataTotal!AM:AM)</f>
        <v>0</v>
      </c>
      <c r="AK84">
        <f>SUMIF(RawDataTotal!$B:$B,$A84,RawDataTotal!AN:AN)</f>
        <v>0</v>
      </c>
      <c r="AL84">
        <f>SUMIF(RawDataTotal!$B:$B,$A84,RawDataTotal!AO:AO)</f>
        <v>0</v>
      </c>
      <c r="AM84">
        <f>SUMIF(RawDataTotal!$B:$B,$A84,RawDataTotal!AP:AP)</f>
        <v>0</v>
      </c>
      <c r="AN84">
        <f>SUMIF(RawDataTotal!$B:$B,$A84,RawDataTotal!AQ:AQ)</f>
        <v>0</v>
      </c>
      <c r="AO84">
        <f>SUMIF(RawDataTotal!$B:$B,$A84,RawDataTotal!AR:AR)</f>
        <v>0</v>
      </c>
      <c r="AP84">
        <f>SUMIF(RawDataTotal!$B:$B,$A84,RawDataTotal!AS:AS)</f>
        <v>0</v>
      </c>
      <c r="AQ84">
        <f>SUMIF(RawDataTotal!$B:$B,$A84,RawDataTotal!AT:AT)</f>
        <v>0</v>
      </c>
      <c r="AR84">
        <f>SUMIF(RawDataTotal!$B:$B,$A84,RawDataTotal!AU:AU)</f>
        <v>0</v>
      </c>
      <c r="AS84">
        <f>SUMIF(RawDataTotal!$B:$B,$A84,RawDataTotal!AV:AV)</f>
        <v>0</v>
      </c>
      <c r="AT84">
        <f>SUMIF(RawDataTotal!$B:$B,$A84,RawDataTotal!AW:AW)</f>
        <v>0</v>
      </c>
      <c r="AU84">
        <f>SUMIF(RawDataTotal!$B:$B,$A84,RawDataTotal!AX:AX)</f>
        <v>0</v>
      </c>
      <c r="AV84">
        <f>SUMIF(RawDataTotal!$B:$B,$A84,RawDataTotal!AY:AY)</f>
        <v>0</v>
      </c>
      <c r="AW84">
        <f>SUMIF(RawDataTotal!$B:$B,$A84,RawDataTotal!AZ:AZ)</f>
        <v>0</v>
      </c>
      <c r="AX84">
        <f>SUMIF(RawDataTotal!$B:$B,$A84,RawDataTotal!BA:BA)</f>
        <v>0</v>
      </c>
      <c r="AY84">
        <f>SUMIF(RawDataTotal!$B:$B,$A84,RawDataTotal!BB:BB)</f>
        <v>1</v>
      </c>
      <c r="AZ84">
        <f>SUMIF(RawDataTotal!$B:$B,$A84,RawDataTotal!BC:BC)</f>
        <v>2</v>
      </c>
      <c r="BA84">
        <f>SUMIF(RawDataTotal!$B:$B,$A84,RawDataTotal!BD:BD)</f>
        <v>8</v>
      </c>
      <c r="BB84">
        <f>SUMIF(RawDataTotal!$B:$B,$A84,RawDataTotal!BE:BE)</f>
        <v>8</v>
      </c>
      <c r="BC84">
        <f>SUMIF(RawDataTotal!$B:$B,$A84,RawDataTotal!BF:BF)</f>
        <v>10</v>
      </c>
      <c r="BD84">
        <f>SUMIF(RawDataTotal!$B:$B,$A84,RawDataTotal!BG:BG)</f>
        <v>10</v>
      </c>
      <c r="BE84">
        <f>SUMIF(RawDataTotal!$B:$B,$A84,RawDataTotal!BH:BH)</f>
        <v>12</v>
      </c>
      <c r="BF84">
        <f>SUMIF(RawDataTotal!$B:$B,$A84,RawDataTotal!BI:BI)</f>
        <v>0</v>
      </c>
      <c r="BG84">
        <f>SUMIF(RawDataTotal!$B:$B,$A84,RawDataTotal!BJ:BJ)</f>
        <v>0</v>
      </c>
      <c r="BH84">
        <f>SUMIF(RawDataTotal!$B:$B,$A84,RawDataTotal!BK:BK)</f>
        <v>0</v>
      </c>
      <c r="BI84">
        <f>SUMIF(RawDataTotal!$B:$B,$A84,RawDataTotal!BL:BL)</f>
        <v>0</v>
      </c>
      <c r="BJ84">
        <f>SUMIF(RawDataTotal!$B:$B,$A84,RawDataTotal!BM:BM)</f>
        <v>0</v>
      </c>
      <c r="BK84">
        <f>SUMIF(RawDataTotal!$B:$B,$A84,RawDataTotal!BN:BN)</f>
        <v>0</v>
      </c>
      <c r="BL84">
        <f>SUMIF(RawDataTotal!$B:$B,$A84,RawDataTotal!BO:BO)</f>
        <v>0</v>
      </c>
      <c r="BM84">
        <f>SUMIF(RawDataTotal!$B:$B,$A84,RawDataTotal!BP:BP)</f>
        <v>0</v>
      </c>
      <c r="BN84">
        <f>SUMIF(RawDataTotal!$B:$B,$A84,RawDataTotal!BQ:BQ)</f>
        <v>0</v>
      </c>
      <c r="BO84">
        <f>SUMIF(RawDataTotal!$B:$B,$A84,RawDataTotal!BR:BR)</f>
        <v>0</v>
      </c>
      <c r="BP84">
        <f>SUMIF(RawDataTotal!$B:$B,$A84,RawDataTotal!BS:BS)</f>
        <v>0</v>
      </c>
      <c r="BQ84">
        <f>SUMIF(RawDataTotal!$B:$B,$A84,RawDataTotal!BT:BT)</f>
        <v>0</v>
      </c>
      <c r="BR84">
        <f>SUMIF(RawDataTotal!$B:$B,$A84,RawDataTotal!BU:BU)</f>
        <v>0</v>
      </c>
      <c r="BS84">
        <f>SUMIF(RawDataTotal!$B:$B,$A84,RawDataTotal!BV:BV)</f>
        <v>0</v>
      </c>
      <c r="BT84">
        <f>SUMIF(RawDataTotal!$B:$B,$A84,RawDataTotal!BW:BW)</f>
        <v>0</v>
      </c>
    </row>
    <row r="85" spans="1:72" ht="15" thickBot="1" x14ac:dyDescent="0.35">
      <c r="A85" s="3" t="s">
        <v>99</v>
      </c>
      <c r="B85">
        <f>SUMIF(RawDataTotal!$B:$B,$A85,RawDataTotal!E:E)</f>
        <v>0</v>
      </c>
      <c r="C85">
        <f>SUMIF(RawDataTotal!$B:$B,$A85,RawDataTotal!F:F)</f>
        <v>0</v>
      </c>
      <c r="D85">
        <f>SUMIF(RawDataTotal!$B:$B,$A85,RawDataTotal!G:G)</f>
        <v>0</v>
      </c>
      <c r="E85">
        <f>SUMIF(RawDataTotal!$B:$B,$A85,RawDataTotal!H:H)</f>
        <v>0</v>
      </c>
      <c r="F85">
        <f>SUMIF(RawDataTotal!$B:$B,$A85,RawDataTotal!I:I)</f>
        <v>0</v>
      </c>
      <c r="G85">
        <f>SUMIF(RawDataTotal!$B:$B,$A85,RawDataTotal!J:J)</f>
        <v>0</v>
      </c>
      <c r="H85">
        <f>SUMIF(RawDataTotal!$B:$B,$A85,RawDataTotal!K:K)</f>
        <v>0</v>
      </c>
      <c r="I85">
        <f>SUMIF(RawDataTotal!$B:$B,$A85,RawDataTotal!L:L)</f>
        <v>0</v>
      </c>
      <c r="J85">
        <f>SUMIF(RawDataTotal!$B:$B,$A85,RawDataTotal!M:M)</f>
        <v>0</v>
      </c>
      <c r="K85">
        <f>SUMIF(RawDataTotal!$B:$B,$A85,RawDataTotal!N:N)</f>
        <v>0</v>
      </c>
      <c r="L85">
        <f>SUMIF(RawDataTotal!$B:$B,$A85,RawDataTotal!O:O)</f>
        <v>0</v>
      </c>
      <c r="M85">
        <f>SUMIF(RawDataTotal!$B:$B,$A85,RawDataTotal!P:P)</f>
        <v>0</v>
      </c>
      <c r="N85">
        <f>SUMIF(RawDataTotal!$B:$B,$A85,RawDataTotal!Q:Q)</f>
        <v>0</v>
      </c>
      <c r="O85">
        <f>SUMIF(RawDataTotal!$B:$B,$A85,RawDataTotal!R:R)</f>
        <v>0</v>
      </c>
      <c r="P85">
        <f>SUMIF(RawDataTotal!$B:$B,$A85,RawDataTotal!S:S)</f>
        <v>0</v>
      </c>
      <c r="Q85">
        <f>SUMIF(RawDataTotal!$B:$B,$A85,RawDataTotal!T:T)</f>
        <v>0</v>
      </c>
      <c r="R85">
        <f>SUMIF(RawDataTotal!$B:$B,$A85,RawDataTotal!U:U)</f>
        <v>0</v>
      </c>
      <c r="S85">
        <f>SUMIF(RawDataTotal!$B:$B,$A85,RawDataTotal!V:V)</f>
        <v>0</v>
      </c>
      <c r="T85">
        <f>SUMIF(RawDataTotal!$B:$B,$A85,RawDataTotal!W:W)</f>
        <v>0</v>
      </c>
      <c r="U85">
        <f>SUMIF(RawDataTotal!$B:$B,$A85,RawDataTotal!X:X)</f>
        <v>0</v>
      </c>
      <c r="V85">
        <f>SUMIF(RawDataTotal!$B:$B,$A85,RawDataTotal!Y:Y)</f>
        <v>0</v>
      </c>
      <c r="W85">
        <f>SUMIF(RawDataTotal!$B:$B,$A85,RawDataTotal!Z:Z)</f>
        <v>0</v>
      </c>
      <c r="X85">
        <f>SUMIF(RawDataTotal!$B:$B,$A85,RawDataTotal!AA:AA)</f>
        <v>0</v>
      </c>
      <c r="Y85">
        <f>SUMIF(RawDataTotal!$B:$B,$A85,RawDataTotal!AB:AB)</f>
        <v>0</v>
      </c>
      <c r="Z85">
        <f>SUMIF(RawDataTotal!$B:$B,$A85,RawDataTotal!AC:AC)</f>
        <v>0</v>
      </c>
      <c r="AA85">
        <f>SUMIF(RawDataTotal!$B:$B,$A85,RawDataTotal!AD:AD)</f>
        <v>0</v>
      </c>
      <c r="AB85">
        <f>SUMIF(RawDataTotal!$B:$B,$A85,RawDataTotal!AE:AE)</f>
        <v>0</v>
      </c>
      <c r="AC85">
        <f>SUMIF(RawDataTotal!$B:$B,$A85,RawDataTotal!AF:AF)</f>
        <v>0</v>
      </c>
      <c r="AD85">
        <f>SUMIF(RawDataTotal!$B:$B,$A85,RawDataTotal!AG:AG)</f>
        <v>0</v>
      </c>
      <c r="AE85">
        <f>SUMIF(RawDataTotal!$B:$B,$A85,RawDataTotal!AH:AH)</f>
        <v>0</v>
      </c>
      <c r="AF85">
        <f>SUMIF(RawDataTotal!$B:$B,$A85,RawDataTotal!AI:AI)</f>
        <v>0</v>
      </c>
      <c r="AG85">
        <f>SUMIF(RawDataTotal!$B:$B,$A85,RawDataTotal!AJ:AJ)</f>
        <v>0</v>
      </c>
      <c r="AH85">
        <f>SUMIF(RawDataTotal!$B:$B,$A85,RawDataTotal!AK:AK)</f>
        <v>0</v>
      </c>
      <c r="AI85">
        <f>SUMIF(RawDataTotal!$B:$B,$A85,RawDataTotal!AL:AL)</f>
        <v>1</v>
      </c>
      <c r="AJ85">
        <f>SUMIF(RawDataTotal!$B:$B,$A85,RawDataTotal!AM:AM)</f>
        <v>1</v>
      </c>
      <c r="AK85">
        <f>SUMIF(RawDataTotal!$B:$B,$A85,RawDataTotal!AN:AN)</f>
        <v>1</v>
      </c>
      <c r="AL85">
        <f>SUMIF(RawDataTotal!$B:$B,$A85,RawDataTotal!AO:AO)</f>
        <v>1</v>
      </c>
      <c r="AM85">
        <f>SUMIF(RawDataTotal!$B:$B,$A85,RawDataTotal!AP:AP)</f>
        <v>1</v>
      </c>
      <c r="AN85">
        <f>SUMIF(RawDataTotal!$B:$B,$A85,RawDataTotal!AQ:AQ)</f>
        <v>1</v>
      </c>
      <c r="AO85">
        <f>SUMIF(RawDataTotal!$B:$B,$A85,RawDataTotal!AR:AR)</f>
        <v>1</v>
      </c>
      <c r="AP85">
        <f>SUMIF(RawDataTotal!$B:$B,$A85,RawDataTotal!AS:AS)</f>
        <v>1</v>
      </c>
      <c r="AQ85">
        <f>SUMIF(RawDataTotal!$B:$B,$A85,RawDataTotal!AT:AT)</f>
        <v>1</v>
      </c>
      <c r="AR85">
        <f>SUMIF(RawDataTotal!$B:$B,$A85,RawDataTotal!AU:AU)</f>
        <v>1</v>
      </c>
      <c r="AS85">
        <f>SUMIF(RawDataTotal!$B:$B,$A85,RawDataTotal!AV:AV)</f>
        <v>1</v>
      </c>
      <c r="AT85">
        <f>SUMIF(RawDataTotal!$B:$B,$A85,RawDataTotal!AW:AW)</f>
        <v>1</v>
      </c>
      <c r="AU85">
        <f>SUMIF(RawDataTotal!$B:$B,$A85,RawDataTotal!AX:AX)</f>
        <v>1</v>
      </c>
      <c r="AV85">
        <f>SUMIF(RawDataTotal!$B:$B,$A85,RawDataTotal!AY:AY)</f>
        <v>4</v>
      </c>
      <c r="AW85">
        <f>SUMIF(RawDataTotal!$B:$B,$A85,RawDataTotal!AZ:AZ)</f>
        <v>4</v>
      </c>
      <c r="AX85">
        <f>SUMIF(RawDataTotal!$B:$B,$A85,RawDataTotal!BA:BA)</f>
        <v>5</v>
      </c>
      <c r="AY85">
        <f>SUMIF(RawDataTotal!$B:$B,$A85,RawDataTotal!BB:BB)</f>
        <v>7</v>
      </c>
      <c r="AZ85">
        <f>SUMIF(RawDataTotal!$B:$B,$A85,RawDataTotal!BC:BC)</f>
        <v>7</v>
      </c>
      <c r="BA85">
        <f>SUMIF(RawDataTotal!$B:$B,$A85,RawDataTotal!BD:BD)</f>
        <v>7</v>
      </c>
      <c r="BB85">
        <f>SUMIF(RawDataTotal!$B:$B,$A85,RawDataTotal!BE:BE)</f>
        <v>11</v>
      </c>
      <c r="BC85">
        <f>SUMIF(RawDataTotal!$B:$B,$A85,RawDataTotal!BF:BF)</f>
        <v>16</v>
      </c>
      <c r="BD85">
        <f>SUMIF(RawDataTotal!$B:$B,$A85,RawDataTotal!BG:BG)</f>
        <v>21</v>
      </c>
      <c r="BE85">
        <f>SUMIF(RawDataTotal!$B:$B,$A85,RawDataTotal!BH:BH)</f>
        <v>22</v>
      </c>
      <c r="BF85">
        <f>SUMIF(RawDataTotal!$B:$B,$A85,RawDataTotal!BI:BI)</f>
        <v>0</v>
      </c>
      <c r="BG85">
        <f>SUMIF(RawDataTotal!$B:$B,$A85,RawDataTotal!BJ:BJ)</f>
        <v>0</v>
      </c>
      <c r="BH85">
        <f>SUMIF(RawDataTotal!$B:$B,$A85,RawDataTotal!BK:BK)</f>
        <v>0</v>
      </c>
      <c r="BI85">
        <f>SUMIF(RawDataTotal!$B:$B,$A85,RawDataTotal!BL:BL)</f>
        <v>0</v>
      </c>
      <c r="BJ85">
        <f>SUMIF(RawDataTotal!$B:$B,$A85,RawDataTotal!BM:BM)</f>
        <v>0</v>
      </c>
      <c r="BK85">
        <f>SUMIF(RawDataTotal!$B:$B,$A85,RawDataTotal!BN:BN)</f>
        <v>0</v>
      </c>
      <c r="BL85">
        <f>SUMIF(RawDataTotal!$B:$B,$A85,RawDataTotal!BO:BO)</f>
        <v>0</v>
      </c>
      <c r="BM85">
        <f>SUMIF(RawDataTotal!$B:$B,$A85,RawDataTotal!BP:BP)</f>
        <v>0</v>
      </c>
      <c r="BN85">
        <f>SUMIF(RawDataTotal!$B:$B,$A85,RawDataTotal!BQ:BQ)</f>
        <v>0</v>
      </c>
      <c r="BO85">
        <f>SUMIF(RawDataTotal!$B:$B,$A85,RawDataTotal!BR:BR)</f>
        <v>0</v>
      </c>
      <c r="BP85">
        <f>SUMIF(RawDataTotal!$B:$B,$A85,RawDataTotal!BS:BS)</f>
        <v>0</v>
      </c>
      <c r="BQ85">
        <f>SUMIF(RawDataTotal!$B:$B,$A85,RawDataTotal!BT:BT)</f>
        <v>0</v>
      </c>
      <c r="BR85">
        <f>SUMIF(RawDataTotal!$B:$B,$A85,RawDataTotal!BU:BU)</f>
        <v>0</v>
      </c>
      <c r="BS85">
        <f>SUMIF(RawDataTotal!$B:$B,$A85,RawDataTotal!BV:BV)</f>
        <v>0</v>
      </c>
      <c r="BT85">
        <f>SUMIF(RawDataTotal!$B:$B,$A85,RawDataTotal!BW:BW)</f>
        <v>0</v>
      </c>
    </row>
    <row r="86" spans="1:72" ht="15" thickBot="1" x14ac:dyDescent="0.35">
      <c r="A86" s="3" t="s">
        <v>139</v>
      </c>
      <c r="B86">
        <f>SUMIF(RawDataTotal!$B:$B,$A86,RawDataTotal!E:E)</f>
        <v>0</v>
      </c>
      <c r="C86">
        <f>SUMIF(RawDataTotal!$B:$B,$A86,RawDataTotal!F:F)</f>
        <v>0</v>
      </c>
      <c r="D86">
        <f>SUMIF(RawDataTotal!$B:$B,$A86,RawDataTotal!G:G)</f>
        <v>0</v>
      </c>
      <c r="E86">
        <f>SUMIF(RawDataTotal!$B:$B,$A86,RawDataTotal!H:H)</f>
        <v>0</v>
      </c>
      <c r="F86">
        <f>SUMIF(RawDataTotal!$B:$B,$A86,RawDataTotal!I:I)</f>
        <v>0</v>
      </c>
      <c r="G86">
        <f>SUMIF(RawDataTotal!$B:$B,$A86,RawDataTotal!J:J)</f>
        <v>0</v>
      </c>
      <c r="H86">
        <f>SUMIF(RawDataTotal!$B:$B,$A86,RawDataTotal!K:K)</f>
        <v>0</v>
      </c>
      <c r="I86">
        <f>SUMIF(RawDataTotal!$B:$B,$A86,RawDataTotal!L:L)</f>
        <v>0</v>
      </c>
      <c r="J86">
        <f>SUMIF(RawDataTotal!$B:$B,$A86,RawDataTotal!M:M)</f>
        <v>0</v>
      </c>
      <c r="K86">
        <f>SUMIF(RawDataTotal!$B:$B,$A86,RawDataTotal!N:N)</f>
        <v>0</v>
      </c>
      <c r="L86">
        <f>SUMIF(RawDataTotal!$B:$B,$A86,RawDataTotal!O:O)</f>
        <v>0</v>
      </c>
      <c r="M86">
        <f>SUMIF(RawDataTotal!$B:$B,$A86,RawDataTotal!P:P)</f>
        <v>0</v>
      </c>
      <c r="N86">
        <f>SUMIF(RawDataTotal!$B:$B,$A86,RawDataTotal!Q:Q)</f>
        <v>0</v>
      </c>
      <c r="O86">
        <f>SUMIF(RawDataTotal!$B:$B,$A86,RawDataTotal!R:R)</f>
        <v>0</v>
      </c>
      <c r="P86">
        <f>SUMIF(RawDataTotal!$B:$B,$A86,RawDataTotal!S:S)</f>
        <v>0</v>
      </c>
      <c r="Q86">
        <f>SUMIF(RawDataTotal!$B:$B,$A86,RawDataTotal!T:T)</f>
        <v>0</v>
      </c>
      <c r="R86">
        <f>SUMIF(RawDataTotal!$B:$B,$A86,RawDataTotal!U:U)</f>
        <v>0</v>
      </c>
      <c r="S86">
        <f>SUMIF(RawDataTotal!$B:$B,$A86,RawDataTotal!V:V)</f>
        <v>0</v>
      </c>
      <c r="T86">
        <f>SUMIF(RawDataTotal!$B:$B,$A86,RawDataTotal!W:W)</f>
        <v>0</v>
      </c>
      <c r="U86">
        <f>SUMIF(RawDataTotal!$B:$B,$A86,RawDataTotal!X:X)</f>
        <v>0</v>
      </c>
      <c r="V86">
        <f>SUMIF(RawDataTotal!$B:$B,$A86,RawDataTotal!Y:Y)</f>
        <v>0</v>
      </c>
      <c r="W86">
        <f>SUMIF(RawDataTotal!$B:$B,$A86,RawDataTotal!Z:Z)</f>
        <v>0</v>
      </c>
      <c r="X86">
        <f>SUMIF(RawDataTotal!$B:$B,$A86,RawDataTotal!AA:AA)</f>
        <v>0</v>
      </c>
      <c r="Y86">
        <f>SUMIF(RawDataTotal!$B:$B,$A86,RawDataTotal!AB:AB)</f>
        <v>0</v>
      </c>
      <c r="Z86">
        <f>SUMIF(RawDataTotal!$B:$B,$A86,RawDataTotal!AC:AC)</f>
        <v>0</v>
      </c>
      <c r="AA86">
        <f>SUMIF(RawDataTotal!$B:$B,$A86,RawDataTotal!AD:AD)</f>
        <v>0</v>
      </c>
      <c r="AB86">
        <f>SUMIF(RawDataTotal!$B:$B,$A86,RawDataTotal!AE:AE)</f>
        <v>0</v>
      </c>
      <c r="AC86">
        <f>SUMIF(RawDataTotal!$B:$B,$A86,RawDataTotal!AF:AF)</f>
        <v>0</v>
      </c>
      <c r="AD86">
        <f>SUMIF(RawDataTotal!$B:$B,$A86,RawDataTotal!AG:AG)</f>
        <v>0</v>
      </c>
      <c r="AE86">
        <f>SUMIF(RawDataTotal!$B:$B,$A86,RawDataTotal!AH:AH)</f>
        <v>0</v>
      </c>
      <c r="AF86">
        <f>SUMIF(RawDataTotal!$B:$B,$A86,RawDataTotal!AI:AI)</f>
        <v>0</v>
      </c>
      <c r="AG86">
        <f>SUMIF(RawDataTotal!$B:$B,$A86,RawDataTotal!AJ:AJ)</f>
        <v>0</v>
      </c>
      <c r="AH86">
        <f>SUMIF(RawDataTotal!$B:$B,$A86,RawDataTotal!AK:AK)</f>
        <v>0</v>
      </c>
      <c r="AI86">
        <f>SUMIF(RawDataTotal!$B:$B,$A86,RawDataTotal!AL:AL)</f>
        <v>0</v>
      </c>
      <c r="AJ86">
        <f>SUMIF(RawDataTotal!$B:$B,$A86,RawDataTotal!AM:AM)</f>
        <v>0</v>
      </c>
      <c r="AK86">
        <f>SUMIF(RawDataTotal!$B:$B,$A86,RawDataTotal!AN:AN)</f>
        <v>0</v>
      </c>
      <c r="AL86">
        <f>SUMIF(RawDataTotal!$B:$B,$A86,RawDataTotal!AO:AO)</f>
        <v>0</v>
      </c>
      <c r="AM86">
        <f>SUMIF(RawDataTotal!$B:$B,$A86,RawDataTotal!AP:AP)</f>
        <v>0</v>
      </c>
      <c r="AN86">
        <f>SUMIF(RawDataTotal!$B:$B,$A86,RawDataTotal!AQ:AQ)</f>
        <v>0</v>
      </c>
      <c r="AO86">
        <f>SUMIF(RawDataTotal!$B:$B,$A86,RawDataTotal!AR:AR)</f>
        <v>0</v>
      </c>
      <c r="AP86">
        <f>SUMIF(RawDataTotal!$B:$B,$A86,RawDataTotal!AS:AS)</f>
        <v>1</v>
      </c>
      <c r="AQ86">
        <f>SUMIF(RawDataTotal!$B:$B,$A86,RawDataTotal!AT:AT)</f>
        <v>1</v>
      </c>
      <c r="AR86">
        <f>SUMIF(RawDataTotal!$B:$B,$A86,RawDataTotal!AU:AU)</f>
        <v>1</v>
      </c>
      <c r="AS86">
        <f>SUMIF(RawDataTotal!$B:$B,$A86,RawDataTotal!AV:AV)</f>
        <v>2</v>
      </c>
      <c r="AT86">
        <f>SUMIF(RawDataTotal!$B:$B,$A86,RawDataTotal!AW:AW)</f>
        <v>2</v>
      </c>
      <c r="AU86">
        <f>SUMIF(RawDataTotal!$B:$B,$A86,RawDataTotal!AX:AX)</f>
        <v>2</v>
      </c>
      <c r="AV86">
        <f>SUMIF(RawDataTotal!$B:$B,$A86,RawDataTotal!AY:AY)</f>
        <v>2</v>
      </c>
      <c r="AW86">
        <f>SUMIF(RawDataTotal!$B:$B,$A86,RawDataTotal!AZ:AZ)</f>
        <v>2</v>
      </c>
      <c r="AX86">
        <f>SUMIF(RawDataTotal!$B:$B,$A86,RawDataTotal!BA:BA)</f>
        <v>3</v>
      </c>
      <c r="AY86">
        <f>SUMIF(RawDataTotal!$B:$B,$A86,RawDataTotal!BB:BB)</f>
        <v>5</v>
      </c>
      <c r="AZ86">
        <f>SUMIF(RawDataTotal!$B:$B,$A86,RawDataTotal!BC:BC)</f>
        <v>6</v>
      </c>
      <c r="BA86">
        <f>SUMIF(RawDataTotal!$B:$B,$A86,RawDataTotal!BD:BD)</f>
        <v>7</v>
      </c>
      <c r="BB86">
        <f>SUMIF(RawDataTotal!$B:$B,$A86,RawDataTotal!BE:BE)</f>
        <v>17</v>
      </c>
      <c r="BC86">
        <f>SUMIF(RawDataTotal!$B:$B,$A86,RawDataTotal!BF:BF)</f>
        <v>28</v>
      </c>
      <c r="BD86">
        <f>SUMIF(RawDataTotal!$B:$B,$A86,RawDataTotal!BG:BG)</f>
        <v>29</v>
      </c>
      <c r="BE86">
        <f>SUMIF(RawDataTotal!$B:$B,$A86,RawDataTotal!BH:BH)</f>
        <v>38</v>
      </c>
      <c r="BF86">
        <f>SUMIF(RawDataTotal!$B:$B,$A86,RawDataTotal!BI:BI)</f>
        <v>0</v>
      </c>
      <c r="BG86">
        <f>SUMIF(RawDataTotal!$B:$B,$A86,RawDataTotal!BJ:BJ)</f>
        <v>0</v>
      </c>
      <c r="BH86">
        <f>SUMIF(RawDataTotal!$B:$B,$A86,RawDataTotal!BK:BK)</f>
        <v>0</v>
      </c>
      <c r="BI86">
        <f>SUMIF(RawDataTotal!$B:$B,$A86,RawDataTotal!BL:BL)</f>
        <v>0</v>
      </c>
      <c r="BJ86">
        <f>SUMIF(RawDataTotal!$B:$B,$A86,RawDataTotal!BM:BM)</f>
        <v>0</v>
      </c>
      <c r="BK86">
        <f>SUMIF(RawDataTotal!$B:$B,$A86,RawDataTotal!BN:BN)</f>
        <v>0</v>
      </c>
      <c r="BL86">
        <f>SUMIF(RawDataTotal!$B:$B,$A86,RawDataTotal!BO:BO)</f>
        <v>0</v>
      </c>
      <c r="BM86">
        <f>SUMIF(RawDataTotal!$B:$B,$A86,RawDataTotal!BP:BP)</f>
        <v>0</v>
      </c>
      <c r="BN86">
        <f>SUMIF(RawDataTotal!$B:$B,$A86,RawDataTotal!BQ:BQ)</f>
        <v>0</v>
      </c>
      <c r="BO86">
        <f>SUMIF(RawDataTotal!$B:$B,$A86,RawDataTotal!BR:BR)</f>
        <v>0</v>
      </c>
      <c r="BP86">
        <f>SUMIF(RawDataTotal!$B:$B,$A86,RawDataTotal!BS:BS)</f>
        <v>0</v>
      </c>
      <c r="BQ86">
        <f>SUMIF(RawDataTotal!$B:$B,$A86,RawDataTotal!BT:BT)</f>
        <v>0</v>
      </c>
      <c r="BR86">
        <f>SUMIF(RawDataTotal!$B:$B,$A86,RawDataTotal!BU:BU)</f>
        <v>0</v>
      </c>
      <c r="BS86">
        <f>SUMIF(RawDataTotal!$B:$B,$A86,RawDataTotal!BV:BV)</f>
        <v>0</v>
      </c>
      <c r="BT86">
        <f>SUMIF(RawDataTotal!$B:$B,$A86,RawDataTotal!BW:BW)</f>
        <v>0</v>
      </c>
    </row>
    <row r="87" spans="1:72" ht="15" thickBot="1" x14ac:dyDescent="0.35">
      <c r="A87" s="3" t="s">
        <v>120</v>
      </c>
      <c r="B87">
        <f>SUMIF(RawDataTotal!$B:$B,$A87,RawDataTotal!E:E)</f>
        <v>0</v>
      </c>
      <c r="C87">
        <f>SUMIF(RawDataTotal!$B:$B,$A87,RawDataTotal!F:F)</f>
        <v>0</v>
      </c>
      <c r="D87">
        <f>SUMIF(RawDataTotal!$B:$B,$A87,RawDataTotal!G:G)</f>
        <v>0</v>
      </c>
      <c r="E87">
        <f>SUMIF(RawDataTotal!$B:$B,$A87,RawDataTotal!H:H)</f>
        <v>0</v>
      </c>
      <c r="F87">
        <f>SUMIF(RawDataTotal!$B:$B,$A87,RawDataTotal!I:I)</f>
        <v>0</v>
      </c>
      <c r="G87">
        <f>SUMIF(RawDataTotal!$B:$B,$A87,RawDataTotal!J:J)</f>
        <v>0</v>
      </c>
      <c r="H87">
        <f>SUMIF(RawDataTotal!$B:$B,$A87,RawDataTotal!K:K)</f>
        <v>0</v>
      </c>
      <c r="I87">
        <f>SUMIF(RawDataTotal!$B:$B,$A87,RawDataTotal!L:L)</f>
        <v>0</v>
      </c>
      <c r="J87">
        <f>SUMIF(RawDataTotal!$B:$B,$A87,RawDataTotal!M:M)</f>
        <v>0</v>
      </c>
      <c r="K87">
        <f>SUMIF(RawDataTotal!$B:$B,$A87,RawDataTotal!N:N)</f>
        <v>0</v>
      </c>
      <c r="L87">
        <f>SUMIF(RawDataTotal!$B:$B,$A87,RawDataTotal!O:O)</f>
        <v>0</v>
      </c>
      <c r="M87">
        <f>SUMIF(RawDataTotal!$B:$B,$A87,RawDataTotal!P:P)</f>
        <v>0</v>
      </c>
      <c r="N87">
        <f>SUMIF(RawDataTotal!$B:$B,$A87,RawDataTotal!Q:Q)</f>
        <v>0</v>
      </c>
      <c r="O87">
        <f>SUMIF(RawDataTotal!$B:$B,$A87,RawDataTotal!R:R)</f>
        <v>0</v>
      </c>
      <c r="P87">
        <f>SUMIF(RawDataTotal!$B:$B,$A87,RawDataTotal!S:S)</f>
        <v>0</v>
      </c>
      <c r="Q87">
        <f>SUMIF(RawDataTotal!$B:$B,$A87,RawDataTotal!T:T)</f>
        <v>0</v>
      </c>
      <c r="R87">
        <f>SUMIF(RawDataTotal!$B:$B,$A87,RawDataTotal!U:U)</f>
        <v>0</v>
      </c>
      <c r="S87">
        <f>SUMIF(RawDataTotal!$B:$B,$A87,RawDataTotal!V:V)</f>
        <v>0</v>
      </c>
      <c r="T87">
        <f>SUMIF(RawDataTotal!$B:$B,$A87,RawDataTotal!W:W)</f>
        <v>0</v>
      </c>
      <c r="U87">
        <f>SUMIF(RawDataTotal!$B:$B,$A87,RawDataTotal!X:X)</f>
        <v>0</v>
      </c>
      <c r="V87">
        <f>SUMIF(RawDataTotal!$B:$B,$A87,RawDataTotal!Y:Y)</f>
        <v>0</v>
      </c>
      <c r="W87">
        <f>SUMIF(RawDataTotal!$B:$B,$A87,RawDataTotal!Z:Z)</f>
        <v>0</v>
      </c>
      <c r="X87">
        <f>SUMIF(RawDataTotal!$B:$B,$A87,RawDataTotal!AA:AA)</f>
        <v>0</v>
      </c>
      <c r="Y87">
        <f>SUMIF(RawDataTotal!$B:$B,$A87,RawDataTotal!AB:AB)</f>
        <v>0</v>
      </c>
      <c r="Z87">
        <f>SUMIF(RawDataTotal!$B:$B,$A87,RawDataTotal!AC:AC)</f>
        <v>0</v>
      </c>
      <c r="AA87">
        <f>SUMIF(RawDataTotal!$B:$B,$A87,RawDataTotal!AD:AD)</f>
        <v>0</v>
      </c>
      <c r="AB87">
        <f>SUMIF(RawDataTotal!$B:$B,$A87,RawDataTotal!AE:AE)</f>
        <v>0</v>
      </c>
      <c r="AC87">
        <f>SUMIF(RawDataTotal!$B:$B,$A87,RawDataTotal!AF:AF)</f>
        <v>0</v>
      </c>
      <c r="AD87">
        <f>SUMIF(RawDataTotal!$B:$B,$A87,RawDataTotal!AG:AG)</f>
        <v>0</v>
      </c>
      <c r="AE87">
        <f>SUMIF(RawDataTotal!$B:$B,$A87,RawDataTotal!AH:AH)</f>
        <v>0</v>
      </c>
      <c r="AF87">
        <f>SUMIF(RawDataTotal!$B:$B,$A87,RawDataTotal!AI:AI)</f>
        <v>0</v>
      </c>
      <c r="AG87">
        <f>SUMIF(RawDataTotal!$B:$B,$A87,RawDataTotal!AJ:AJ)</f>
        <v>0</v>
      </c>
      <c r="AH87">
        <f>SUMIF(RawDataTotal!$B:$B,$A87,RawDataTotal!AK:AK)</f>
        <v>0</v>
      </c>
      <c r="AI87">
        <f>SUMIF(RawDataTotal!$B:$B,$A87,RawDataTotal!AL:AL)</f>
        <v>0</v>
      </c>
      <c r="AJ87">
        <f>SUMIF(RawDataTotal!$B:$B,$A87,RawDataTotal!AM:AM)</f>
        <v>0</v>
      </c>
      <c r="AK87">
        <f>SUMIF(RawDataTotal!$B:$B,$A87,RawDataTotal!AN:AN)</f>
        <v>0</v>
      </c>
      <c r="AL87">
        <f>SUMIF(RawDataTotal!$B:$B,$A87,RawDataTotal!AO:AO)</f>
        <v>0</v>
      </c>
      <c r="AM87">
        <f>SUMIF(RawDataTotal!$B:$B,$A87,RawDataTotal!AP:AP)</f>
        <v>1</v>
      </c>
      <c r="AN87">
        <f>SUMIF(RawDataTotal!$B:$B,$A87,RawDataTotal!AQ:AQ)</f>
        <v>1</v>
      </c>
      <c r="AO87">
        <f>SUMIF(RawDataTotal!$B:$B,$A87,RawDataTotal!AR:AR)</f>
        <v>1</v>
      </c>
      <c r="AP87">
        <f>SUMIF(RawDataTotal!$B:$B,$A87,RawDataTotal!AS:AS)</f>
        <v>1</v>
      </c>
      <c r="AQ87">
        <f>SUMIF(RawDataTotal!$B:$B,$A87,RawDataTotal!AT:AT)</f>
        <v>1</v>
      </c>
      <c r="AR87">
        <f>SUMIF(RawDataTotal!$B:$B,$A87,RawDataTotal!AU:AU)</f>
        <v>1</v>
      </c>
      <c r="AS87">
        <f>SUMIF(RawDataTotal!$B:$B,$A87,RawDataTotal!AV:AV)</f>
        <v>1</v>
      </c>
      <c r="AT87">
        <f>SUMIF(RawDataTotal!$B:$B,$A87,RawDataTotal!AW:AW)</f>
        <v>1</v>
      </c>
      <c r="AU87">
        <f>SUMIF(RawDataTotal!$B:$B,$A87,RawDataTotal!AX:AX)</f>
        <v>1</v>
      </c>
      <c r="AV87">
        <f>SUMIF(RawDataTotal!$B:$B,$A87,RawDataTotal!AY:AY)</f>
        <v>1</v>
      </c>
      <c r="AW87">
        <f>SUMIF(RawDataTotal!$B:$B,$A87,RawDataTotal!AZ:AZ)</f>
        <v>1</v>
      </c>
      <c r="AX87">
        <f>SUMIF(RawDataTotal!$B:$B,$A87,RawDataTotal!BA:BA)</f>
        <v>1</v>
      </c>
      <c r="AY87">
        <f>SUMIF(RawDataTotal!$B:$B,$A87,RawDataTotal!BB:BB)</f>
        <v>3</v>
      </c>
      <c r="AZ87">
        <f>SUMIF(RawDataTotal!$B:$B,$A87,RawDataTotal!BC:BC)</f>
        <v>3</v>
      </c>
      <c r="BA87">
        <f>SUMIF(RawDataTotal!$B:$B,$A87,RawDataTotal!BD:BD)</f>
        <v>6</v>
      </c>
      <c r="BB87">
        <f>SUMIF(RawDataTotal!$B:$B,$A87,RawDataTotal!BE:BE)</f>
        <v>8</v>
      </c>
      <c r="BC87">
        <f>SUMIF(RawDataTotal!$B:$B,$A87,RawDataTotal!BF:BF)</f>
        <v>12</v>
      </c>
      <c r="BD87">
        <f>SUMIF(RawDataTotal!$B:$B,$A87,RawDataTotal!BG:BG)</f>
        <v>17</v>
      </c>
      <c r="BE87">
        <f>SUMIF(RawDataTotal!$B:$B,$A87,RawDataTotal!BH:BH)</f>
        <v>25</v>
      </c>
      <c r="BF87">
        <f>SUMIF(RawDataTotal!$B:$B,$A87,RawDataTotal!BI:BI)</f>
        <v>0</v>
      </c>
      <c r="BG87">
        <f>SUMIF(RawDataTotal!$B:$B,$A87,RawDataTotal!BJ:BJ)</f>
        <v>0</v>
      </c>
      <c r="BH87">
        <f>SUMIF(RawDataTotal!$B:$B,$A87,RawDataTotal!BK:BK)</f>
        <v>0</v>
      </c>
      <c r="BI87">
        <f>SUMIF(RawDataTotal!$B:$B,$A87,RawDataTotal!BL:BL)</f>
        <v>0</v>
      </c>
      <c r="BJ87">
        <f>SUMIF(RawDataTotal!$B:$B,$A87,RawDataTotal!BM:BM)</f>
        <v>0</v>
      </c>
      <c r="BK87">
        <f>SUMIF(RawDataTotal!$B:$B,$A87,RawDataTotal!BN:BN)</f>
        <v>0</v>
      </c>
      <c r="BL87">
        <f>SUMIF(RawDataTotal!$B:$B,$A87,RawDataTotal!BO:BO)</f>
        <v>0</v>
      </c>
      <c r="BM87">
        <f>SUMIF(RawDataTotal!$B:$B,$A87,RawDataTotal!BP:BP)</f>
        <v>0</v>
      </c>
      <c r="BN87">
        <f>SUMIF(RawDataTotal!$B:$B,$A87,RawDataTotal!BQ:BQ)</f>
        <v>0</v>
      </c>
      <c r="BO87">
        <f>SUMIF(RawDataTotal!$B:$B,$A87,RawDataTotal!BR:BR)</f>
        <v>0</v>
      </c>
      <c r="BP87">
        <f>SUMIF(RawDataTotal!$B:$B,$A87,RawDataTotal!BS:BS)</f>
        <v>0</v>
      </c>
      <c r="BQ87">
        <f>SUMIF(RawDataTotal!$B:$B,$A87,RawDataTotal!BT:BT)</f>
        <v>0</v>
      </c>
      <c r="BR87">
        <f>SUMIF(RawDataTotal!$B:$B,$A87,RawDataTotal!BU:BU)</f>
        <v>0</v>
      </c>
      <c r="BS87">
        <f>SUMIF(RawDataTotal!$B:$B,$A87,RawDataTotal!BV:BV)</f>
        <v>0</v>
      </c>
      <c r="BT87">
        <f>SUMIF(RawDataTotal!$B:$B,$A87,RawDataTotal!BW:BW)</f>
        <v>0</v>
      </c>
    </row>
    <row r="88" spans="1:72" ht="15" thickBot="1" x14ac:dyDescent="0.35">
      <c r="A88" s="4" t="s">
        <v>373</v>
      </c>
      <c r="B88">
        <f>SUMIF(RawDataTotal!$B:$B,$A88,RawDataTotal!E:E)</f>
        <v>0</v>
      </c>
      <c r="C88">
        <f>SUMIF(RawDataTotal!$B:$B,$A88,RawDataTotal!F:F)</f>
        <v>0</v>
      </c>
      <c r="D88">
        <f>SUMIF(RawDataTotal!$B:$B,$A88,RawDataTotal!G:G)</f>
        <v>0</v>
      </c>
      <c r="E88">
        <f>SUMIF(RawDataTotal!$B:$B,$A88,RawDataTotal!H:H)</f>
        <v>0</v>
      </c>
      <c r="F88">
        <f>SUMIF(RawDataTotal!$B:$B,$A88,RawDataTotal!I:I)</f>
        <v>0</v>
      </c>
      <c r="G88">
        <f>SUMIF(RawDataTotal!$B:$B,$A88,RawDataTotal!J:J)</f>
        <v>0</v>
      </c>
      <c r="H88">
        <f>SUMIF(RawDataTotal!$B:$B,$A88,RawDataTotal!K:K)</f>
        <v>0</v>
      </c>
      <c r="I88">
        <f>SUMIF(RawDataTotal!$B:$B,$A88,RawDataTotal!L:L)</f>
        <v>0</v>
      </c>
      <c r="J88">
        <f>SUMIF(RawDataTotal!$B:$B,$A88,RawDataTotal!M:M)</f>
        <v>0</v>
      </c>
      <c r="K88">
        <f>SUMIF(RawDataTotal!$B:$B,$A88,RawDataTotal!N:N)</f>
        <v>0</v>
      </c>
      <c r="L88">
        <f>SUMIF(RawDataTotal!$B:$B,$A88,RawDataTotal!O:O)</f>
        <v>0</v>
      </c>
      <c r="M88">
        <f>SUMIF(RawDataTotal!$B:$B,$A88,RawDataTotal!P:P)</f>
        <v>0</v>
      </c>
      <c r="N88">
        <f>SUMIF(RawDataTotal!$B:$B,$A88,RawDataTotal!Q:Q)</f>
        <v>0</v>
      </c>
      <c r="O88">
        <f>SUMIF(RawDataTotal!$B:$B,$A88,RawDataTotal!R:R)</f>
        <v>0</v>
      </c>
      <c r="P88">
        <f>SUMIF(RawDataTotal!$B:$B,$A88,RawDataTotal!S:S)</f>
        <v>0</v>
      </c>
      <c r="Q88">
        <f>SUMIF(RawDataTotal!$B:$B,$A88,RawDataTotal!T:T)</f>
        <v>0</v>
      </c>
      <c r="R88">
        <f>SUMIF(RawDataTotal!$B:$B,$A88,RawDataTotal!U:U)</f>
        <v>0</v>
      </c>
      <c r="S88">
        <f>SUMIF(RawDataTotal!$B:$B,$A88,RawDataTotal!V:V)</f>
        <v>0</v>
      </c>
      <c r="T88">
        <f>SUMIF(RawDataTotal!$B:$B,$A88,RawDataTotal!W:W)</f>
        <v>0</v>
      </c>
      <c r="U88">
        <f>SUMIF(RawDataTotal!$B:$B,$A88,RawDataTotal!X:X)</f>
        <v>0</v>
      </c>
      <c r="V88">
        <f>SUMIF(RawDataTotal!$B:$B,$A88,RawDataTotal!Y:Y)</f>
        <v>0</v>
      </c>
      <c r="W88">
        <f>SUMIF(RawDataTotal!$B:$B,$A88,RawDataTotal!Z:Z)</f>
        <v>0</v>
      </c>
      <c r="X88">
        <f>SUMIF(RawDataTotal!$B:$B,$A88,RawDataTotal!AA:AA)</f>
        <v>0</v>
      </c>
      <c r="Y88">
        <f>SUMIF(RawDataTotal!$B:$B,$A88,RawDataTotal!AB:AB)</f>
        <v>0</v>
      </c>
      <c r="Z88">
        <f>SUMIF(RawDataTotal!$B:$B,$A88,RawDataTotal!AC:AC)</f>
        <v>0</v>
      </c>
      <c r="AA88">
        <f>SUMIF(RawDataTotal!$B:$B,$A88,RawDataTotal!AD:AD)</f>
        <v>0</v>
      </c>
      <c r="AB88">
        <f>SUMIF(RawDataTotal!$B:$B,$A88,RawDataTotal!AE:AE)</f>
        <v>0</v>
      </c>
      <c r="AC88">
        <f>SUMIF(RawDataTotal!$B:$B,$A88,RawDataTotal!AF:AF)</f>
        <v>0</v>
      </c>
      <c r="AD88">
        <f>SUMIF(RawDataTotal!$B:$B,$A88,RawDataTotal!AG:AG)</f>
        <v>0</v>
      </c>
      <c r="AE88">
        <f>SUMIF(RawDataTotal!$B:$B,$A88,RawDataTotal!AH:AH)</f>
        <v>0</v>
      </c>
      <c r="AF88">
        <f>SUMIF(RawDataTotal!$B:$B,$A88,RawDataTotal!AI:AI)</f>
        <v>0</v>
      </c>
      <c r="AG88">
        <f>SUMIF(RawDataTotal!$B:$B,$A88,RawDataTotal!AJ:AJ)</f>
        <v>0</v>
      </c>
      <c r="AH88">
        <f>SUMIF(RawDataTotal!$B:$B,$A88,RawDataTotal!AK:AK)</f>
        <v>0</v>
      </c>
      <c r="AI88">
        <f>SUMIF(RawDataTotal!$B:$B,$A88,RawDataTotal!AL:AL)</f>
        <v>0</v>
      </c>
      <c r="AJ88">
        <f>SUMIF(RawDataTotal!$B:$B,$A88,RawDataTotal!AM:AM)</f>
        <v>0</v>
      </c>
      <c r="AK88">
        <f>SUMIF(RawDataTotal!$B:$B,$A88,RawDataTotal!AN:AN)</f>
        <v>0</v>
      </c>
      <c r="AL88">
        <f>SUMIF(RawDataTotal!$B:$B,$A88,RawDataTotal!AO:AO)</f>
        <v>0</v>
      </c>
      <c r="AM88">
        <f>SUMIF(RawDataTotal!$B:$B,$A88,RawDataTotal!AP:AP)</f>
        <v>0</v>
      </c>
      <c r="AN88">
        <f>SUMIF(RawDataTotal!$B:$B,$A88,RawDataTotal!AQ:AQ)</f>
        <v>0</v>
      </c>
      <c r="AO88">
        <f>SUMIF(RawDataTotal!$B:$B,$A88,RawDataTotal!AR:AR)</f>
        <v>0</v>
      </c>
      <c r="AP88">
        <f>SUMIF(RawDataTotal!$B:$B,$A88,RawDataTotal!AS:AS)</f>
        <v>0</v>
      </c>
      <c r="AQ88">
        <f>SUMIF(RawDataTotal!$B:$B,$A88,RawDataTotal!AT:AT)</f>
        <v>0</v>
      </c>
      <c r="AR88">
        <f>SUMIF(RawDataTotal!$B:$B,$A88,RawDataTotal!AU:AU)</f>
        <v>0</v>
      </c>
      <c r="AS88">
        <f>SUMIF(RawDataTotal!$B:$B,$A88,RawDataTotal!AV:AV)</f>
        <v>0</v>
      </c>
      <c r="AT88">
        <f>SUMIF(RawDataTotal!$B:$B,$A88,RawDataTotal!AW:AW)</f>
        <v>0</v>
      </c>
      <c r="AU88">
        <f>SUMIF(RawDataTotal!$B:$B,$A88,RawDataTotal!AX:AX)</f>
        <v>0</v>
      </c>
      <c r="AV88">
        <f>SUMIF(RawDataTotal!$B:$B,$A88,RawDataTotal!AY:AY)</f>
        <v>1</v>
      </c>
      <c r="AW88">
        <f>SUMIF(RawDataTotal!$B:$B,$A88,RawDataTotal!AZ:AZ)</f>
        <v>1</v>
      </c>
      <c r="AX88">
        <f>SUMIF(RawDataTotal!$B:$B,$A88,RawDataTotal!BA:BA)</f>
        <v>3</v>
      </c>
      <c r="AY88">
        <f>SUMIF(RawDataTotal!$B:$B,$A88,RawDataTotal!BB:BB)</f>
        <v>3</v>
      </c>
      <c r="AZ88">
        <f>SUMIF(RawDataTotal!$B:$B,$A88,RawDataTotal!BC:BC)</f>
        <v>3</v>
      </c>
      <c r="BA88">
        <f>SUMIF(RawDataTotal!$B:$B,$A88,RawDataTotal!BD:BD)</f>
        <v>6</v>
      </c>
      <c r="BB88">
        <f>SUMIF(RawDataTotal!$B:$B,$A88,RawDataTotal!BE:BE)</f>
        <v>12</v>
      </c>
      <c r="BC88">
        <f>SUMIF(RawDataTotal!$B:$B,$A88,RawDataTotal!BF:BF)</f>
        <v>23</v>
      </c>
      <c r="BD88">
        <f>SUMIF(RawDataTotal!$B:$B,$A88,RawDataTotal!BG:BG)</f>
        <v>23</v>
      </c>
      <c r="BE88">
        <f>SUMIF(RawDataTotal!$B:$B,$A88,RawDataTotal!BH:BH)</f>
        <v>30</v>
      </c>
      <c r="BF88">
        <f>SUMIF(RawDataTotal!$B:$B,$A88,RawDataTotal!BI:BI)</f>
        <v>0</v>
      </c>
      <c r="BG88">
        <f>SUMIF(RawDataTotal!$B:$B,$A88,RawDataTotal!BJ:BJ)</f>
        <v>0</v>
      </c>
      <c r="BH88">
        <f>SUMIF(RawDataTotal!$B:$B,$A88,RawDataTotal!BK:BK)</f>
        <v>0</v>
      </c>
      <c r="BI88">
        <f>SUMIF(RawDataTotal!$B:$B,$A88,RawDataTotal!BL:BL)</f>
        <v>0</v>
      </c>
      <c r="BJ88">
        <f>SUMIF(RawDataTotal!$B:$B,$A88,RawDataTotal!BM:BM)</f>
        <v>0</v>
      </c>
      <c r="BK88">
        <f>SUMIF(RawDataTotal!$B:$B,$A88,RawDataTotal!BN:BN)</f>
        <v>0</v>
      </c>
      <c r="BL88">
        <f>SUMIF(RawDataTotal!$B:$B,$A88,RawDataTotal!BO:BO)</f>
        <v>0</v>
      </c>
      <c r="BM88">
        <f>SUMIF(RawDataTotal!$B:$B,$A88,RawDataTotal!BP:BP)</f>
        <v>0</v>
      </c>
      <c r="BN88">
        <f>SUMIF(RawDataTotal!$B:$B,$A88,RawDataTotal!BQ:BQ)</f>
        <v>0</v>
      </c>
      <c r="BO88">
        <f>SUMIF(RawDataTotal!$B:$B,$A88,RawDataTotal!BR:BR)</f>
        <v>0</v>
      </c>
      <c r="BP88">
        <f>SUMIF(RawDataTotal!$B:$B,$A88,RawDataTotal!BS:BS)</f>
        <v>0</v>
      </c>
      <c r="BQ88">
        <f>SUMIF(RawDataTotal!$B:$B,$A88,RawDataTotal!BT:BT)</f>
        <v>0</v>
      </c>
      <c r="BR88">
        <f>SUMIF(RawDataTotal!$B:$B,$A88,RawDataTotal!BU:BU)</f>
        <v>0</v>
      </c>
      <c r="BS88">
        <f>SUMIF(RawDataTotal!$B:$B,$A88,RawDataTotal!BV:BV)</f>
        <v>0</v>
      </c>
      <c r="BT88">
        <f>SUMIF(RawDataTotal!$B:$B,$A88,RawDataTotal!BW:BW)</f>
        <v>0</v>
      </c>
    </row>
    <row r="89" spans="1:72" ht="15" thickBot="1" x14ac:dyDescent="0.35">
      <c r="A89" s="4" t="s">
        <v>233</v>
      </c>
      <c r="B89">
        <f>SUMIF(RawDataTotal!$B:$B,$A89,RawDataTotal!E:E)</f>
        <v>0</v>
      </c>
      <c r="C89">
        <f>SUMIF(RawDataTotal!$B:$B,$A89,RawDataTotal!F:F)</f>
        <v>0</v>
      </c>
      <c r="D89">
        <f>SUMIF(RawDataTotal!$B:$B,$A89,RawDataTotal!G:G)</f>
        <v>0</v>
      </c>
      <c r="E89">
        <f>SUMIF(RawDataTotal!$B:$B,$A89,RawDataTotal!H:H)</f>
        <v>0</v>
      </c>
      <c r="F89">
        <f>SUMIF(RawDataTotal!$B:$B,$A89,RawDataTotal!I:I)</f>
        <v>0</v>
      </c>
      <c r="G89">
        <f>SUMIF(RawDataTotal!$B:$B,$A89,RawDataTotal!J:J)</f>
        <v>0</v>
      </c>
      <c r="H89">
        <f>SUMIF(RawDataTotal!$B:$B,$A89,RawDataTotal!K:K)</f>
        <v>0</v>
      </c>
      <c r="I89">
        <f>SUMIF(RawDataTotal!$B:$B,$A89,RawDataTotal!L:L)</f>
        <v>0</v>
      </c>
      <c r="J89">
        <f>SUMIF(RawDataTotal!$B:$B,$A89,RawDataTotal!M:M)</f>
        <v>0</v>
      </c>
      <c r="K89">
        <f>SUMIF(RawDataTotal!$B:$B,$A89,RawDataTotal!N:N)</f>
        <v>0</v>
      </c>
      <c r="L89">
        <f>SUMIF(RawDataTotal!$B:$B,$A89,RawDataTotal!O:O)</f>
        <v>0</v>
      </c>
      <c r="M89">
        <f>SUMIF(RawDataTotal!$B:$B,$A89,RawDataTotal!P:P)</f>
        <v>0</v>
      </c>
      <c r="N89">
        <f>SUMIF(RawDataTotal!$B:$B,$A89,RawDataTotal!Q:Q)</f>
        <v>0</v>
      </c>
      <c r="O89">
        <f>SUMIF(RawDataTotal!$B:$B,$A89,RawDataTotal!R:R)</f>
        <v>0</v>
      </c>
      <c r="P89">
        <f>SUMIF(RawDataTotal!$B:$B,$A89,RawDataTotal!S:S)</f>
        <v>0</v>
      </c>
      <c r="Q89">
        <f>SUMIF(RawDataTotal!$B:$B,$A89,RawDataTotal!T:T)</f>
        <v>0</v>
      </c>
      <c r="R89">
        <f>SUMIF(RawDataTotal!$B:$B,$A89,RawDataTotal!U:U)</f>
        <v>0</v>
      </c>
      <c r="S89">
        <f>SUMIF(RawDataTotal!$B:$B,$A89,RawDataTotal!V:V)</f>
        <v>0</v>
      </c>
      <c r="T89">
        <f>SUMIF(RawDataTotal!$B:$B,$A89,RawDataTotal!W:W)</f>
        <v>0</v>
      </c>
      <c r="U89">
        <f>SUMIF(RawDataTotal!$B:$B,$A89,RawDataTotal!X:X)</f>
        <v>0</v>
      </c>
      <c r="V89">
        <f>SUMIF(RawDataTotal!$B:$B,$A89,RawDataTotal!Y:Y)</f>
        <v>0</v>
      </c>
      <c r="W89">
        <f>SUMIF(RawDataTotal!$B:$B,$A89,RawDataTotal!Z:Z)</f>
        <v>0</v>
      </c>
      <c r="X89">
        <f>SUMIF(RawDataTotal!$B:$B,$A89,RawDataTotal!AA:AA)</f>
        <v>0</v>
      </c>
      <c r="Y89">
        <f>SUMIF(RawDataTotal!$B:$B,$A89,RawDataTotal!AB:AB)</f>
        <v>0</v>
      </c>
      <c r="Z89">
        <f>SUMIF(RawDataTotal!$B:$B,$A89,RawDataTotal!AC:AC)</f>
        <v>0</v>
      </c>
      <c r="AA89">
        <f>SUMIF(RawDataTotal!$B:$B,$A89,RawDataTotal!AD:AD)</f>
        <v>0</v>
      </c>
      <c r="AB89">
        <f>SUMIF(RawDataTotal!$B:$B,$A89,RawDataTotal!AE:AE)</f>
        <v>0</v>
      </c>
      <c r="AC89">
        <f>SUMIF(RawDataTotal!$B:$B,$A89,RawDataTotal!AF:AF)</f>
        <v>0</v>
      </c>
      <c r="AD89">
        <f>SUMIF(RawDataTotal!$B:$B,$A89,RawDataTotal!AG:AG)</f>
        <v>0</v>
      </c>
      <c r="AE89">
        <f>SUMIF(RawDataTotal!$B:$B,$A89,RawDataTotal!AH:AH)</f>
        <v>0</v>
      </c>
      <c r="AF89">
        <f>SUMIF(RawDataTotal!$B:$B,$A89,RawDataTotal!AI:AI)</f>
        <v>0</v>
      </c>
      <c r="AG89">
        <f>SUMIF(RawDataTotal!$B:$B,$A89,RawDataTotal!AJ:AJ)</f>
        <v>0</v>
      </c>
      <c r="AH89">
        <f>SUMIF(RawDataTotal!$B:$B,$A89,RawDataTotal!AK:AK)</f>
        <v>0</v>
      </c>
      <c r="AI89">
        <f>SUMIF(RawDataTotal!$B:$B,$A89,RawDataTotal!AL:AL)</f>
        <v>0</v>
      </c>
      <c r="AJ89">
        <f>SUMIF(RawDataTotal!$B:$B,$A89,RawDataTotal!AM:AM)</f>
        <v>0</v>
      </c>
      <c r="AK89">
        <f>SUMIF(RawDataTotal!$B:$B,$A89,RawDataTotal!AN:AN)</f>
        <v>0</v>
      </c>
      <c r="AL89">
        <f>SUMIF(RawDataTotal!$B:$B,$A89,RawDataTotal!AO:AO)</f>
        <v>0</v>
      </c>
      <c r="AM89">
        <f>SUMIF(RawDataTotal!$B:$B,$A89,RawDataTotal!AP:AP)</f>
        <v>0</v>
      </c>
      <c r="AN89">
        <f>SUMIF(RawDataTotal!$B:$B,$A89,RawDataTotal!AQ:AQ)</f>
        <v>0</v>
      </c>
      <c r="AO89">
        <f>SUMIF(RawDataTotal!$B:$B,$A89,RawDataTotal!AR:AR)</f>
        <v>0</v>
      </c>
      <c r="AP89">
        <f>SUMIF(RawDataTotal!$B:$B,$A89,RawDataTotal!AS:AS)</f>
        <v>0</v>
      </c>
      <c r="AQ89">
        <f>SUMIF(RawDataTotal!$B:$B,$A89,RawDataTotal!AT:AT)</f>
        <v>0</v>
      </c>
      <c r="AR89">
        <f>SUMIF(RawDataTotal!$B:$B,$A89,RawDataTotal!AU:AU)</f>
        <v>0</v>
      </c>
      <c r="AS89">
        <f>SUMIF(RawDataTotal!$B:$B,$A89,RawDataTotal!AV:AV)</f>
        <v>0</v>
      </c>
      <c r="AT89">
        <f>SUMIF(RawDataTotal!$B:$B,$A89,RawDataTotal!AW:AW)</f>
        <v>0</v>
      </c>
      <c r="AU89">
        <f>SUMIF(RawDataTotal!$B:$B,$A89,RawDataTotal!AX:AX)</f>
        <v>0</v>
      </c>
      <c r="AV89">
        <f>SUMIF(RawDataTotal!$B:$B,$A89,RawDataTotal!AY:AY)</f>
        <v>1</v>
      </c>
      <c r="AW89">
        <f>SUMIF(RawDataTotal!$B:$B,$A89,RawDataTotal!AZ:AZ)</f>
        <v>1</v>
      </c>
      <c r="AX89">
        <f>SUMIF(RawDataTotal!$B:$B,$A89,RawDataTotal!BA:BA)</f>
        <v>1</v>
      </c>
      <c r="AY89">
        <f>SUMIF(RawDataTotal!$B:$B,$A89,RawDataTotal!BB:BB)</f>
        <v>5</v>
      </c>
      <c r="AZ89">
        <f>SUMIF(RawDataTotal!$B:$B,$A89,RawDataTotal!BC:BC)</f>
        <v>5</v>
      </c>
      <c r="BA89">
        <f>SUMIF(RawDataTotal!$B:$B,$A89,RawDataTotal!BD:BD)</f>
        <v>6</v>
      </c>
      <c r="BB89">
        <f>SUMIF(RawDataTotal!$B:$B,$A89,RawDataTotal!BE:BE)</f>
        <v>6</v>
      </c>
      <c r="BC89">
        <f>SUMIF(RawDataTotal!$B:$B,$A89,RawDataTotal!BF:BF)</f>
        <v>6</v>
      </c>
      <c r="BD89">
        <f>SUMIF(RawDataTotal!$B:$B,$A89,RawDataTotal!BG:BG)</f>
        <v>8</v>
      </c>
      <c r="BE89">
        <f>SUMIF(RawDataTotal!$B:$B,$A89,RawDataTotal!BH:BH)</f>
        <v>9</v>
      </c>
      <c r="BF89">
        <f>SUMIF(RawDataTotal!$B:$B,$A89,RawDataTotal!BI:BI)</f>
        <v>0</v>
      </c>
      <c r="BG89">
        <f>SUMIF(RawDataTotal!$B:$B,$A89,RawDataTotal!BJ:BJ)</f>
        <v>0</v>
      </c>
      <c r="BH89">
        <f>SUMIF(RawDataTotal!$B:$B,$A89,RawDataTotal!BK:BK)</f>
        <v>0</v>
      </c>
      <c r="BI89">
        <f>SUMIF(RawDataTotal!$B:$B,$A89,RawDataTotal!BL:BL)</f>
        <v>0</v>
      </c>
      <c r="BJ89">
        <f>SUMIF(RawDataTotal!$B:$B,$A89,RawDataTotal!BM:BM)</f>
        <v>0</v>
      </c>
      <c r="BK89">
        <f>SUMIF(RawDataTotal!$B:$B,$A89,RawDataTotal!BN:BN)</f>
        <v>0</v>
      </c>
      <c r="BL89">
        <f>SUMIF(RawDataTotal!$B:$B,$A89,RawDataTotal!BO:BO)</f>
        <v>0</v>
      </c>
      <c r="BM89">
        <f>SUMIF(RawDataTotal!$B:$B,$A89,RawDataTotal!BP:BP)</f>
        <v>0</v>
      </c>
      <c r="BN89">
        <f>SUMIF(RawDataTotal!$B:$B,$A89,RawDataTotal!BQ:BQ)</f>
        <v>0</v>
      </c>
      <c r="BO89">
        <f>SUMIF(RawDataTotal!$B:$B,$A89,RawDataTotal!BR:BR)</f>
        <v>0</v>
      </c>
      <c r="BP89">
        <f>SUMIF(RawDataTotal!$B:$B,$A89,RawDataTotal!BS:BS)</f>
        <v>0</v>
      </c>
      <c r="BQ89">
        <f>SUMIF(RawDataTotal!$B:$B,$A89,RawDataTotal!BT:BT)</f>
        <v>0</v>
      </c>
      <c r="BR89">
        <f>SUMIF(RawDataTotal!$B:$B,$A89,RawDataTotal!BU:BU)</f>
        <v>0</v>
      </c>
      <c r="BS89">
        <f>SUMIF(RawDataTotal!$B:$B,$A89,RawDataTotal!BV:BV)</f>
        <v>0</v>
      </c>
      <c r="BT89">
        <f>SUMIF(RawDataTotal!$B:$B,$A89,RawDataTotal!BW:BW)</f>
        <v>0</v>
      </c>
    </row>
    <row r="90" spans="1:72" ht="15" thickBot="1" x14ac:dyDescent="0.35">
      <c r="A90" s="3" t="s">
        <v>79</v>
      </c>
      <c r="B90">
        <f>SUMIF(RawDataTotal!$B:$B,$A90,RawDataTotal!E:E)</f>
        <v>0</v>
      </c>
      <c r="C90">
        <f>SUMIF(RawDataTotal!$B:$B,$A90,RawDataTotal!F:F)</f>
        <v>0</v>
      </c>
      <c r="D90">
        <f>SUMIF(RawDataTotal!$B:$B,$A90,RawDataTotal!G:G)</f>
        <v>0</v>
      </c>
      <c r="E90">
        <f>SUMIF(RawDataTotal!$B:$B,$A90,RawDataTotal!H:H)</f>
        <v>0</v>
      </c>
      <c r="F90">
        <f>SUMIF(RawDataTotal!$B:$B,$A90,RawDataTotal!I:I)</f>
        <v>0</v>
      </c>
      <c r="G90">
        <f>SUMIF(RawDataTotal!$B:$B,$A90,RawDataTotal!J:J)</f>
        <v>1</v>
      </c>
      <c r="H90">
        <f>SUMIF(RawDataTotal!$B:$B,$A90,RawDataTotal!K:K)</f>
        <v>1</v>
      </c>
      <c r="I90">
        <f>SUMIF(RawDataTotal!$B:$B,$A90,RawDataTotal!L:L)</f>
        <v>1</v>
      </c>
      <c r="J90">
        <f>SUMIF(RawDataTotal!$B:$B,$A90,RawDataTotal!M:M)</f>
        <v>1</v>
      </c>
      <c r="K90">
        <f>SUMIF(RawDataTotal!$B:$B,$A90,RawDataTotal!N:N)</f>
        <v>1</v>
      </c>
      <c r="L90">
        <f>SUMIF(RawDataTotal!$B:$B,$A90,RawDataTotal!O:O)</f>
        <v>1</v>
      </c>
      <c r="M90">
        <f>SUMIF(RawDataTotal!$B:$B,$A90,RawDataTotal!P:P)</f>
        <v>1</v>
      </c>
      <c r="N90">
        <f>SUMIF(RawDataTotal!$B:$B,$A90,RawDataTotal!Q:Q)</f>
        <v>1</v>
      </c>
      <c r="O90">
        <f>SUMIF(RawDataTotal!$B:$B,$A90,RawDataTotal!R:R)</f>
        <v>1</v>
      </c>
      <c r="P90">
        <f>SUMIF(RawDataTotal!$B:$B,$A90,RawDataTotal!S:S)</f>
        <v>1</v>
      </c>
      <c r="Q90">
        <f>SUMIF(RawDataTotal!$B:$B,$A90,RawDataTotal!T:T)</f>
        <v>1</v>
      </c>
      <c r="R90">
        <f>SUMIF(RawDataTotal!$B:$B,$A90,RawDataTotal!U:U)</f>
        <v>1</v>
      </c>
      <c r="S90">
        <f>SUMIF(RawDataTotal!$B:$B,$A90,RawDataTotal!V:V)</f>
        <v>1</v>
      </c>
      <c r="T90">
        <f>SUMIF(RawDataTotal!$B:$B,$A90,RawDataTotal!W:W)</f>
        <v>1</v>
      </c>
      <c r="U90">
        <f>SUMIF(RawDataTotal!$B:$B,$A90,RawDataTotal!X:X)</f>
        <v>1</v>
      </c>
      <c r="V90">
        <f>SUMIF(RawDataTotal!$B:$B,$A90,RawDataTotal!Y:Y)</f>
        <v>1</v>
      </c>
      <c r="W90">
        <f>SUMIF(RawDataTotal!$B:$B,$A90,RawDataTotal!Z:Z)</f>
        <v>1</v>
      </c>
      <c r="X90">
        <f>SUMIF(RawDataTotal!$B:$B,$A90,RawDataTotal!AA:AA)</f>
        <v>1</v>
      </c>
      <c r="Y90">
        <f>SUMIF(RawDataTotal!$B:$B,$A90,RawDataTotal!AB:AB)</f>
        <v>1</v>
      </c>
      <c r="Z90">
        <f>SUMIF(RawDataTotal!$B:$B,$A90,RawDataTotal!AC:AC)</f>
        <v>1</v>
      </c>
      <c r="AA90">
        <f>SUMIF(RawDataTotal!$B:$B,$A90,RawDataTotal!AD:AD)</f>
        <v>1</v>
      </c>
      <c r="AB90">
        <f>SUMIF(RawDataTotal!$B:$B,$A90,RawDataTotal!AE:AE)</f>
        <v>1</v>
      </c>
      <c r="AC90">
        <f>SUMIF(RawDataTotal!$B:$B,$A90,RawDataTotal!AF:AF)</f>
        <v>1</v>
      </c>
      <c r="AD90">
        <f>SUMIF(RawDataTotal!$B:$B,$A90,RawDataTotal!AG:AG)</f>
        <v>1</v>
      </c>
      <c r="AE90">
        <f>SUMIF(RawDataTotal!$B:$B,$A90,RawDataTotal!AH:AH)</f>
        <v>1</v>
      </c>
      <c r="AF90">
        <f>SUMIF(RawDataTotal!$B:$B,$A90,RawDataTotal!AI:AI)</f>
        <v>1</v>
      </c>
      <c r="AG90">
        <f>SUMIF(RawDataTotal!$B:$B,$A90,RawDataTotal!AJ:AJ)</f>
        <v>1</v>
      </c>
      <c r="AH90">
        <f>SUMIF(RawDataTotal!$B:$B,$A90,RawDataTotal!AK:AK)</f>
        <v>1</v>
      </c>
      <c r="AI90">
        <f>SUMIF(RawDataTotal!$B:$B,$A90,RawDataTotal!AL:AL)</f>
        <v>1</v>
      </c>
      <c r="AJ90">
        <f>SUMIF(RawDataTotal!$B:$B,$A90,RawDataTotal!AM:AM)</f>
        <v>1</v>
      </c>
      <c r="AK90">
        <f>SUMIF(RawDataTotal!$B:$B,$A90,RawDataTotal!AN:AN)</f>
        <v>1</v>
      </c>
      <c r="AL90">
        <f>SUMIF(RawDataTotal!$B:$B,$A90,RawDataTotal!AO:AO)</f>
        <v>1</v>
      </c>
      <c r="AM90">
        <f>SUMIF(RawDataTotal!$B:$B,$A90,RawDataTotal!AP:AP)</f>
        <v>1</v>
      </c>
      <c r="AN90">
        <f>SUMIF(RawDataTotal!$B:$B,$A90,RawDataTotal!AQ:AQ)</f>
        <v>1</v>
      </c>
      <c r="AO90">
        <f>SUMIF(RawDataTotal!$B:$B,$A90,RawDataTotal!AR:AR)</f>
        <v>1</v>
      </c>
      <c r="AP90">
        <f>SUMIF(RawDataTotal!$B:$B,$A90,RawDataTotal!AS:AS)</f>
        <v>1</v>
      </c>
      <c r="AQ90">
        <f>SUMIF(RawDataTotal!$B:$B,$A90,RawDataTotal!AT:AT)</f>
        <v>1</v>
      </c>
      <c r="AR90">
        <f>SUMIF(RawDataTotal!$B:$B,$A90,RawDataTotal!AU:AU)</f>
        <v>1</v>
      </c>
      <c r="AS90">
        <f>SUMIF(RawDataTotal!$B:$B,$A90,RawDataTotal!AV:AV)</f>
        <v>1</v>
      </c>
      <c r="AT90">
        <f>SUMIF(RawDataTotal!$B:$B,$A90,RawDataTotal!AW:AW)</f>
        <v>1</v>
      </c>
      <c r="AU90">
        <f>SUMIF(RawDataTotal!$B:$B,$A90,RawDataTotal!AX:AX)</f>
        <v>1</v>
      </c>
      <c r="AV90">
        <f>SUMIF(RawDataTotal!$B:$B,$A90,RawDataTotal!AY:AY)</f>
        <v>1</v>
      </c>
      <c r="AW90">
        <f>SUMIF(RawDataTotal!$B:$B,$A90,RawDataTotal!AZ:AZ)</f>
        <v>1</v>
      </c>
      <c r="AX90">
        <f>SUMIF(RawDataTotal!$B:$B,$A90,RawDataTotal!BA:BA)</f>
        <v>1</v>
      </c>
      <c r="AY90">
        <f>SUMIF(RawDataTotal!$B:$B,$A90,RawDataTotal!BB:BB)</f>
        <v>2</v>
      </c>
      <c r="AZ90">
        <f>SUMIF(RawDataTotal!$B:$B,$A90,RawDataTotal!BC:BC)</f>
        <v>2</v>
      </c>
      <c r="BA90">
        <f>SUMIF(RawDataTotal!$B:$B,$A90,RawDataTotal!BD:BD)</f>
        <v>6</v>
      </c>
      <c r="BB90">
        <f>SUMIF(RawDataTotal!$B:$B,$A90,RawDataTotal!BE:BE)</f>
        <v>10</v>
      </c>
      <c r="BC90">
        <f>SUMIF(RawDataTotal!$B:$B,$A90,RawDataTotal!BF:BF)</f>
        <v>18</v>
      </c>
      <c r="BD90">
        <f>SUMIF(RawDataTotal!$B:$B,$A90,RawDataTotal!BG:BG)</f>
        <v>28</v>
      </c>
      <c r="BE90">
        <f>SUMIF(RawDataTotal!$B:$B,$A90,RawDataTotal!BH:BH)</f>
        <v>44</v>
      </c>
      <c r="BF90">
        <f>SUMIF(RawDataTotal!$B:$B,$A90,RawDataTotal!BI:BI)</f>
        <v>0</v>
      </c>
      <c r="BG90">
        <f>SUMIF(RawDataTotal!$B:$B,$A90,RawDataTotal!BJ:BJ)</f>
        <v>0</v>
      </c>
      <c r="BH90">
        <f>SUMIF(RawDataTotal!$B:$B,$A90,RawDataTotal!BK:BK)</f>
        <v>0</v>
      </c>
      <c r="BI90">
        <f>SUMIF(RawDataTotal!$B:$B,$A90,RawDataTotal!BL:BL)</f>
        <v>0</v>
      </c>
      <c r="BJ90">
        <f>SUMIF(RawDataTotal!$B:$B,$A90,RawDataTotal!BM:BM)</f>
        <v>0</v>
      </c>
      <c r="BK90">
        <f>SUMIF(RawDataTotal!$B:$B,$A90,RawDataTotal!BN:BN)</f>
        <v>0</v>
      </c>
      <c r="BL90">
        <f>SUMIF(RawDataTotal!$B:$B,$A90,RawDataTotal!BO:BO)</f>
        <v>0</v>
      </c>
      <c r="BM90">
        <f>SUMIF(RawDataTotal!$B:$B,$A90,RawDataTotal!BP:BP)</f>
        <v>0</v>
      </c>
      <c r="BN90">
        <f>SUMIF(RawDataTotal!$B:$B,$A90,RawDataTotal!BQ:BQ)</f>
        <v>0</v>
      </c>
      <c r="BO90">
        <f>SUMIF(RawDataTotal!$B:$B,$A90,RawDataTotal!BR:BR)</f>
        <v>0</v>
      </c>
      <c r="BP90">
        <f>SUMIF(RawDataTotal!$B:$B,$A90,RawDataTotal!BS:BS)</f>
        <v>0</v>
      </c>
      <c r="BQ90">
        <f>SUMIF(RawDataTotal!$B:$B,$A90,RawDataTotal!BT:BT)</f>
        <v>0</v>
      </c>
      <c r="BR90">
        <f>SUMIF(RawDataTotal!$B:$B,$A90,RawDataTotal!BU:BU)</f>
        <v>0</v>
      </c>
      <c r="BS90">
        <f>SUMIF(RawDataTotal!$B:$B,$A90,RawDataTotal!BV:BV)</f>
        <v>0</v>
      </c>
      <c r="BT90">
        <f>SUMIF(RawDataTotal!$B:$B,$A90,RawDataTotal!BW:BW)</f>
        <v>0</v>
      </c>
    </row>
    <row r="91" spans="1:72" ht="15" thickBot="1" x14ac:dyDescent="0.35">
      <c r="A91" s="4" t="s">
        <v>78</v>
      </c>
      <c r="B91">
        <f>SUMIF(RawDataTotal!$B:$B,$A91,RawDataTotal!E:E)</f>
        <v>0</v>
      </c>
      <c r="C91">
        <f>SUMIF(RawDataTotal!$B:$B,$A91,RawDataTotal!F:F)</f>
        <v>0</v>
      </c>
      <c r="D91">
        <f>SUMIF(RawDataTotal!$B:$B,$A91,RawDataTotal!G:G)</f>
        <v>0</v>
      </c>
      <c r="E91">
        <f>SUMIF(RawDataTotal!$B:$B,$A91,RawDataTotal!H:H)</f>
        <v>0</v>
      </c>
      <c r="F91">
        <f>SUMIF(RawDataTotal!$B:$B,$A91,RawDataTotal!I:I)</f>
        <v>0</v>
      </c>
      <c r="G91">
        <f>SUMIF(RawDataTotal!$B:$B,$A91,RawDataTotal!J:J)</f>
        <v>1</v>
      </c>
      <c r="H91">
        <f>SUMIF(RawDataTotal!$B:$B,$A91,RawDataTotal!K:K)</f>
        <v>1</v>
      </c>
      <c r="I91">
        <f>SUMIF(RawDataTotal!$B:$B,$A91,RawDataTotal!L:L)</f>
        <v>1</v>
      </c>
      <c r="J91">
        <f>SUMIF(RawDataTotal!$B:$B,$A91,RawDataTotal!M:M)</f>
        <v>1</v>
      </c>
      <c r="K91">
        <f>SUMIF(RawDataTotal!$B:$B,$A91,RawDataTotal!N:N)</f>
        <v>1</v>
      </c>
      <c r="L91">
        <f>SUMIF(RawDataTotal!$B:$B,$A91,RawDataTotal!O:O)</f>
        <v>1</v>
      </c>
      <c r="M91">
        <f>SUMIF(RawDataTotal!$B:$B,$A91,RawDataTotal!P:P)</f>
        <v>1</v>
      </c>
      <c r="N91">
        <f>SUMIF(RawDataTotal!$B:$B,$A91,RawDataTotal!Q:Q)</f>
        <v>1</v>
      </c>
      <c r="O91">
        <f>SUMIF(RawDataTotal!$B:$B,$A91,RawDataTotal!R:R)</f>
        <v>1</v>
      </c>
      <c r="P91">
        <f>SUMIF(RawDataTotal!$B:$B,$A91,RawDataTotal!S:S)</f>
        <v>1</v>
      </c>
      <c r="Q91">
        <f>SUMIF(RawDataTotal!$B:$B,$A91,RawDataTotal!T:T)</f>
        <v>1</v>
      </c>
      <c r="R91">
        <f>SUMIF(RawDataTotal!$B:$B,$A91,RawDataTotal!U:U)</f>
        <v>1</v>
      </c>
      <c r="S91">
        <f>SUMIF(RawDataTotal!$B:$B,$A91,RawDataTotal!V:V)</f>
        <v>1</v>
      </c>
      <c r="T91">
        <f>SUMIF(RawDataTotal!$B:$B,$A91,RawDataTotal!W:W)</f>
        <v>1</v>
      </c>
      <c r="U91">
        <f>SUMIF(RawDataTotal!$B:$B,$A91,RawDataTotal!X:X)</f>
        <v>1</v>
      </c>
      <c r="V91">
        <f>SUMIF(RawDataTotal!$B:$B,$A91,RawDataTotal!Y:Y)</f>
        <v>1</v>
      </c>
      <c r="W91">
        <f>SUMIF(RawDataTotal!$B:$B,$A91,RawDataTotal!Z:Z)</f>
        <v>1</v>
      </c>
      <c r="X91">
        <f>SUMIF(RawDataTotal!$B:$B,$A91,RawDataTotal!AA:AA)</f>
        <v>1</v>
      </c>
      <c r="Y91">
        <f>SUMIF(RawDataTotal!$B:$B,$A91,RawDataTotal!AB:AB)</f>
        <v>1</v>
      </c>
      <c r="Z91">
        <f>SUMIF(RawDataTotal!$B:$B,$A91,RawDataTotal!AC:AC)</f>
        <v>1</v>
      </c>
      <c r="AA91">
        <f>SUMIF(RawDataTotal!$B:$B,$A91,RawDataTotal!AD:AD)</f>
        <v>1</v>
      </c>
      <c r="AB91">
        <f>SUMIF(RawDataTotal!$B:$B,$A91,RawDataTotal!AE:AE)</f>
        <v>1</v>
      </c>
      <c r="AC91">
        <f>SUMIF(RawDataTotal!$B:$B,$A91,RawDataTotal!AF:AF)</f>
        <v>1</v>
      </c>
      <c r="AD91">
        <f>SUMIF(RawDataTotal!$B:$B,$A91,RawDataTotal!AG:AG)</f>
        <v>1</v>
      </c>
      <c r="AE91">
        <f>SUMIF(RawDataTotal!$B:$B,$A91,RawDataTotal!AH:AH)</f>
        <v>1</v>
      </c>
      <c r="AF91">
        <f>SUMIF(RawDataTotal!$B:$B,$A91,RawDataTotal!AI:AI)</f>
        <v>1</v>
      </c>
      <c r="AG91">
        <f>SUMIF(RawDataTotal!$B:$B,$A91,RawDataTotal!AJ:AJ)</f>
        <v>1</v>
      </c>
      <c r="AH91">
        <f>SUMIF(RawDataTotal!$B:$B,$A91,RawDataTotal!AK:AK)</f>
        <v>1</v>
      </c>
      <c r="AI91">
        <f>SUMIF(RawDataTotal!$B:$B,$A91,RawDataTotal!AL:AL)</f>
        <v>1</v>
      </c>
      <c r="AJ91">
        <f>SUMIF(RawDataTotal!$B:$B,$A91,RawDataTotal!AM:AM)</f>
        <v>1</v>
      </c>
      <c r="AK91">
        <f>SUMIF(RawDataTotal!$B:$B,$A91,RawDataTotal!AN:AN)</f>
        <v>1</v>
      </c>
      <c r="AL91">
        <f>SUMIF(RawDataTotal!$B:$B,$A91,RawDataTotal!AO:AO)</f>
        <v>1</v>
      </c>
      <c r="AM91">
        <f>SUMIF(RawDataTotal!$B:$B,$A91,RawDataTotal!AP:AP)</f>
        <v>1</v>
      </c>
      <c r="AN91">
        <f>SUMIF(RawDataTotal!$B:$B,$A91,RawDataTotal!AQ:AQ)</f>
        <v>1</v>
      </c>
      <c r="AO91">
        <f>SUMIF(RawDataTotal!$B:$B,$A91,RawDataTotal!AR:AR)</f>
        <v>1</v>
      </c>
      <c r="AP91">
        <f>SUMIF(RawDataTotal!$B:$B,$A91,RawDataTotal!AS:AS)</f>
        <v>1</v>
      </c>
      <c r="AQ91">
        <f>SUMIF(RawDataTotal!$B:$B,$A91,RawDataTotal!AT:AT)</f>
        <v>1</v>
      </c>
      <c r="AR91">
        <f>SUMIF(RawDataTotal!$B:$B,$A91,RawDataTotal!AU:AU)</f>
        <v>1</v>
      </c>
      <c r="AS91">
        <f>SUMIF(RawDataTotal!$B:$B,$A91,RawDataTotal!AV:AV)</f>
        <v>1</v>
      </c>
      <c r="AT91">
        <f>SUMIF(RawDataTotal!$B:$B,$A91,RawDataTotal!AW:AW)</f>
        <v>1</v>
      </c>
      <c r="AU91">
        <f>SUMIF(RawDataTotal!$B:$B,$A91,RawDataTotal!AX:AX)</f>
        <v>1</v>
      </c>
      <c r="AV91">
        <f>SUMIF(RawDataTotal!$B:$B,$A91,RawDataTotal!AY:AY)</f>
        <v>2</v>
      </c>
      <c r="AW91">
        <f>SUMIF(RawDataTotal!$B:$B,$A91,RawDataTotal!AZ:AZ)</f>
        <v>2</v>
      </c>
      <c r="AX91">
        <f>SUMIF(RawDataTotal!$B:$B,$A91,RawDataTotal!BA:BA)</f>
        <v>2</v>
      </c>
      <c r="AY91">
        <f>SUMIF(RawDataTotal!$B:$B,$A91,RawDataTotal!BB:BB)</f>
        <v>3</v>
      </c>
      <c r="AZ91">
        <f>SUMIF(RawDataTotal!$B:$B,$A91,RawDataTotal!BC:BC)</f>
        <v>3</v>
      </c>
      <c r="BA91">
        <f>SUMIF(RawDataTotal!$B:$B,$A91,RawDataTotal!BD:BD)</f>
        <v>5</v>
      </c>
      <c r="BB91">
        <f>SUMIF(RawDataTotal!$B:$B,$A91,RawDataTotal!BE:BE)</f>
        <v>7</v>
      </c>
      <c r="BC91">
        <f>SUMIF(RawDataTotal!$B:$B,$A91,RawDataTotal!BF:BF)</f>
        <v>7</v>
      </c>
      <c r="BD91">
        <f>SUMIF(RawDataTotal!$B:$B,$A91,RawDataTotal!BG:BG)</f>
        <v>7</v>
      </c>
      <c r="BE91">
        <f>SUMIF(RawDataTotal!$B:$B,$A91,RawDataTotal!BH:BH)</f>
        <v>33</v>
      </c>
      <c r="BF91">
        <f>SUMIF(RawDataTotal!$B:$B,$A91,RawDataTotal!BI:BI)</f>
        <v>0</v>
      </c>
      <c r="BG91">
        <f>SUMIF(RawDataTotal!$B:$B,$A91,RawDataTotal!BJ:BJ)</f>
        <v>0</v>
      </c>
      <c r="BH91">
        <f>SUMIF(RawDataTotal!$B:$B,$A91,RawDataTotal!BK:BK)</f>
        <v>0</v>
      </c>
      <c r="BI91">
        <f>SUMIF(RawDataTotal!$B:$B,$A91,RawDataTotal!BL:BL)</f>
        <v>0</v>
      </c>
      <c r="BJ91">
        <f>SUMIF(RawDataTotal!$B:$B,$A91,RawDataTotal!BM:BM)</f>
        <v>0</v>
      </c>
      <c r="BK91">
        <f>SUMIF(RawDataTotal!$B:$B,$A91,RawDataTotal!BN:BN)</f>
        <v>0</v>
      </c>
      <c r="BL91">
        <f>SUMIF(RawDataTotal!$B:$B,$A91,RawDataTotal!BO:BO)</f>
        <v>0</v>
      </c>
      <c r="BM91">
        <f>SUMIF(RawDataTotal!$B:$B,$A91,RawDataTotal!BP:BP)</f>
        <v>0</v>
      </c>
      <c r="BN91">
        <f>SUMIF(RawDataTotal!$B:$B,$A91,RawDataTotal!BQ:BQ)</f>
        <v>0</v>
      </c>
      <c r="BO91">
        <f>SUMIF(RawDataTotal!$B:$B,$A91,RawDataTotal!BR:BR)</f>
        <v>0</v>
      </c>
      <c r="BP91">
        <f>SUMIF(RawDataTotal!$B:$B,$A91,RawDataTotal!BS:BS)</f>
        <v>0</v>
      </c>
      <c r="BQ91">
        <f>SUMIF(RawDataTotal!$B:$B,$A91,RawDataTotal!BT:BT)</f>
        <v>0</v>
      </c>
      <c r="BR91">
        <f>SUMIF(RawDataTotal!$B:$B,$A91,RawDataTotal!BU:BU)</f>
        <v>0</v>
      </c>
      <c r="BS91">
        <f>SUMIF(RawDataTotal!$B:$B,$A91,RawDataTotal!BV:BV)</f>
        <v>0</v>
      </c>
      <c r="BT91">
        <f>SUMIF(RawDataTotal!$B:$B,$A91,RawDataTotal!BW:BW)</f>
        <v>0</v>
      </c>
    </row>
    <row r="92" spans="1:72" ht="15" thickBot="1" x14ac:dyDescent="0.35">
      <c r="A92" s="3" t="s">
        <v>133</v>
      </c>
      <c r="B92">
        <f>SUMIF(RawDataTotal!$B:$B,$A92,RawDataTotal!E:E)</f>
        <v>0</v>
      </c>
      <c r="C92">
        <f>SUMIF(RawDataTotal!$B:$B,$A92,RawDataTotal!F:F)</f>
        <v>0</v>
      </c>
      <c r="D92">
        <f>SUMIF(RawDataTotal!$B:$B,$A92,RawDataTotal!G:G)</f>
        <v>0</v>
      </c>
      <c r="E92">
        <f>SUMIF(RawDataTotal!$B:$B,$A92,RawDataTotal!H:H)</f>
        <v>0</v>
      </c>
      <c r="F92">
        <f>SUMIF(RawDataTotal!$B:$B,$A92,RawDataTotal!I:I)</f>
        <v>0</v>
      </c>
      <c r="G92">
        <f>SUMIF(RawDataTotal!$B:$B,$A92,RawDataTotal!J:J)</f>
        <v>0</v>
      </c>
      <c r="H92">
        <f>SUMIF(RawDataTotal!$B:$B,$A92,RawDataTotal!K:K)</f>
        <v>0</v>
      </c>
      <c r="I92">
        <f>SUMIF(RawDataTotal!$B:$B,$A92,RawDataTotal!L:L)</f>
        <v>0</v>
      </c>
      <c r="J92">
        <f>SUMIF(RawDataTotal!$B:$B,$A92,RawDataTotal!M:M)</f>
        <v>0</v>
      </c>
      <c r="K92">
        <f>SUMIF(RawDataTotal!$B:$B,$A92,RawDataTotal!N:N)</f>
        <v>0</v>
      </c>
      <c r="L92">
        <f>SUMIF(RawDataTotal!$B:$B,$A92,RawDataTotal!O:O)</f>
        <v>0</v>
      </c>
      <c r="M92">
        <f>SUMIF(RawDataTotal!$B:$B,$A92,RawDataTotal!P:P)</f>
        <v>0</v>
      </c>
      <c r="N92">
        <f>SUMIF(RawDataTotal!$B:$B,$A92,RawDataTotal!Q:Q)</f>
        <v>0</v>
      </c>
      <c r="O92">
        <f>SUMIF(RawDataTotal!$B:$B,$A92,RawDataTotal!R:R)</f>
        <v>0</v>
      </c>
      <c r="P92">
        <f>SUMIF(RawDataTotal!$B:$B,$A92,RawDataTotal!S:S)</f>
        <v>0</v>
      </c>
      <c r="Q92">
        <f>SUMIF(RawDataTotal!$B:$B,$A92,RawDataTotal!T:T)</f>
        <v>0</v>
      </c>
      <c r="R92">
        <f>SUMIF(RawDataTotal!$B:$B,$A92,RawDataTotal!U:U)</f>
        <v>0</v>
      </c>
      <c r="S92">
        <f>SUMIF(RawDataTotal!$B:$B,$A92,RawDataTotal!V:V)</f>
        <v>0</v>
      </c>
      <c r="T92">
        <f>SUMIF(RawDataTotal!$B:$B,$A92,RawDataTotal!W:W)</f>
        <v>0</v>
      </c>
      <c r="U92">
        <f>SUMIF(RawDataTotal!$B:$B,$A92,RawDataTotal!X:X)</f>
        <v>0</v>
      </c>
      <c r="V92">
        <f>SUMIF(RawDataTotal!$B:$B,$A92,RawDataTotal!Y:Y)</f>
        <v>0</v>
      </c>
      <c r="W92">
        <f>SUMIF(RawDataTotal!$B:$B,$A92,RawDataTotal!Z:Z)</f>
        <v>0</v>
      </c>
      <c r="X92">
        <f>SUMIF(RawDataTotal!$B:$B,$A92,RawDataTotal!AA:AA)</f>
        <v>0</v>
      </c>
      <c r="Y92">
        <f>SUMIF(RawDataTotal!$B:$B,$A92,RawDataTotal!AB:AB)</f>
        <v>0</v>
      </c>
      <c r="Z92">
        <f>SUMIF(RawDataTotal!$B:$B,$A92,RawDataTotal!AC:AC)</f>
        <v>0</v>
      </c>
      <c r="AA92">
        <f>SUMIF(RawDataTotal!$B:$B,$A92,RawDataTotal!AD:AD)</f>
        <v>0</v>
      </c>
      <c r="AB92">
        <f>SUMIF(RawDataTotal!$B:$B,$A92,RawDataTotal!AE:AE)</f>
        <v>0</v>
      </c>
      <c r="AC92">
        <f>SUMIF(RawDataTotal!$B:$B,$A92,RawDataTotal!AF:AF)</f>
        <v>0</v>
      </c>
      <c r="AD92">
        <f>SUMIF(RawDataTotal!$B:$B,$A92,RawDataTotal!AG:AG)</f>
        <v>0</v>
      </c>
      <c r="AE92">
        <f>SUMIF(RawDataTotal!$B:$B,$A92,RawDataTotal!AH:AH)</f>
        <v>0</v>
      </c>
      <c r="AF92">
        <f>SUMIF(RawDataTotal!$B:$B,$A92,RawDataTotal!AI:AI)</f>
        <v>0</v>
      </c>
      <c r="AG92">
        <f>SUMIF(RawDataTotal!$B:$B,$A92,RawDataTotal!AJ:AJ)</f>
        <v>0</v>
      </c>
      <c r="AH92">
        <f>SUMIF(RawDataTotal!$B:$B,$A92,RawDataTotal!AK:AK)</f>
        <v>0</v>
      </c>
      <c r="AI92">
        <f>SUMIF(RawDataTotal!$B:$B,$A92,RawDataTotal!AL:AL)</f>
        <v>0</v>
      </c>
      <c r="AJ92">
        <f>SUMIF(RawDataTotal!$B:$B,$A92,RawDataTotal!AM:AM)</f>
        <v>0</v>
      </c>
      <c r="AK92">
        <f>SUMIF(RawDataTotal!$B:$B,$A92,RawDataTotal!AN:AN)</f>
        <v>0</v>
      </c>
      <c r="AL92">
        <f>SUMIF(RawDataTotal!$B:$B,$A92,RawDataTotal!AO:AO)</f>
        <v>0</v>
      </c>
      <c r="AM92">
        <f>SUMIF(RawDataTotal!$B:$B,$A92,RawDataTotal!AP:AP)</f>
        <v>0</v>
      </c>
      <c r="AN92">
        <f>SUMIF(RawDataTotal!$B:$B,$A92,RawDataTotal!AQ:AQ)</f>
        <v>0</v>
      </c>
      <c r="AO92">
        <f>SUMIF(RawDataTotal!$B:$B,$A92,RawDataTotal!AR:AR)</f>
        <v>1</v>
      </c>
      <c r="AP92">
        <f>SUMIF(RawDataTotal!$B:$B,$A92,RawDataTotal!AS:AS)</f>
        <v>1</v>
      </c>
      <c r="AQ92">
        <f>SUMIF(RawDataTotal!$B:$B,$A92,RawDataTotal!AT:AT)</f>
        <v>1</v>
      </c>
      <c r="AR92">
        <f>SUMIF(RawDataTotal!$B:$B,$A92,RawDataTotal!AU:AU)</f>
        <v>1</v>
      </c>
      <c r="AS92">
        <f>SUMIF(RawDataTotal!$B:$B,$A92,RawDataTotal!AV:AV)</f>
        <v>1</v>
      </c>
      <c r="AT92">
        <f>SUMIF(RawDataTotal!$B:$B,$A92,RawDataTotal!AW:AW)</f>
        <v>2</v>
      </c>
      <c r="AU92">
        <f>SUMIF(RawDataTotal!$B:$B,$A92,RawDataTotal!AX:AX)</f>
        <v>2</v>
      </c>
      <c r="AV92">
        <f>SUMIF(RawDataTotal!$B:$B,$A92,RawDataTotal!AY:AY)</f>
        <v>5</v>
      </c>
      <c r="AW92">
        <f>SUMIF(RawDataTotal!$B:$B,$A92,RawDataTotal!AZ:AZ)</f>
        <v>5</v>
      </c>
      <c r="AX92">
        <f>SUMIF(RawDataTotal!$B:$B,$A92,RawDataTotal!BA:BA)</f>
        <v>5</v>
      </c>
      <c r="AY92">
        <f>SUMIF(RawDataTotal!$B:$B,$A92,RawDataTotal!BB:BB)</f>
        <v>5</v>
      </c>
      <c r="AZ92">
        <f>SUMIF(RawDataTotal!$B:$B,$A92,RawDataTotal!BC:BC)</f>
        <v>5</v>
      </c>
      <c r="BA92">
        <f>SUMIF(RawDataTotal!$B:$B,$A92,RawDataTotal!BD:BD)</f>
        <v>5</v>
      </c>
      <c r="BB92">
        <f>SUMIF(RawDataTotal!$B:$B,$A92,RawDataTotal!BE:BE)</f>
        <v>11</v>
      </c>
      <c r="BC92">
        <f>SUMIF(RawDataTotal!$B:$B,$A92,RawDataTotal!BF:BF)</f>
        <v>11</v>
      </c>
      <c r="BD92">
        <f>SUMIF(RawDataTotal!$B:$B,$A92,RawDataTotal!BG:BG)</f>
        <v>11</v>
      </c>
      <c r="BE92">
        <f>SUMIF(RawDataTotal!$B:$B,$A92,RawDataTotal!BH:BH)</f>
        <v>21</v>
      </c>
      <c r="BF92">
        <f>SUMIF(RawDataTotal!$B:$B,$A92,RawDataTotal!BI:BI)</f>
        <v>0</v>
      </c>
      <c r="BG92">
        <f>SUMIF(RawDataTotal!$B:$B,$A92,RawDataTotal!BJ:BJ)</f>
        <v>0</v>
      </c>
      <c r="BH92">
        <f>SUMIF(RawDataTotal!$B:$B,$A92,RawDataTotal!BK:BK)</f>
        <v>0</v>
      </c>
      <c r="BI92">
        <f>SUMIF(RawDataTotal!$B:$B,$A92,RawDataTotal!BL:BL)</f>
        <v>0</v>
      </c>
      <c r="BJ92">
        <f>SUMIF(RawDataTotal!$B:$B,$A92,RawDataTotal!BM:BM)</f>
        <v>0</v>
      </c>
      <c r="BK92">
        <f>SUMIF(RawDataTotal!$B:$B,$A92,RawDataTotal!BN:BN)</f>
        <v>0</v>
      </c>
      <c r="BL92">
        <f>SUMIF(RawDataTotal!$B:$B,$A92,RawDataTotal!BO:BO)</f>
        <v>0</v>
      </c>
      <c r="BM92">
        <f>SUMIF(RawDataTotal!$B:$B,$A92,RawDataTotal!BP:BP)</f>
        <v>0</v>
      </c>
      <c r="BN92">
        <f>SUMIF(RawDataTotal!$B:$B,$A92,RawDataTotal!BQ:BQ)</f>
        <v>0</v>
      </c>
      <c r="BO92">
        <f>SUMIF(RawDataTotal!$B:$B,$A92,RawDataTotal!BR:BR)</f>
        <v>0</v>
      </c>
      <c r="BP92">
        <f>SUMIF(RawDataTotal!$B:$B,$A92,RawDataTotal!BS:BS)</f>
        <v>0</v>
      </c>
      <c r="BQ92">
        <f>SUMIF(RawDataTotal!$B:$B,$A92,RawDataTotal!BT:BT)</f>
        <v>0</v>
      </c>
      <c r="BR92">
        <f>SUMIF(RawDataTotal!$B:$B,$A92,RawDataTotal!BU:BU)</f>
        <v>0</v>
      </c>
      <c r="BS92">
        <f>SUMIF(RawDataTotal!$B:$B,$A92,RawDataTotal!BV:BV)</f>
        <v>0</v>
      </c>
      <c r="BT92">
        <f>SUMIF(RawDataTotal!$B:$B,$A92,RawDataTotal!BW:BW)</f>
        <v>0</v>
      </c>
    </row>
    <row r="93" spans="1:72" ht="15" thickBot="1" x14ac:dyDescent="0.35">
      <c r="A93" s="4" t="s">
        <v>203</v>
      </c>
      <c r="B93">
        <f>SUMIF(RawDataTotal!$B:$B,$A93,RawDataTotal!E:E)</f>
        <v>0</v>
      </c>
      <c r="C93">
        <f>SUMIF(RawDataTotal!$B:$B,$A93,RawDataTotal!F:F)</f>
        <v>0</v>
      </c>
      <c r="D93">
        <f>SUMIF(RawDataTotal!$B:$B,$A93,RawDataTotal!G:G)</f>
        <v>0</v>
      </c>
      <c r="E93">
        <f>SUMIF(RawDataTotal!$B:$B,$A93,RawDataTotal!H:H)</f>
        <v>0</v>
      </c>
      <c r="F93">
        <f>SUMIF(RawDataTotal!$B:$B,$A93,RawDataTotal!I:I)</f>
        <v>0</v>
      </c>
      <c r="G93">
        <f>SUMIF(RawDataTotal!$B:$B,$A93,RawDataTotal!J:J)</f>
        <v>0</v>
      </c>
      <c r="H93">
        <f>SUMIF(RawDataTotal!$B:$B,$A93,RawDataTotal!K:K)</f>
        <v>0</v>
      </c>
      <c r="I93">
        <f>SUMIF(RawDataTotal!$B:$B,$A93,RawDataTotal!L:L)</f>
        <v>0</v>
      </c>
      <c r="J93">
        <f>SUMIF(RawDataTotal!$B:$B,$A93,RawDataTotal!M:M)</f>
        <v>0</v>
      </c>
      <c r="K93">
        <f>SUMIF(RawDataTotal!$B:$B,$A93,RawDataTotal!N:N)</f>
        <v>0</v>
      </c>
      <c r="L93">
        <f>SUMIF(RawDataTotal!$B:$B,$A93,RawDataTotal!O:O)</f>
        <v>0</v>
      </c>
      <c r="M93">
        <f>SUMIF(RawDataTotal!$B:$B,$A93,RawDataTotal!P:P)</f>
        <v>0</v>
      </c>
      <c r="N93">
        <f>SUMIF(RawDataTotal!$B:$B,$A93,RawDataTotal!Q:Q)</f>
        <v>0</v>
      </c>
      <c r="O93">
        <f>SUMIF(RawDataTotal!$B:$B,$A93,RawDataTotal!R:R)</f>
        <v>0</v>
      </c>
      <c r="P93">
        <f>SUMIF(RawDataTotal!$B:$B,$A93,RawDataTotal!S:S)</f>
        <v>0</v>
      </c>
      <c r="Q93">
        <f>SUMIF(RawDataTotal!$B:$B,$A93,RawDataTotal!T:T)</f>
        <v>0</v>
      </c>
      <c r="R93">
        <f>SUMIF(RawDataTotal!$B:$B,$A93,RawDataTotal!U:U)</f>
        <v>0</v>
      </c>
      <c r="S93">
        <f>SUMIF(RawDataTotal!$B:$B,$A93,RawDataTotal!V:V)</f>
        <v>0</v>
      </c>
      <c r="T93">
        <f>SUMIF(RawDataTotal!$B:$B,$A93,RawDataTotal!W:W)</f>
        <v>0</v>
      </c>
      <c r="U93">
        <f>SUMIF(RawDataTotal!$B:$B,$A93,RawDataTotal!X:X)</f>
        <v>0</v>
      </c>
      <c r="V93">
        <f>SUMIF(RawDataTotal!$B:$B,$A93,RawDataTotal!Y:Y)</f>
        <v>0</v>
      </c>
      <c r="W93">
        <f>SUMIF(RawDataTotal!$B:$B,$A93,RawDataTotal!Z:Z)</f>
        <v>0</v>
      </c>
      <c r="X93">
        <f>SUMIF(RawDataTotal!$B:$B,$A93,RawDataTotal!AA:AA)</f>
        <v>0</v>
      </c>
      <c r="Y93">
        <f>SUMIF(RawDataTotal!$B:$B,$A93,RawDataTotal!AB:AB)</f>
        <v>0</v>
      </c>
      <c r="Z93">
        <f>SUMIF(RawDataTotal!$B:$B,$A93,RawDataTotal!AC:AC)</f>
        <v>0</v>
      </c>
      <c r="AA93">
        <f>SUMIF(RawDataTotal!$B:$B,$A93,RawDataTotal!AD:AD)</f>
        <v>0</v>
      </c>
      <c r="AB93">
        <f>SUMIF(RawDataTotal!$B:$B,$A93,RawDataTotal!AE:AE)</f>
        <v>0</v>
      </c>
      <c r="AC93">
        <f>SUMIF(RawDataTotal!$B:$B,$A93,RawDataTotal!AF:AF)</f>
        <v>0</v>
      </c>
      <c r="AD93">
        <f>SUMIF(RawDataTotal!$B:$B,$A93,RawDataTotal!AG:AG)</f>
        <v>0</v>
      </c>
      <c r="AE93">
        <f>SUMIF(RawDataTotal!$B:$B,$A93,RawDataTotal!AH:AH)</f>
        <v>0</v>
      </c>
      <c r="AF93">
        <f>SUMIF(RawDataTotal!$B:$B,$A93,RawDataTotal!AI:AI)</f>
        <v>0</v>
      </c>
      <c r="AG93">
        <f>SUMIF(RawDataTotal!$B:$B,$A93,RawDataTotal!AJ:AJ)</f>
        <v>0</v>
      </c>
      <c r="AH93">
        <f>SUMIF(RawDataTotal!$B:$B,$A93,RawDataTotal!AK:AK)</f>
        <v>0</v>
      </c>
      <c r="AI93">
        <f>SUMIF(RawDataTotal!$B:$B,$A93,RawDataTotal!AL:AL)</f>
        <v>0</v>
      </c>
      <c r="AJ93">
        <f>SUMIF(RawDataTotal!$B:$B,$A93,RawDataTotal!AM:AM)</f>
        <v>0</v>
      </c>
      <c r="AK93">
        <f>SUMIF(RawDataTotal!$B:$B,$A93,RawDataTotal!AN:AN)</f>
        <v>0</v>
      </c>
      <c r="AL93">
        <f>SUMIF(RawDataTotal!$B:$B,$A93,RawDataTotal!AO:AO)</f>
        <v>0</v>
      </c>
      <c r="AM93">
        <f>SUMIF(RawDataTotal!$B:$B,$A93,RawDataTotal!AP:AP)</f>
        <v>0</v>
      </c>
      <c r="AN93">
        <f>SUMIF(RawDataTotal!$B:$B,$A93,RawDataTotal!AQ:AQ)</f>
        <v>0</v>
      </c>
      <c r="AO93">
        <f>SUMIF(RawDataTotal!$B:$B,$A93,RawDataTotal!AR:AR)</f>
        <v>0</v>
      </c>
      <c r="AP93">
        <f>SUMIF(RawDataTotal!$B:$B,$A93,RawDataTotal!AS:AS)</f>
        <v>0</v>
      </c>
      <c r="AQ93">
        <f>SUMIF(RawDataTotal!$B:$B,$A93,RawDataTotal!AT:AT)</f>
        <v>0</v>
      </c>
      <c r="AR93">
        <f>SUMIF(RawDataTotal!$B:$B,$A93,RawDataTotal!AU:AU)</f>
        <v>0</v>
      </c>
      <c r="AS93">
        <f>SUMIF(RawDataTotal!$B:$B,$A93,RawDataTotal!AV:AV)</f>
        <v>0</v>
      </c>
      <c r="AT93">
        <f>SUMIF(RawDataTotal!$B:$B,$A93,RawDataTotal!AW:AW)</f>
        <v>0</v>
      </c>
      <c r="AU93">
        <f>SUMIF(RawDataTotal!$B:$B,$A93,RawDataTotal!AX:AX)</f>
        <v>0</v>
      </c>
      <c r="AV93">
        <f>SUMIF(RawDataTotal!$B:$B,$A93,RawDataTotal!AY:AY)</f>
        <v>0</v>
      </c>
      <c r="AW93">
        <f>SUMIF(RawDataTotal!$B:$B,$A93,RawDataTotal!AZ:AZ)</f>
        <v>0</v>
      </c>
      <c r="AX93">
        <f>SUMIF(RawDataTotal!$B:$B,$A93,RawDataTotal!BA:BA)</f>
        <v>0</v>
      </c>
      <c r="AY93">
        <f>SUMIF(RawDataTotal!$B:$B,$A93,RawDataTotal!BB:BB)</f>
        <v>0</v>
      </c>
      <c r="AZ93">
        <f>SUMIF(RawDataTotal!$B:$B,$A93,RawDataTotal!BC:BC)</f>
        <v>0</v>
      </c>
      <c r="BA93">
        <f>SUMIF(RawDataTotal!$B:$B,$A93,RawDataTotal!BD:BD)</f>
        <v>0</v>
      </c>
      <c r="BB93">
        <f>SUMIF(RawDataTotal!$B:$B,$A93,RawDataTotal!BE:BE)</f>
        <v>0</v>
      </c>
      <c r="BC93">
        <f>SUMIF(RawDataTotal!$B:$B,$A93,RawDataTotal!BF:BF)</f>
        <v>0</v>
      </c>
      <c r="BD93">
        <f>SUMIF(RawDataTotal!$B:$B,$A93,RawDataTotal!BG:BG)</f>
        <v>0</v>
      </c>
      <c r="BE93">
        <f>SUMIF(RawDataTotal!$B:$B,$A93,RawDataTotal!BH:BH)</f>
        <v>0</v>
      </c>
      <c r="BF93">
        <f>SUMIF(RawDataTotal!$B:$B,$A93,RawDataTotal!BI:BI)</f>
        <v>0</v>
      </c>
      <c r="BG93">
        <f>SUMIF(RawDataTotal!$B:$B,$A93,RawDataTotal!BJ:BJ)</f>
        <v>0</v>
      </c>
      <c r="BH93">
        <f>SUMIF(RawDataTotal!$B:$B,$A93,RawDataTotal!BK:BK)</f>
        <v>0</v>
      </c>
      <c r="BI93">
        <f>SUMIF(RawDataTotal!$B:$B,$A93,RawDataTotal!BL:BL)</f>
        <v>0</v>
      </c>
      <c r="BJ93">
        <f>SUMIF(RawDataTotal!$B:$B,$A93,RawDataTotal!BM:BM)</f>
        <v>0</v>
      </c>
      <c r="BK93">
        <f>SUMIF(RawDataTotal!$B:$B,$A93,RawDataTotal!BN:BN)</f>
        <v>0</v>
      </c>
      <c r="BL93">
        <f>SUMIF(RawDataTotal!$B:$B,$A93,RawDataTotal!BO:BO)</f>
        <v>0</v>
      </c>
      <c r="BM93">
        <f>SUMIF(RawDataTotal!$B:$B,$A93,RawDataTotal!BP:BP)</f>
        <v>0</v>
      </c>
      <c r="BN93">
        <f>SUMIF(RawDataTotal!$B:$B,$A93,RawDataTotal!BQ:BQ)</f>
        <v>0</v>
      </c>
      <c r="BO93">
        <f>SUMIF(RawDataTotal!$B:$B,$A93,RawDataTotal!BR:BR)</f>
        <v>0</v>
      </c>
      <c r="BP93">
        <f>SUMIF(RawDataTotal!$B:$B,$A93,RawDataTotal!BS:BS)</f>
        <v>0</v>
      </c>
      <c r="BQ93">
        <f>SUMIF(RawDataTotal!$B:$B,$A93,RawDataTotal!BT:BT)</f>
        <v>0</v>
      </c>
      <c r="BR93">
        <f>SUMIF(RawDataTotal!$B:$B,$A93,RawDataTotal!BU:BU)</f>
        <v>0</v>
      </c>
      <c r="BS93">
        <f>SUMIF(RawDataTotal!$B:$B,$A93,RawDataTotal!BV:BV)</f>
        <v>0</v>
      </c>
      <c r="BT93">
        <f>SUMIF(RawDataTotal!$B:$B,$A93,RawDataTotal!BW:BW)</f>
        <v>0</v>
      </c>
    </row>
    <row r="94" spans="1:72" ht="15" thickBot="1" x14ac:dyDescent="0.35">
      <c r="A94" s="3" t="s">
        <v>122</v>
      </c>
      <c r="B94">
        <f>SUMIF(RawDataTotal!$B:$B,$A94,RawDataTotal!E:E)</f>
        <v>0</v>
      </c>
      <c r="C94">
        <f>SUMIF(RawDataTotal!$B:$B,$A94,RawDataTotal!F:F)</f>
        <v>0</v>
      </c>
      <c r="D94">
        <f>SUMIF(RawDataTotal!$B:$B,$A94,RawDataTotal!G:G)</f>
        <v>0</v>
      </c>
      <c r="E94">
        <f>SUMIF(RawDataTotal!$B:$B,$A94,RawDataTotal!H:H)</f>
        <v>0</v>
      </c>
      <c r="F94">
        <f>SUMIF(RawDataTotal!$B:$B,$A94,RawDataTotal!I:I)</f>
        <v>0</v>
      </c>
      <c r="G94">
        <f>SUMIF(RawDataTotal!$B:$B,$A94,RawDataTotal!J:J)</f>
        <v>0</v>
      </c>
      <c r="H94">
        <f>SUMIF(RawDataTotal!$B:$B,$A94,RawDataTotal!K:K)</f>
        <v>0</v>
      </c>
      <c r="I94">
        <f>SUMIF(RawDataTotal!$B:$B,$A94,RawDataTotal!L:L)</f>
        <v>0</v>
      </c>
      <c r="J94">
        <f>SUMIF(RawDataTotal!$B:$B,$A94,RawDataTotal!M:M)</f>
        <v>0</v>
      </c>
      <c r="K94">
        <f>SUMIF(RawDataTotal!$B:$B,$A94,RawDataTotal!N:N)</f>
        <v>0</v>
      </c>
      <c r="L94">
        <f>SUMIF(RawDataTotal!$B:$B,$A94,RawDataTotal!O:O)</f>
        <v>0</v>
      </c>
      <c r="M94">
        <f>SUMIF(RawDataTotal!$B:$B,$A94,RawDataTotal!P:P)</f>
        <v>0</v>
      </c>
      <c r="N94">
        <f>SUMIF(RawDataTotal!$B:$B,$A94,RawDataTotal!Q:Q)</f>
        <v>0</v>
      </c>
      <c r="O94">
        <f>SUMIF(RawDataTotal!$B:$B,$A94,RawDataTotal!R:R)</f>
        <v>0</v>
      </c>
      <c r="P94">
        <f>SUMIF(RawDataTotal!$B:$B,$A94,RawDataTotal!S:S)</f>
        <v>0</v>
      </c>
      <c r="Q94">
        <f>SUMIF(RawDataTotal!$B:$B,$A94,RawDataTotal!T:T)</f>
        <v>0</v>
      </c>
      <c r="R94">
        <f>SUMIF(RawDataTotal!$B:$B,$A94,RawDataTotal!U:U)</f>
        <v>0</v>
      </c>
      <c r="S94">
        <f>SUMIF(RawDataTotal!$B:$B,$A94,RawDataTotal!V:V)</f>
        <v>0</v>
      </c>
      <c r="T94">
        <f>SUMIF(RawDataTotal!$B:$B,$A94,RawDataTotal!W:W)</f>
        <v>0</v>
      </c>
      <c r="U94">
        <f>SUMIF(RawDataTotal!$B:$B,$A94,RawDataTotal!X:X)</f>
        <v>0</v>
      </c>
      <c r="V94">
        <f>SUMIF(RawDataTotal!$B:$B,$A94,RawDataTotal!Y:Y)</f>
        <v>0</v>
      </c>
      <c r="W94">
        <f>SUMIF(RawDataTotal!$B:$B,$A94,RawDataTotal!Z:Z)</f>
        <v>0</v>
      </c>
      <c r="X94">
        <f>SUMIF(RawDataTotal!$B:$B,$A94,RawDataTotal!AA:AA)</f>
        <v>0</v>
      </c>
      <c r="Y94">
        <f>SUMIF(RawDataTotal!$B:$B,$A94,RawDataTotal!AB:AB)</f>
        <v>0</v>
      </c>
      <c r="Z94">
        <f>SUMIF(RawDataTotal!$B:$B,$A94,RawDataTotal!AC:AC)</f>
        <v>0</v>
      </c>
      <c r="AA94">
        <f>SUMIF(RawDataTotal!$B:$B,$A94,RawDataTotal!AD:AD)</f>
        <v>0</v>
      </c>
      <c r="AB94">
        <f>SUMIF(RawDataTotal!$B:$B,$A94,RawDataTotal!AE:AE)</f>
        <v>0</v>
      </c>
      <c r="AC94">
        <f>SUMIF(RawDataTotal!$B:$B,$A94,RawDataTotal!AF:AF)</f>
        <v>0</v>
      </c>
      <c r="AD94">
        <f>SUMIF(RawDataTotal!$B:$B,$A94,RawDataTotal!AG:AG)</f>
        <v>0</v>
      </c>
      <c r="AE94">
        <f>SUMIF(RawDataTotal!$B:$B,$A94,RawDataTotal!AH:AH)</f>
        <v>0</v>
      </c>
      <c r="AF94">
        <f>SUMIF(RawDataTotal!$B:$B,$A94,RawDataTotal!AI:AI)</f>
        <v>0</v>
      </c>
      <c r="AG94">
        <f>SUMIF(RawDataTotal!$B:$B,$A94,RawDataTotal!AJ:AJ)</f>
        <v>0</v>
      </c>
      <c r="AH94">
        <f>SUMIF(RawDataTotal!$B:$B,$A94,RawDataTotal!AK:AK)</f>
        <v>0</v>
      </c>
      <c r="AI94">
        <f>SUMIF(RawDataTotal!$B:$B,$A94,RawDataTotal!AL:AL)</f>
        <v>0</v>
      </c>
      <c r="AJ94">
        <f>SUMIF(RawDataTotal!$B:$B,$A94,RawDataTotal!AM:AM)</f>
        <v>0</v>
      </c>
      <c r="AK94">
        <f>SUMIF(RawDataTotal!$B:$B,$A94,RawDataTotal!AN:AN)</f>
        <v>0</v>
      </c>
      <c r="AL94">
        <f>SUMIF(RawDataTotal!$B:$B,$A94,RawDataTotal!AO:AO)</f>
        <v>0</v>
      </c>
      <c r="AM94">
        <f>SUMIF(RawDataTotal!$B:$B,$A94,RawDataTotal!AP:AP)</f>
        <v>1</v>
      </c>
      <c r="AN94">
        <f>SUMIF(RawDataTotal!$B:$B,$A94,RawDataTotal!AQ:AQ)</f>
        <v>1</v>
      </c>
      <c r="AO94">
        <f>SUMIF(RawDataTotal!$B:$B,$A94,RawDataTotal!AR:AR)</f>
        <v>1</v>
      </c>
      <c r="AP94">
        <f>SUMIF(RawDataTotal!$B:$B,$A94,RawDataTotal!AS:AS)</f>
        <v>1</v>
      </c>
      <c r="AQ94">
        <f>SUMIF(RawDataTotal!$B:$B,$A94,RawDataTotal!AT:AT)</f>
        <v>1</v>
      </c>
      <c r="AR94">
        <f>SUMIF(RawDataTotal!$B:$B,$A94,RawDataTotal!AU:AU)</f>
        <v>3</v>
      </c>
      <c r="AS94">
        <f>SUMIF(RawDataTotal!$B:$B,$A94,RawDataTotal!AV:AV)</f>
        <v>3</v>
      </c>
      <c r="AT94">
        <f>SUMIF(RawDataTotal!$B:$B,$A94,RawDataTotal!AW:AW)</f>
        <v>4</v>
      </c>
      <c r="AU94">
        <f>SUMIF(RawDataTotal!$B:$B,$A94,RawDataTotal!AX:AX)</f>
        <v>5</v>
      </c>
      <c r="AV94">
        <f>SUMIF(RawDataTotal!$B:$B,$A94,RawDataTotal!AY:AY)</f>
        <v>5</v>
      </c>
      <c r="AW94">
        <f>SUMIF(RawDataTotal!$B:$B,$A94,RawDataTotal!AZ:AZ)</f>
        <v>5</v>
      </c>
      <c r="AX94">
        <f>SUMIF(RawDataTotal!$B:$B,$A94,RawDataTotal!BA:BA)</f>
        <v>5</v>
      </c>
      <c r="AY94">
        <f>SUMIF(RawDataTotal!$B:$B,$A94,RawDataTotal!BB:BB)</f>
        <v>5</v>
      </c>
      <c r="AZ94">
        <f>SUMIF(RawDataTotal!$B:$B,$A94,RawDataTotal!BC:BC)</f>
        <v>5</v>
      </c>
      <c r="BA94">
        <f>SUMIF(RawDataTotal!$B:$B,$A94,RawDataTotal!BD:BD)</f>
        <v>5</v>
      </c>
      <c r="BB94">
        <f>SUMIF(RawDataTotal!$B:$B,$A94,RawDataTotal!BE:BE)</f>
        <v>6</v>
      </c>
      <c r="BC94">
        <f>SUMIF(RawDataTotal!$B:$B,$A94,RawDataTotal!BF:BF)</f>
        <v>8</v>
      </c>
      <c r="BD94">
        <f>SUMIF(RawDataTotal!$B:$B,$A94,RawDataTotal!BG:BG)</f>
        <v>8</v>
      </c>
      <c r="BE94">
        <f>SUMIF(RawDataTotal!$B:$B,$A94,RawDataTotal!BH:BH)</f>
        <v>12</v>
      </c>
      <c r="BF94">
        <f>SUMIF(RawDataTotal!$B:$B,$A94,RawDataTotal!BI:BI)</f>
        <v>0</v>
      </c>
      <c r="BG94">
        <f>SUMIF(RawDataTotal!$B:$B,$A94,RawDataTotal!BJ:BJ)</f>
        <v>0</v>
      </c>
      <c r="BH94">
        <f>SUMIF(RawDataTotal!$B:$B,$A94,RawDataTotal!BK:BK)</f>
        <v>0</v>
      </c>
      <c r="BI94">
        <f>SUMIF(RawDataTotal!$B:$B,$A94,RawDataTotal!BL:BL)</f>
        <v>0</v>
      </c>
      <c r="BJ94">
        <f>SUMIF(RawDataTotal!$B:$B,$A94,RawDataTotal!BM:BM)</f>
        <v>0</v>
      </c>
      <c r="BK94">
        <f>SUMIF(RawDataTotal!$B:$B,$A94,RawDataTotal!BN:BN)</f>
        <v>0</v>
      </c>
      <c r="BL94">
        <f>SUMIF(RawDataTotal!$B:$B,$A94,RawDataTotal!BO:BO)</f>
        <v>0</v>
      </c>
      <c r="BM94">
        <f>SUMIF(RawDataTotal!$B:$B,$A94,RawDataTotal!BP:BP)</f>
        <v>0</v>
      </c>
      <c r="BN94">
        <f>SUMIF(RawDataTotal!$B:$B,$A94,RawDataTotal!BQ:BQ)</f>
        <v>0</v>
      </c>
      <c r="BO94">
        <f>SUMIF(RawDataTotal!$B:$B,$A94,RawDataTotal!BR:BR)</f>
        <v>0</v>
      </c>
      <c r="BP94">
        <f>SUMIF(RawDataTotal!$B:$B,$A94,RawDataTotal!BS:BS)</f>
        <v>0</v>
      </c>
      <c r="BQ94">
        <f>SUMIF(RawDataTotal!$B:$B,$A94,RawDataTotal!BT:BT)</f>
        <v>0</v>
      </c>
      <c r="BR94">
        <f>SUMIF(RawDataTotal!$B:$B,$A94,RawDataTotal!BU:BU)</f>
        <v>0</v>
      </c>
      <c r="BS94">
        <f>SUMIF(RawDataTotal!$B:$B,$A94,RawDataTotal!BV:BV)</f>
        <v>0</v>
      </c>
      <c r="BT94">
        <f>SUMIF(RawDataTotal!$B:$B,$A94,RawDataTotal!BW:BW)</f>
        <v>0</v>
      </c>
    </row>
    <row r="95" spans="1:72" ht="15" thickBot="1" x14ac:dyDescent="0.35">
      <c r="A95" s="4" t="s">
        <v>382</v>
      </c>
      <c r="B95">
        <f>SUMIF(RawDataTotal!$B:$B,$A95,RawDataTotal!E:E)</f>
        <v>0</v>
      </c>
      <c r="C95">
        <f>SUMIF(RawDataTotal!$B:$B,$A95,RawDataTotal!F:F)</f>
        <v>0</v>
      </c>
      <c r="D95">
        <f>SUMIF(RawDataTotal!$B:$B,$A95,RawDataTotal!G:G)</f>
        <v>0</v>
      </c>
      <c r="E95">
        <f>SUMIF(RawDataTotal!$B:$B,$A95,RawDataTotal!H:H)</f>
        <v>0</v>
      </c>
      <c r="F95">
        <f>SUMIF(RawDataTotal!$B:$B,$A95,RawDataTotal!I:I)</f>
        <v>0</v>
      </c>
      <c r="G95">
        <f>SUMIF(RawDataTotal!$B:$B,$A95,RawDataTotal!J:J)</f>
        <v>0</v>
      </c>
      <c r="H95">
        <f>SUMIF(RawDataTotal!$B:$B,$A95,RawDataTotal!K:K)</f>
        <v>0</v>
      </c>
      <c r="I95">
        <f>SUMIF(RawDataTotal!$B:$B,$A95,RawDataTotal!L:L)</f>
        <v>0</v>
      </c>
      <c r="J95">
        <f>SUMIF(RawDataTotal!$B:$B,$A95,RawDataTotal!M:M)</f>
        <v>0</v>
      </c>
      <c r="K95">
        <f>SUMIF(RawDataTotal!$B:$B,$A95,RawDataTotal!N:N)</f>
        <v>0</v>
      </c>
      <c r="L95">
        <f>SUMIF(RawDataTotal!$B:$B,$A95,RawDataTotal!O:O)</f>
        <v>0</v>
      </c>
      <c r="M95">
        <f>SUMIF(RawDataTotal!$B:$B,$A95,RawDataTotal!P:P)</f>
        <v>0</v>
      </c>
      <c r="N95">
        <f>SUMIF(RawDataTotal!$B:$B,$A95,RawDataTotal!Q:Q)</f>
        <v>0</v>
      </c>
      <c r="O95">
        <f>SUMIF(RawDataTotal!$B:$B,$A95,RawDataTotal!R:R)</f>
        <v>0</v>
      </c>
      <c r="P95">
        <f>SUMIF(RawDataTotal!$B:$B,$A95,RawDataTotal!S:S)</f>
        <v>0</v>
      </c>
      <c r="Q95">
        <f>SUMIF(RawDataTotal!$B:$B,$A95,RawDataTotal!T:T)</f>
        <v>0</v>
      </c>
      <c r="R95">
        <f>SUMIF(RawDataTotal!$B:$B,$A95,RawDataTotal!U:U)</f>
        <v>0</v>
      </c>
      <c r="S95">
        <f>SUMIF(RawDataTotal!$B:$B,$A95,RawDataTotal!V:V)</f>
        <v>0</v>
      </c>
      <c r="T95">
        <f>SUMIF(RawDataTotal!$B:$B,$A95,RawDataTotal!W:W)</f>
        <v>0</v>
      </c>
      <c r="U95">
        <f>SUMIF(RawDataTotal!$B:$B,$A95,RawDataTotal!X:X)</f>
        <v>0</v>
      </c>
      <c r="V95">
        <f>SUMIF(RawDataTotal!$B:$B,$A95,RawDataTotal!Y:Y)</f>
        <v>0</v>
      </c>
      <c r="W95">
        <f>SUMIF(RawDataTotal!$B:$B,$A95,RawDataTotal!Z:Z)</f>
        <v>0</v>
      </c>
      <c r="X95">
        <f>SUMIF(RawDataTotal!$B:$B,$A95,RawDataTotal!AA:AA)</f>
        <v>0</v>
      </c>
      <c r="Y95">
        <f>SUMIF(RawDataTotal!$B:$B,$A95,RawDataTotal!AB:AB)</f>
        <v>0</v>
      </c>
      <c r="Z95">
        <f>SUMIF(RawDataTotal!$B:$B,$A95,RawDataTotal!AC:AC)</f>
        <v>0</v>
      </c>
      <c r="AA95">
        <f>SUMIF(RawDataTotal!$B:$B,$A95,RawDataTotal!AD:AD)</f>
        <v>0</v>
      </c>
      <c r="AB95">
        <f>SUMIF(RawDataTotal!$B:$B,$A95,RawDataTotal!AE:AE)</f>
        <v>0</v>
      </c>
      <c r="AC95">
        <f>SUMIF(RawDataTotal!$B:$B,$A95,RawDataTotal!AF:AF)</f>
        <v>0</v>
      </c>
      <c r="AD95">
        <f>SUMIF(RawDataTotal!$B:$B,$A95,RawDataTotal!AG:AG)</f>
        <v>0</v>
      </c>
      <c r="AE95">
        <f>SUMIF(RawDataTotal!$B:$B,$A95,RawDataTotal!AH:AH)</f>
        <v>0</v>
      </c>
      <c r="AF95">
        <f>SUMIF(RawDataTotal!$B:$B,$A95,RawDataTotal!AI:AI)</f>
        <v>0</v>
      </c>
      <c r="AG95">
        <f>SUMIF(RawDataTotal!$B:$B,$A95,RawDataTotal!AJ:AJ)</f>
        <v>0</v>
      </c>
      <c r="AH95">
        <f>SUMIF(RawDataTotal!$B:$B,$A95,RawDataTotal!AK:AK)</f>
        <v>0</v>
      </c>
      <c r="AI95">
        <f>SUMIF(RawDataTotal!$B:$B,$A95,RawDataTotal!AL:AL)</f>
        <v>0</v>
      </c>
      <c r="AJ95">
        <f>SUMIF(RawDataTotal!$B:$B,$A95,RawDataTotal!AM:AM)</f>
        <v>0</v>
      </c>
      <c r="AK95">
        <f>SUMIF(RawDataTotal!$B:$B,$A95,RawDataTotal!AN:AN)</f>
        <v>0</v>
      </c>
      <c r="AL95">
        <f>SUMIF(RawDataTotal!$B:$B,$A95,RawDataTotal!AO:AO)</f>
        <v>0</v>
      </c>
      <c r="AM95">
        <f>SUMIF(RawDataTotal!$B:$B,$A95,RawDataTotal!AP:AP)</f>
        <v>0</v>
      </c>
      <c r="AN95">
        <f>SUMIF(RawDataTotal!$B:$B,$A95,RawDataTotal!AQ:AQ)</f>
        <v>0</v>
      </c>
      <c r="AO95">
        <f>SUMIF(RawDataTotal!$B:$B,$A95,RawDataTotal!AR:AR)</f>
        <v>0</v>
      </c>
      <c r="AP95">
        <f>SUMIF(RawDataTotal!$B:$B,$A95,RawDataTotal!AS:AS)</f>
        <v>0</v>
      </c>
      <c r="AQ95">
        <f>SUMIF(RawDataTotal!$B:$B,$A95,RawDataTotal!AT:AT)</f>
        <v>0</v>
      </c>
      <c r="AR95">
        <f>SUMIF(RawDataTotal!$B:$B,$A95,RawDataTotal!AU:AU)</f>
        <v>0</v>
      </c>
      <c r="AS95">
        <f>SUMIF(RawDataTotal!$B:$B,$A95,RawDataTotal!AV:AV)</f>
        <v>0</v>
      </c>
      <c r="AT95">
        <f>SUMIF(RawDataTotal!$B:$B,$A95,RawDataTotal!AW:AW)</f>
        <v>0</v>
      </c>
      <c r="AU95">
        <f>SUMIF(RawDataTotal!$B:$B,$A95,RawDataTotal!AX:AX)</f>
        <v>0</v>
      </c>
      <c r="AV95">
        <f>SUMIF(RawDataTotal!$B:$B,$A95,RawDataTotal!AY:AY)</f>
        <v>0</v>
      </c>
      <c r="AW95">
        <f>SUMIF(RawDataTotal!$B:$B,$A95,RawDataTotal!AZ:AZ)</f>
        <v>0</v>
      </c>
      <c r="AX95">
        <f>SUMIF(RawDataTotal!$B:$B,$A95,RawDataTotal!BA:BA)</f>
        <v>0</v>
      </c>
      <c r="AY95">
        <f>SUMIF(RawDataTotal!$B:$B,$A95,RawDataTotal!BB:BB)</f>
        <v>0</v>
      </c>
      <c r="AZ95">
        <f>SUMIF(RawDataTotal!$B:$B,$A95,RawDataTotal!BC:BC)</f>
        <v>0</v>
      </c>
      <c r="BA95">
        <f>SUMIF(RawDataTotal!$B:$B,$A95,RawDataTotal!BD:BD)</f>
        <v>0</v>
      </c>
      <c r="BB95">
        <f>SUMIF(RawDataTotal!$B:$B,$A95,RawDataTotal!BE:BE)</f>
        <v>0</v>
      </c>
      <c r="BC95">
        <f>SUMIF(RawDataTotal!$B:$B,$A95,RawDataTotal!BF:BF)</f>
        <v>0</v>
      </c>
      <c r="BD95">
        <f>SUMIF(RawDataTotal!$B:$B,$A95,RawDataTotal!BG:BG)</f>
        <v>0</v>
      </c>
      <c r="BE95">
        <f>SUMIF(RawDataTotal!$B:$B,$A95,RawDataTotal!BH:BH)</f>
        <v>0</v>
      </c>
      <c r="BF95">
        <f>SUMIF(RawDataTotal!$B:$B,$A95,RawDataTotal!BI:BI)</f>
        <v>0</v>
      </c>
      <c r="BG95">
        <f>SUMIF(RawDataTotal!$B:$B,$A95,RawDataTotal!BJ:BJ)</f>
        <v>0</v>
      </c>
      <c r="BH95">
        <f>SUMIF(RawDataTotal!$B:$B,$A95,RawDataTotal!BK:BK)</f>
        <v>0</v>
      </c>
      <c r="BI95">
        <f>SUMIF(RawDataTotal!$B:$B,$A95,RawDataTotal!BL:BL)</f>
        <v>0</v>
      </c>
      <c r="BJ95">
        <f>SUMIF(RawDataTotal!$B:$B,$A95,RawDataTotal!BM:BM)</f>
        <v>0</v>
      </c>
      <c r="BK95">
        <f>SUMIF(RawDataTotal!$B:$B,$A95,RawDataTotal!BN:BN)</f>
        <v>0</v>
      </c>
      <c r="BL95">
        <f>SUMIF(RawDataTotal!$B:$B,$A95,RawDataTotal!BO:BO)</f>
        <v>0</v>
      </c>
      <c r="BM95">
        <f>SUMIF(RawDataTotal!$B:$B,$A95,RawDataTotal!BP:BP)</f>
        <v>0</v>
      </c>
      <c r="BN95">
        <f>SUMIF(RawDataTotal!$B:$B,$A95,RawDataTotal!BQ:BQ)</f>
        <v>0</v>
      </c>
      <c r="BO95">
        <f>SUMIF(RawDataTotal!$B:$B,$A95,RawDataTotal!BR:BR)</f>
        <v>0</v>
      </c>
      <c r="BP95">
        <f>SUMIF(RawDataTotal!$B:$B,$A95,RawDataTotal!BS:BS)</f>
        <v>0</v>
      </c>
      <c r="BQ95">
        <f>SUMIF(RawDataTotal!$B:$B,$A95,RawDataTotal!BT:BT)</f>
        <v>0</v>
      </c>
      <c r="BR95">
        <f>SUMIF(RawDataTotal!$B:$B,$A95,RawDataTotal!BU:BU)</f>
        <v>0</v>
      </c>
      <c r="BS95">
        <f>SUMIF(RawDataTotal!$B:$B,$A95,RawDataTotal!BV:BV)</f>
        <v>0</v>
      </c>
      <c r="BT95">
        <f>SUMIF(RawDataTotal!$B:$B,$A95,RawDataTotal!BW:BW)</f>
        <v>0</v>
      </c>
    </row>
    <row r="96" spans="1:72" ht="15" thickBot="1" x14ac:dyDescent="0.35">
      <c r="A96" s="3" t="s">
        <v>383</v>
      </c>
      <c r="B96">
        <f>SUMIF(RawDataTotal!$B:$B,$A96,RawDataTotal!E:E)</f>
        <v>0</v>
      </c>
      <c r="C96">
        <f>SUMIF(RawDataTotal!$B:$B,$A96,RawDataTotal!F:F)</f>
        <v>0</v>
      </c>
      <c r="D96">
        <f>SUMIF(RawDataTotal!$B:$B,$A96,RawDataTotal!G:G)</f>
        <v>0</v>
      </c>
      <c r="E96">
        <f>SUMIF(RawDataTotal!$B:$B,$A96,RawDataTotal!H:H)</f>
        <v>0</v>
      </c>
      <c r="F96">
        <f>SUMIF(RawDataTotal!$B:$B,$A96,RawDataTotal!I:I)</f>
        <v>0</v>
      </c>
      <c r="G96">
        <f>SUMIF(RawDataTotal!$B:$B,$A96,RawDataTotal!J:J)</f>
        <v>0</v>
      </c>
      <c r="H96">
        <f>SUMIF(RawDataTotal!$B:$B,$A96,RawDataTotal!K:K)</f>
        <v>0</v>
      </c>
      <c r="I96">
        <f>SUMIF(RawDataTotal!$B:$B,$A96,RawDataTotal!L:L)</f>
        <v>0</v>
      </c>
      <c r="J96">
        <f>SUMIF(RawDataTotal!$B:$B,$A96,RawDataTotal!M:M)</f>
        <v>0</v>
      </c>
      <c r="K96">
        <f>SUMIF(RawDataTotal!$B:$B,$A96,RawDataTotal!N:N)</f>
        <v>0</v>
      </c>
      <c r="L96">
        <f>SUMIF(RawDataTotal!$B:$B,$A96,RawDataTotal!O:O)</f>
        <v>0</v>
      </c>
      <c r="M96">
        <f>SUMIF(RawDataTotal!$B:$B,$A96,RawDataTotal!P:P)</f>
        <v>0</v>
      </c>
      <c r="N96">
        <f>SUMIF(RawDataTotal!$B:$B,$A96,RawDataTotal!Q:Q)</f>
        <v>0</v>
      </c>
      <c r="O96">
        <f>SUMIF(RawDataTotal!$B:$B,$A96,RawDataTotal!R:R)</f>
        <v>0</v>
      </c>
      <c r="P96">
        <f>SUMIF(RawDataTotal!$B:$B,$A96,RawDataTotal!S:S)</f>
        <v>0</v>
      </c>
      <c r="Q96">
        <f>SUMIF(RawDataTotal!$B:$B,$A96,RawDataTotal!T:T)</f>
        <v>0</v>
      </c>
      <c r="R96">
        <f>SUMIF(RawDataTotal!$B:$B,$A96,RawDataTotal!U:U)</f>
        <v>0</v>
      </c>
      <c r="S96">
        <f>SUMIF(RawDataTotal!$B:$B,$A96,RawDataTotal!V:V)</f>
        <v>0</v>
      </c>
      <c r="T96">
        <f>SUMIF(RawDataTotal!$B:$B,$A96,RawDataTotal!W:W)</f>
        <v>0</v>
      </c>
      <c r="U96">
        <f>SUMIF(RawDataTotal!$B:$B,$A96,RawDataTotal!X:X)</f>
        <v>0</v>
      </c>
      <c r="V96">
        <f>SUMIF(RawDataTotal!$B:$B,$A96,RawDataTotal!Y:Y)</f>
        <v>0</v>
      </c>
      <c r="W96">
        <f>SUMIF(RawDataTotal!$B:$B,$A96,RawDataTotal!Z:Z)</f>
        <v>0</v>
      </c>
      <c r="X96">
        <f>SUMIF(RawDataTotal!$B:$B,$A96,RawDataTotal!AA:AA)</f>
        <v>0</v>
      </c>
      <c r="Y96">
        <f>SUMIF(RawDataTotal!$B:$B,$A96,RawDataTotal!AB:AB)</f>
        <v>0</v>
      </c>
      <c r="Z96">
        <f>SUMIF(RawDataTotal!$B:$B,$A96,RawDataTotal!AC:AC)</f>
        <v>0</v>
      </c>
      <c r="AA96">
        <f>SUMIF(RawDataTotal!$B:$B,$A96,RawDataTotal!AD:AD)</f>
        <v>0</v>
      </c>
      <c r="AB96">
        <f>SUMIF(RawDataTotal!$B:$B,$A96,RawDataTotal!AE:AE)</f>
        <v>0</v>
      </c>
      <c r="AC96">
        <f>SUMIF(RawDataTotal!$B:$B,$A96,RawDataTotal!AF:AF)</f>
        <v>0</v>
      </c>
      <c r="AD96">
        <f>SUMIF(RawDataTotal!$B:$B,$A96,RawDataTotal!AG:AG)</f>
        <v>0</v>
      </c>
      <c r="AE96">
        <f>SUMIF(RawDataTotal!$B:$B,$A96,RawDataTotal!AH:AH)</f>
        <v>0</v>
      </c>
      <c r="AF96">
        <f>SUMIF(RawDataTotal!$B:$B,$A96,RawDataTotal!AI:AI)</f>
        <v>0</v>
      </c>
      <c r="AG96">
        <f>SUMIF(RawDataTotal!$B:$B,$A96,RawDataTotal!AJ:AJ)</f>
        <v>0</v>
      </c>
      <c r="AH96">
        <f>SUMIF(RawDataTotal!$B:$B,$A96,RawDataTotal!AK:AK)</f>
        <v>0</v>
      </c>
      <c r="AI96">
        <f>SUMIF(RawDataTotal!$B:$B,$A96,RawDataTotal!AL:AL)</f>
        <v>0</v>
      </c>
      <c r="AJ96">
        <f>SUMIF(RawDataTotal!$B:$B,$A96,RawDataTotal!AM:AM)</f>
        <v>0</v>
      </c>
      <c r="AK96">
        <f>SUMIF(RawDataTotal!$B:$B,$A96,RawDataTotal!AN:AN)</f>
        <v>0</v>
      </c>
      <c r="AL96">
        <f>SUMIF(RawDataTotal!$B:$B,$A96,RawDataTotal!AO:AO)</f>
        <v>0</v>
      </c>
      <c r="AM96">
        <f>SUMIF(RawDataTotal!$B:$B,$A96,RawDataTotal!AP:AP)</f>
        <v>0</v>
      </c>
      <c r="AN96">
        <f>SUMIF(RawDataTotal!$B:$B,$A96,RawDataTotal!AQ:AQ)</f>
        <v>0</v>
      </c>
      <c r="AO96">
        <f>SUMIF(RawDataTotal!$B:$B,$A96,RawDataTotal!AR:AR)</f>
        <v>0</v>
      </c>
      <c r="AP96">
        <f>SUMIF(RawDataTotal!$B:$B,$A96,RawDataTotal!AS:AS)</f>
        <v>0</v>
      </c>
      <c r="AQ96">
        <f>SUMIF(RawDataTotal!$B:$B,$A96,RawDataTotal!AT:AT)</f>
        <v>0</v>
      </c>
      <c r="AR96">
        <f>SUMIF(RawDataTotal!$B:$B,$A96,RawDataTotal!AU:AU)</f>
        <v>0</v>
      </c>
      <c r="AS96">
        <f>SUMIF(RawDataTotal!$B:$B,$A96,RawDataTotal!AV:AV)</f>
        <v>0</v>
      </c>
      <c r="AT96">
        <f>SUMIF(RawDataTotal!$B:$B,$A96,RawDataTotal!AW:AW)</f>
        <v>0</v>
      </c>
      <c r="AU96">
        <f>SUMIF(RawDataTotal!$B:$B,$A96,RawDataTotal!AX:AX)</f>
        <v>0</v>
      </c>
      <c r="AV96">
        <f>SUMIF(RawDataTotal!$B:$B,$A96,RawDataTotal!AY:AY)</f>
        <v>0</v>
      </c>
      <c r="AW96">
        <f>SUMIF(RawDataTotal!$B:$B,$A96,RawDataTotal!AZ:AZ)</f>
        <v>0</v>
      </c>
      <c r="AX96">
        <f>SUMIF(RawDataTotal!$B:$B,$A96,RawDataTotal!BA:BA)</f>
        <v>0</v>
      </c>
      <c r="AY96">
        <f>SUMIF(RawDataTotal!$B:$B,$A96,RawDataTotal!BB:BB)</f>
        <v>1</v>
      </c>
      <c r="AZ96">
        <f>SUMIF(RawDataTotal!$B:$B,$A96,RawDataTotal!BC:BC)</f>
        <v>1</v>
      </c>
      <c r="BA96">
        <f>SUMIF(RawDataTotal!$B:$B,$A96,RawDataTotal!BD:BD)</f>
        <v>5</v>
      </c>
      <c r="BB96">
        <f>SUMIF(RawDataTotal!$B:$B,$A96,RawDataTotal!BE:BE)</f>
        <v>5</v>
      </c>
      <c r="BC96">
        <f>SUMIF(RawDataTotal!$B:$B,$A96,RawDataTotal!BF:BF)</f>
        <v>6</v>
      </c>
      <c r="BD96">
        <f>SUMIF(RawDataTotal!$B:$B,$A96,RawDataTotal!BG:BG)</f>
        <v>18</v>
      </c>
      <c r="BE96">
        <f>SUMIF(RawDataTotal!$B:$B,$A96,RawDataTotal!BH:BH)</f>
        <v>47</v>
      </c>
      <c r="BF96">
        <f>SUMIF(RawDataTotal!$B:$B,$A96,RawDataTotal!BI:BI)</f>
        <v>0</v>
      </c>
      <c r="BG96">
        <f>SUMIF(RawDataTotal!$B:$B,$A96,RawDataTotal!BJ:BJ)</f>
        <v>0</v>
      </c>
      <c r="BH96">
        <f>SUMIF(RawDataTotal!$B:$B,$A96,RawDataTotal!BK:BK)</f>
        <v>0</v>
      </c>
      <c r="BI96">
        <f>SUMIF(RawDataTotal!$B:$B,$A96,RawDataTotal!BL:BL)</f>
        <v>0</v>
      </c>
      <c r="BJ96">
        <f>SUMIF(RawDataTotal!$B:$B,$A96,RawDataTotal!BM:BM)</f>
        <v>0</v>
      </c>
      <c r="BK96">
        <f>SUMIF(RawDataTotal!$B:$B,$A96,RawDataTotal!BN:BN)</f>
        <v>0</v>
      </c>
      <c r="BL96">
        <f>SUMIF(RawDataTotal!$B:$B,$A96,RawDataTotal!BO:BO)</f>
        <v>0</v>
      </c>
      <c r="BM96">
        <f>SUMIF(RawDataTotal!$B:$B,$A96,RawDataTotal!BP:BP)</f>
        <v>0</v>
      </c>
      <c r="BN96">
        <f>SUMIF(RawDataTotal!$B:$B,$A96,RawDataTotal!BQ:BQ)</f>
        <v>0</v>
      </c>
      <c r="BO96">
        <f>SUMIF(RawDataTotal!$B:$B,$A96,RawDataTotal!BR:BR)</f>
        <v>0</v>
      </c>
      <c r="BP96">
        <f>SUMIF(RawDataTotal!$B:$B,$A96,RawDataTotal!BS:BS)</f>
        <v>0</v>
      </c>
      <c r="BQ96">
        <f>SUMIF(RawDataTotal!$B:$B,$A96,RawDataTotal!BT:BT)</f>
        <v>0</v>
      </c>
      <c r="BR96">
        <f>SUMIF(RawDataTotal!$B:$B,$A96,RawDataTotal!BU:BU)</f>
        <v>0</v>
      </c>
      <c r="BS96">
        <f>SUMIF(RawDataTotal!$B:$B,$A96,RawDataTotal!BV:BV)</f>
        <v>0</v>
      </c>
      <c r="BT96">
        <f>SUMIF(RawDataTotal!$B:$B,$A96,RawDataTotal!BW:BW)</f>
        <v>0</v>
      </c>
    </row>
    <row r="97" spans="1:72" ht="15" thickBot="1" x14ac:dyDescent="0.35">
      <c r="A97" s="4" t="s">
        <v>438</v>
      </c>
      <c r="B97">
        <f>SUMIF(RawDataTotal!$B:$B,$A97,RawDataTotal!E:E)</f>
        <v>0</v>
      </c>
      <c r="C97">
        <f>SUMIF(RawDataTotal!$B:$B,$A97,RawDataTotal!F:F)</f>
        <v>0</v>
      </c>
      <c r="D97">
        <f>SUMIF(RawDataTotal!$B:$B,$A97,RawDataTotal!G:G)</f>
        <v>0</v>
      </c>
      <c r="E97">
        <f>SUMIF(RawDataTotal!$B:$B,$A97,RawDataTotal!H:H)</f>
        <v>0</v>
      </c>
      <c r="F97">
        <f>SUMIF(RawDataTotal!$B:$B,$A97,RawDataTotal!I:I)</f>
        <v>0</v>
      </c>
      <c r="G97">
        <f>SUMIF(RawDataTotal!$B:$B,$A97,RawDataTotal!J:J)</f>
        <v>0</v>
      </c>
      <c r="H97">
        <f>SUMIF(RawDataTotal!$B:$B,$A97,RawDataTotal!K:K)</f>
        <v>0</v>
      </c>
      <c r="I97">
        <f>SUMIF(RawDataTotal!$B:$B,$A97,RawDataTotal!L:L)</f>
        <v>0</v>
      </c>
      <c r="J97">
        <f>SUMIF(RawDataTotal!$B:$B,$A97,RawDataTotal!M:M)</f>
        <v>0</v>
      </c>
      <c r="K97">
        <f>SUMIF(RawDataTotal!$B:$B,$A97,RawDataTotal!N:N)</f>
        <v>0</v>
      </c>
      <c r="L97">
        <f>SUMIF(RawDataTotal!$B:$B,$A97,RawDataTotal!O:O)</f>
        <v>0</v>
      </c>
      <c r="M97">
        <f>SUMIF(RawDataTotal!$B:$B,$A97,RawDataTotal!P:P)</f>
        <v>0</v>
      </c>
      <c r="N97">
        <f>SUMIF(RawDataTotal!$B:$B,$A97,RawDataTotal!Q:Q)</f>
        <v>0</v>
      </c>
      <c r="O97">
        <f>SUMIF(RawDataTotal!$B:$B,$A97,RawDataTotal!R:R)</f>
        <v>0</v>
      </c>
      <c r="P97">
        <f>SUMIF(RawDataTotal!$B:$B,$A97,RawDataTotal!S:S)</f>
        <v>0</v>
      </c>
      <c r="Q97">
        <f>SUMIF(RawDataTotal!$B:$B,$A97,RawDataTotal!T:T)</f>
        <v>0</v>
      </c>
      <c r="R97">
        <f>SUMIF(RawDataTotal!$B:$B,$A97,RawDataTotal!U:U)</f>
        <v>0</v>
      </c>
      <c r="S97">
        <f>SUMIF(RawDataTotal!$B:$B,$A97,RawDataTotal!V:V)</f>
        <v>0</v>
      </c>
      <c r="T97">
        <f>SUMIF(RawDataTotal!$B:$B,$A97,RawDataTotal!W:W)</f>
        <v>0</v>
      </c>
      <c r="U97">
        <f>SUMIF(RawDataTotal!$B:$B,$A97,RawDataTotal!X:X)</f>
        <v>0</v>
      </c>
      <c r="V97">
        <f>SUMIF(RawDataTotal!$B:$B,$A97,RawDataTotal!Y:Y)</f>
        <v>0</v>
      </c>
      <c r="W97">
        <f>SUMIF(RawDataTotal!$B:$B,$A97,RawDataTotal!Z:Z)</f>
        <v>0</v>
      </c>
      <c r="X97">
        <f>SUMIF(RawDataTotal!$B:$B,$A97,RawDataTotal!AA:AA)</f>
        <v>0</v>
      </c>
      <c r="Y97">
        <f>SUMIF(RawDataTotal!$B:$B,$A97,RawDataTotal!AB:AB)</f>
        <v>0</v>
      </c>
      <c r="Z97">
        <f>SUMIF(RawDataTotal!$B:$B,$A97,RawDataTotal!AC:AC)</f>
        <v>0</v>
      </c>
      <c r="AA97">
        <f>SUMIF(RawDataTotal!$B:$B,$A97,RawDataTotal!AD:AD)</f>
        <v>0</v>
      </c>
      <c r="AB97">
        <f>SUMIF(RawDataTotal!$B:$B,$A97,RawDataTotal!AE:AE)</f>
        <v>0</v>
      </c>
      <c r="AC97">
        <f>SUMIF(RawDataTotal!$B:$B,$A97,RawDataTotal!AF:AF)</f>
        <v>0</v>
      </c>
      <c r="AD97">
        <f>SUMIF(RawDataTotal!$B:$B,$A97,RawDataTotal!AG:AG)</f>
        <v>0</v>
      </c>
      <c r="AE97">
        <f>SUMIF(RawDataTotal!$B:$B,$A97,RawDataTotal!AH:AH)</f>
        <v>0</v>
      </c>
      <c r="AF97">
        <f>SUMIF(RawDataTotal!$B:$B,$A97,RawDataTotal!AI:AI)</f>
        <v>0</v>
      </c>
      <c r="AG97">
        <f>SUMIF(RawDataTotal!$B:$B,$A97,RawDataTotal!AJ:AJ)</f>
        <v>0</v>
      </c>
      <c r="AH97">
        <f>SUMIF(RawDataTotal!$B:$B,$A97,RawDataTotal!AK:AK)</f>
        <v>0</v>
      </c>
      <c r="AI97">
        <f>SUMIF(RawDataTotal!$B:$B,$A97,RawDataTotal!AL:AL)</f>
        <v>0</v>
      </c>
      <c r="AJ97">
        <f>SUMIF(RawDataTotal!$B:$B,$A97,RawDataTotal!AM:AM)</f>
        <v>0</v>
      </c>
      <c r="AK97">
        <f>SUMIF(RawDataTotal!$B:$B,$A97,RawDataTotal!AN:AN)</f>
        <v>0</v>
      </c>
      <c r="AL97">
        <f>SUMIF(RawDataTotal!$B:$B,$A97,RawDataTotal!AO:AO)</f>
        <v>0</v>
      </c>
      <c r="AM97">
        <f>SUMIF(RawDataTotal!$B:$B,$A97,RawDataTotal!AP:AP)</f>
        <v>0</v>
      </c>
      <c r="AN97">
        <f>SUMIF(RawDataTotal!$B:$B,$A97,RawDataTotal!AQ:AQ)</f>
        <v>0</v>
      </c>
      <c r="AO97">
        <f>SUMIF(RawDataTotal!$B:$B,$A97,RawDataTotal!AR:AR)</f>
        <v>0</v>
      </c>
      <c r="AP97">
        <f>SUMIF(RawDataTotal!$B:$B,$A97,RawDataTotal!AS:AS)</f>
        <v>0</v>
      </c>
      <c r="AQ97">
        <f>SUMIF(RawDataTotal!$B:$B,$A97,RawDataTotal!AT:AT)</f>
        <v>0</v>
      </c>
      <c r="AR97">
        <f>SUMIF(RawDataTotal!$B:$B,$A97,RawDataTotal!AU:AU)</f>
        <v>0</v>
      </c>
      <c r="AS97">
        <f>SUMIF(RawDataTotal!$B:$B,$A97,RawDataTotal!AV:AV)</f>
        <v>0</v>
      </c>
      <c r="AT97">
        <f>SUMIF(RawDataTotal!$B:$B,$A97,RawDataTotal!AW:AW)</f>
        <v>0</v>
      </c>
      <c r="AU97">
        <f>SUMIF(RawDataTotal!$B:$B,$A97,RawDataTotal!AX:AX)</f>
        <v>0</v>
      </c>
      <c r="AV97">
        <f>SUMIF(RawDataTotal!$B:$B,$A97,RawDataTotal!AY:AY)</f>
        <v>0</v>
      </c>
      <c r="AW97">
        <f>SUMIF(RawDataTotal!$B:$B,$A97,RawDataTotal!AZ:AZ)</f>
        <v>0</v>
      </c>
      <c r="AX97">
        <f>SUMIF(RawDataTotal!$B:$B,$A97,RawDataTotal!BA:BA)</f>
        <v>0</v>
      </c>
      <c r="AY97">
        <f>SUMIF(RawDataTotal!$B:$B,$A97,RawDataTotal!BB:BB)</f>
        <v>0</v>
      </c>
      <c r="AZ97">
        <f>SUMIF(RawDataTotal!$B:$B,$A97,RawDataTotal!BC:BC)</f>
        <v>3</v>
      </c>
      <c r="BA97">
        <f>SUMIF(RawDataTotal!$B:$B,$A97,RawDataTotal!BD:BD)</f>
        <v>4</v>
      </c>
      <c r="BB97">
        <f>SUMIF(RawDataTotal!$B:$B,$A97,RawDataTotal!BE:BE)</f>
        <v>4</v>
      </c>
      <c r="BC97">
        <f>SUMIF(RawDataTotal!$B:$B,$A97,RawDataTotal!BF:BF)</f>
        <v>4</v>
      </c>
      <c r="BD97">
        <f>SUMIF(RawDataTotal!$B:$B,$A97,RawDataTotal!BG:BG)</f>
        <v>4</v>
      </c>
      <c r="BE97">
        <f>SUMIF(RawDataTotal!$B:$B,$A97,RawDataTotal!BH:BH)</f>
        <v>5</v>
      </c>
      <c r="BF97">
        <f>SUMIF(RawDataTotal!$B:$B,$A97,RawDataTotal!BI:BI)</f>
        <v>0</v>
      </c>
      <c r="BG97">
        <f>SUMIF(RawDataTotal!$B:$B,$A97,RawDataTotal!BJ:BJ)</f>
        <v>0</v>
      </c>
      <c r="BH97">
        <f>SUMIF(RawDataTotal!$B:$B,$A97,RawDataTotal!BK:BK)</f>
        <v>0</v>
      </c>
      <c r="BI97">
        <f>SUMIF(RawDataTotal!$B:$B,$A97,RawDataTotal!BL:BL)</f>
        <v>0</v>
      </c>
      <c r="BJ97">
        <f>SUMIF(RawDataTotal!$B:$B,$A97,RawDataTotal!BM:BM)</f>
        <v>0</v>
      </c>
      <c r="BK97">
        <f>SUMIF(RawDataTotal!$B:$B,$A97,RawDataTotal!BN:BN)</f>
        <v>0</v>
      </c>
      <c r="BL97">
        <f>SUMIF(RawDataTotal!$B:$B,$A97,RawDataTotal!BO:BO)</f>
        <v>0</v>
      </c>
      <c r="BM97">
        <f>SUMIF(RawDataTotal!$B:$B,$A97,RawDataTotal!BP:BP)</f>
        <v>0</v>
      </c>
      <c r="BN97">
        <f>SUMIF(RawDataTotal!$B:$B,$A97,RawDataTotal!BQ:BQ)</f>
        <v>0</v>
      </c>
      <c r="BO97">
        <f>SUMIF(RawDataTotal!$B:$B,$A97,RawDataTotal!BR:BR)</f>
        <v>0</v>
      </c>
      <c r="BP97">
        <f>SUMIF(RawDataTotal!$B:$B,$A97,RawDataTotal!BS:BS)</f>
        <v>0</v>
      </c>
      <c r="BQ97">
        <f>SUMIF(RawDataTotal!$B:$B,$A97,RawDataTotal!BT:BT)</f>
        <v>0</v>
      </c>
      <c r="BR97">
        <f>SUMIF(RawDataTotal!$B:$B,$A97,RawDataTotal!BU:BU)</f>
        <v>0</v>
      </c>
      <c r="BS97">
        <f>SUMIF(RawDataTotal!$B:$B,$A97,RawDataTotal!BV:BV)</f>
        <v>0</v>
      </c>
      <c r="BT97">
        <f>SUMIF(RawDataTotal!$B:$B,$A97,RawDataTotal!BW:BW)</f>
        <v>0</v>
      </c>
    </row>
    <row r="98" spans="1:72" ht="15" thickBot="1" x14ac:dyDescent="0.35">
      <c r="A98" s="4" t="s">
        <v>441</v>
      </c>
      <c r="B98">
        <f>SUMIF(RawDataTotal!$B:$B,$A98,RawDataTotal!E:E)</f>
        <v>0</v>
      </c>
      <c r="C98">
        <f>SUMIF(RawDataTotal!$B:$B,$A98,RawDataTotal!F:F)</f>
        <v>0</v>
      </c>
      <c r="D98">
        <f>SUMIF(RawDataTotal!$B:$B,$A98,RawDataTotal!G:G)</f>
        <v>0</v>
      </c>
      <c r="E98">
        <f>SUMIF(RawDataTotal!$B:$B,$A98,RawDataTotal!H:H)</f>
        <v>0</v>
      </c>
      <c r="F98">
        <f>SUMIF(RawDataTotal!$B:$B,$A98,RawDataTotal!I:I)</f>
        <v>0</v>
      </c>
      <c r="G98">
        <f>SUMIF(RawDataTotal!$B:$B,$A98,RawDataTotal!J:J)</f>
        <v>0</v>
      </c>
      <c r="H98">
        <f>SUMIF(RawDataTotal!$B:$B,$A98,RawDataTotal!K:K)</f>
        <v>0</v>
      </c>
      <c r="I98">
        <f>SUMIF(RawDataTotal!$B:$B,$A98,RawDataTotal!L:L)</f>
        <v>0</v>
      </c>
      <c r="J98">
        <f>SUMIF(RawDataTotal!$B:$B,$A98,RawDataTotal!M:M)</f>
        <v>0</v>
      </c>
      <c r="K98">
        <f>SUMIF(RawDataTotal!$B:$B,$A98,RawDataTotal!N:N)</f>
        <v>0</v>
      </c>
      <c r="L98">
        <f>SUMIF(RawDataTotal!$B:$B,$A98,RawDataTotal!O:O)</f>
        <v>0</v>
      </c>
      <c r="M98">
        <f>SUMIF(RawDataTotal!$B:$B,$A98,RawDataTotal!P:P)</f>
        <v>0</v>
      </c>
      <c r="N98">
        <f>SUMIF(RawDataTotal!$B:$B,$A98,RawDataTotal!Q:Q)</f>
        <v>0</v>
      </c>
      <c r="O98">
        <f>SUMIF(RawDataTotal!$B:$B,$A98,RawDataTotal!R:R)</f>
        <v>0</v>
      </c>
      <c r="P98">
        <f>SUMIF(RawDataTotal!$B:$B,$A98,RawDataTotal!S:S)</f>
        <v>0</v>
      </c>
      <c r="Q98">
        <f>SUMIF(RawDataTotal!$B:$B,$A98,RawDataTotal!T:T)</f>
        <v>0</v>
      </c>
      <c r="R98">
        <f>SUMIF(RawDataTotal!$B:$B,$A98,RawDataTotal!U:U)</f>
        <v>0</v>
      </c>
      <c r="S98">
        <f>SUMIF(RawDataTotal!$B:$B,$A98,RawDataTotal!V:V)</f>
        <v>0</v>
      </c>
      <c r="T98">
        <f>SUMIF(RawDataTotal!$B:$B,$A98,RawDataTotal!W:W)</f>
        <v>0</v>
      </c>
      <c r="U98">
        <f>SUMIF(RawDataTotal!$B:$B,$A98,RawDataTotal!X:X)</f>
        <v>0</v>
      </c>
      <c r="V98">
        <f>SUMIF(RawDataTotal!$B:$B,$A98,RawDataTotal!Y:Y)</f>
        <v>0</v>
      </c>
      <c r="W98">
        <f>SUMIF(RawDataTotal!$B:$B,$A98,RawDataTotal!Z:Z)</f>
        <v>0</v>
      </c>
      <c r="X98">
        <f>SUMIF(RawDataTotal!$B:$B,$A98,RawDataTotal!AA:AA)</f>
        <v>0</v>
      </c>
      <c r="Y98">
        <f>SUMIF(RawDataTotal!$B:$B,$A98,RawDataTotal!AB:AB)</f>
        <v>0</v>
      </c>
      <c r="Z98">
        <f>SUMIF(RawDataTotal!$B:$B,$A98,RawDataTotal!AC:AC)</f>
        <v>0</v>
      </c>
      <c r="AA98">
        <f>SUMIF(RawDataTotal!$B:$B,$A98,RawDataTotal!AD:AD)</f>
        <v>0</v>
      </c>
      <c r="AB98">
        <f>SUMIF(RawDataTotal!$B:$B,$A98,RawDataTotal!AE:AE)</f>
        <v>0</v>
      </c>
      <c r="AC98">
        <f>SUMIF(RawDataTotal!$B:$B,$A98,RawDataTotal!AF:AF)</f>
        <v>0</v>
      </c>
      <c r="AD98">
        <f>SUMIF(RawDataTotal!$B:$B,$A98,RawDataTotal!AG:AG)</f>
        <v>0</v>
      </c>
      <c r="AE98">
        <f>SUMIF(RawDataTotal!$B:$B,$A98,RawDataTotal!AH:AH)</f>
        <v>0</v>
      </c>
      <c r="AF98">
        <f>SUMIF(RawDataTotal!$B:$B,$A98,RawDataTotal!AI:AI)</f>
        <v>0</v>
      </c>
      <c r="AG98">
        <f>SUMIF(RawDataTotal!$B:$B,$A98,RawDataTotal!AJ:AJ)</f>
        <v>0</v>
      </c>
      <c r="AH98">
        <f>SUMIF(RawDataTotal!$B:$B,$A98,RawDataTotal!AK:AK)</f>
        <v>0</v>
      </c>
      <c r="AI98">
        <f>SUMIF(RawDataTotal!$B:$B,$A98,RawDataTotal!AL:AL)</f>
        <v>0</v>
      </c>
      <c r="AJ98">
        <f>SUMIF(RawDataTotal!$B:$B,$A98,RawDataTotal!AM:AM)</f>
        <v>0</v>
      </c>
      <c r="AK98">
        <f>SUMIF(RawDataTotal!$B:$B,$A98,RawDataTotal!AN:AN)</f>
        <v>0</v>
      </c>
      <c r="AL98">
        <f>SUMIF(RawDataTotal!$B:$B,$A98,RawDataTotal!AO:AO)</f>
        <v>0</v>
      </c>
      <c r="AM98">
        <f>SUMIF(RawDataTotal!$B:$B,$A98,RawDataTotal!AP:AP)</f>
        <v>0</v>
      </c>
      <c r="AN98">
        <f>SUMIF(RawDataTotal!$B:$B,$A98,RawDataTotal!AQ:AQ)</f>
        <v>0</v>
      </c>
      <c r="AO98">
        <f>SUMIF(RawDataTotal!$B:$B,$A98,RawDataTotal!AR:AR)</f>
        <v>0</v>
      </c>
      <c r="AP98">
        <f>SUMIF(RawDataTotal!$B:$B,$A98,RawDataTotal!AS:AS)</f>
        <v>0</v>
      </c>
      <c r="AQ98">
        <f>SUMIF(RawDataTotal!$B:$B,$A98,RawDataTotal!AT:AT)</f>
        <v>0</v>
      </c>
      <c r="AR98">
        <f>SUMIF(RawDataTotal!$B:$B,$A98,RawDataTotal!AU:AU)</f>
        <v>0</v>
      </c>
      <c r="AS98">
        <f>SUMIF(RawDataTotal!$B:$B,$A98,RawDataTotal!AV:AV)</f>
        <v>0</v>
      </c>
      <c r="AT98">
        <f>SUMIF(RawDataTotal!$B:$B,$A98,RawDataTotal!AW:AW)</f>
        <v>0</v>
      </c>
      <c r="AU98">
        <f>SUMIF(RawDataTotal!$B:$B,$A98,RawDataTotal!AX:AX)</f>
        <v>0</v>
      </c>
      <c r="AV98">
        <f>SUMIF(RawDataTotal!$B:$B,$A98,RawDataTotal!AY:AY)</f>
        <v>0</v>
      </c>
      <c r="AW98">
        <f>SUMIF(RawDataTotal!$B:$B,$A98,RawDataTotal!AZ:AZ)</f>
        <v>0</v>
      </c>
      <c r="AX98">
        <f>SUMIF(RawDataTotal!$B:$B,$A98,RawDataTotal!BA:BA)</f>
        <v>0</v>
      </c>
      <c r="AY98">
        <f>SUMIF(RawDataTotal!$B:$B,$A98,RawDataTotal!BB:BB)</f>
        <v>0</v>
      </c>
      <c r="AZ98">
        <f>SUMIF(RawDataTotal!$B:$B,$A98,RawDataTotal!BC:BC)</f>
        <v>0</v>
      </c>
      <c r="BA98">
        <f>SUMIF(RawDataTotal!$B:$B,$A98,RawDataTotal!BD:BD)</f>
        <v>4</v>
      </c>
      <c r="BB98">
        <f>SUMIF(RawDataTotal!$B:$B,$A98,RawDataTotal!BE:BE)</f>
        <v>6</v>
      </c>
      <c r="BC98">
        <f>SUMIF(RawDataTotal!$B:$B,$A98,RawDataTotal!BF:BF)</f>
        <v>9</v>
      </c>
      <c r="BD98">
        <f>SUMIF(RawDataTotal!$B:$B,$A98,RawDataTotal!BG:BG)</f>
        <v>10</v>
      </c>
      <c r="BE98">
        <f>SUMIF(RawDataTotal!$B:$B,$A98,RawDataTotal!BH:BH)</f>
        <v>33</v>
      </c>
      <c r="BF98">
        <f>SUMIF(RawDataTotal!$B:$B,$A98,RawDataTotal!BI:BI)</f>
        <v>0</v>
      </c>
      <c r="BG98">
        <f>SUMIF(RawDataTotal!$B:$B,$A98,RawDataTotal!BJ:BJ)</f>
        <v>0</v>
      </c>
      <c r="BH98">
        <f>SUMIF(RawDataTotal!$B:$B,$A98,RawDataTotal!BK:BK)</f>
        <v>0</v>
      </c>
      <c r="BI98">
        <f>SUMIF(RawDataTotal!$B:$B,$A98,RawDataTotal!BL:BL)</f>
        <v>0</v>
      </c>
      <c r="BJ98">
        <f>SUMIF(RawDataTotal!$B:$B,$A98,RawDataTotal!BM:BM)</f>
        <v>0</v>
      </c>
      <c r="BK98">
        <f>SUMIF(RawDataTotal!$B:$B,$A98,RawDataTotal!BN:BN)</f>
        <v>0</v>
      </c>
      <c r="BL98">
        <f>SUMIF(RawDataTotal!$B:$B,$A98,RawDataTotal!BO:BO)</f>
        <v>0</v>
      </c>
      <c r="BM98">
        <f>SUMIF(RawDataTotal!$B:$B,$A98,RawDataTotal!BP:BP)</f>
        <v>0</v>
      </c>
      <c r="BN98">
        <f>SUMIF(RawDataTotal!$B:$B,$A98,RawDataTotal!BQ:BQ)</f>
        <v>0</v>
      </c>
      <c r="BO98">
        <f>SUMIF(RawDataTotal!$B:$B,$A98,RawDataTotal!BR:BR)</f>
        <v>0</v>
      </c>
      <c r="BP98">
        <f>SUMIF(RawDataTotal!$B:$B,$A98,RawDataTotal!BS:BS)</f>
        <v>0</v>
      </c>
      <c r="BQ98">
        <f>SUMIF(RawDataTotal!$B:$B,$A98,RawDataTotal!BT:BT)</f>
        <v>0</v>
      </c>
      <c r="BR98">
        <f>SUMIF(RawDataTotal!$B:$B,$A98,RawDataTotal!BU:BU)</f>
        <v>0</v>
      </c>
      <c r="BS98">
        <f>SUMIF(RawDataTotal!$B:$B,$A98,RawDataTotal!BV:BV)</f>
        <v>0</v>
      </c>
      <c r="BT98">
        <f>SUMIF(RawDataTotal!$B:$B,$A98,RawDataTotal!BW:BW)</f>
        <v>0</v>
      </c>
    </row>
    <row r="99" spans="1:72" ht="15" thickBot="1" x14ac:dyDescent="0.35">
      <c r="A99" s="3" t="s">
        <v>229</v>
      </c>
      <c r="B99">
        <f>SUMIF(RawDataTotal!$B:$B,$A99,RawDataTotal!E:E)</f>
        <v>0</v>
      </c>
      <c r="C99">
        <f>SUMIF(RawDataTotal!$B:$B,$A99,RawDataTotal!F:F)</f>
        <v>0</v>
      </c>
      <c r="D99">
        <f>SUMIF(RawDataTotal!$B:$B,$A99,RawDataTotal!G:G)</f>
        <v>0</v>
      </c>
      <c r="E99">
        <f>SUMIF(RawDataTotal!$B:$B,$A99,RawDataTotal!H:H)</f>
        <v>0</v>
      </c>
      <c r="F99">
        <f>SUMIF(RawDataTotal!$B:$B,$A99,RawDataTotal!I:I)</f>
        <v>0</v>
      </c>
      <c r="G99">
        <f>SUMIF(RawDataTotal!$B:$B,$A99,RawDataTotal!J:J)</f>
        <v>0</v>
      </c>
      <c r="H99">
        <f>SUMIF(RawDataTotal!$B:$B,$A99,RawDataTotal!K:K)</f>
        <v>0</v>
      </c>
      <c r="I99">
        <f>SUMIF(RawDataTotal!$B:$B,$A99,RawDataTotal!L:L)</f>
        <v>0</v>
      </c>
      <c r="J99">
        <f>SUMIF(RawDataTotal!$B:$B,$A99,RawDataTotal!M:M)</f>
        <v>0</v>
      </c>
      <c r="K99">
        <f>SUMIF(RawDataTotal!$B:$B,$A99,RawDataTotal!N:N)</f>
        <v>0</v>
      </c>
      <c r="L99">
        <f>SUMIF(RawDataTotal!$B:$B,$A99,RawDataTotal!O:O)</f>
        <v>0</v>
      </c>
      <c r="M99">
        <f>SUMIF(RawDataTotal!$B:$B,$A99,RawDataTotal!P:P)</f>
        <v>0</v>
      </c>
      <c r="N99">
        <f>SUMIF(RawDataTotal!$B:$B,$A99,RawDataTotal!Q:Q)</f>
        <v>0</v>
      </c>
      <c r="O99">
        <f>SUMIF(RawDataTotal!$B:$B,$A99,RawDataTotal!R:R)</f>
        <v>0</v>
      </c>
      <c r="P99">
        <f>SUMIF(RawDataTotal!$B:$B,$A99,RawDataTotal!S:S)</f>
        <v>0</v>
      </c>
      <c r="Q99">
        <f>SUMIF(RawDataTotal!$B:$B,$A99,RawDataTotal!T:T)</f>
        <v>0</v>
      </c>
      <c r="R99">
        <f>SUMIF(RawDataTotal!$B:$B,$A99,RawDataTotal!U:U)</f>
        <v>0</v>
      </c>
      <c r="S99">
        <f>SUMIF(RawDataTotal!$B:$B,$A99,RawDataTotal!V:V)</f>
        <v>0</v>
      </c>
      <c r="T99">
        <f>SUMIF(RawDataTotal!$B:$B,$A99,RawDataTotal!W:W)</f>
        <v>0</v>
      </c>
      <c r="U99">
        <f>SUMIF(RawDataTotal!$B:$B,$A99,RawDataTotal!X:X)</f>
        <v>0</v>
      </c>
      <c r="V99">
        <f>SUMIF(RawDataTotal!$B:$B,$A99,RawDataTotal!Y:Y)</f>
        <v>0</v>
      </c>
      <c r="W99">
        <f>SUMIF(RawDataTotal!$B:$B,$A99,RawDataTotal!Z:Z)</f>
        <v>0</v>
      </c>
      <c r="X99">
        <f>SUMIF(RawDataTotal!$B:$B,$A99,RawDataTotal!AA:AA)</f>
        <v>0</v>
      </c>
      <c r="Y99">
        <f>SUMIF(RawDataTotal!$B:$B,$A99,RawDataTotal!AB:AB)</f>
        <v>0</v>
      </c>
      <c r="Z99">
        <f>SUMIF(RawDataTotal!$B:$B,$A99,RawDataTotal!AC:AC)</f>
        <v>0</v>
      </c>
      <c r="AA99">
        <f>SUMIF(RawDataTotal!$B:$B,$A99,RawDataTotal!AD:AD)</f>
        <v>0</v>
      </c>
      <c r="AB99">
        <f>SUMIF(RawDataTotal!$B:$B,$A99,RawDataTotal!AE:AE)</f>
        <v>0</v>
      </c>
      <c r="AC99">
        <f>SUMIF(RawDataTotal!$B:$B,$A99,RawDataTotal!AF:AF)</f>
        <v>0</v>
      </c>
      <c r="AD99">
        <f>SUMIF(RawDataTotal!$B:$B,$A99,RawDataTotal!AG:AG)</f>
        <v>0</v>
      </c>
      <c r="AE99">
        <f>SUMIF(RawDataTotal!$B:$B,$A99,RawDataTotal!AH:AH)</f>
        <v>0</v>
      </c>
      <c r="AF99">
        <f>SUMIF(RawDataTotal!$B:$B,$A99,RawDataTotal!AI:AI)</f>
        <v>0</v>
      </c>
      <c r="AG99">
        <f>SUMIF(RawDataTotal!$B:$B,$A99,RawDataTotal!AJ:AJ)</f>
        <v>0</v>
      </c>
      <c r="AH99">
        <f>SUMIF(RawDataTotal!$B:$B,$A99,RawDataTotal!AK:AK)</f>
        <v>0</v>
      </c>
      <c r="AI99">
        <f>SUMIF(RawDataTotal!$B:$B,$A99,RawDataTotal!AL:AL)</f>
        <v>0</v>
      </c>
      <c r="AJ99">
        <f>SUMIF(RawDataTotal!$B:$B,$A99,RawDataTotal!AM:AM)</f>
        <v>0</v>
      </c>
      <c r="AK99">
        <f>SUMIF(RawDataTotal!$B:$B,$A99,RawDataTotal!AN:AN)</f>
        <v>0</v>
      </c>
      <c r="AL99">
        <f>SUMIF(RawDataTotal!$B:$B,$A99,RawDataTotal!AO:AO)</f>
        <v>0</v>
      </c>
      <c r="AM99">
        <f>SUMIF(RawDataTotal!$B:$B,$A99,RawDataTotal!AP:AP)</f>
        <v>0</v>
      </c>
      <c r="AN99">
        <f>SUMIF(RawDataTotal!$B:$B,$A99,RawDataTotal!AQ:AQ)</f>
        <v>0</v>
      </c>
      <c r="AO99">
        <f>SUMIF(RawDataTotal!$B:$B,$A99,RawDataTotal!AR:AR)</f>
        <v>0</v>
      </c>
      <c r="AP99">
        <f>SUMIF(RawDataTotal!$B:$B,$A99,RawDataTotal!AS:AS)</f>
        <v>0</v>
      </c>
      <c r="AQ99">
        <f>SUMIF(RawDataTotal!$B:$B,$A99,RawDataTotal!AT:AT)</f>
        <v>0</v>
      </c>
      <c r="AR99">
        <f>SUMIF(RawDataTotal!$B:$B,$A99,RawDataTotal!AU:AU)</f>
        <v>0</v>
      </c>
      <c r="AS99">
        <f>SUMIF(RawDataTotal!$B:$B,$A99,RawDataTotal!AV:AV)</f>
        <v>0</v>
      </c>
      <c r="AT99">
        <f>SUMIF(RawDataTotal!$B:$B,$A99,RawDataTotal!AW:AW)</f>
        <v>0</v>
      </c>
      <c r="AU99">
        <f>SUMIF(RawDataTotal!$B:$B,$A99,RawDataTotal!AX:AX)</f>
        <v>0</v>
      </c>
      <c r="AV99">
        <f>SUMIF(RawDataTotal!$B:$B,$A99,RawDataTotal!AY:AY)</f>
        <v>3</v>
      </c>
      <c r="AW99">
        <f>SUMIF(RawDataTotal!$B:$B,$A99,RawDataTotal!AZ:AZ)</f>
        <v>3</v>
      </c>
      <c r="AX99">
        <f>SUMIF(RawDataTotal!$B:$B,$A99,RawDataTotal!BA:BA)</f>
        <v>3</v>
      </c>
      <c r="AY99">
        <f>SUMIF(RawDataTotal!$B:$B,$A99,RawDataTotal!BB:BB)</f>
        <v>3</v>
      </c>
      <c r="AZ99">
        <f>SUMIF(RawDataTotal!$B:$B,$A99,RawDataTotal!BC:BC)</f>
        <v>3</v>
      </c>
      <c r="BA99">
        <f>SUMIF(RawDataTotal!$B:$B,$A99,RawDataTotal!BD:BD)</f>
        <v>3</v>
      </c>
      <c r="BB99">
        <f>SUMIF(RawDataTotal!$B:$B,$A99,RawDataTotal!BE:BE)</f>
        <v>3</v>
      </c>
      <c r="BC99">
        <f>SUMIF(RawDataTotal!$B:$B,$A99,RawDataTotal!BF:BF)</f>
        <v>5</v>
      </c>
      <c r="BD99">
        <f>SUMIF(RawDataTotal!$B:$B,$A99,RawDataTotal!BG:BG)</f>
        <v>8</v>
      </c>
      <c r="BE99">
        <f>SUMIF(RawDataTotal!$B:$B,$A99,RawDataTotal!BH:BH)</f>
        <v>10</v>
      </c>
      <c r="BF99">
        <f>SUMIF(RawDataTotal!$B:$B,$A99,RawDataTotal!BI:BI)</f>
        <v>0</v>
      </c>
      <c r="BG99">
        <f>SUMIF(RawDataTotal!$B:$B,$A99,RawDataTotal!BJ:BJ)</f>
        <v>0</v>
      </c>
      <c r="BH99">
        <f>SUMIF(RawDataTotal!$B:$B,$A99,RawDataTotal!BK:BK)</f>
        <v>0</v>
      </c>
      <c r="BI99">
        <f>SUMIF(RawDataTotal!$B:$B,$A99,RawDataTotal!BL:BL)</f>
        <v>0</v>
      </c>
      <c r="BJ99">
        <f>SUMIF(RawDataTotal!$B:$B,$A99,RawDataTotal!BM:BM)</f>
        <v>0</v>
      </c>
      <c r="BK99">
        <f>SUMIF(RawDataTotal!$B:$B,$A99,RawDataTotal!BN:BN)</f>
        <v>0</v>
      </c>
      <c r="BL99">
        <f>SUMIF(RawDataTotal!$B:$B,$A99,RawDataTotal!BO:BO)</f>
        <v>0</v>
      </c>
      <c r="BM99">
        <f>SUMIF(RawDataTotal!$B:$B,$A99,RawDataTotal!BP:BP)</f>
        <v>0</v>
      </c>
      <c r="BN99">
        <f>SUMIF(RawDataTotal!$B:$B,$A99,RawDataTotal!BQ:BQ)</f>
        <v>0</v>
      </c>
      <c r="BO99">
        <f>SUMIF(RawDataTotal!$B:$B,$A99,RawDataTotal!BR:BR)</f>
        <v>0</v>
      </c>
      <c r="BP99">
        <f>SUMIF(RawDataTotal!$B:$B,$A99,RawDataTotal!BS:BS)</f>
        <v>0</v>
      </c>
      <c r="BQ99">
        <f>SUMIF(RawDataTotal!$B:$B,$A99,RawDataTotal!BT:BT)</f>
        <v>0</v>
      </c>
      <c r="BR99">
        <f>SUMIF(RawDataTotal!$B:$B,$A99,RawDataTotal!BU:BU)</f>
        <v>0</v>
      </c>
      <c r="BS99">
        <f>SUMIF(RawDataTotal!$B:$B,$A99,RawDataTotal!BV:BV)</f>
        <v>0</v>
      </c>
      <c r="BT99">
        <f>SUMIF(RawDataTotal!$B:$B,$A99,RawDataTotal!BW:BW)</f>
        <v>0</v>
      </c>
    </row>
    <row r="100" spans="1:72" ht="15" thickBot="1" x14ac:dyDescent="0.35">
      <c r="A100" s="3" t="s">
        <v>374</v>
      </c>
      <c r="B100">
        <f>SUMIF(RawDataTotal!$B:$B,$A100,RawDataTotal!E:E)</f>
        <v>0</v>
      </c>
      <c r="C100">
        <f>SUMIF(RawDataTotal!$B:$B,$A100,RawDataTotal!F:F)</f>
        <v>0</v>
      </c>
      <c r="D100">
        <f>SUMIF(RawDataTotal!$B:$B,$A100,RawDataTotal!G:G)</f>
        <v>0</v>
      </c>
      <c r="E100">
        <f>SUMIF(RawDataTotal!$B:$B,$A100,RawDataTotal!H:H)</f>
        <v>0</v>
      </c>
      <c r="F100">
        <f>SUMIF(RawDataTotal!$B:$B,$A100,RawDataTotal!I:I)</f>
        <v>0</v>
      </c>
      <c r="G100">
        <f>SUMIF(RawDataTotal!$B:$B,$A100,RawDataTotal!J:J)</f>
        <v>0</v>
      </c>
      <c r="H100">
        <f>SUMIF(RawDataTotal!$B:$B,$A100,RawDataTotal!K:K)</f>
        <v>0</v>
      </c>
      <c r="I100">
        <f>SUMIF(RawDataTotal!$B:$B,$A100,RawDataTotal!L:L)</f>
        <v>0</v>
      </c>
      <c r="J100">
        <f>SUMIF(RawDataTotal!$B:$B,$A100,RawDataTotal!M:M)</f>
        <v>0</v>
      </c>
      <c r="K100">
        <f>SUMIF(RawDataTotal!$B:$B,$A100,RawDataTotal!N:N)</f>
        <v>0</v>
      </c>
      <c r="L100">
        <f>SUMIF(RawDataTotal!$B:$B,$A100,RawDataTotal!O:O)</f>
        <v>0</v>
      </c>
      <c r="M100">
        <f>SUMIF(RawDataTotal!$B:$B,$A100,RawDataTotal!P:P)</f>
        <v>0</v>
      </c>
      <c r="N100">
        <f>SUMIF(RawDataTotal!$B:$B,$A100,RawDataTotal!Q:Q)</f>
        <v>0</v>
      </c>
      <c r="O100">
        <f>SUMIF(RawDataTotal!$B:$B,$A100,RawDataTotal!R:R)</f>
        <v>0</v>
      </c>
      <c r="P100">
        <f>SUMIF(RawDataTotal!$B:$B,$A100,RawDataTotal!S:S)</f>
        <v>0</v>
      </c>
      <c r="Q100">
        <f>SUMIF(RawDataTotal!$B:$B,$A100,RawDataTotal!T:T)</f>
        <v>0</v>
      </c>
      <c r="R100">
        <f>SUMIF(RawDataTotal!$B:$B,$A100,RawDataTotal!U:U)</f>
        <v>0</v>
      </c>
      <c r="S100">
        <f>SUMIF(RawDataTotal!$B:$B,$A100,RawDataTotal!V:V)</f>
        <v>0</v>
      </c>
      <c r="T100">
        <f>SUMIF(RawDataTotal!$B:$B,$A100,RawDataTotal!W:W)</f>
        <v>0</v>
      </c>
      <c r="U100">
        <f>SUMIF(RawDataTotal!$B:$B,$A100,RawDataTotal!X:X)</f>
        <v>0</v>
      </c>
      <c r="V100">
        <f>SUMIF(RawDataTotal!$B:$B,$A100,RawDataTotal!Y:Y)</f>
        <v>0</v>
      </c>
      <c r="W100">
        <f>SUMIF(RawDataTotal!$B:$B,$A100,RawDataTotal!Z:Z)</f>
        <v>0</v>
      </c>
      <c r="X100">
        <f>SUMIF(RawDataTotal!$B:$B,$A100,RawDataTotal!AA:AA)</f>
        <v>0</v>
      </c>
      <c r="Y100">
        <f>SUMIF(RawDataTotal!$B:$B,$A100,RawDataTotal!AB:AB)</f>
        <v>0</v>
      </c>
      <c r="Z100">
        <f>SUMIF(RawDataTotal!$B:$B,$A100,RawDataTotal!AC:AC)</f>
        <v>0</v>
      </c>
      <c r="AA100">
        <f>SUMIF(RawDataTotal!$B:$B,$A100,RawDataTotal!AD:AD)</f>
        <v>0</v>
      </c>
      <c r="AB100">
        <f>SUMIF(RawDataTotal!$B:$B,$A100,RawDataTotal!AE:AE)</f>
        <v>0</v>
      </c>
      <c r="AC100">
        <f>SUMIF(RawDataTotal!$B:$B,$A100,RawDataTotal!AF:AF)</f>
        <v>0</v>
      </c>
      <c r="AD100">
        <f>SUMIF(RawDataTotal!$B:$B,$A100,RawDataTotal!AG:AG)</f>
        <v>0</v>
      </c>
      <c r="AE100">
        <f>SUMIF(RawDataTotal!$B:$B,$A100,RawDataTotal!AH:AH)</f>
        <v>0</v>
      </c>
      <c r="AF100">
        <f>SUMIF(RawDataTotal!$B:$B,$A100,RawDataTotal!AI:AI)</f>
        <v>0</v>
      </c>
      <c r="AG100">
        <f>SUMIF(RawDataTotal!$B:$B,$A100,RawDataTotal!AJ:AJ)</f>
        <v>0</v>
      </c>
      <c r="AH100">
        <f>SUMIF(RawDataTotal!$B:$B,$A100,RawDataTotal!AK:AK)</f>
        <v>0</v>
      </c>
      <c r="AI100">
        <f>SUMIF(RawDataTotal!$B:$B,$A100,RawDataTotal!AL:AL)</f>
        <v>0</v>
      </c>
      <c r="AJ100">
        <f>SUMIF(RawDataTotal!$B:$B,$A100,RawDataTotal!AM:AM)</f>
        <v>0</v>
      </c>
      <c r="AK100">
        <f>SUMIF(RawDataTotal!$B:$B,$A100,RawDataTotal!AN:AN)</f>
        <v>0</v>
      </c>
      <c r="AL100">
        <f>SUMIF(RawDataTotal!$B:$B,$A100,RawDataTotal!AO:AO)</f>
        <v>0</v>
      </c>
      <c r="AM100">
        <f>SUMIF(RawDataTotal!$B:$B,$A100,RawDataTotal!AP:AP)</f>
        <v>0</v>
      </c>
      <c r="AN100">
        <f>SUMIF(RawDataTotal!$B:$B,$A100,RawDataTotal!AQ:AQ)</f>
        <v>0</v>
      </c>
      <c r="AO100">
        <f>SUMIF(RawDataTotal!$B:$B,$A100,RawDataTotal!AR:AR)</f>
        <v>0</v>
      </c>
      <c r="AP100">
        <f>SUMIF(RawDataTotal!$B:$B,$A100,RawDataTotal!AS:AS)</f>
        <v>0</v>
      </c>
      <c r="AQ100">
        <f>SUMIF(RawDataTotal!$B:$B,$A100,RawDataTotal!AT:AT)</f>
        <v>0</v>
      </c>
      <c r="AR100">
        <f>SUMIF(RawDataTotal!$B:$B,$A100,RawDataTotal!AU:AU)</f>
        <v>0</v>
      </c>
      <c r="AS100">
        <f>SUMIF(RawDataTotal!$B:$B,$A100,RawDataTotal!AV:AV)</f>
        <v>0</v>
      </c>
      <c r="AT100">
        <f>SUMIF(RawDataTotal!$B:$B,$A100,RawDataTotal!AW:AW)</f>
        <v>0</v>
      </c>
      <c r="AU100">
        <f>SUMIF(RawDataTotal!$B:$B,$A100,RawDataTotal!AX:AX)</f>
        <v>0</v>
      </c>
      <c r="AV100">
        <f>SUMIF(RawDataTotal!$B:$B,$A100,RawDataTotal!AY:AY)</f>
        <v>0</v>
      </c>
      <c r="AW100">
        <f>SUMIF(RawDataTotal!$B:$B,$A100,RawDataTotal!AZ:AZ)</f>
        <v>0</v>
      </c>
      <c r="AX100">
        <f>SUMIF(RawDataTotal!$B:$B,$A100,RawDataTotal!BA:BA)</f>
        <v>0</v>
      </c>
      <c r="AY100">
        <f>SUMIF(RawDataTotal!$B:$B,$A100,RawDataTotal!BB:BB)</f>
        <v>2</v>
      </c>
      <c r="AZ100">
        <f>SUMIF(RawDataTotal!$B:$B,$A100,RawDataTotal!BC:BC)</f>
        <v>2</v>
      </c>
      <c r="BA100">
        <f>SUMIF(RawDataTotal!$B:$B,$A100,RawDataTotal!BD:BD)</f>
        <v>3</v>
      </c>
      <c r="BB100">
        <f>SUMIF(RawDataTotal!$B:$B,$A100,RawDataTotal!BE:BE)</f>
        <v>10</v>
      </c>
      <c r="BC100">
        <f>SUMIF(RawDataTotal!$B:$B,$A100,RawDataTotal!BF:BF)</f>
        <v>10</v>
      </c>
      <c r="BD100">
        <f>SUMIF(RawDataTotal!$B:$B,$A100,RawDataTotal!BG:BG)</f>
        <v>11</v>
      </c>
      <c r="BE100">
        <f>SUMIF(RawDataTotal!$B:$B,$A100,RawDataTotal!BH:BH)</f>
        <v>11</v>
      </c>
      <c r="BF100">
        <f>SUMIF(RawDataTotal!$B:$B,$A100,RawDataTotal!BI:BI)</f>
        <v>0</v>
      </c>
      <c r="BG100">
        <f>SUMIF(RawDataTotal!$B:$B,$A100,RawDataTotal!BJ:BJ)</f>
        <v>0</v>
      </c>
      <c r="BH100">
        <f>SUMIF(RawDataTotal!$B:$B,$A100,RawDataTotal!BK:BK)</f>
        <v>0</v>
      </c>
      <c r="BI100">
        <f>SUMIF(RawDataTotal!$B:$B,$A100,RawDataTotal!BL:BL)</f>
        <v>0</v>
      </c>
      <c r="BJ100">
        <f>SUMIF(RawDataTotal!$B:$B,$A100,RawDataTotal!BM:BM)</f>
        <v>0</v>
      </c>
      <c r="BK100">
        <f>SUMIF(RawDataTotal!$B:$B,$A100,RawDataTotal!BN:BN)</f>
        <v>0</v>
      </c>
      <c r="BL100">
        <f>SUMIF(RawDataTotal!$B:$B,$A100,RawDataTotal!BO:BO)</f>
        <v>0</v>
      </c>
      <c r="BM100">
        <f>SUMIF(RawDataTotal!$B:$B,$A100,RawDataTotal!BP:BP)</f>
        <v>0</v>
      </c>
      <c r="BN100">
        <f>SUMIF(RawDataTotal!$B:$B,$A100,RawDataTotal!BQ:BQ)</f>
        <v>0</v>
      </c>
      <c r="BO100">
        <f>SUMIF(RawDataTotal!$B:$B,$A100,RawDataTotal!BR:BR)</f>
        <v>0</v>
      </c>
      <c r="BP100">
        <f>SUMIF(RawDataTotal!$B:$B,$A100,RawDataTotal!BS:BS)</f>
        <v>0</v>
      </c>
      <c r="BQ100">
        <f>SUMIF(RawDataTotal!$B:$B,$A100,RawDataTotal!BT:BT)</f>
        <v>0</v>
      </c>
      <c r="BR100">
        <f>SUMIF(RawDataTotal!$B:$B,$A100,RawDataTotal!BU:BU)</f>
        <v>0</v>
      </c>
      <c r="BS100">
        <f>SUMIF(RawDataTotal!$B:$B,$A100,RawDataTotal!BV:BV)</f>
        <v>0</v>
      </c>
      <c r="BT100">
        <f>SUMIF(RawDataTotal!$B:$B,$A100,RawDataTotal!BW:BW)</f>
        <v>0</v>
      </c>
    </row>
    <row r="101" spans="1:72" ht="15" thickBot="1" x14ac:dyDescent="0.35">
      <c r="A101" s="4" t="s">
        <v>207</v>
      </c>
      <c r="B101">
        <f>SUMIF(RawDataTotal!$B:$B,$A101,RawDataTotal!E:E)</f>
        <v>0</v>
      </c>
      <c r="C101">
        <f>SUMIF(RawDataTotal!$B:$B,$A101,RawDataTotal!F:F)</f>
        <v>0</v>
      </c>
      <c r="D101">
        <f>SUMIF(RawDataTotal!$B:$B,$A101,RawDataTotal!G:G)</f>
        <v>0</v>
      </c>
      <c r="E101">
        <f>SUMIF(RawDataTotal!$B:$B,$A101,RawDataTotal!H:H)</f>
        <v>0</v>
      </c>
      <c r="F101">
        <f>SUMIF(RawDataTotal!$B:$B,$A101,RawDataTotal!I:I)</f>
        <v>0</v>
      </c>
      <c r="G101">
        <f>SUMIF(RawDataTotal!$B:$B,$A101,RawDataTotal!J:J)</f>
        <v>0</v>
      </c>
      <c r="H101">
        <f>SUMIF(RawDataTotal!$B:$B,$A101,RawDataTotal!K:K)</f>
        <v>0</v>
      </c>
      <c r="I101">
        <f>SUMIF(RawDataTotal!$B:$B,$A101,RawDataTotal!L:L)</f>
        <v>0</v>
      </c>
      <c r="J101">
        <f>SUMIF(RawDataTotal!$B:$B,$A101,RawDataTotal!M:M)</f>
        <v>0</v>
      </c>
      <c r="K101">
        <f>SUMIF(RawDataTotal!$B:$B,$A101,RawDataTotal!N:N)</f>
        <v>0</v>
      </c>
      <c r="L101">
        <f>SUMIF(RawDataTotal!$B:$B,$A101,RawDataTotal!O:O)</f>
        <v>0</v>
      </c>
      <c r="M101">
        <f>SUMIF(RawDataTotal!$B:$B,$A101,RawDataTotal!P:P)</f>
        <v>0</v>
      </c>
      <c r="N101">
        <f>SUMIF(RawDataTotal!$B:$B,$A101,RawDataTotal!Q:Q)</f>
        <v>0</v>
      </c>
      <c r="O101">
        <f>SUMIF(RawDataTotal!$B:$B,$A101,RawDataTotal!R:R)</f>
        <v>0</v>
      </c>
      <c r="P101">
        <f>SUMIF(RawDataTotal!$B:$B,$A101,RawDataTotal!S:S)</f>
        <v>0</v>
      </c>
      <c r="Q101">
        <f>SUMIF(RawDataTotal!$B:$B,$A101,RawDataTotal!T:T)</f>
        <v>0</v>
      </c>
      <c r="R101">
        <f>SUMIF(RawDataTotal!$B:$B,$A101,RawDataTotal!U:U)</f>
        <v>0</v>
      </c>
      <c r="S101">
        <f>SUMIF(RawDataTotal!$B:$B,$A101,RawDataTotal!V:V)</f>
        <v>0</v>
      </c>
      <c r="T101">
        <f>SUMIF(RawDataTotal!$B:$B,$A101,RawDataTotal!W:W)</f>
        <v>0</v>
      </c>
      <c r="U101">
        <f>SUMIF(RawDataTotal!$B:$B,$A101,RawDataTotal!X:X)</f>
        <v>0</v>
      </c>
      <c r="V101">
        <f>SUMIF(RawDataTotal!$B:$B,$A101,RawDataTotal!Y:Y)</f>
        <v>0</v>
      </c>
      <c r="W101">
        <f>SUMIF(RawDataTotal!$B:$B,$A101,RawDataTotal!Z:Z)</f>
        <v>0</v>
      </c>
      <c r="X101">
        <f>SUMIF(RawDataTotal!$B:$B,$A101,RawDataTotal!AA:AA)</f>
        <v>0</v>
      </c>
      <c r="Y101">
        <f>SUMIF(RawDataTotal!$B:$B,$A101,RawDataTotal!AB:AB)</f>
        <v>0</v>
      </c>
      <c r="Z101">
        <f>SUMIF(RawDataTotal!$B:$B,$A101,RawDataTotal!AC:AC)</f>
        <v>0</v>
      </c>
      <c r="AA101">
        <f>SUMIF(RawDataTotal!$B:$B,$A101,RawDataTotal!AD:AD)</f>
        <v>0</v>
      </c>
      <c r="AB101">
        <f>SUMIF(RawDataTotal!$B:$B,$A101,RawDataTotal!AE:AE)</f>
        <v>0</v>
      </c>
      <c r="AC101">
        <f>SUMIF(RawDataTotal!$B:$B,$A101,RawDataTotal!AF:AF)</f>
        <v>0</v>
      </c>
      <c r="AD101">
        <f>SUMIF(RawDataTotal!$B:$B,$A101,RawDataTotal!AG:AG)</f>
        <v>0</v>
      </c>
      <c r="AE101">
        <f>SUMIF(RawDataTotal!$B:$B,$A101,RawDataTotal!AH:AH)</f>
        <v>0</v>
      </c>
      <c r="AF101">
        <f>SUMIF(RawDataTotal!$B:$B,$A101,RawDataTotal!AI:AI)</f>
        <v>0</v>
      </c>
      <c r="AG101">
        <f>SUMIF(RawDataTotal!$B:$B,$A101,RawDataTotal!AJ:AJ)</f>
        <v>0</v>
      </c>
      <c r="AH101">
        <f>SUMIF(RawDataTotal!$B:$B,$A101,RawDataTotal!AK:AK)</f>
        <v>0</v>
      </c>
      <c r="AI101">
        <f>SUMIF(RawDataTotal!$B:$B,$A101,RawDataTotal!AL:AL)</f>
        <v>0</v>
      </c>
      <c r="AJ101">
        <f>SUMIF(RawDataTotal!$B:$B,$A101,RawDataTotal!AM:AM)</f>
        <v>0</v>
      </c>
      <c r="AK101">
        <f>SUMIF(RawDataTotal!$B:$B,$A101,RawDataTotal!AN:AN)</f>
        <v>0</v>
      </c>
      <c r="AL101">
        <f>SUMIF(RawDataTotal!$B:$B,$A101,RawDataTotal!AO:AO)</f>
        <v>0</v>
      </c>
      <c r="AM101">
        <f>SUMIF(RawDataTotal!$B:$B,$A101,RawDataTotal!AP:AP)</f>
        <v>0</v>
      </c>
      <c r="AN101">
        <f>SUMIF(RawDataTotal!$B:$B,$A101,RawDataTotal!AQ:AQ)</f>
        <v>0</v>
      </c>
      <c r="AO101">
        <f>SUMIF(RawDataTotal!$B:$B,$A101,RawDataTotal!AR:AR)</f>
        <v>0</v>
      </c>
      <c r="AP101">
        <f>SUMIF(RawDataTotal!$B:$B,$A101,RawDataTotal!AS:AS)</f>
        <v>0</v>
      </c>
      <c r="AQ101">
        <f>SUMIF(RawDataTotal!$B:$B,$A101,RawDataTotal!AT:AT)</f>
        <v>0</v>
      </c>
      <c r="AR101">
        <f>SUMIF(RawDataTotal!$B:$B,$A101,RawDataTotal!AU:AU)</f>
        <v>0</v>
      </c>
      <c r="AS101">
        <f>SUMIF(RawDataTotal!$B:$B,$A101,RawDataTotal!AV:AV)</f>
        <v>0</v>
      </c>
      <c r="AT101">
        <f>SUMIF(RawDataTotal!$B:$B,$A101,RawDataTotal!AW:AW)</f>
        <v>0</v>
      </c>
      <c r="AU101">
        <f>SUMIF(RawDataTotal!$B:$B,$A101,RawDataTotal!AX:AX)</f>
        <v>2</v>
      </c>
      <c r="AV101">
        <f>SUMIF(RawDataTotal!$B:$B,$A101,RawDataTotal!AY:AY)</f>
        <v>2</v>
      </c>
      <c r="AW101">
        <f>SUMIF(RawDataTotal!$B:$B,$A101,RawDataTotal!AZ:AZ)</f>
        <v>2</v>
      </c>
      <c r="AX101">
        <f>SUMIF(RawDataTotal!$B:$B,$A101,RawDataTotal!BA:BA)</f>
        <v>2</v>
      </c>
      <c r="AY101">
        <f>SUMIF(RawDataTotal!$B:$B,$A101,RawDataTotal!BB:BB)</f>
        <v>3</v>
      </c>
      <c r="AZ101">
        <f>SUMIF(RawDataTotal!$B:$B,$A101,RawDataTotal!BC:BC)</f>
        <v>3</v>
      </c>
      <c r="BA101">
        <f>SUMIF(RawDataTotal!$B:$B,$A101,RawDataTotal!BD:BD)</f>
        <v>3</v>
      </c>
      <c r="BB101">
        <f>SUMIF(RawDataTotal!$B:$B,$A101,RawDataTotal!BE:BE)</f>
        <v>9</v>
      </c>
      <c r="BC101">
        <f>SUMIF(RawDataTotal!$B:$B,$A101,RawDataTotal!BF:BF)</f>
        <v>9</v>
      </c>
      <c r="BD101">
        <f>SUMIF(RawDataTotal!$B:$B,$A101,RawDataTotal!BG:BG)</f>
        <v>15</v>
      </c>
      <c r="BE101">
        <f>SUMIF(RawDataTotal!$B:$B,$A101,RawDataTotal!BH:BH)</f>
        <v>16</v>
      </c>
      <c r="BF101">
        <f>SUMIF(RawDataTotal!$B:$B,$A101,RawDataTotal!BI:BI)</f>
        <v>0</v>
      </c>
      <c r="BG101">
        <f>SUMIF(RawDataTotal!$B:$B,$A101,RawDataTotal!BJ:BJ)</f>
        <v>0</v>
      </c>
      <c r="BH101">
        <f>SUMIF(RawDataTotal!$B:$B,$A101,RawDataTotal!BK:BK)</f>
        <v>0</v>
      </c>
      <c r="BI101">
        <f>SUMIF(RawDataTotal!$B:$B,$A101,RawDataTotal!BL:BL)</f>
        <v>0</v>
      </c>
      <c r="BJ101">
        <f>SUMIF(RawDataTotal!$B:$B,$A101,RawDataTotal!BM:BM)</f>
        <v>0</v>
      </c>
      <c r="BK101">
        <f>SUMIF(RawDataTotal!$B:$B,$A101,RawDataTotal!BN:BN)</f>
        <v>0</v>
      </c>
      <c r="BL101">
        <f>SUMIF(RawDataTotal!$B:$B,$A101,RawDataTotal!BO:BO)</f>
        <v>0</v>
      </c>
      <c r="BM101">
        <f>SUMIF(RawDataTotal!$B:$B,$A101,RawDataTotal!BP:BP)</f>
        <v>0</v>
      </c>
      <c r="BN101">
        <f>SUMIF(RawDataTotal!$B:$B,$A101,RawDataTotal!BQ:BQ)</f>
        <v>0</v>
      </c>
      <c r="BO101">
        <f>SUMIF(RawDataTotal!$B:$B,$A101,RawDataTotal!BR:BR)</f>
        <v>0</v>
      </c>
      <c r="BP101">
        <f>SUMIF(RawDataTotal!$B:$B,$A101,RawDataTotal!BS:BS)</f>
        <v>0</v>
      </c>
      <c r="BQ101">
        <f>SUMIF(RawDataTotal!$B:$B,$A101,RawDataTotal!BT:BT)</f>
        <v>0</v>
      </c>
      <c r="BR101">
        <f>SUMIF(RawDataTotal!$B:$B,$A101,RawDataTotal!BU:BU)</f>
        <v>0</v>
      </c>
      <c r="BS101">
        <f>SUMIF(RawDataTotal!$B:$B,$A101,RawDataTotal!BV:BV)</f>
        <v>0</v>
      </c>
      <c r="BT101">
        <f>SUMIF(RawDataTotal!$B:$B,$A101,RawDataTotal!BW:BW)</f>
        <v>0</v>
      </c>
    </row>
    <row r="102" spans="1:72" ht="15" thickBot="1" x14ac:dyDescent="0.35">
      <c r="A102" s="3" t="s">
        <v>156</v>
      </c>
      <c r="B102">
        <f>SUMIF(RawDataTotal!$B:$B,$A102,RawDataTotal!E:E)</f>
        <v>0</v>
      </c>
      <c r="C102">
        <f>SUMIF(RawDataTotal!$B:$B,$A102,RawDataTotal!F:F)</f>
        <v>0</v>
      </c>
      <c r="D102">
        <f>SUMIF(RawDataTotal!$B:$B,$A102,RawDataTotal!G:G)</f>
        <v>0</v>
      </c>
      <c r="E102">
        <f>SUMIF(RawDataTotal!$B:$B,$A102,RawDataTotal!H:H)</f>
        <v>0</v>
      </c>
      <c r="F102">
        <f>SUMIF(RawDataTotal!$B:$B,$A102,RawDataTotal!I:I)</f>
        <v>0</v>
      </c>
      <c r="G102">
        <f>SUMIF(RawDataTotal!$B:$B,$A102,RawDataTotal!J:J)</f>
        <v>0</v>
      </c>
      <c r="H102">
        <f>SUMIF(RawDataTotal!$B:$B,$A102,RawDataTotal!K:K)</f>
        <v>0</v>
      </c>
      <c r="I102">
        <f>SUMIF(RawDataTotal!$B:$B,$A102,RawDataTotal!L:L)</f>
        <v>0</v>
      </c>
      <c r="J102">
        <f>SUMIF(RawDataTotal!$B:$B,$A102,RawDataTotal!M:M)</f>
        <v>0</v>
      </c>
      <c r="K102">
        <f>SUMIF(RawDataTotal!$B:$B,$A102,RawDataTotal!N:N)</f>
        <v>0</v>
      </c>
      <c r="L102">
        <f>SUMIF(RawDataTotal!$B:$B,$A102,RawDataTotal!O:O)</f>
        <v>0</v>
      </c>
      <c r="M102">
        <f>SUMIF(RawDataTotal!$B:$B,$A102,RawDataTotal!P:P)</f>
        <v>0</v>
      </c>
      <c r="N102">
        <f>SUMIF(RawDataTotal!$B:$B,$A102,RawDataTotal!Q:Q)</f>
        <v>0</v>
      </c>
      <c r="O102">
        <f>SUMIF(RawDataTotal!$B:$B,$A102,RawDataTotal!R:R)</f>
        <v>0</v>
      </c>
      <c r="P102">
        <f>SUMIF(RawDataTotal!$B:$B,$A102,RawDataTotal!S:S)</f>
        <v>0</v>
      </c>
      <c r="Q102">
        <f>SUMIF(RawDataTotal!$B:$B,$A102,RawDataTotal!T:T)</f>
        <v>0</v>
      </c>
      <c r="R102">
        <f>SUMIF(RawDataTotal!$B:$B,$A102,RawDataTotal!U:U)</f>
        <v>0</v>
      </c>
      <c r="S102">
        <f>SUMIF(RawDataTotal!$B:$B,$A102,RawDataTotal!V:V)</f>
        <v>0</v>
      </c>
      <c r="T102">
        <f>SUMIF(RawDataTotal!$B:$B,$A102,RawDataTotal!W:W)</f>
        <v>0</v>
      </c>
      <c r="U102">
        <f>SUMIF(RawDataTotal!$B:$B,$A102,RawDataTotal!X:X)</f>
        <v>0</v>
      </c>
      <c r="V102">
        <f>SUMIF(RawDataTotal!$B:$B,$A102,RawDataTotal!Y:Y)</f>
        <v>0</v>
      </c>
      <c r="W102">
        <f>SUMIF(RawDataTotal!$B:$B,$A102,RawDataTotal!Z:Z)</f>
        <v>0</v>
      </c>
      <c r="X102">
        <f>SUMIF(RawDataTotal!$B:$B,$A102,RawDataTotal!AA:AA)</f>
        <v>0</v>
      </c>
      <c r="Y102">
        <f>SUMIF(RawDataTotal!$B:$B,$A102,RawDataTotal!AB:AB)</f>
        <v>0</v>
      </c>
      <c r="Z102">
        <f>SUMIF(RawDataTotal!$B:$B,$A102,RawDataTotal!AC:AC)</f>
        <v>0</v>
      </c>
      <c r="AA102">
        <f>SUMIF(RawDataTotal!$B:$B,$A102,RawDataTotal!AD:AD)</f>
        <v>0</v>
      </c>
      <c r="AB102">
        <f>SUMIF(RawDataTotal!$B:$B,$A102,RawDataTotal!AE:AE)</f>
        <v>0</v>
      </c>
      <c r="AC102">
        <f>SUMIF(RawDataTotal!$B:$B,$A102,RawDataTotal!AF:AF)</f>
        <v>0</v>
      </c>
      <c r="AD102">
        <f>SUMIF(RawDataTotal!$B:$B,$A102,RawDataTotal!AG:AG)</f>
        <v>0</v>
      </c>
      <c r="AE102">
        <f>SUMIF(RawDataTotal!$B:$B,$A102,RawDataTotal!AH:AH)</f>
        <v>0</v>
      </c>
      <c r="AF102">
        <f>SUMIF(RawDataTotal!$B:$B,$A102,RawDataTotal!AI:AI)</f>
        <v>0</v>
      </c>
      <c r="AG102">
        <f>SUMIF(RawDataTotal!$B:$B,$A102,RawDataTotal!AJ:AJ)</f>
        <v>0</v>
      </c>
      <c r="AH102">
        <f>SUMIF(RawDataTotal!$B:$B,$A102,RawDataTotal!AK:AK)</f>
        <v>0</v>
      </c>
      <c r="AI102">
        <f>SUMIF(RawDataTotal!$B:$B,$A102,RawDataTotal!AL:AL)</f>
        <v>0</v>
      </c>
      <c r="AJ102">
        <f>SUMIF(RawDataTotal!$B:$B,$A102,RawDataTotal!AM:AM)</f>
        <v>0</v>
      </c>
      <c r="AK102">
        <f>SUMIF(RawDataTotal!$B:$B,$A102,RawDataTotal!AN:AN)</f>
        <v>0</v>
      </c>
      <c r="AL102">
        <f>SUMIF(RawDataTotal!$B:$B,$A102,RawDataTotal!AO:AO)</f>
        <v>0</v>
      </c>
      <c r="AM102">
        <f>SUMIF(RawDataTotal!$B:$B,$A102,RawDataTotal!AP:AP)</f>
        <v>0</v>
      </c>
      <c r="AN102">
        <f>SUMIF(RawDataTotal!$B:$B,$A102,RawDataTotal!AQ:AQ)</f>
        <v>0</v>
      </c>
      <c r="AO102">
        <f>SUMIF(RawDataTotal!$B:$B,$A102,RawDataTotal!AR:AR)</f>
        <v>0</v>
      </c>
      <c r="AP102">
        <f>SUMIF(RawDataTotal!$B:$B,$A102,RawDataTotal!AS:AS)</f>
        <v>0</v>
      </c>
      <c r="AQ102">
        <f>SUMIF(RawDataTotal!$B:$B,$A102,RawDataTotal!AT:AT)</f>
        <v>1</v>
      </c>
      <c r="AR102">
        <f>SUMIF(RawDataTotal!$B:$B,$A102,RawDataTotal!AU:AU)</f>
        <v>1</v>
      </c>
      <c r="AS102">
        <f>SUMIF(RawDataTotal!$B:$B,$A102,RawDataTotal!AV:AV)</f>
        <v>1</v>
      </c>
      <c r="AT102">
        <f>SUMIF(RawDataTotal!$B:$B,$A102,RawDataTotal!AW:AW)</f>
        <v>1</v>
      </c>
      <c r="AU102">
        <f>SUMIF(RawDataTotal!$B:$B,$A102,RawDataTotal!AX:AX)</f>
        <v>1</v>
      </c>
      <c r="AV102">
        <f>SUMIF(RawDataTotal!$B:$B,$A102,RawDataTotal!AY:AY)</f>
        <v>1</v>
      </c>
      <c r="AW102">
        <f>SUMIF(RawDataTotal!$B:$B,$A102,RawDataTotal!AZ:AZ)</f>
        <v>1</v>
      </c>
      <c r="AX102">
        <f>SUMIF(RawDataTotal!$B:$B,$A102,RawDataTotal!BA:BA)</f>
        <v>1</v>
      </c>
      <c r="AY102">
        <f>SUMIF(RawDataTotal!$B:$B,$A102,RawDataTotal!BB:BB)</f>
        <v>1</v>
      </c>
      <c r="AZ102">
        <f>SUMIF(RawDataTotal!$B:$B,$A102,RawDataTotal!BC:BC)</f>
        <v>1</v>
      </c>
      <c r="BA102">
        <f>SUMIF(RawDataTotal!$B:$B,$A102,RawDataTotal!BD:BD)</f>
        <v>3</v>
      </c>
      <c r="BB102">
        <f>SUMIF(RawDataTotal!$B:$B,$A102,RawDataTotal!BE:BE)</f>
        <v>3</v>
      </c>
      <c r="BC102">
        <f>SUMIF(RawDataTotal!$B:$B,$A102,RawDataTotal!BF:BF)</f>
        <v>3</v>
      </c>
      <c r="BD102">
        <f>SUMIF(RawDataTotal!$B:$B,$A102,RawDataTotal!BG:BG)</f>
        <v>7</v>
      </c>
      <c r="BE102">
        <f>SUMIF(RawDataTotal!$B:$B,$A102,RawDataTotal!BH:BH)</f>
        <v>14</v>
      </c>
      <c r="BF102">
        <f>SUMIF(RawDataTotal!$B:$B,$A102,RawDataTotal!BI:BI)</f>
        <v>0</v>
      </c>
      <c r="BG102">
        <f>SUMIF(RawDataTotal!$B:$B,$A102,RawDataTotal!BJ:BJ)</f>
        <v>0</v>
      </c>
      <c r="BH102">
        <f>SUMIF(RawDataTotal!$B:$B,$A102,RawDataTotal!BK:BK)</f>
        <v>0</v>
      </c>
      <c r="BI102">
        <f>SUMIF(RawDataTotal!$B:$B,$A102,RawDataTotal!BL:BL)</f>
        <v>0</v>
      </c>
      <c r="BJ102">
        <f>SUMIF(RawDataTotal!$B:$B,$A102,RawDataTotal!BM:BM)</f>
        <v>0</v>
      </c>
      <c r="BK102">
        <f>SUMIF(RawDataTotal!$B:$B,$A102,RawDataTotal!BN:BN)</f>
        <v>0</v>
      </c>
      <c r="BL102">
        <f>SUMIF(RawDataTotal!$B:$B,$A102,RawDataTotal!BO:BO)</f>
        <v>0</v>
      </c>
      <c r="BM102">
        <f>SUMIF(RawDataTotal!$B:$B,$A102,RawDataTotal!BP:BP)</f>
        <v>0</v>
      </c>
      <c r="BN102">
        <f>SUMIF(RawDataTotal!$B:$B,$A102,RawDataTotal!BQ:BQ)</f>
        <v>0</v>
      </c>
      <c r="BO102">
        <f>SUMIF(RawDataTotal!$B:$B,$A102,RawDataTotal!BR:BR)</f>
        <v>0</v>
      </c>
      <c r="BP102">
        <f>SUMIF(RawDataTotal!$B:$B,$A102,RawDataTotal!BS:BS)</f>
        <v>0</v>
      </c>
      <c r="BQ102">
        <f>SUMIF(RawDataTotal!$B:$B,$A102,RawDataTotal!BT:BT)</f>
        <v>0</v>
      </c>
      <c r="BR102">
        <f>SUMIF(RawDataTotal!$B:$B,$A102,RawDataTotal!BU:BU)</f>
        <v>0</v>
      </c>
      <c r="BS102">
        <f>SUMIF(RawDataTotal!$B:$B,$A102,RawDataTotal!BV:BV)</f>
        <v>0</v>
      </c>
      <c r="BT102">
        <f>SUMIF(RawDataTotal!$B:$B,$A102,RawDataTotal!BW:BW)</f>
        <v>0</v>
      </c>
    </row>
    <row r="103" spans="1:72" ht="15" thickBot="1" x14ac:dyDescent="0.35">
      <c r="A103" s="3" t="s">
        <v>450</v>
      </c>
      <c r="B103">
        <f>SUMIF(RawDataTotal!$B:$B,$A103,RawDataTotal!E:E)</f>
        <v>0</v>
      </c>
      <c r="C103">
        <f>SUMIF(RawDataTotal!$B:$B,$A103,RawDataTotal!F:F)</f>
        <v>0</v>
      </c>
      <c r="D103">
        <f>SUMIF(RawDataTotal!$B:$B,$A103,RawDataTotal!G:G)</f>
        <v>0</v>
      </c>
      <c r="E103">
        <f>SUMIF(RawDataTotal!$B:$B,$A103,RawDataTotal!H:H)</f>
        <v>0</v>
      </c>
      <c r="F103">
        <f>SUMIF(RawDataTotal!$B:$B,$A103,RawDataTotal!I:I)</f>
        <v>0</v>
      </c>
      <c r="G103">
        <f>SUMIF(RawDataTotal!$B:$B,$A103,RawDataTotal!J:J)</f>
        <v>0</v>
      </c>
      <c r="H103">
        <f>SUMIF(RawDataTotal!$B:$B,$A103,RawDataTotal!K:K)</f>
        <v>0</v>
      </c>
      <c r="I103">
        <f>SUMIF(RawDataTotal!$B:$B,$A103,RawDataTotal!L:L)</f>
        <v>0</v>
      </c>
      <c r="J103">
        <f>SUMIF(RawDataTotal!$B:$B,$A103,RawDataTotal!M:M)</f>
        <v>0</v>
      </c>
      <c r="K103">
        <f>SUMIF(RawDataTotal!$B:$B,$A103,RawDataTotal!N:N)</f>
        <v>0</v>
      </c>
      <c r="L103">
        <f>SUMIF(RawDataTotal!$B:$B,$A103,RawDataTotal!O:O)</f>
        <v>0</v>
      </c>
      <c r="M103">
        <f>SUMIF(RawDataTotal!$B:$B,$A103,RawDataTotal!P:P)</f>
        <v>0</v>
      </c>
      <c r="N103">
        <f>SUMIF(RawDataTotal!$B:$B,$A103,RawDataTotal!Q:Q)</f>
        <v>0</v>
      </c>
      <c r="O103">
        <f>SUMIF(RawDataTotal!$B:$B,$A103,RawDataTotal!R:R)</f>
        <v>0</v>
      </c>
      <c r="P103">
        <f>SUMIF(RawDataTotal!$B:$B,$A103,RawDataTotal!S:S)</f>
        <v>0</v>
      </c>
      <c r="Q103">
        <f>SUMIF(RawDataTotal!$B:$B,$A103,RawDataTotal!T:T)</f>
        <v>0</v>
      </c>
      <c r="R103">
        <f>SUMIF(RawDataTotal!$B:$B,$A103,RawDataTotal!U:U)</f>
        <v>0</v>
      </c>
      <c r="S103">
        <f>SUMIF(RawDataTotal!$B:$B,$A103,RawDataTotal!V:V)</f>
        <v>0</v>
      </c>
      <c r="T103">
        <f>SUMIF(RawDataTotal!$B:$B,$A103,RawDataTotal!W:W)</f>
        <v>0</v>
      </c>
      <c r="U103">
        <f>SUMIF(RawDataTotal!$B:$B,$A103,RawDataTotal!X:X)</f>
        <v>0</v>
      </c>
      <c r="V103">
        <f>SUMIF(RawDataTotal!$B:$B,$A103,RawDataTotal!Y:Y)</f>
        <v>0</v>
      </c>
      <c r="W103">
        <f>SUMIF(RawDataTotal!$B:$B,$A103,RawDataTotal!Z:Z)</f>
        <v>0</v>
      </c>
      <c r="X103">
        <f>SUMIF(RawDataTotal!$B:$B,$A103,RawDataTotal!AA:AA)</f>
        <v>0</v>
      </c>
      <c r="Y103">
        <f>SUMIF(RawDataTotal!$B:$B,$A103,RawDataTotal!AB:AB)</f>
        <v>0</v>
      </c>
      <c r="Z103">
        <f>SUMIF(RawDataTotal!$B:$B,$A103,RawDataTotal!AC:AC)</f>
        <v>0</v>
      </c>
      <c r="AA103">
        <f>SUMIF(RawDataTotal!$B:$B,$A103,RawDataTotal!AD:AD)</f>
        <v>0</v>
      </c>
      <c r="AB103">
        <f>SUMIF(RawDataTotal!$B:$B,$A103,RawDataTotal!AE:AE)</f>
        <v>0</v>
      </c>
      <c r="AC103">
        <f>SUMIF(RawDataTotal!$B:$B,$A103,RawDataTotal!AF:AF)</f>
        <v>0</v>
      </c>
      <c r="AD103">
        <f>SUMIF(RawDataTotal!$B:$B,$A103,RawDataTotal!AG:AG)</f>
        <v>0</v>
      </c>
      <c r="AE103">
        <f>SUMIF(RawDataTotal!$B:$B,$A103,RawDataTotal!AH:AH)</f>
        <v>0</v>
      </c>
      <c r="AF103">
        <f>SUMIF(RawDataTotal!$B:$B,$A103,RawDataTotal!AI:AI)</f>
        <v>0</v>
      </c>
      <c r="AG103">
        <f>SUMIF(RawDataTotal!$B:$B,$A103,RawDataTotal!AJ:AJ)</f>
        <v>0</v>
      </c>
      <c r="AH103">
        <f>SUMIF(RawDataTotal!$B:$B,$A103,RawDataTotal!AK:AK)</f>
        <v>0</v>
      </c>
      <c r="AI103">
        <f>SUMIF(RawDataTotal!$B:$B,$A103,RawDataTotal!AL:AL)</f>
        <v>0</v>
      </c>
      <c r="AJ103">
        <f>SUMIF(RawDataTotal!$B:$B,$A103,RawDataTotal!AM:AM)</f>
        <v>0</v>
      </c>
      <c r="AK103">
        <f>SUMIF(RawDataTotal!$B:$B,$A103,RawDataTotal!AN:AN)</f>
        <v>0</v>
      </c>
      <c r="AL103">
        <f>SUMIF(RawDataTotal!$B:$B,$A103,RawDataTotal!AO:AO)</f>
        <v>0</v>
      </c>
      <c r="AM103">
        <f>SUMIF(RawDataTotal!$B:$B,$A103,RawDataTotal!AP:AP)</f>
        <v>0</v>
      </c>
      <c r="AN103">
        <f>SUMIF(RawDataTotal!$B:$B,$A103,RawDataTotal!AQ:AQ)</f>
        <v>0</v>
      </c>
      <c r="AO103">
        <f>SUMIF(RawDataTotal!$B:$B,$A103,RawDataTotal!AR:AR)</f>
        <v>0</v>
      </c>
      <c r="AP103">
        <f>SUMIF(RawDataTotal!$B:$B,$A103,RawDataTotal!AS:AS)</f>
        <v>0</v>
      </c>
      <c r="AQ103">
        <f>SUMIF(RawDataTotal!$B:$B,$A103,RawDataTotal!AT:AT)</f>
        <v>0</v>
      </c>
      <c r="AR103">
        <f>SUMIF(RawDataTotal!$B:$B,$A103,RawDataTotal!AU:AU)</f>
        <v>0</v>
      </c>
      <c r="AS103">
        <f>SUMIF(RawDataTotal!$B:$B,$A103,RawDataTotal!AV:AV)</f>
        <v>0</v>
      </c>
      <c r="AT103">
        <f>SUMIF(RawDataTotal!$B:$B,$A103,RawDataTotal!AW:AW)</f>
        <v>0</v>
      </c>
      <c r="AU103">
        <f>SUMIF(RawDataTotal!$B:$B,$A103,RawDataTotal!AX:AX)</f>
        <v>0</v>
      </c>
      <c r="AV103">
        <f>SUMIF(RawDataTotal!$B:$B,$A103,RawDataTotal!AY:AY)</f>
        <v>0</v>
      </c>
      <c r="AW103">
        <f>SUMIF(RawDataTotal!$B:$B,$A103,RawDataTotal!AZ:AZ)</f>
        <v>0</v>
      </c>
      <c r="AX103">
        <f>SUMIF(RawDataTotal!$B:$B,$A103,RawDataTotal!BA:BA)</f>
        <v>0</v>
      </c>
      <c r="AY103">
        <f>SUMIF(RawDataTotal!$B:$B,$A103,RawDataTotal!BB:BB)</f>
        <v>0</v>
      </c>
      <c r="AZ103">
        <f>SUMIF(RawDataTotal!$B:$B,$A103,RawDataTotal!BC:BC)</f>
        <v>0</v>
      </c>
      <c r="BA103">
        <f>SUMIF(RawDataTotal!$B:$B,$A103,RawDataTotal!BD:BD)</f>
        <v>2</v>
      </c>
      <c r="BB103">
        <f>SUMIF(RawDataTotal!$B:$B,$A103,RawDataTotal!BE:BE)</f>
        <v>2</v>
      </c>
      <c r="BC103">
        <f>SUMIF(RawDataTotal!$B:$B,$A103,RawDataTotal!BF:BF)</f>
        <v>2</v>
      </c>
      <c r="BD103">
        <f>SUMIF(RawDataTotal!$B:$B,$A103,RawDataTotal!BG:BG)</f>
        <v>2</v>
      </c>
      <c r="BE103">
        <f>SUMIF(RawDataTotal!$B:$B,$A103,RawDataTotal!BH:BH)</f>
        <v>3</v>
      </c>
      <c r="BF103">
        <f>SUMIF(RawDataTotal!$B:$B,$A103,RawDataTotal!BI:BI)</f>
        <v>0</v>
      </c>
      <c r="BG103">
        <f>SUMIF(RawDataTotal!$B:$B,$A103,RawDataTotal!BJ:BJ)</f>
        <v>0</v>
      </c>
      <c r="BH103">
        <f>SUMIF(RawDataTotal!$B:$B,$A103,RawDataTotal!BK:BK)</f>
        <v>0</v>
      </c>
      <c r="BI103">
        <f>SUMIF(RawDataTotal!$B:$B,$A103,RawDataTotal!BL:BL)</f>
        <v>0</v>
      </c>
      <c r="BJ103">
        <f>SUMIF(RawDataTotal!$B:$B,$A103,RawDataTotal!BM:BM)</f>
        <v>0</v>
      </c>
      <c r="BK103">
        <f>SUMIF(RawDataTotal!$B:$B,$A103,RawDataTotal!BN:BN)</f>
        <v>0</v>
      </c>
      <c r="BL103">
        <f>SUMIF(RawDataTotal!$B:$B,$A103,RawDataTotal!BO:BO)</f>
        <v>0</v>
      </c>
      <c r="BM103">
        <f>SUMIF(RawDataTotal!$B:$B,$A103,RawDataTotal!BP:BP)</f>
        <v>0</v>
      </c>
      <c r="BN103">
        <f>SUMIF(RawDataTotal!$B:$B,$A103,RawDataTotal!BQ:BQ)</f>
        <v>0</v>
      </c>
      <c r="BO103">
        <f>SUMIF(RawDataTotal!$B:$B,$A103,RawDataTotal!BR:BR)</f>
        <v>0</v>
      </c>
      <c r="BP103">
        <f>SUMIF(RawDataTotal!$B:$B,$A103,RawDataTotal!BS:BS)</f>
        <v>0</v>
      </c>
      <c r="BQ103">
        <f>SUMIF(RawDataTotal!$B:$B,$A103,RawDataTotal!BT:BT)</f>
        <v>0</v>
      </c>
      <c r="BR103">
        <f>SUMIF(RawDataTotal!$B:$B,$A103,RawDataTotal!BU:BU)</f>
        <v>0</v>
      </c>
      <c r="BS103">
        <f>SUMIF(RawDataTotal!$B:$B,$A103,RawDataTotal!BV:BV)</f>
        <v>0</v>
      </c>
      <c r="BT103">
        <f>SUMIF(RawDataTotal!$B:$B,$A103,RawDataTotal!BW:BW)</f>
        <v>0</v>
      </c>
    </row>
    <row r="104" spans="1:72" ht="15" thickBot="1" x14ac:dyDescent="0.35">
      <c r="A104" s="4" t="s">
        <v>306</v>
      </c>
      <c r="B104">
        <f>SUMIF(RawDataTotal!$B:$B,$A104,RawDataTotal!E:E)</f>
        <v>0</v>
      </c>
      <c r="C104">
        <f>SUMIF(RawDataTotal!$B:$B,$A104,RawDataTotal!F:F)</f>
        <v>0</v>
      </c>
      <c r="D104">
        <f>SUMIF(RawDataTotal!$B:$B,$A104,RawDataTotal!G:G)</f>
        <v>0</v>
      </c>
      <c r="E104">
        <f>SUMIF(RawDataTotal!$B:$B,$A104,RawDataTotal!H:H)</f>
        <v>0</v>
      </c>
      <c r="F104">
        <f>SUMIF(RawDataTotal!$B:$B,$A104,RawDataTotal!I:I)</f>
        <v>0</v>
      </c>
      <c r="G104">
        <f>SUMIF(RawDataTotal!$B:$B,$A104,RawDataTotal!J:J)</f>
        <v>0</v>
      </c>
      <c r="H104">
        <f>SUMIF(RawDataTotal!$B:$B,$A104,RawDataTotal!K:K)</f>
        <v>0</v>
      </c>
      <c r="I104">
        <f>SUMIF(RawDataTotal!$B:$B,$A104,RawDataTotal!L:L)</f>
        <v>0</v>
      </c>
      <c r="J104">
        <f>SUMIF(RawDataTotal!$B:$B,$A104,RawDataTotal!M:M)</f>
        <v>0</v>
      </c>
      <c r="K104">
        <f>SUMIF(RawDataTotal!$B:$B,$A104,RawDataTotal!N:N)</f>
        <v>0</v>
      </c>
      <c r="L104">
        <f>SUMIF(RawDataTotal!$B:$B,$A104,RawDataTotal!O:O)</f>
        <v>0</v>
      </c>
      <c r="M104">
        <f>SUMIF(RawDataTotal!$B:$B,$A104,RawDataTotal!P:P)</f>
        <v>0</v>
      </c>
      <c r="N104">
        <f>SUMIF(RawDataTotal!$B:$B,$A104,RawDataTotal!Q:Q)</f>
        <v>0</v>
      </c>
      <c r="O104">
        <f>SUMIF(RawDataTotal!$B:$B,$A104,RawDataTotal!R:R)</f>
        <v>0</v>
      </c>
      <c r="P104">
        <f>SUMIF(RawDataTotal!$B:$B,$A104,RawDataTotal!S:S)</f>
        <v>0</v>
      </c>
      <c r="Q104">
        <f>SUMIF(RawDataTotal!$B:$B,$A104,RawDataTotal!T:T)</f>
        <v>0</v>
      </c>
      <c r="R104">
        <f>SUMIF(RawDataTotal!$B:$B,$A104,RawDataTotal!U:U)</f>
        <v>0</v>
      </c>
      <c r="S104">
        <f>SUMIF(RawDataTotal!$B:$B,$A104,RawDataTotal!V:V)</f>
        <v>0</v>
      </c>
      <c r="T104">
        <f>SUMIF(RawDataTotal!$B:$B,$A104,RawDataTotal!W:W)</f>
        <v>0</v>
      </c>
      <c r="U104">
        <f>SUMIF(RawDataTotal!$B:$B,$A104,RawDataTotal!X:X)</f>
        <v>0</v>
      </c>
      <c r="V104">
        <f>SUMIF(RawDataTotal!$B:$B,$A104,RawDataTotal!Y:Y)</f>
        <v>0</v>
      </c>
      <c r="W104">
        <f>SUMIF(RawDataTotal!$B:$B,$A104,RawDataTotal!Z:Z)</f>
        <v>0</v>
      </c>
      <c r="X104">
        <f>SUMIF(RawDataTotal!$B:$B,$A104,RawDataTotal!AA:AA)</f>
        <v>0</v>
      </c>
      <c r="Y104">
        <f>SUMIF(RawDataTotal!$B:$B,$A104,RawDataTotal!AB:AB)</f>
        <v>0</v>
      </c>
      <c r="Z104">
        <f>SUMIF(RawDataTotal!$B:$B,$A104,RawDataTotal!AC:AC)</f>
        <v>0</v>
      </c>
      <c r="AA104">
        <f>SUMIF(RawDataTotal!$B:$B,$A104,RawDataTotal!AD:AD)</f>
        <v>0</v>
      </c>
      <c r="AB104">
        <f>SUMIF(RawDataTotal!$B:$B,$A104,RawDataTotal!AE:AE)</f>
        <v>0</v>
      </c>
      <c r="AC104">
        <f>SUMIF(RawDataTotal!$B:$B,$A104,RawDataTotal!AF:AF)</f>
        <v>0</v>
      </c>
      <c r="AD104">
        <f>SUMIF(RawDataTotal!$B:$B,$A104,RawDataTotal!AG:AG)</f>
        <v>0</v>
      </c>
      <c r="AE104">
        <f>SUMIF(RawDataTotal!$B:$B,$A104,RawDataTotal!AH:AH)</f>
        <v>0</v>
      </c>
      <c r="AF104">
        <f>SUMIF(RawDataTotal!$B:$B,$A104,RawDataTotal!AI:AI)</f>
        <v>0</v>
      </c>
      <c r="AG104">
        <f>SUMIF(RawDataTotal!$B:$B,$A104,RawDataTotal!AJ:AJ)</f>
        <v>0</v>
      </c>
      <c r="AH104">
        <f>SUMIF(RawDataTotal!$B:$B,$A104,RawDataTotal!AK:AK)</f>
        <v>0</v>
      </c>
      <c r="AI104">
        <f>SUMIF(RawDataTotal!$B:$B,$A104,RawDataTotal!AL:AL)</f>
        <v>0</v>
      </c>
      <c r="AJ104">
        <f>SUMIF(RawDataTotal!$B:$B,$A104,RawDataTotal!AM:AM)</f>
        <v>0</v>
      </c>
      <c r="AK104">
        <f>SUMIF(RawDataTotal!$B:$B,$A104,RawDataTotal!AN:AN)</f>
        <v>0</v>
      </c>
      <c r="AL104">
        <f>SUMIF(RawDataTotal!$B:$B,$A104,RawDataTotal!AO:AO)</f>
        <v>0</v>
      </c>
      <c r="AM104">
        <f>SUMIF(RawDataTotal!$B:$B,$A104,RawDataTotal!AP:AP)</f>
        <v>0</v>
      </c>
      <c r="AN104">
        <f>SUMIF(RawDataTotal!$B:$B,$A104,RawDataTotal!AQ:AQ)</f>
        <v>0</v>
      </c>
      <c r="AO104">
        <f>SUMIF(RawDataTotal!$B:$B,$A104,RawDataTotal!AR:AR)</f>
        <v>0</v>
      </c>
      <c r="AP104">
        <f>SUMIF(RawDataTotal!$B:$B,$A104,RawDataTotal!AS:AS)</f>
        <v>0</v>
      </c>
      <c r="AQ104">
        <f>SUMIF(RawDataTotal!$B:$B,$A104,RawDataTotal!AT:AT)</f>
        <v>0</v>
      </c>
      <c r="AR104">
        <f>SUMIF(RawDataTotal!$B:$B,$A104,RawDataTotal!AU:AU)</f>
        <v>0</v>
      </c>
      <c r="AS104">
        <f>SUMIF(RawDataTotal!$B:$B,$A104,RawDataTotal!AV:AV)</f>
        <v>0</v>
      </c>
      <c r="AT104">
        <f>SUMIF(RawDataTotal!$B:$B,$A104,RawDataTotal!AW:AW)</f>
        <v>0</v>
      </c>
      <c r="AU104">
        <f>SUMIF(RawDataTotal!$B:$B,$A104,RawDataTotal!AX:AX)</f>
        <v>0</v>
      </c>
      <c r="AV104">
        <f>SUMIF(RawDataTotal!$B:$B,$A104,RawDataTotal!AY:AY)</f>
        <v>0</v>
      </c>
      <c r="AW104">
        <f>SUMIF(RawDataTotal!$B:$B,$A104,RawDataTotal!AZ:AZ)</f>
        <v>0</v>
      </c>
      <c r="AX104">
        <f>SUMIF(RawDataTotal!$B:$B,$A104,RawDataTotal!BA:BA)</f>
        <v>1</v>
      </c>
      <c r="AY104">
        <f>SUMIF(RawDataTotal!$B:$B,$A104,RawDataTotal!BB:BB)</f>
        <v>2</v>
      </c>
      <c r="AZ104">
        <f>SUMIF(RawDataTotal!$B:$B,$A104,RawDataTotal!BC:BC)</f>
        <v>2</v>
      </c>
      <c r="BA104">
        <f>SUMIF(RawDataTotal!$B:$B,$A104,RawDataTotal!BD:BD)</f>
        <v>2</v>
      </c>
      <c r="BB104">
        <f>SUMIF(RawDataTotal!$B:$B,$A104,RawDataTotal!BE:BE)</f>
        <v>2</v>
      </c>
      <c r="BC104">
        <f>SUMIF(RawDataTotal!$B:$B,$A104,RawDataTotal!BF:BF)</f>
        <v>3</v>
      </c>
      <c r="BD104">
        <f>SUMIF(RawDataTotal!$B:$B,$A104,RawDataTotal!BG:BG)</f>
        <v>15</v>
      </c>
      <c r="BE104">
        <f>SUMIF(RawDataTotal!$B:$B,$A104,RawDataTotal!BH:BH)</f>
        <v>15</v>
      </c>
      <c r="BF104">
        <f>SUMIF(RawDataTotal!$B:$B,$A104,RawDataTotal!BI:BI)</f>
        <v>0</v>
      </c>
      <c r="BG104">
        <f>SUMIF(RawDataTotal!$B:$B,$A104,RawDataTotal!BJ:BJ)</f>
        <v>0</v>
      </c>
      <c r="BH104">
        <f>SUMIF(RawDataTotal!$B:$B,$A104,RawDataTotal!BK:BK)</f>
        <v>0</v>
      </c>
      <c r="BI104">
        <f>SUMIF(RawDataTotal!$B:$B,$A104,RawDataTotal!BL:BL)</f>
        <v>0</v>
      </c>
      <c r="BJ104">
        <f>SUMIF(RawDataTotal!$B:$B,$A104,RawDataTotal!BM:BM)</f>
        <v>0</v>
      </c>
      <c r="BK104">
        <f>SUMIF(RawDataTotal!$B:$B,$A104,RawDataTotal!BN:BN)</f>
        <v>0</v>
      </c>
      <c r="BL104">
        <f>SUMIF(RawDataTotal!$B:$B,$A104,RawDataTotal!BO:BO)</f>
        <v>0</v>
      </c>
      <c r="BM104">
        <f>SUMIF(RawDataTotal!$B:$B,$A104,RawDataTotal!BP:BP)</f>
        <v>0</v>
      </c>
      <c r="BN104">
        <f>SUMIF(RawDataTotal!$B:$B,$A104,RawDataTotal!BQ:BQ)</f>
        <v>0</v>
      </c>
      <c r="BO104">
        <f>SUMIF(RawDataTotal!$B:$B,$A104,RawDataTotal!BR:BR)</f>
        <v>0</v>
      </c>
      <c r="BP104">
        <f>SUMIF(RawDataTotal!$B:$B,$A104,RawDataTotal!BS:BS)</f>
        <v>0</v>
      </c>
      <c r="BQ104">
        <f>SUMIF(RawDataTotal!$B:$B,$A104,RawDataTotal!BT:BT)</f>
        <v>0</v>
      </c>
      <c r="BR104">
        <f>SUMIF(RawDataTotal!$B:$B,$A104,RawDataTotal!BU:BU)</f>
        <v>0</v>
      </c>
      <c r="BS104">
        <f>SUMIF(RawDataTotal!$B:$B,$A104,RawDataTotal!BV:BV)</f>
        <v>0</v>
      </c>
      <c r="BT104">
        <f>SUMIF(RawDataTotal!$B:$B,$A104,RawDataTotal!BW:BW)</f>
        <v>0</v>
      </c>
    </row>
    <row r="105" spans="1:72" ht="15" thickBot="1" x14ac:dyDescent="0.35">
      <c r="A105" s="3" t="s">
        <v>184</v>
      </c>
      <c r="B105">
        <f>SUMIF(RawDataTotal!$B:$B,$A105,RawDataTotal!E:E)</f>
        <v>0</v>
      </c>
      <c r="C105">
        <f>SUMIF(RawDataTotal!$B:$B,$A105,RawDataTotal!F:F)</f>
        <v>0</v>
      </c>
      <c r="D105">
        <f>SUMIF(RawDataTotal!$B:$B,$A105,RawDataTotal!G:G)</f>
        <v>0</v>
      </c>
      <c r="E105">
        <f>SUMIF(RawDataTotal!$B:$B,$A105,RawDataTotal!H:H)</f>
        <v>0</v>
      </c>
      <c r="F105">
        <f>SUMIF(RawDataTotal!$B:$B,$A105,RawDataTotal!I:I)</f>
        <v>0</v>
      </c>
      <c r="G105">
        <f>SUMIF(RawDataTotal!$B:$B,$A105,RawDataTotal!J:J)</f>
        <v>0</v>
      </c>
      <c r="H105">
        <f>SUMIF(RawDataTotal!$B:$B,$A105,RawDataTotal!K:K)</f>
        <v>0</v>
      </c>
      <c r="I105">
        <f>SUMIF(RawDataTotal!$B:$B,$A105,RawDataTotal!L:L)</f>
        <v>0</v>
      </c>
      <c r="J105">
        <f>SUMIF(RawDataTotal!$B:$B,$A105,RawDataTotal!M:M)</f>
        <v>0</v>
      </c>
      <c r="K105">
        <f>SUMIF(RawDataTotal!$B:$B,$A105,RawDataTotal!N:N)</f>
        <v>0</v>
      </c>
      <c r="L105">
        <f>SUMIF(RawDataTotal!$B:$B,$A105,RawDataTotal!O:O)</f>
        <v>0</v>
      </c>
      <c r="M105">
        <f>SUMIF(RawDataTotal!$B:$B,$A105,RawDataTotal!P:P)</f>
        <v>0</v>
      </c>
      <c r="N105">
        <f>SUMIF(RawDataTotal!$B:$B,$A105,RawDataTotal!Q:Q)</f>
        <v>0</v>
      </c>
      <c r="O105">
        <f>SUMIF(RawDataTotal!$B:$B,$A105,RawDataTotal!R:R)</f>
        <v>0</v>
      </c>
      <c r="P105">
        <f>SUMIF(RawDataTotal!$B:$B,$A105,RawDataTotal!S:S)</f>
        <v>0</v>
      </c>
      <c r="Q105">
        <f>SUMIF(RawDataTotal!$B:$B,$A105,RawDataTotal!T:T)</f>
        <v>0</v>
      </c>
      <c r="R105">
        <f>SUMIF(RawDataTotal!$B:$B,$A105,RawDataTotal!U:U)</f>
        <v>0</v>
      </c>
      <c r="S105">
        <f>SUMIF(RawDataTotal!$B:$B,$A105,RawDataTotal!V:V)</f>
        <v>0</v>
      </c>
      <c r="T105">
        <f>SUMIF(RawDataTotal!$B:$B,$A105,RawDataTotal!W:W)</f>
        <v>0</v>
      </c>
      <c r="U105">
        <f>SUMIF(RawDataTotal!$B:$B,$A105,RawDataTotal!X:X)</f>
        <v>0</v>
      </c>
      <c r="V105">
        <f>SUMIF(RawDataTotal!$B:$B,$A105,RawDataTotal!Y:Y)</f>
        <v>0</v>
      </c>
      <c r="W105">
        <f>SUMIF(RawDataTotal!$B:$B,$A105,RawDataTotal!Z:Z)</f>
        <v>0</v>
      </c>
      <c r="X105">
        <f>SUMIF(RawDataTotal!$B:$B,$A105,RawDataTotal!AA:AA)</f>
        <v>0</v>
      </c>
      <c r="Y105">
        <f>SUMIF(RawDataTotal!$B:$B,$A105,RawDataTotal!AB:AB)</f>
        <v>0</v>
      </c>
      <c r="Z105">
        <f>SUMIF(RawDataTotal!$B:$B,$A105,RawDataTotal!AC:AC)</f>
        <v>0</v>
      </c>
      <c r="AA105">
        <f>SUMIF(RawDataTotal!$B:$B,$A105,RawDataTotal!AD:AD)</f>
        <v>0</v>
      </c>
      <c r="AB105">
        <f>SUMIF(RawDataTotal!$B:$B,$A105,RawDataTotal!AE:AE)</f>
        <v>0</v>
      </c>
      <c r="AC105">
        <f>SUMIF(RawDataTotal!$B:$B,$A105,RawDataTotal!AF:AF)</f>
        <v>0</v>
      </c>
      <c r="AD105">
        <f>SUMIF(RawDataTotal!$B:$B,$A105,RawDataTotal!AG:AG)</f>
        <v>0</v>
      </c>
      <c r="AE105">
        <f>SUMIF(RawDataTotal!$B:$B,$A105,RawDataTotal!AH:AH)</f>
        <v>0</v>
      </c>
      <c r="AF105">
        <f>SUMIF(RawDataTotal!$B:$B,$A105,RawDataTotal!AI:AI)</f>
        <v>0</v>
      </c>
      <c r="AG105">
        <f>SUMIF(RawDataTotal!$B:$B,$A105,RawDataTotal!AJ:AJ)</f>
        <v>0</v>
      </c>
      <c r="AH105">
        <f>SUMIF(RawDataTotal!$B:$B,$A105,RawDataTotal!AK:AK)</f>
        <v>0</v>
      </c>
      <c r="AI105">
        <f>SUMIF(RawDataTotal!$B:$B,$A105,RawDataTotal!AL:AL)</f>
        <v>0</v>
      </c>
      <c r="AJ105">
        <f>SUMIF(RawDataTotal!$B:$B,$A105,RawDataTotal!AM:AM)</f>
        <v>0</v>
      </c>
      <c r="AK105">
        <f>SUMIF(RawDataTotal!$B:$B,$A105,RawDataTotal!AN:AN)</f>
        <v>0</v>
      </c>
      <c r="AL105">
        <f>SUMIF(RawDataTotal!$B:$B,$A105,RawDataTotal!AO:AO)</f>
        <v>0</v>
      </c>
      <c r="AM105">
        <f>SUMIF(RawDataTotal!$B:$B,$A105,RawDataTotal!AP:AP)</f>
        <v>0</v>
      </c>
      <c r="AN105">
        <f>SUMIF(RawDataTotal!$B:$B,$A105,RawDataTotal!AQ:AQ)</f>
        <v>0</v>
      </c>
      <c r="AO105">
        <f>SUMIF(RawDataTotal!$B:$B,$A105,RawDataTotal!AR:AR)</f>
        <v>0</v>
      </c>
      <c r="AP105">
        <f>SUMIF(RawDataTotal!$B:$B,$A105,RawDataTotal!AS:AS)</f>
        <v>0</v>
      </c>
      <c r="AQ105">
        <f>SUMIF(RawDataTotal!$B:$B,$A105,RawDataTotal!AT:AT)</f>
        <v>0</v>
      </c>
      <c r="AR105">
        <f>SUMIF(RawDataTotal!$B:$B,$A105,RawDataTotal!AU:AU)</f>
        <v>0</v>
      </c>
      <c r="AS105">
        <f>SUMIF(RawDataTotal!$B:$B,$A105,RawDataTotal!AV:AV)</f>
        <v>0</v>
      </c>
      <c r="AT105">
        <f>SUMIF(RawDataTotal!$B:$B,$A105,RawDataTotal!AW:AW)</f>
        <v>1</v>
      </c>
      <c r="AU105">
        <f>SUMIF(RawDataTotal!$B:$B,$A105,RawDataTotal!AX:AX)</f>
        <v>1</v>
      </c>
      <c r="AV105">
        <f>SUMIF(RawDataTotal!$B:$B,$A105,RawDataTotal!AY:AY)</f>
        <v>2</v>
      </c>
      <c r="AW105">
        <f>SUMIF(RawDataTotal!$B:$B,$A105,RawDataTotal!AZ:AZ)</f>
        <v>2</v>
      </c>
      <c r="AX105">
        <f>SUMIF(RawDataTotal!$B:$B,$A105,RawDataTotal!BA:BA)</f>
        <v>2</v>
      </c>
      <c r="AY105">
        <f>SUMIF(RawDataTotal!$B:$B,$A105,RawDataTotal!BB:BB)</f>
        <v>2</v>
      </c>
      <c r="AZ105">
        <f>SUMIF(RawDataTotal!$B:$B,$A105,RawDataTotal!BC:BC)</f>
        <v>2</v>
      </c>
      <c r="BA105">
        <f>SUMIF(RawDataTotal!$B:$B,$A105,RawDataTotal!BD:BD)</f>
        <v>2</v>
      </c>
      <c r="BB105">
        <f>SUMIF(RawDataTotal!$B:$B,$A105,RawDataTotal!BE:BE)</f>
        <v>2</v>
      </c>
      <c r="BC105">
        <f>SUMIF(RawDataTotal!$B:$B,$A105,RawDataTotal!BF:BF)</f>
        <v>2</v>
      </c>
      <c r="BD105">
        <f>SUMIF(RawDataTotal!$B:$B,$A105,RawDataTotal!BG:BG)</f>
        <v>4</v>
      </c>
      <c r="BE105">
        <f>SUMIF(RawDataTotal!$B:$B,$A105,RawDataTotal!BH:BH)</f>
        <v>10</v>
      </c>
      <c r="BF105">
        <f>SUMIF(RawDataTotal!$B:$B,$A105,RawDataTotal!BI:BI)</f>
        <v>0</v>
      </c>
      <c r="BG105">
        <f>SUMIF(RawDataTotal!$B:$B,$A105,RawDataTotal!BJ:BJ)</f>
        <v>0</v>
      </c>
      <c r="BH105">
        <f>SUMIF(RawDataTotal!$B:$B,$A105,RawDataTotal!BK:BK)</f>
        <v>0</v>
      </c>
      <c r="BI105">
        <f>SUMIF(RawDataTotal!$B:$B,$A105,RawDataTotal!BL:BL)</f>
        <v>0</v>
      </c>
      <c r="BJ105">
        <f>SUMIF(RawDataTotal!$B:$B,$A105,RawDataTotal!BM:BM)</f>
        <v>0</v>
      </c>
      <c r="BK105">
        <f>SUMIF(RawDataTotal!$B:$B,$A105,RawDataTotal!BN:BN)</f>
        <v>0</v>
      </c>
      <c r="BL105">
        <f>SUMIF(RawDataTotal!$B:$B,$A105,RawDataTotal!BO:BO)</f>
        <v>0</v>
      </c>
      <c r="BM105">
        <f>SUMIF(RawDataTotal!$B:$B,$A105,RawDataTotal!BP:BP)</f>
        <v>0</v>
      </c>
      <c r="BN105">
        <f>SUMIF(RawDataTotal!$B:$B,$A105,RawDataTotal!BQ:BQ)</f>
        <v>0</v>
      </c>
      <c r="BO105">
        <f>SUMIF(RawDataTotal!$B:$B,$A105,RawDataTotal!BR:BR)</f>
        <v>0</v>
      </c>
      <c r="BP105">
        <f>SUMIF(RawDataTotal!$B:$B,$A105,RawDataTotal!BS:BS)</f>
        <v>0</v>
      </c>
      <c r="BQ105">
        <f>SUMIF(RawDataTotal!$B:$B,$A105,RawDataTotal!BT:BT)</f>
        <v>0</v>
      </c>
      <c r="BR105">
        <f>SUMIF(RawDataTotal!$B:$B,$A105,RawDataTotal!BU:BU)</f>
        <v>0</v>
      </c>
      <c r="BS105">
        <f>SUMIF(RawDataTotal!$B:$B,$A105,RawDataTotal!BV:BV)</f>
        <v>0</v>
      </c>
      <c r="BT105">
        <f>SUMIF(RawDataTotal!$B:$B,$A105,RawDataTotal!BW:BW)</f>
        <v>0</v>
      </c>
    </row>
    <row r="106" spans="1:72" ht="15" thickBot="1" x14ac:dyDescent="0.35">
      <c r="A106" s="4" t="s">
        <v>379</v>
      </c>
      <c r="B106">
        <f>SUMIF(RawDataTotal!$B:$B,$A106,RawDataTotal!E:E)</f>
        <v>0</v>
      </c>
      <c r="C106">
        <f>SUMIF(RawDataTotal!$B:$B,$A106,RawDataTotal!F:F)</f>
        <v>0</v>
      </c>
      <c r="D106">
        <f>SUMIF(RawDataTotal!$B:$B,$A106,RawDataTotal!G:G)</f>
        <v>0</v>
      </c>
      <c r="E106">
        <f>SUMIF(RawDataTotal!$B:$B,$A106,RawDataTotal!H:H)</f>
        <v>0</v>
      </c>
      <c r="F106">
        <f>SUMIF(RawDataTotal!$B:$B,$A106,RawDataTotal!I:I)</f>
        <v>0</v>
      </c>
      <c r="G106">
        <f>SUMIF(RawDataTotal!$B:$B,$A106,RawDataTotal!J:J)</f>
        <v>0</v>
      </c>
      <c r="H106">
        <f>SUMIF(RawDataTotal!$B:$B,$A106,RawDataTotal!K:K)</f>
        <v>0</v>
      </c>
      <c r="I106">
        <f>SUMIF(RawDataTotal!$B:$B,$A106,RawDataTotal!L:L)</f>
        <v>0</v>
      </c>
      <c r="J106">
        <f>SUMIF(RawDataTotal!$B:$B,$A106,RawDataTotal!M:M)</f>
        <v>0</v>
      </c>
      <c r="K106">
        <f>SUMIF(RawDataTotal!$B:$B,$A106,RawDataTotal!N:N)</f>
        <v>0</v>
      </c>
      <c r="L106">
        <f>SUMIF(RawDataTotal!$B:$B,$A106,RawDataTotal!O:O)</f>
        <v>0</v>
      </c>
      <c r="M106">
        <f>SUMIF(RawDataTotal!$B:$B,$A106,RawDataTotal!P:P)</f>
        <v>0</v>
      </c>
      <c r="N106">
        <f>SUMIF(RawDataTotal!$B:$B,$A106,RawDataTotal!Q:Q)</f>
        <v>0</v>
      </c>
      <c r="O106">
        <f>SUMIF(RawDataTotal!$B:$B,$A106,RawDataTotal!R:R)</f>
        <v>0</v>
      </c>
      <c r="P106">
        <f>SUMIF(RawDataTotal!$B:$B,$A106,RawDataTotal!S:S)</f>
        <v>0</v>
      </c>
      <c r="Q106">
        <f>SUMIF(RawDataTotal!$B:$B,$A106,RawDataTotal!T:T)</f>
        <v>0</v>
      </c>
      <c r="R106">
        <f>SUMIF(RawDataTotal!$B:$B,$A106,RawDataTotal!U:U)</f>
        <v>0</v>
      </c>
      <c r="S106">
        <f>SUMIF(RawDataTotal!$B:$B,$A106,RawDataTotal!V:V)</f>
        <v>0</v>
      </c>
      <c r="T106">
        <f>SUMIF(RawDataTotal!$B:$B,$A106,RawDataTotal!W:W)</f>
        <v>0</v>
      </c>
      <c r="U106">
        <f>SUMIF(RawDataTotal!$B:$B,$A106,RawDataTotal!X:X)</f>
        <v>0</v>
      </c>
      <c r="V106">
        <f>SUMIF(RawDataTotal!$B:$B,$A106,RawDataTotal!Y:Y)</f>
        <v>0</v>
      </c>
      <c r="W106">
        <f>SUMIF(RawDataTotal!$B:$B,$A106,RawDataTotal!Z:Z)</f>
        <v>0</v>
      </c>
      <c r="X106">
        <f>SUMIF(RawDataTotal!$B:$B,$A106,RawDataTotal!AA:AA)</f>
        <v>0</v>
      </c>
      <c r="Y106">
        <f>SUMIF(RawDataTotal!$B:$B,$A106,RawDataTotal!AB:AB)</f>
        <v>0</v>
      </c>
      <c r="Z106">
        <f>SUMIF(RawDataTotal!$B:$B,$A106,RawDataTotal!AC:AC)</f>
        <v>0</v>
      </c>
      <c r="AA106">
        <f>SUMIF(RawDataTotal!$B:$B,$A106,RawDataTotal!AD:AD)</f>
        <v>0</v>
      </c>
      <c r="AB106">
        <f>SUMIF(RawDataTotal!$B:$B,$A106,RawDataTotal!AE:AE)</f>
        <v>0</v>
      </c>
      <c r="AC106">
        <f>SUMIF(RawDataTotal!$B:$B,$A106,RawDataTotal!AF:AF)</f>
        <v>0</v>
      </c>
      <c r="AD106">
        <f>SUMIF(RawDataTotal!$B:$B,$A106,RawDataTotal!AG:AG)</f>
        <v>0</v>
      </c>
      <c r="AE106">
        <f>SUMIF(RawDataTotal!$B:$B,$A106,RawDataTotal!AH:AH)</f>
        <v>0</v>
      </c>
      <c r="AF106">
        <f>SUMIF(RawDataTotal!$B:$B,$A106,RawDataTotal!AI:AI)</f>
        <v>0</v>
      </c>
      <c r="AG106">
        <f>SUMIF(RawDataTotal!$B:$B,$A106,RawDataTotal!AJ:AJ)</f>
        <v>0</v>
      </c>
      <c r="AH106">
        <f>SUMIF(RawDataTotal!$B:$B,$A106,RawDataTotal!AK:AK)</f>
        <v>0</v>
      </c>
      <c r="AI106">
        <f>SUMIF(RawDataTotal!$B:$B,$A106,RawDataTotal!AL:AL)</f>
        <v>0</v>
      </c>
      <c r="AJ106">
        <f>SUMIF(RawDataTotal!$B:$B,$A106,RawDataTotal!AM:AM)</f>
        <v>0</v>
      </c>
      <c r="AK106">
        <f>SUMIF(RawDataTotal!$B:$B,$A106,RawDataTotal!AN:AN)</f>
        <v>0</v>
      </c>
      <c r="AL106">
        <f>SUMIF(RawDataTotal!$B:$B,$A106,RawDataTotal!AO:AO)</f>
        <v>0</v>
      </c>
      <c r="AM106">
        <f>SUMIF(RawDataTotal!$B:$B,$A106,RawDataTotal!AP:AP)</f>
        <v>0</v>
      </c>
      <c r="AN106">
        <f>SUMIF(RawDataTotal!$B:$B,$A106,RawDataTotal!AQ:AQ)</f>
        <v>0</v>
      </c>
      <c r="AO106">
        <f>SUMIF(RawDataTotal!$B:$B,$A106,RawDataTotal!AR:AR)</f>
        <v>0</v>
      </c>
      <c r="AP106">
        <f>SUMIF(RawDataTotal!$B:$B,$A106,RawDataTotal!AS:AS)</f>
        <v>0</v>
      </c>
      <c r="AQ106">
        <f>SUMIF(RawDataTotal!$B:$B,$A106,RawDataTotal!AT:AT)</f>
        <v>0</v>
      </c>
      <c r="AR106">
        <f>SUMIF(RawDataTotal!$B:$B,$A106,RawDataTotal!AU:AU)</f>
        <v>0</v>
      </c>
      <c r="AS106">
        <f>SUMIF(RawDataTotal!$B:$B,$A106,RawDataTotal!AV:AV)</f>
        <v>0</v>
      </c>
      <c r="AT106">
        <f>SUMIF(RawDataTotal!$B:$B,$A106,RawDataTotal!AW:AW)</f>
        <v>0</v>
      </c>
      <c r="AU106">
        <f>SUMIF(RawDataTotal!$B:$B,$A106,RawDataTotal!AX:AX)</f>
        <v>0</v>
      </c>
      <c r="AV106">
        <f>SUMIF(RawDataTotal!$B:$B,$A106,RawDataTotal!AY:AY)</f>
        <v>0</v>
      </c>
      <c r="AW106">
        <f>SUMIF(RawDataTotal!$B:$B,$A106,RawDataTotal!AZ:AZ)</f>
        <v>0</v>
      </c>
      <c r="AX106">
        <f>SUMIF(RawDataTotal!$B:$B,$A106,RawDataTotal!BA:BA)</f>
        <v>0</v>
      </c>
      <c r="AY106">
        <f>SUMIF(RawDataTotal!$B:$B,$A106,RawDataTotal!BB:BB)</f>
        <v>1</v>
      </c>
      <c r="AZ106">
        <f>SUMIF(RawDataTotal!$B:$B,$A106,RawDataTotal!BC:BC)</f>
        <v>1</v>
      </c>
      <c r="BA106">
        <f>SUMIF(RawDataTotal!$B:$B,$A106,RawDataTotal!BD:BD)</f>
        <v>2</v>
      </c>
      <c r="BB106">
        <f>SUMIF(RawDataTotal!$B:$B,$A106,RawDataTotal!BE:BE)</f>
        <v>2</v>
      </c>
      <c r="BC106">
        <f>SUMIF(RawDataTotal!$B:$B,$A106,RawDataTotal!BF:BF)</f>
        <v>2</v>
      </c>
      <c r="BD106">
        <f>SUMIF(RawDataTotal!$B:$B,$A106,RawDataTotal!BG:BG)</f>
        <v>2</v>
      </c>
      <c r="BE106">
        <f>SUMIF(RawDataTotal!$B:$B,$A106,RawDataTotal!BH:BH)</f>
        <v>3</v>
      </c>
      <c r="BF106">
        <f>SUMIF(RawDataTotal!$B:$B,$A106,RawDataTotal!BI:BI)</f>
        <v>0</v>
      </c>
      <c r="BG106">
        <f>SUMIF(RawDataTotal!$B:$B,$A106,RawDataTotal!BJ:BJ)</f>
        <v>0</v>
      </c>
      <c r="BH106">
        <f>SUMIF(RawDataTotal!$B:$B,$A106,RawDataTotal!BK:BK)</f>
        <v>0</v>
      </c>
      <c r="BI106">
        <f>SUMIF(RawDataTotal!$B:$B,$A106,RawDataTotal!BL:BL)</f>
        <v>0</v>
      </c>
      <c r="BJ106">
        <f>SUMIF(RawDataTotal!$B:$B,$A106,RawDataTotal!BM:BM)</f>
        <v>0</v>
      </c>
      <c r="BK106">
        <f>SUMIF(RawDataTotal!$B:$B,$A106,RawDataTotal!BN:BN)</f>
        <v>0</v>
      </c>
      <c r="BL106">
        <f>SUMIF(RawDataTotal!$B:$B,$A106,RawDataTotal!BO:BO)</f>
        <v>0</v>
      </c>
      <c r="BM106">
        <f>SUMIF(RawDataTotal!$B:$B,$A106,RawDataTotal!BP:BP)</f>
        <v>0</v>
      </c>
      <c r="BN106">
        <f>SUMIF(RawDataTotal!$B:$B,$A106,RawDataTotal!BQ:BQ)</f>
        <v>0</v>
      </c>
      <c r="BO106">
        <f>SUMIF(RawDataTotal!$B:$B,$A106,RawDataTotal!BR:BR)</f>
        <v>0</v>
      </c>
      <c r="BP106">
        <f>SUMIF(RawDataTotal!$B:$B,$A106,RawDataTotal!BS:BS)</f>
        <v>0</v>
      </c>
      <c r="BQ106">
        <f>SUMIF(RawDataTotal!$B:$B,$A106,RawDataTotal!BT:BT)</f>
        <v>0</v>
      </c>
      <c r="BR106">
        <f>SUMIF(RawDataTotal!$B:$B,$A106,RawDataTotal!BU:BU)</f>
        <v>0</v>
      </c>
      <c r="BS106">
        <f>SUMIF(RawDataTotal!$B:$B,$A106,RawDataTotal!BV:BV)</f>
        <v>0</v>
      </c>
      <c r="BT106">
        <f>SUMIF(RawDataTotal!$B:$B,$A106,RawDataTotal!BW:BW)</f>
        <v>0</v>
      </c>
    </row>
    <row r="107" spans="1:72" ht="15" thickBot="1" x14ac:dyDescent="0.35">
      <c r="A107" s="4" t="s">
        <v>376</v>
      </c>
      <c r="B107">
        <f>SUMIF(RawDataTotal!$B:$B,$A107,RawDataTotal!E:E)</f>
        <v>0</v>
      </c>
      <c r="C107">
        <f>SUMIF(RawDataTotal!$B:$B,$A107,RawDataTotal!F:F)</f>
        <v>0</v>
      </c>
      <c r="D107">
        <f>SUMIF(RawDataTotal!$B:$B,$A107,RawDataTotal!G:G)</f>
        <v>0</v>
      </c>
      <c r="E107">
        <f>SUMIF(RawDataTotal!$B:$B,$A107,RawDataTotal!H:H)</f>
        <v>0</v>
      </c>
      <c r="F107">
        <f>SUMIF(RawDataTotal!$B:$B,$A107,RawDataTotal!I:I)</f>
        <v>0</v>
      </c>
      <c r="G107">
        <f>SUMIF(RawDataTotal!$B:$B,$A107,RawDataTotal!J:J)</f>
        <v>0</v>
      </c>
      <c r="H107">
        <f>SUMIF(RawDataTotal!$B:$B,$A107,RawDataTotal!K:K)</f>
        <v>0</v>
      </c>
      <c r="I107">
        <f>SUMIF(RawDataTotal!$B:$B,$A107,RawDataTotal!L:L)</f>
        <v>0</v>
      </c>
      <c r="J107">
        <f>SUMIF(RawDataTotal!$B:$B,$A107,RawDataTotal!M:M)</f>
        <v>0</v>
      </c>
      <c r="K107">
        <f>SUMIF(RawDataTotal!$B:$B,$A107,RawDataTotal!N:N)</f>
        <v>0</v>
      </c>
      <c r="L107">
        <f>SUMIF(RawDataTotal!$B:$B,$A107,RawDataTotal!O:O)</f>
        <v>0</v>
      </c>
      <c r="M107">
        <f>SUMIF(RawDataTotal!$B:$B,$A107,RawDataTotal!P:P)</f>
        <v>0</v>
      </c>
      <c r="N107">
        <f>SUMIF(RawDataTotal!$B:$B,$A107,RawDataTotal!Q:Q)</f>
        <v>0</v>
      </c>
      <c r="O107">
        <f>SUMIF(RawDataTotal!$B:$B,$A107,RawDataTotal!R:R)</f>
        <v>0</v>
      </c>
      <c r="P107">
        <f>SUMIF(RawDataTotal!$B:$B,$A107,RawDataTotal!S:S)</f>
        <v>0</v>
      </c>
      <c r="Q107">
        <f>SUMIF(RawDataTotal!$B:$B,$A107,RawDataTotal!T:T)</f>
        <v>0</v>
      </c>
      <c r="R107">
        <f>SUMIF(RawDataTotal!$B:$B,$A107,RawDataTotal!U:U)</f>
        <v>0</v>
      </c>
      <c r="S107">
        <f>SUMIF(RawDataTotal!$B:$B,$A107,RawDataTotal!V:V)</f>
        <v>0</v>
      </c>
      <c r="T107">
        <f>SUMIF(RawDataTotal!$B:$B,$A107,RawDataTotal!W:W)</f>
        <v>0</v>
      </c>
      <c r="U107">
        <f>SUMIF(RawDataTotal!$B:$B,$A107,RawDataTotal!X:X)</f>
        <v>0</v>
      </c>
      <c r="V107">
        <f>SUMIF(RawDataTotal!$B:$B,$A107,RawDataTotal!Y:Y)</f>
        <v>0</v>
      </c>
      <c r="W107">
        <f>SUMIF(RawDataTotal!$B:$B,$A107,RawDataTotal!Z:Z)</f>
        <v>0</v>
      </c>
      <c r="X107">
        <f>SUMIF(RawDataTotal!$B:$B,$A107,RawDataTotal!AA:AA)</f>
        <v>0</v>
      </c>
      <c r="Y107">
        <f>SUMIF(RawDataTotal!$B:$B,$A107,RawDataTotal!AB:AB)</f>
        <v>0</v>
      </c>
      <c r="Z107">
        <f>SUMIF(RawDataTotal!$B:$B,$A107,RawDataTotal!AC:AC)</f>
        <v>0</v>
      </c>
      <c r="AA107">
        <f>SUMIF(RawDataTotal!$B:$B,$A107,RawDataTotal!AD:AD)</f>
        <v>0</v>
      </c>
      <c r="AB107">
        <f>SUMIF(RawDataTotal!$B:$B,$A107,RawDataTotal!AE:AE)</f>
        <v>0</v>
      </c>
      <c r="AC107">
        <f>SUMIF(RawDataTotal!$B:$B,$A107,RawDataTotal!AF:AF)</f>
        <v>0</v>
      </c>
      <c r="AD107">
        <f>SUMIF(RawDataTotal!$B:$B,$A107,RawDataTotal!AG:AG)</f>
        <v>0</v>
      </c>
      <c r="AE107">
        <f>SUMIF(RawDataTotal!$B:$B,$A107,RawDataTotal!AH:AH)</f>
        <v>0</v>
      </c>
      <c r="AF107">
        <f>SUMIF(RawDataTotal!$B:$B,$A107,RawDataTotal!AI:AI)</f>
        <v>0</v>
      </c>
      <c r="AG107">
        <f>SUMIF(RawDataTotal!$B:$B,$A107,RawDataTotal!AJ:AJ)</f>
        <v>0</v>
      </c>
      <c r="AH107">
        <f>SUMIF(RawDataTotal!$B:$B,$A107,RawDataTotal!AK:AK)</f>
        <v>0</v>
      </c>
      <c r="AI107">
        <f>SUMIF(RawDataTotal!$B:$B,$A107,RawDataTotal!AL:AL)</f>
        <v>0</v>
      </c>
      <c r="AJ107">
        <f>SUMIF(RawDataTotal!$B:$B,$A107,RawDataTotal!AM:AM)</f>
        <v>0</v>
      </c>
      <c r="AK107">
        <f>SUMIF(RawDataTotal!$B:$B,$A107,RawDataTotal!AN:AN)</f>
        <v>0</v>
      </c>
      <c r="AL107">
        <f>SUMIF(RawDataTotal!$B:$B,$A107,RawDataTotal!AO:AO)</f>
        <v>0</v>
      </c>
      <c r="AM107">
        <f>SUMIF(RawDataTotal!$B:$B,$A107,RawDataTotal!AP:AP)</f>
        <v>0</v>
      </c>
      <c r="AN107">
        <f>SUMIF(RawDataTotal!$B:$B,$A107,RawDataTotal!AQ:AQ)</f>
        <v>0</v>
      </c>
      <c r="AO107">
        <f>SUMIF(RawDataTotal!$B:$B,$A107,RawDataTotal!AR:AR)</f>
        <v>0</v>
      </c>
      <c r="AP107">
        <f>SUMIF(RawDataTotal!$B:$B,$A107,RawDataTotal!AS:AS)</f>
        <v>0</v>
      </c>
      <c r="AQ107">
        <f>SUMIF(RawDataTotal!$B:$B,$A107,RawDataTotal!AT:AT)</f>
        <v>0</v>
      </c>
      <c r="AR107">
        <f>SUMIF(RawDataTotal!$B:$B,$A107,RawDataTotal!AU:AU)</f>
        <v>0</v>
      </c>
      <c r="AS107">
        <f>SUMIF(RawDataTotal!$B:$B,$A107,RawDataTotal!AV:AV)</f>
        <v>0</v>
      </c>
      <c r="AT107">
        <f>SUMIF(RawDataTotal!$B:$B,$A107,RawDataTotal!AW:AW)</f>
        <v>0</v>
      </c>
      <c r="AU107">
        <f>SUMIF(RawDataTotal!$B:$B,$A107,RawDataTotal!AX:AX)</f>
        <v>0</v>
      </c>
      <c r="AV107">
        <f>SUMIF(RawDataTotal!$B:$B,$A107,RawDataTotal!AY:AY)</f>
        <v>0</v>
      </c>
      <c r="AW107">
        <f>SUMIF(RawDataTotal!$B:$B,$A107,RawDataTotal!AZ:AZ)</f>
        <v>0</v>
      </c>
      <c r="AX107">
        <f>SUMIF(RawDataTotal!$B:$B,$A107,RawDataTotal!BA:BA)</f>
        <v>0</v>
      </c>
      <c r="AY107">
        <f>SUMIF(RawDataTotal!$B:$B,$A107,RawDataTotal!BB:BB)</f>
        <v>2</v>
      </c>
      <c r="AZ107">
        <f>SUMIF(RawDataTotal!$B:$B,$A107,RawDataTotal!BC:BC)</f>
        <v>2</v>
      </c>
      <c r="BA107">
        <f>SUMIF(RawDataTotal!$B:$B,$A107,RawDataTotal!BD:BD)</f>
        <v>2</v>
      </c>
      <c r="BB107">
        <f>SUMIF(RawDataTotal!$B:$B,$A107,RawDataTotal!BE:BE)</f>
        <v>2</v>
      </c>
      <c r="BC107">
        <f>SUMIF(RawDataTotal!$B:$B,$A107,RawDataTotal!BF:BF)</f>
        <v>3</v>
      </c>
      <c r="BD107">
        <f>SUMIF(RawDataTotal!$B:$B,$A107,RawDataTotal!BG:BG)</f>
        <v>6</v>
      </c>
      <c r="BE107">
        <f>SUMIF(RawDataTotal!$B:$B,$A107,RawDataTotal!BH:BH)</f>
        <v>8</v>
      </c>
      <c r="BF107">
        <f>SUMIF(RawDataTotal!$B:$B,$A107,RawDataTotal!BI:BI)</f>
        <v>0</v>
      </c>
      <c r="BG107">
        <f>SUMIF(RawDataTotal!$B:$B,$A107,RawDataTotal!BJ:BJ)</f>
        <v>0</v>
      </c>
      <c r="BH107">
        <f>SUMIF(RawDataTotal!$B:$B,$A107,RawDataTotal!BK:BK)</f>
        <v>0</v>
      </c>
      <c r="BI107">
        <f>SUMIF(RawDataTotal!$B:$B,$A107,RawDataTotal!BL:BL)</f>
        <v>0</v>
      </c>
      <c r="BJ107">
        <f>SUMIF(RawDataTotal!$B:$B,$A107,RawDataTotal!BM:BM)</f>
        <v>0</v>
      </c>
      <c r="BK107">
        <f>SUMIF(RawDataTotal!$B:$B,$A107,RawDataTotal!BN:BN)</f>
        <v>0</v>
      </c>
      <c r="BL107">
        <f>SUMIF(RawDataTotal!$B:$B,$A107,RawDataTotal!BO:BO)</f>
        <v>0</v>
      </c>
      <c r="BM107">
        <f>SUMIF(RawDataTotal!$B:$B,$A107,RawDataTotal!BP:BP)</f>
        <v>0</v>
      </c>
      <c r="BN107">
        <f>SUMIF(RawDataTotal!$B:$B,$A107,RawDataTotal!BQ:BQ)</f>
        <v>0</v>
      </c>
      <c r="BO107">
        <f>SUMIF(RawDataTotal!$B:$B,$A107,RawDataTotal!BR:BR)</f>
        <v>0</v>
      </c>
      <c r="BP107">
        <f>SUMIF(RawDataTotal!$B:$B,$A107,RawDataTotal!BS:BS)</f>
        <v>0</v>
      </c>
      <c r="BQ107">
        <f>SUMIF(RawDataTotal!$B:$B,$A107,RawDataTotal!BT:BT)</f>
        <v>0</v>
      </c>
      <c r="BR107">
        <f>SUMIF(RawDataTotal!$B:$B,$A107,RawDataTotal!BU:BU)</f>
        <v>0</v>
      </c>
      <c r="BS107">
        <f>SUMIF(RawDataTotal!$B:$B,$A107,RawDataTotal!BV:BV)</f>
        <v>0</v>
      </c>
      <c r="BT107">
        <f>SUMIF(RawDataTotal!$B:$B,$A107,RawDataTotal!BW:BW)</f>
        <v>0</v>
      </c>
    </row>
    <row r="108" spans="1:72" ht="15" thickBot="1" x14ac:dyDescent="0.35">
      <c r="A108" s="4" t="s">
        <v>127</v>
      </c>
      <c r="B108">
        <f>SUMIF(RawDataTotal!$B:$B,$A108,RawDataTotal!E:E)</f>
        <v>0</v>
      </c>
      <c r="C108">
        <f>SUMIF(RawDataTotal!$B:$B,$A108,RawDataTotal!F:F)</f>
        <v>0</v>
      </c>
      <c r="D108">
        <f>SUMIF(RawDataTotal!$B:$B,$A108,RawDataTotal!G:G)</f>
        <v>0</v>
      </c>
      <c r="E108">
        <f>SUMIF(RawDataTotal!$B:$B,$A108,RawDataTotal!H:H)</f>
        <v>0</v>
      </c>
      <c r="F108">
        <f>SUMIF(RawDataTotal!$B:$B,$A108,RawDataTotal!I:I)</f>
        <v>0</v>
      </c>
      <c r="G108">
        <f>SUMIF(RawDataTotal!$B:$B,$A108,RawDataTotal!J:J)</f>
        <v>0</v>
      </c>
      <c r="H108">
        <f>SUMIF(RawDataTotal!$B:$B,$A108,RawDataTotal!K:K)</f>
        <v>0</v>
      </c>
      <c r="I108">
        <f>SUMIF(RawDataTotal!$B:$B,$A108,RawDataTotal!L:L)</f>
        <v>0</v>
      </c>
      <c r="J108">
        <f>SUMIF(RawDataTotal!$B:$B,$A108,RawDataTotal!M:M)</f>
        <v>0</v>
      </c>
      <c r="K108">
        <f>SUMIF(RawDataTotal!$B:$B,$A108,RawDataTotal!N:N)</f>
        <v>0</v>
      </c>
      <c r="L108">
        <f>SUMIF(RawDataTotal!$B:$B,$A108,RawDataTotal!O:O)</f>
        <v>0</v>
      </c>
      <c r="M108">
        <f>SUMIF(RawDataTotal!$B:$B,$A108,RawDataTotal!P:P)</f>
        <v>0</v>
      </c>
      <c r="N108">
        <f>SUMIF(RawDataTotal!$B:$B,$A108,RawDataTotal!Q:Q)</f>
        <v>0</v>
      </c>
      <c r="O108">
        <f>SUMIF(RawDataTotal!$B:$B,$A108,RawDataTotal!R:R)</f>
        <v>0</v>
      </c>
      <c r="P108">
        <f>SUMIF(RawDataTotal!$B:$B,$A108,RawDataTotal!S:S)</f>
        <v>0</v>
      </c>
      <c r="Q108">
        <f>SUMIF(RawDataTotal!$B:$B,$A108,RawDataTotal!T:T)</f>
        <v>0</v>
      </c>
      <c r="R108">
        <f>SUMIF(RawDataTotal!$B:$B,$A108,RawDataTotal!U:U)</f>
        <v>0</v>
      </c>
      <c r="S108">
        <f>SUMIF(RawDataTotal!$B:$B,$A108,RawDataTotal!V:V)</f>
        <v>0</v>
      </c>
      <c r="T108">
        <f>SUMIF(RawDataTotal!$B:$B,$A108,RawDataTotal!W:W)</f>
        <v>0</v>
      </c>
      <c r="U108">
        <f>SUMIF(RawDataTotal!$B:$B,$A108,RawDataTotal!X:X)</f>
        <v>0</v>
      </c>
      <c r="V108">
        <f>SUMIF(RawDataTotal!$B:$B,$A108,RawDataTotal!Y:Y)</f>
        <v>0</v>
      </c>
      <c r="W108">
        <f>SUMIF(RawDataTotal!$B:$B,$A108,RawDataTotal!Z:Z)</f>
        <v>0</v>
      </c>
      <c r="X108">
        <f>SUMIF(RawDataTotal!$B:$B,$A108,RawDataTotal!AA:AA)</f>
        <v>0</v>
      </c>
      <c r="Y108">
        <f>SUMIF(RawDataTotal!$B:$B,$A108,RawDataTotal!AB:AB)</f>
        <v>0</v>
      </c>
      <c r="Z108">
        <f>SUMIF(RawDataTotal!$B:$B,$A108,RawDataTotal!AC:AC)</f>
        <v>0</v>
      </c>
      <c r="AA108">
        <f>SUMIF(RawDataTotal!$B:$B,$A108,RawDataTotal!AD:AD)</f>
        <v>0</v>
      </c>
      <c r="AB108">
        <f>SUMIF(RawDataTotal!$B:$B,$A108,RawDataTotal!AE:AE)</f>
        <v>0</v>
      </c>
      <c r="AC108">
        <f>SUMIF(RawDataTotal!$B:$B,$A108,RawDataTotal!AF:AF)</f>
        <v>0</v>
      </c>
      <c r="AD108">
        <f>SUMIF(RawDataTotal!$B:$B,$A108,RawDataTotal!AG:AG)</f>
        <v>0</v>
      </c>
      <c r="AE108">
        <f>SUMIF(RawDataTotal!$B:$B,$A108,RawDataTotal!AH:AH)</f>
        <v>0</v>
      </c>
      <c r="AF108">
        <f>SUMIF(RawDataTotal!$B:$B,$A108,RawDataTotal!AI:AI)</f>
        <v>0</v>
      </c>
      <c r="AG108">
        <f>SUMIF(RawDataTotal!$B:$B,$A108,RawDataTotal!AJ:AJ)</f>
        <v>0</v>
      </c>
      <c r="AH108">
        <f>SUMIF(RawDataTotal!$B:$B,$A108,RawDataTotal!AK:AK)</f>
        <v>0</v>
      </c>
      <c r="AI108">
        <f>SUMIF(RawDataTotal!$B:$B,$A108,RawDataTotal!AL:AL)</f>
        <v>0</v>
      </c>
      <c r="AJ108">
        <f>SUMIF(RawDataTotal!$B:$B,$A108,RawDataTotal!AM:AM)</f>
        <v>0</v>
      </c>
      <c r="AK108">
        <f>SUMIF(RawDataTotal!$B:$B,$A108,RawDataTotal!AN:AN)</f>
        <v>0</v>
      </c>
      <c r="AL108">
        <f>SUMIF(RawDataTotal!$B:$B,$A108,RawDataTotal!AO:AO)</f>
        <v>0</v>
      </c>
      <c r="AM108">
        <f>SUMIF(RawDataTotal!$B:$B,$A108,RawDataTotal!AP:AP)</f>
        <v>0</v>
      </c>
      <c r="AN108">
        <f>SUMIF(RawDataTotal!$B:$B,$A108,RawDataTotal!AQ:AQ)</f>
        <v>1</v>
      </c>
      <c r="AO108">
        <f>SUMIF(RawDataTotal!$B:$B,$A108,RawDataTotal!AR:AR)</f>
        <v>1</v>
      </c>
      <c r="AP108">
        <f>SUMIF(RawDataTotal!$B:$B,$A108,RawDataTotal!AS:AS)</f>
        <v>1</v>
      </c>
      <c r="AQ108">
        <f>SUMIF(RawDataTotal!$B:$B,$A108,RawDataTotal!AT:AT)</f>
        <v>1</v>
      </c>
      <c r="AR108">
        <f>SUMIF(RawDataTotal!$B:$B,$A108,RawDataTotal!AU:AU)</f>
        <v>1</v>
      </c>
      <c r="AS108">
        <f>SUMIF(RawDataTotal!$B:$B,$A108,RawDataTotal!AV:AV)</f>
        <v>1</v>
      </c>
      <c r="AT108">
        <f>SUMIF(RawDataTotal!$B:$B,$A108,RawDataTotal!AW:AW)</f>
        <v>1</v>
      </c>
      <c r="AU108">
        <f>SUMIF(RawDataTotal!$B:$B,$A108,RawDataTotal!AX:AX)</f>
        <v>1</v>
      </c>
      <c r="AV108">
        <f>SUMIF(RawDataTotal!$B:$B,$A108,RawDataTotal!AY:AY)</f>
        <v>1</v>
      </c>
      <c r="AW108">
        <f>SUMIF(RawDataTotal!$B:$B,$A108,RawDataTotal!AZ:AZ)</f>
        <v>1</v>
      </c>
      <c r="AX108">
        <f>SUMIF(RawDataTotal!$B:$B,$A108,RawDataTotal!BA:BA)</f>
        <v>1</v>
      </c>
      <c r="AY108">
        <f>SUMIF(RawDataTotal!$B:$B,$A108,RawDataTotal!BB:BB)</f>
        <v>1</v>
      </c>
      <c r="AZ108">
        <f>SUMIF(RawDataTotal!$B:$B,$A108,RawDataTotal!BC:BC)</f>
        <v>2</v>
      </c>
      <c r="BA108">
        <f>SUMIF(RawDataTotal!$B:$B,$A108,RawDataTotal!BD:BD)</f>
        <v>2</v>
      </c>
      <c r="BB108">
        <f>SUMIF(RawDataTotal!$B:$B,$A108,RawDataTotal!BE:BE)</f>
        <v>2</v>
      </c>
      <c r="BC108">
        <f>SUMIF(RawDataTotal!$B:$B,$A108,RawDataTotal!BF:BF)</f>
        <v>2</v>
      </c>
      <c r="BD108">
        <f>SUMIF(RawDataTotal!$B:$B,$A108,RawDataTotal!BG:BG)</f>
        <v>7</v>
      </c>
      <c r="BE108">
        <f>SUMIF(RawDataTotal!$B:$B,$A108,RawDataTotal!BH:BH)</f>
        <v>7</v>
      </c>
      <c r="BF108">
        <f>SUMIF(RawDataTotal!$B:$B,$A108,RawDataTotal!BI:BI)</f>
        <v>0</v>
      </c>
      <c r="BG108">
        <f>SUMIF(RawDataTotal!$B:$B,$A108,RawDataTotal!BJ:BJ)</f>
        <v>0</v>
      </c>
      <c r="BH108">
        <f>SUMIF(RawDataTotal!$B:$B,$A108,RawDataTotal!BK:BK)</f>
        <v>0</v>
      </c>
      <c r="BI108">
        <f>SUMIF(RawDataTotal!$B:$B,$A108,RawDataTotal!BL:BL)</f>
        <v>0</v>
      </c>
      <c r="BJ108">
        <f>SUMIF(RawDataTotal!$B:$B,$A108,RawDataTotal!BM:BM)</f>
        <v>0</v>
      </c>
      <c r="BK108">
        <f>SUMIF(RawDataTotal!$B:$B,$A108,RawDataTotal!BN:BN)</f>
        <v>0</v>
      </c>
      <c r="BL108">
        <f>SUMIF(RawDataTotal!$B:$B,$A108,RawDataTotal!BO:BO)</f>
        <v>0</v>
      </c>
      <c r="BM108">
        <f>SUMIF(RawDataTotal!$B:$B,$A108,RawDataTotal!BP:BP)</f>
        <v>0</v>
      </c>
      <c r="BN108">
        <f>SUMIF(RawDataTotal!$B:$B,$A108,RawDataTotal!BQ:BQ)</f>
        <v>0</v>
      </c>
      <c r="BO108">
        <f>SUMIF(RawDataTotal!$B:$B,$A108,RawDataTotal!BR:BR)</f>
        <v>0</v>
      </c>
      <c r="BP108">
        <f>SUMIF(RawDataTotal!$B:$B,$A108,RawDataTotal!BS:BS)</f>
        <v>0</v>
      </c>
      <c r="BQ108">
        <f>SUMIF(RawDataTotal!$B:$B,$A108,RawDataTotal!BT:BT)</f>
        <v>0</v>
      </c>
      <c r="BR108">
        <f>SUMIF(RawDataTotal!$B:$B,$A108,RawDataTotal!BU:BU)</f>
        <v>0</v>
      </c>
      <c r="BS108">
        <f>SUMIF(RawDataTotal!$B:$B,$A108,RawDataTotal!BV:BV)</f>
        <v>0</v>
      </c>
      <c r="BT108">
        <f>SUMIF(RawDataTotal!$B:$B,$A108,RawDataTotal!BW:BW)</f>
        <v>0</v>
      </c>
    </row>
    <row r="109" spans="1:72" ht="15" thickBot="1" x14ac:dyDescent="0.35">
      <c r="A109" s="4" t="s">
        <v>123</v>
      </c>
      <c r="B109">
        <f>SUMIF(RawDataTotal!$B:$B,$A109,RawDataTotal!E:E)</f>
        <v>0</v>
      </c>
      <c r="C109">
        <f>SUMIF(RawDataTotal!$B:$B,$A109,RawDataTotal!F:F)</f>
        <v>0</v>
      </c>
      <c r="D109">
        <f>SUMIF(RawDataTotal!$B:$B,$A109,RawDataTotal!G:G)</f>
        <v>0</v>
      </c>
      <c r="E109">
        <f>SUMIF(RawDataTotal!$B:$B,$A109,RawDataTotal!H:H)</f>
        <v>0</v>
      </c>
      <c r="F109">
        <f>SUMIF(RawDataTotal!$B:$B,$A109,RawDataTotal!I:I)</f>
        <v>0</v>
      </c>
      <c r="G109">
        <f>SUMIF(RawDataTotal!$B:$B,$A109,RawDataTotal!J:J)</f>
        <v>0</v>
      </c>
      <c r="H109">
        <f>SUMIF(RawDataTotal!$B:$B,$A109,RawDataTotal!K:K)</f>
        <v>0</v>
      </c>
      <c r="I109">
        <f>SUMIF(RawDataTotal!$B:$B,$A109,RawDataTotal!L:L)</f>
        <v>0</v>
      </c>
      <c r="J109">
        <f>SUMIF(RawDataTotal!$B:$B,$A109,RawDataTotal!M:M)</f>
        <v>0</v>
      </c>
      <c r="K109">
        <f>SUMIF(RawDataTotal!$B:$B,$A109,RawDataTotal!N:N)</f>
        <v>0</v>
      </c>
      <c r="L109">
        <f>SUMIF(RawDataTotal!$B:$B,$A109,RawDataTotal!O:O)</f>
        <v>0</v>
      </c>
      <c r="M109">
        <f>SUMIF(RawDataTotal!$B:$B,$A109,RawDataTotal!P:P)</f>
        <v>0</v>
      </c>
      <c r="N109">
        <f>SUMIF(RawDataTotal!$B:$B,$A109,RawDataTotal!Q:Q)</f>
        <v>0</v>
      </c>
      <c r="O109">
        <f>SUMIF(RawDataTotal!$B:$B,$A109,RawDataTotal!R:R)</f>
        <v>0</v>
      </c>
      <c r="P109">
        <f>SUMIF(RawDataTotal!$B:$B,$A109,RawDataTotal!S:S)</f>
        <v>0</v>
      </c>
      <c r="Q109">
        <f>SUMIF(RawDataTotal!$B:$B,$A109,RawDataTotal!T:T)</f>
        <v>0</v>
      </c>
      <c r="R109">
        <f>SUMIF(RawDataTotal!$B:$B,$A109,RawDataTotal!U:U)</f>
        <v>0</v>
      </c>
      <c r="S109">
        <f>SUMIF(RawDataTotal!$B:$B,$A109,RawDataTotal!V:V)</f>
        <v>0</v>
      </c>
      <c r="T109">
        <f>SUMIF(RawDataTotal!$B:$B,$A109,RawDataTotal!W:W)</f>
        <v>0</v>
      </c>
      <c r="U109">
        <f>SUMIF(RawDataTotal!$B:$B,$A109,RawDataTotal!X:X)</f>
        <v>0</v>
      </c>
      <c r="V109">
        <f>SUMIF(RawDataTotal!$B:$B,$A109,RawDataTotal!Y:Y)</f>
        <v>0</v>
      </c>
      <c r="W109">
        <f>SUMIF(RawDataTotal!$B:$B,$A109,RawDataTotal!Z:Z)</f>
        <v>0</v>
      </c>
      <c r="X109">
        <f>SUMIF(RawDataTotal!$B:$B,$A109,RawDataTotal!AA:AA)</f>
        <v>0</v>
      </c>
      <c r="Y109">
        <f>SUMIF(RawDataTotal!$B:$B,$A109,RawDataTotal!AB:AB)</f>
        <v>0</v>
      </c>
      <c r="Z109">
        <f>SUMIF(RawDataTotal!$B:$B,$A109,RawDataTotal!AC:AC)</f>
        <v>0</v>
      </c>
      <c r="AA109">
        <f>SUMIF(RawDataTotal!$B:$B,$A109,RawDataTotal!AD:AD)</f>
        <v>0</v>
      </c>
      <c r="AB109">
        <f>SUMIF(RawDataTotal!$B:$B,$A109,RawDataTotal!AE:AE)</f>
        <v>0</v>
      </c>
      <c r="AC109">
        <f>SUMIF(RawDataTotal!$B:$B,$A109,RawDataTotal!AF:AF)</f>
        <v>0</v>
      </c>
      <c r="AD109">
        <f>SUMIF(RawDataTotal!$B:$B,$A109,RawDataTotal!AG:AG)</f>
        <v>0</v>
      </c>
      <c r="AE109">
        <f>SUMIF(RawDataTotal!$B:$B,$A109,RawDataTotal!AH:AH)</f>
        <v>0</v>
      </c>
      <c r="AF109">
        <f>SUMIF(RawDataTotal!$B:$B,$A109,RawDataTotal!AI:AI)</f>
        <v>0</v>
      </c>
      <c r="AG109">
        <f>SUMIF(RawDataTotal!$B:$B,$A109,RawDataTotal!AJ:AJ)</f>
        <v>0</v>
      </c>
      <c r="AH109">
        <f>SUMIF(RawDataTotal!$B:$B,$A109,RawDataTotal!AK:AK)</f>
        <v>0</v>
      </c>
      <c r="AI109">
        <f>SUMIF(RawDataTotal!$B:$B,$A109,RawDataTotal!AL:AL)</f>
        <v>0</v>
      </c>
      <c r="AJ109">
        <f>SUMIF(RawDataTotal!$B:$B,$A109,RawDataTotal!AM:AM)</f>
        <v>0</v>
      </c>
      <c r="AK109">
        <f>SUMIF(RawDataTotal!$B:$B,$A109,RawDataTotal!AN:AN)</f>
        <v>0</v>
      </c>
      <c r="AL109">
        <f>SUMIF(RawDataTotal!$B:$B,$A109,RawDataTotal!AO:AO)</f>
        <v>0</v>
      </c>
      <c r="AM109">
        <f>SUMIF(RawDataTotal!$B:$B,$A109,RawDataTotal!AP:AP)</f>
        <v>1</v>
      </c>
      <c r="AN109">
        <f>SUMIF(RawDataTotal!$B:$B,$A109,RawDataTotal!AQ:AQ)</f>
        <v>1</v>
      </c>
      <c r="AO109">
        <f>SUMIF(RawDataTotal!$B:$B,$A109,RawDataTotal!AR:AR)</f>
        <v>1</v>
      </c>
      <c r="AP109">
        <f>SUMIF(RawDataTotal!$B:$B,$A109,RawDataTotal!AS:AS)</f>
        <v>1</v>
      </c>
      <c r="AQ109">
        <f>SUMIF(RawDataTotal!$B:$B,$A109,RawDataTotal!AT:AT)</f>
        <v>1</v>
      </c>
      <c r="AR109">
        <f>SUMIF(RawDataTotal!$B:$B,$A109,RawDataTotal!AU:AU)</f>
        <v>1</v>
      </c>
      <c r="AS109">
        <f>SUMIF(RawDataTotal!$B:$B,$A109,RawDataTotal!AV:AV)</f>
        <v>1</v>
      </c>
      <c r="AT109">
        <f>SUMIF(RawDataTotal!$B:$B,$A109,RawDataTotal!AW:AW)</f>
        <v>1</v>
      </c>
      <c r="AU109">
        <f>SUMIF(RawDataTotal!$B:$B,$A109,RawDataTotal!AX:AX)</f>
        <v>1</v>
      </c>
      <c r="AV109">
        <f>SUMIF(RawDataTotal!$B:$B,$A109,RawDataTotal!AY:AY)</f>
        <v>1</v>
      </c>
      <c r="AW109">
        <f>SUMIF(RawDataTotal!$B:$B,$A109,RawDataTotal!AZ:AZ)</f>
        <v>2</v>
      </c>
      <c r="AX109">
        <f>SUMIF(RawDataTotal!$B:$B,$A109,RawDataTotal!BA:BA)</f>
        <v>2</v>
      </c>
      <c r="AY109">
        <f>SUMIF(RawDataTotal!$B:$B,$A109,RawDataTotal!BB:BB)</f>
        <v>2</v>
      </c>
      <c r="AZ109">
        <f>SUMIF(RawDataTotal!$B:$B,$A109,RawDataTotal!BC:BC)</f>
        <v>2</v>
      </c>
      <c r="BA109">
        <f>SUMIF(RawDataTotal!$B:$B,$A109,RawDataTotal!BD:BD)</f>
        <v>2</v>
      </c>
      <c r="BB109">
        <f>SUMIF(RawDataTotal!$B:$B,$A109,RawDataTotal!BE:BE)</f>
        <v>2</v>
      </c>
      <c r="BC109">
        <f>SUMIF(RawDataTotal!$B:$B,$A109,RawDataTotal!BF:BF)</f>
        <v>2</v>
      </c>
      <c r="BD109">
        <f>SUMIF(RawDataTotal!$B:$B,$A109,RawDataTotal!BG:BG)</f>
        <v>2</v>
      </c>
      <c r="BE109">
        <f>SUMIF(RawDataTotal!$B:$B,$A109,RawDataTotal!BH:BH)</f>
        <v>3</v>
      </c>
      <c r="BF109">
        <f>SUMIF(RawDataTotal!$B:$B,$A109,RawDataTotal!BI:BI)</f>
        <v>0</v>
      </c>
      <c r="BG109">
        <f>SUMIF(RawDataTotal!$B:$B,$A109,RawDataTotal!BJ:BJ)</f>
        <v>0</v>
      </c>
      <c r="BH109">
        <f>SUMIF(RawDataTotal!$B:$B,$A109,RawDataTotal!BK:BK)</f>
        <v>0</v>
      </c>
      <c r="BI109">
        <f>SUMIF(RawDataTotal!$B:$B,$A109,RawDataTotal!BL:BL)</f>
        <v>0</v>
      </c>
      <c r="BJ109">
        <f>SUMIF(RawDataTotal!$B:$B,$A109,RawDataTotal!BM:BM)</f>
        <v>0</v>
      </c>
      <c r="BK109">
        <f>SUMIF(RawDataTotal!$B:$B,$A109,RawDataTotal!BN:BN)</f>
        <v>0</v>
      </c>
      <c r="BL109">
        <f>SUMIF(RawDataTotal!$B:$B,$A109,RawDataTotal!BO:BO)</f>
        <v>0</v>
      </c>
      <c r="BM109">
        <f>SUMIF(RawDataTotal!$B:$B,$A109,RawDataTotal!BP:BP)</f>
        <v>0</v>
      </c>
      <c r="BN109">
        <f>SUMIF(RawDataTotal!$B:$B,$A109,RawDataTotal!BQ:BQ)</f>
        <v>0</v>
      </c>
      <c r="BO109">
        <f>SUMIF(RawDataTotal!$B:$B,$A109,RawDataTotal!BR:BR)</f>
        <v>0</v>
      </c>
      <c r="BP109">
        <f>SUMIF(RawDataTotal!$B:$B,$A109,RawDataTotal!BS:BS)</f>
        <v>0</v>
      </c>
      <c r="BQ109">
        <f>SUMIF(RawDataTotal!$B:$B,$A109,RawDataTotal!BT:BT)</f>
        <v>0</v>
      </c>
      <c r="BR109">
        <f>SUMIF(RawDataTotal!$B:$B,$A109,RawDataTotal!BU:BU)</f>
        <v>0</v>
      </c>
      <c r="BS109">
        <f>SUMIF(RawDataTotal!$B:$B,$A109,RawDataTotal!BV:BV)</f>
        <v>0</v>
      </c>
      <c r="BT109">
        <f>SUMIF(RawDataTotal!$B:$B,$A109,RawDataTotal!BW:BW)</f>
        <v>0</v>
      </c>
    </row>
    <row r="110" spans="1:72" ht="15" thickBot="1" x14ac:dyDescent="0.35">
      <c r="A110" s="4" t="s">
        <v>136</v>
      </c>
      <c r="B110">
        <f>SUMIF(RawDataTotal!$B:$B,$A110,RawDataTotal!E:E)</f>
        <v>0</v>
      </c>
      <c r="C110">
        <f>SUMIF(RawDataTotal!$B:$B,$A110,RawDataTotal!F:F)</f>
        <v>0</v>
      </c>
      <c r="D110">
        <f>SUMIF(RawDataTotal!$B:$B,$A110,RawDataTotal!G:G)</f>
        <v>0</v>
      </c>
      <c r="E110">
        <f>SUMIF(RawDataTotal!$B:$B,$A110,RawDataTotal!H:H)</f>
        <v>0</v>
      </c>
      <c r="F110">
        <f>SUMIF(RawDataTotal!$B:$B,$A110,RawDataTotal!I:I)</f>
        <v>0</v>
      </c>
      <c r="G110">
        <f>SUMIF(RawDataTotal!$B:$B,$A110,RawDataTotal!J:J)</f>
        <v>0</v>
      </c>
      <c r="H110">
        <f>SUMIF(RawDataTotal!$B:$B,$A110,RawDataTotal!K:K)</f>
        <v>0</v>
      </c>
      <c r="I110">
        <f>SUMIF(RawDataTotal!$B:$B,$A110,RawDataTotal!L:L)</f>
        <v>0</v>
      </c>
      <c r="J110">
        <f>SUMIF(RawDataTotal!$B:$B,$A110,RawDataTotal!M:M)</f>
        <v>0</v>
      </c>
      <c r="K110">
        <f>SUMIF(RawDataTotal!$B:$B,$A110,RawDataTotal!N:N)</f>
        <v>0</v>
      </c>
      <c r="L110">
        <f>SUMIF(RawDataTotal!$B:$B,$A110,RawDataTotal!O:O)</f>
        <v>0</v>
      </c>
      <c r="M110">
        <f>SUMIF(RawDataTotal!$B:$B,$A110,RawDataTotal!P:P)</f>
        <v>0</v>
      </c>
      <c r="N110">
        <f>SUMIF(RawDataTotal!$B:$B,$A110,RawDataTotal!Q:Q)</f>
        <v>0</v>
      </c>
      <c r="O110">
        <f>SUMIF(RawDataTotal!$B:$B,$A110,RawDataTotal!R:R)</f>
        <v>0</v>
      </c>
      <c r="P110">
        <f>SUMIF(RawDataTotal!$B:$B,$A110,RawDataTotal!S:S)</f>
        <v>0</v>
      </c>
      <c r="Q110">
        <f>SUMIF(RawDataTotal!$B:$B,$A110,RawDataTotal!T:T)</f>
        <v>0</v>
      </c>
      <c r="R110">
        <f>SUMIF(RawDataTotal!$B:$B,$A110,RawDataTotal!U:U)</f>
        <v>0</v>
      </c>
      <c r="S110">
        <f>SUMIF(RawDataTotal!$B:$B,$A110,RawDataTotal!V:V)</f>
        <v>0</v>
      </c>
      <c r="T110">
        <f>SUMIF(RawDataTotal!$B:$B,$A110,RawDataTotal!W:W)</f>
        <v>0</v>
      </c>
      <c r="U110">
        <f>SUMIF(RawDataTotal!$B:$B,$A110,RawDataTotal!X:X)</f>
        <v>0</v>
      </c>
      <c r="V110">
        <f>SUMIF(RawDataTotal!$B:$B,$A110,RawDataTotal!Y:Y)</f>
        <v>0</v>
      </c>
      <c r="W110">
        <f>SUMIF(RawDataTotal!$B:$B,$A110,RawDataTotal!Z:Z)</f>
        <v>0</v>
      </c>
      <c r="X110">
        <f>SUMIF(RawDataTotal!$B:$B,$A110,RawDataTotal!AA:AA)</f>
        <v>0</v>
      </c>
      <c r="Y110">
        <f>SUMIF(RawDataTotal!$B:$B,$A110,RawDataTotal!AB:AB)</f>
        <v>0</v>
      </c>
      <c r="Z110">
        <f>SUMIF(RawDataTotal!$B:$B,$A110,RawDataTotal!AC:AC)</f>
        <v>0</v>
      </c>
      <c r="AA110">
        <f>SUMIF(RawDataTotal!$B:$B,$A110,RawDataTotal!AD:AD)</f>
        <v>0</v>
      </c>
      <c r="AB110">
        <f>SUMIF(RawDataTotal!$B:$B,$A110,RawDataTotal!AE:AE)</f>
        <v>0</v>
      </c>
      <c r="AC110">
        <f>SUMIF(RawDataTotal!$B:$B,$A110,RawDataTotal!AF:AF)</f>
        <v>0</v>
      </c>
      <c r="AD110">
        <f>SUMIF(RawDataTotal!$B:$B,$A110,RawDataTotal!AG:AG)</f>
        <v>0</v>
      </c>
      <c r="AE110">
        <f>SUMIF(RawDataTotal!$B:$B,$A110,RawDataTotal!AH:AH)</f>
        <v>0</v>
      </c>
      <c r="AF110">
        <f>SUMIF(RawDataTotal!$B:$B,$A110,RawDataTotal!AI:AI)</f>
        <v>0</v>
      </c>
      <c r="AG110">
        <f>SUMIF(RawDataTotal!$B:$B,$A110,RawDataTotal!AJ:AJ)</f>
        <v>0</v>
      </c>
      <c r="AH110">
        <f>SUMIF(RawDataTotal!$B:$B,$A110,RawDataTotal!AK:AK)</f>
        <v>0</v>
      </c>
      <c r="AI110">
        <f>SUMIF(RawDataTotal!$B:$B,$A110,RawDataTotal!AL:AL)</f>
        <v>0</v>
      </c>
      <c r="AJ110">
        <f>SUMIF(RawDataTotal!$B:$B,$A110,RawDataTotal!AM:AM)</f>
        <v>0</v>
      </c>
      <c r="AK110">
        <f>SUMIF(RawDataTotal!$B:$B,$A110,RawDataTotal!AN:AN)</f>
        <v>0</v>
      </c>
      <c r="AL110">
        <f>SUMIF(RawDataTotal!$B:$B,$A110,RawDataTotal!AO:AO)</f>
        <v>0</v>
      </c>
      <c r="AM110">
        <f>SUMIF(RawDataTotal!$B:$B,$A110,RawDataTotal!AP:AP)</f>
        <v>0</v>
      </c>
      <c r="AN110">
        <f>SUMIF(RawDataTotal!$B:$B,$A110,RawDataTotal!AQ:AQ)</f>
        <v>0</v>
      </c>
      <c r="AO110">
        <f>SUMIF(RawDataTotal!$B:$B,$A110,RawDataTotal!AR:AR)</f>
        <v>0</v>
      </c>
      <c r="AP110">
        <f>SUMIF(RawDataTotal!$B:$B,$A110,RawDataTotal!AS:AS)</f>
        <v>1</v>
      </c>
      <c r="AQ110">
        <f>SUMIF(RawDataTotal!$B:$B,$A110,RawDataTotal!AT:AT)</f>
        <v>1</v>
      </c>
      <c r="AR110">
        <f>SUMIF(RawDataTotal!$B:$B,$A110,RawDataTotal!AU:AU)</f>
        <v>1</v>
      </c>
      <c r="AS110">
        <f>SUMIF(RawDataTotal!$B:$B,$A110,RawDataTotal!AV:AV)</f>
        <v>1</v>
      </c>
      <c r="AT110">
        <f>SUMIF(RawDataTotal!$B:$B,$A110,RawDataTotal!AW:AW)</f>
        <v>1</v>
      </c>
      <c r="AU110">
        <f>SUMIF(RawDataTotal!$B:$B,$A110,RawDataTotal!AX:AX)</f>
        <v>1</v>
      </c>
      <c r="AV110">
        <f>SUMIF(RawDataTotal!$B:$B,$A110,RawDataTotal!AY:AY)</f>
        <v>1</v>
      </c>
      <c r="AW110">
        <f>SUMIF(RawDataTotal!$B:$B,$A110,RawDataTotal!AZ:AZ)</f>
        <v>1</v>
      </c>
      <c r="AX110">
        <f>SUMIF(RawDataTotal!$B:$B,$A110,RawDataTotal!BA:BA)</f>
        <v>1</v>
      </c>
      <c r="AY110">
        <f>SUMIF(RawDataTotal!$B:$B,$A110,RawDataTotal!BB:BB)</f>
        <v>1</v>
      </c>
      <c r="AZ110">
        <f>SUMIF(RawDataTotal!$B:$B,$A110,RawDataTotal!BC:BC)</f>
        <v>1</v>
      </c>
      <c r="BA110">
        <f>SUMIF(RawDataTotal!$B:$B,$A110,RawDataTotal!BD:BD)</f>
        <v>1</v>
      </c>
      <c r="BB110">
        <f>SUMIF(RawDataTotal!$B:$B,$A110,RawDataTotal!BE:BE)</f>
        <v>1</v>
      </c>
      <c r="BC110">
        <f>SUMIF(RawDataTotal!$B:$B,$A110,RawDataTotal!BF:BF)</f>
        <v>1</v>
      </c>
      <c r="BD110">
        <f>SUMIF(RawDataTotal!$B:$B,$A110,RawDataTotal!BG:BG)</f>
        <v>2</v>
      </c>
      <c r="BE110">
        <f>SUMIF(RawDataTotal!$B:$B,$A110,RawDataTotal!BH:BH)</f>
        <v>39</v>
      </c>
      <c r="BF110">
        <f>SUMIF(RawDataTotal!$B:$B,$A110,RawDataTotal!BI:BI)</f>
        <v>0</v>
      </c>
      <c r="BG110">
        <f>SUMIF(RawDataTotal!$B:$B,$A110,RawDataTotal!BJ:BJ)</f>
        <v>0</v>
      </c>
      <c r="BH110">
        <f>SUMIF(RawDataTotal!$B:$B,$A110,RawDataTotal!BK:BK)</f>
        <v>0</v>
      </c>
      <c r="BI110">
        <f>SUMIF(RawDataTotal!$B:$B,$A110,RawDataTotal!BL:BL)</f>
        <v>0</v>
      </c>
      <c r="BJ110">
        <f>SUMIF(RawDataTotal!$B:$B,$A110,RawDataTotal!BM:BM)</f>
        <v>0</v>
      </c>
      <c r="BK110">
        <f>SUMIF(RawDataTotal!$B:$B,$A110,RawDataTotal!BN:BN)</f>
        <v>0</v>
      </c>
      <c r="BL110">
        <f>SUMIF(RawDataTotal!$B:$B,$A110,RawDataTotal!BO:BO)</f>
        <v>0</v>
      </c>
      <c r="BM110">
        <f>SUMIF(RawDataTotal!$B:$B,$A110,RawDataTotal!BP:BP)</f>
        <v>0</v>
      </c>
      <c r="BN110">
        <f>SUMIF(RawDataTotal!$B:$B,$A110,RawDataTotal!BQ:BQ)</f>
        <v>0</v>
      </c>
      <c r="BO110">
        <f>SUMIF(RawDataTotal!$B:$B,$A110,RawDataTotal!BR:BR)</f>
        <v>0</v>
      </c>
      <c r="BP110">
        <f>SUMIF(RawDataTotal!$B:$B,$A110,RawDataTotal!BS:BS)</f>
        <v>0</v>
      </c>
      <c r="BQ110">
        <f>SUMIF(RawDataTotal!$B:$B,$A110,RawDataTotal!BT:BT)</f>
        <v>0</v>
      </c>
      <c r="BR110">
        <f>SUMIF(RawDataTotal!$B:$B,$A110,RawDataTotal!BU:BU)</f>
        <v>0</v>
      </c>
      <c r="BS110">
        <f>SUMIF(RawDataTotal!$B:$B,$A110,RawDataTotal!BV:BV)</f>
        <v>0</v>
      </c>
      <c r="BT110">
        <f>SUMIF(RawDataTotal!$B:$B,$A110,RawDataTotal!BW:BW)</f>
        <v>0</v>
      </c>
    </row>
    <row r="111" spans="1:72" ht="15" thickBot="1" x14ac:dyDescent="0.35">
      <c r="A111" s="4" t="s">
        <v>452</v>
      </c>
      <c r="B111">
        <f>SUMIF(RawDataTotal!$B:$B,$A111,RawDataTotal!E:E)</f>
        <v>0</v>
      </c>
      <c r="C111">
        <f>SUMIF(RawDataTotal!$B:$B,$A111,RawDataTotal!F:F)</f>
        <v>0</v>
      </c>
      <c r="D111">
        <f>SUMIF(RawDataTotal!$B:$B,$A111,RawDataTotal!G:G)</f>
        <v>0</v>
      </c>
      <c r="E111">
        <f>SUMIF(RawDataTotal!$B:$B,$A111,RawDataTotal!H:H)</f>
        <v>0</v>
      </c>
      <c r="F111">
        <f>SUMIF(RawDataTotal!$B:$B,$A111,RawDataTotal!I:I)</f>
        <v>0</v>
      </c>
      <c r="G111">
        <f>SUMIF(RawDataTotal!$B:$B,$A111,RawDataTotal!J:J)</f>
        <v>0</v>
      </c>
      <c r="H111">
        <f>SUMIF(RawDataTotal!$B:$B,$A111,RawDataTotal!K:K)</f>
        <v>0</v>
      </c>
      <c r="I111">
        <f>SUMIF(RawDataTotal!$B:$B,$A111,RawDataTotal!L:L)</f>
        <v>0</v>
      </c>
      <c r="J111">
        <f>SUMIF(RawDataTotal!$B:$B,$A111,RawDataTotal!M:M)</f>
        <v>0</v>
      </c>
      <c r="K111">
        <f>SUMIF(RawDataTotal!$B:$B,$A111,RawDataTotal!N:N)</f>
        <v>0</v>
      </c>
      <c r="L111">
        <f>SUMIF(RawDataTotal!$B:$B,$A111,RawDataTotal!O:O)</f>
        <v>0</v>
      </c>
      <c r="M111">
        <f>SUMIF(RawDataTotal!$B:$B,$A111,RawDataTotal!P:P)</f>
        <v>0</v>
      </c>
      <c r="N111">
        <f>SUMIF(RawDataTotal!$B:$B,$A111,RawDataTotal!Q:Q)</f>
        <v>0</v>
      </c>
      <c r="O111">
        <f>SUMIF(RawDataTotal!$B:$B,$A111,RawDataTotal!R:R)</f>
        <v>0</v>
      </c>
      <c r="P111">
        <f>SUMIF(RawDataTotal!$B:$B,$A111,RawDataTotal!S:S)</f>
        <v>0</v>
      </c>
      <c r="Q111">
        <f>SUMIF(RawDataTotal!$B:$B,$A111,RawDataTotal!T:T)</f>
        <v>0</v>
      </c>
      <c r="R111">
        <f>SUMIF(RawDataTotal!$B:$B,$A111,RawDataTotal!U:U)</f>
        <v>0</v>
      </c>
      <c r="S111">
        <f>SUMIF(RawDataTotal!$B:$B,$A111,RawDataTotal!V:V)</f>
        <v>0</v>
      </c>
      <c r="T111">
        <f>SUMIF(RawDataTotal!$B:$B,$A111,RawDataTotal!W:W)</f>
        <v>0</v>
      </c>
      <c r="U111">
        <f>SUMIF(RawDataTotal!$B:$B,$A111,RawDataTotal!X:X)</f>
        <v>0</v>
      </c>
      <c r="V111">
        <f>SUMIF(RawDataTotal!$B:$B,$A111,RawDataTotal!Y:Y)</f>
        <v>0</v>
      </c>
      <c r="W111">
        <f>SUMIF(RawDataTotal!$B:$B,$A111,RawDataTotal!Z:Z)</f>
        <v>0</v>
      </c>
      <c r="X111">
        <f>SUMIF(RawDataTotal!$B:$B,$A111,RawDataTotal!AA:AA)</f>
        <v>0</v>
      </c>
      <c r="Y111">
        <f>SUMIF(RawDataTotal!$B:$B,$A111,RawDataTotal!AB:AB)</f>
        <v>0</v>
      </c>
      <c r="Z111">
        <f>SUMIF(RawDataTotal!$B:$B,$A111,RawDataTotal!AC:AC)</f>
        <v>0</v>
      </c>
      <c r="AA111">
        <f>SUMIF(RawDataTotal!$B:$B,$A111,RawDataTotal!AD:AD)</f>
        <v>0</v>
      </c>
      <c r="AB111">
        <f>SUMIF(RawDataTotal!$B:$B,$A111,RawDataTotal!AE:AE)</f>
        <v>0</v>
      </c>
      <c r="AC111">
        <f>SUMIF(RawDataTotal!$B:$B,$A111,RawDataTotal!AF:AF)</f>
        <v>0</v>
      </c>
      <c r="AD111">
        <f>SUMIF(RawDataTotal!$B:$B,$A111,RawDataTotal!AG:AG)</f>
        <v>0</v>
      </c>
      <c r="AE111">
        <f>SUMIF(RawDataTotal!$B:$B,$A111,RawDataTotal!AH:AH)</f>
        <v>0</v>
      </c>
      <c r="AF111">
        <f>SUMIF(RawDataTotal!$B:$B,$A111,RawDataTotal!AI:AI)</f>
        <v>0</v>
      </c>
      <c r="AG111">
        <f>SUMIF(RawDataTotal!$B:$B,$A111,RawDataTotal!AJ:AJ)</f>
        <v>0</v>
      </c>
      <c r="AH111">
        <f>SUMIF(RawDataTotal!$B:$B,$A111,RawDataTotal!AK:AK)</f>
        <v>0</v>
      </c>
      <c r="AI111">
        <f>SUMIF(RawDataTotal!$B:$B,$A111,RawDataTotal!AL:AL)</f>
        <v>0</v>
      </c>
      <c r="AJ111">
        <f>SUMIF(RawDataTotal!$B:$B,$A111,RawDataTotal!AM:AM)</f>
        <v>0</v>
      </c>
      <c r="AK111">
        <f>SUMIF(RawDataTotal!$B:$B,$A111,RawDataTotal!AN:AN)</f>
        <v>0</v>
      </c>
      <c r="AL111">
        <f>SUMIF(RawDataTotal!$B:$B,$A111,RawDataTotal!AO:AO)</f>
        <v>0</v>
      </c>
      <c r="AM111">
        <f>SUMIF(RawDataTotal!$B:$B,$A111,RawDataTotal!AP:AP)</f>
        <v>0</v>
      </c>
      <c r="AN111">
        <f>SUMIF(RawDataTotal!$B:$B,$A111,RawDataTotal!AQ:AQ)</f>
        <v>0</v>
      </c>
      <c r="AO111">
        <f>SUMIF(RawDataTotal!$B:$B,$A111,RawDataTotal!AR:AR)</f>
        <v>0</v>
      </c>
      <c r="AP111">
        <f>SUMIF(RawDataTotal!$B:$B,$A111,RawDataTotal!AS:AS)</f>
        <v>0</v>
      </c>
      <c r="AQ111">
        <f>SUMIF(RawDataTotal!$B:$B,$A111,RawDataTotal!AT:AT)</f>
        <v>0</v>
      </c>
      <c r="AR111">
        <f>SUMIF(RawDataTotal!$B:$B,$A111,RawDataTotal!AU:AU)</f>
        <v>0</v>
      </c>
      <c r="AS111">
        <f>SUMIF(RawDataTotal!$B:$B,$A111,RawDataTotal!AV:AV)</f>
        <v>0</v>
      </c>
      <c r="AT111">
        <f>SUMIF(RawDataTotal!$B:$B,$A111,RawDataTotal!AW:AW)</f>
        <v>0</v>
      </c>
      <c r="AU111">
        <f>SUMIF(RawDataTotal!$B:$B,$A111,RawDataTotal!AX:AX)</f>
        <v>0</v>
      </c>
      <c r="AV111">
        <f>SUMIF(RawDataTotal!$B:$B,$A111,RawDataTotal!AY:AY)</f>
        <v>0</v>
      </c>
      <c r="AW111">
        <f>SUMIF(RawDataTotal!$B:$B,$A111,RawDataTotal!AZ:AZ)</f>
        <v>0</v>
      </c>
      <c r="AX111">
        <f>SUMIF(RawDataTotal!$B:$B,$A111,RawDataTotal!BA:BA)</f>
        <v>0</v>
      </c>
      <c r="AY111">
        <f>SUMIF(RawDataTotal!$B:$B,$A111,RawDataTotal!BB:BB)</f>
        <v>0</v>
      </c>
      <c r="AZ111">
        <f>SUMIF(RawDataTotal!$B:$B,$A111,RawDataTotal!BC:BC)</f>
        <v>0</v>
      </c>
      <c r="BA111">
        <f>SUMIF(RawDataTotal!$B:$B,$A111,RawDataTotal!BD:BD)</f>
        <v>1</v>
      </c>
      <c r="BB111">
        <f>SUMIF(RawDataTotal!$B:$B,$A111,RawDataTotal!BE:BE)</f>
        <v>1</v>
      </c>
      <c r="BC111">
        <f>SUMIF(RawDataTotal!$B:$B,$A111,RawDataTotal!BF:BF)</f>
        <v>1</v>
      </c>
      <c r="BD111">
        <f>SUMIF(RawDataTotal!$B:$B,$A111,RawDataTotal!BG:BG)</f>
        <v>1</v>
      </c>
      <c r="BE111">
        <f>SUMIF(RawDataTotal!$B:$B,$A111,RawDataTotal!BH:BH)</f>
        <v>1</v>
      </c>
      <c r="BF111">
        <f>SUMIF(RawDataTotal!$B:$B,$A111,RawDataTotal!BI:BI)</f>
        <v>0</v>
      </c>
      <c r="BG111">
        <f>SUMIF(RawDataTotal!$B:$B,$A111,RawDataTotal!BJ:BJ)</f>
        <v>0</v>
      </c>
      <c r="BH111">
        <f>SUMIF(RawDataTotal!$B:$B,$A111,RawDataTotal!BK:BK)</f>
        <v>0</v>
      </c>
      <c r="BI111">
        <f>SUMIF(RawDataTotal!$B:$B,$A111,RawDataTotal!BL:BL)</f>
        <v>0</v>
      </c>
      <c r="BJ111">
        <f>SUMIF(RawDataTotal!$B:$B,$A111,RawDataTotal!BM:BM)</f>
        <v>0</v>
      </c>
      <c r="BK111">
        <f>SUMIF(RawDataTotal!$B:$B,$A111,RawDataTotal!BN:BN)</f>
        <v>0</v>
      </c>
      <c r="BL111">
        <f>SUMIF(RawDataTotal!$B:$B,$A111,RawDataTotal!BO:BO)</f>
        <v>0</v>
      </c>
      <c r="BM111">
        <f>SUMIF(RawDataTotal!$B:$B,$A111,RawDataTotal!BP:BP)</f>
        <v>0</v>
      </c>
      <c r="BN111">
        <f>SUMIF(RawDataTotal!$B:$B,$A111,RawDataTotal!BQ:BQ)</f>
        <v>0</v>
      </c>
      <c r="BO111">
        <f>SUMIF(RawDataTotal!$B:$B,$A111,RawDataTotal!BR:BR)</f>
        <v>0</v>
      </c>
      <c r="BP111">
        <f>SUMIF(RawDataTotal!$B:$B,$A111,RawDataTotal!BS:BS)</f>
        <v>0</v>
      </c>
      <c r="BQ111">
        <f>SUMIF(RawDataTotal!$B:$B,$A111,RawDataTotal!BT:BT)</f>
        <v>0</v>
      </c>
      <c r="BR111">
        <f>SUMIF(RawDataTotal!$B:$B,$A111,RawDataTotal!BU:BU)</f>
        <v>0</v>
      </c>
      <c r="BS111">
        <f>SUMIF(RawDataTotal!$B:$B,$A111,RawDataTotal!BV:BV)</f>
        <v>0</v>
      </c>
      <c r="BT111">
        <f>SUMIF(RawDataTotal!$B:$B,$A111,RawDataTotal!BW:BW)</f>
        <v>0</v>
      </c>
    </row>
    <row r="112" spans="1:72" ht="15" thickBot="1" x14ac:dyDescent="0.35">
      <c r="A112" s="4" t="s">
        <v>183</v>
      </c>
      <c r="B112">
        <f>SUMIF(RawDataTotal!$B:$B,$A112,RawDataTotal!E:E)</f>
        <v>0</v>
      </c>
      <c r="C112">
        <f>SUMIF(RawDataTotal!$B:$B,$A112,RawDataTotal!F:F)</f>
        <v>0</v>
      </c>
      <c r="D112">
        <f>SUMIF(RawDataTotal!$B:$B,$A112,RawDataTotal!G:G)</f>
        <v>0</v>
      </c>
      <c r="E112">
        <f>SUMIF(RawDataTotal!$B:$B,$A112,RawDataTotal!H:H)</f>
        <v>0</v>
      </c>
      <c r="F112">
        <f>SUMIF(RawDataTotal!$B:$B,$A112,RawDataTotal!I:I)</f>
        <v>0</v>
      </c>
      <c r="G112">
        <f>SUMIF(RawDataTotal!$B:$B,$A112,RawDataTotal!J:J)</f>
        <v>0</v>
      </c>
      <c r="H112">
        <f>SUMIF(RawDataTotal!$B:$B,$A112,RawDataTotal!K:K)</f>
        <v>0</v>
      </c>
      <c r="I112">
        <f>SUMIF(RawDataTotal!$B:$B,$A112,RawDataTotal!L:L)</f>
        <v>0</v>
      </c>
      <c r="J112">
        <f>SUMIF(RawDataTotal!$B:$B,$A112,RawDataTotal!M:M)</f>
        <v>0</v>
      </c>
      <c r="K112">
        <f>SUMIF(RawDataTotal!$B:$B,$A112,RawDataTotal!N:N)</f>
        <v>0</v>
      </c>
      <c r="L112">
        <f>SUMIF(RawDataTotal!$B:$B,$A112,RawDataTotal!O:O)</f>
        <v>0</v>
      </c>
      <c r="M112">
        <f>SUMIF(RawDataTotal!$B:$B,$A112,RawDataTotal!P:P)</f>
        <v>0</v>
      </c>
      <c r="N112">
        <f>SUMIF(RawDataTotal!$B:$B,$A112,RawDataTotal!Q:Q)</f>
        <v>0</v>
      </c>
      <c r="O112">
        <f>SUMIF(RawDataTotal!$B:$B,$A112,RawDataTotal!R:R)</f>
        <v>0</v>
      </c>
      <c r="P112">
        <f>SUMIF(RawDataTotal!$B:$B,$A112,RawDataTotal!S:S)</f>
        <v>0</v>
      </c>
      <c r="Q112">
        <f>SUMIF(RawDataTotal!$B:$B,$A112,RawDataTotal!T:T)</f>
        <v>0</v>
      </c>
      <c r="R112">
        <f>SUMIF(RawDataTotal!$B:$B,$A112,RawDataTotal!U:U)</f>
        <v>0</v>
      </c>
      <c r="S112">
        <f>SUMIF(RawDataTotal!$B:$B,$A112,RawDataTotal!V:V)</f>
        <v>0</v>
      </c>
      <c r="T112">
        <f>SUMIF(RawDataTotal!$B:$B,$A112,RawDataTotal!W:W)</f>
        <v>0</v>
      </c>
      <c r="U112">
        <f>SUMIF(RawDataTotal!$B:$B,$A112,RawDataTotal!X:X)</f>
        <v>0</v>
      </c>
      <c r="V112">
        <f>SUMIF(RawDataTotal!$B:$B,$A112,RawDataTotal!Y:Y)</f>
        <v>0</v>
      </c>
      <c r="W112">
        <f>SUMIF(RawDataTotal!$B:$B,$A112,RawDataTotal!Z:Z)</f>
        <v>0</v>
      </c>
      <c r="X112">
        <f>SUMIF(RawDataTotal!$B:$B,$A112,RawDataTotal!AA:AA)</f>
        <v>0</v>
      </c>
      <c r="Y112">
        <f>SUMIF(RawDataTotal!$B:$B,$A112,RawDataTotal!AB:AB)</f>
        <v>0</v>
      </c>
      <c r="Z112">
        <f>SUMIF(RawDataTotal!$B:$B,$A112,RawDataTotal!AC:AC)</f>
        <v>0</v>
      </c>
      <c r="AA112">
        <f>SUMIF(RawDataTotal!$B:$B,$A112,RawDataTotal!AD:AD)</f>
        <v>0</v>
      </c>
      <c r="AB112">
        <f>SUMIF(RawDataTotal!$B:$B,$A112,RawDataTotal!AE:AE)</f>
        <v>0</v>
      </c>
      <c r="AC112">
        <f>SUMIF(RawDataTotal!$B:$B,$A112,RawDataTotal!AF:AF)</f>
        <v>0</v>
      </c>
      <c r="AD112">
        <f>SUMIF(RawDataTotal!$B:$B,$A112,RawDataTotal!AG:AG)</f>
        <v>0</v>
      </c>
      <c r="AE112">
        <f>SUMIF(RawDataTotal!$B:$B,$A112,RawDataTotal!AH:AH)</f>
        <v>0</v>
      </c>
      <c r="AF112">
        <f>SUMIF(RawDataTotal!$B:$B,$A112,RawDataTotal!AI:AI)</f>
        <v>0</v>
      </c>
      <c r="AG112">
        <f>SUMIF(RawDataTotal!$B:$B,$A112,RawDataTotal!AJ:AJ)</f>
        <v>0</v>
      </c>
      <c r="AH112">
        <f>SUMIF(RawDataTotal!$B:$B,$A112,RawDataTotal!AK:AK)</f>
        <v>0</v>
      </c>
      <c r="AI112">
        <f>SUMIF(RawDataTotal!$B:$B,$A112,RawDataTotal!AL:AL)</f>
        <v>0</v>
      </c>
      <c r="AJ112">
        <f>SUMIF(RawDataTotal!$B:$B,$A112,RawDataTotal!AM:AM)</f>
        <v>0</v>
      </c>
      <c r="AK112">
        <f>SUMIF(RawDataTotal!$B:$B,$A112,RawDataTotal!AN:AN)</f>
        <v>0</v>
      </c>
      <c r="AL112">
        <f>SUMIF(RawDataTotal!$B:$B,$A112,RawDataTotal!AO:AO)</f>
        <v>0</v>
      </c>
      <c r="AM112">
        <f>SUMIF(RawDataTotal!$B:$B,$A112,RawDataTotal!AP:AP)</f>
        <v>0</v>
      </c>
      <c r="AN112">
        <f>SUMIF(RawDataTotal!$B:$B,$A112,RawDataTotal!AQ:AQ)</f>
        <v>0</v>
      </c>
      <c r="AO112">
        <f>SUMIF(RawDataTotal!$B:$B,$A112,RawDataTotal!AR:AR)</f>
        <v>0</v>
      </c>
      <c r="AP112">
        <f>SUMIF(RawDataTotal!$B:$B,$A112,RawDataTotal!AS:AS)</f>
        <v>0</v>
      </c>
      <c r="AQ112">
        <f>SUMIF(RawDataTotal!$B:$B,$A112,RawDataTotal!AT:AT)</f>
        <v>0</v>
      </c>
      <c r="AR112">
        <f>SUMIF(RawDataTotal!$B:$B,$A112,RawDataTotal!AU:AU)</f>
        <v>0</v>
      </c>
      <c r="AS112">
        <f>SUMIF(RawDataTotal!$B:$B,$A112,RawDataTotal!AV:AV)</f>
        <v>0</v>
      </c>
      <c r="AT112">
        <f>SUMIF(RawDataTotal!$B:$B,$A112,RawDataTotal!AW:AW)</f>
        <v>1</v>
      </c>
      <c r="AU112">
        <f>SUMIF(RawDataTotal!$B:$B,$A112,RawDataTotal!AX:AX)</f>
        <v>1</v>
      </c>
      <c r="AV112">
        <f>SUMIF(RawDataTotal!$B:$B,$A112,RawDataTotal!AY:AY)</f>
        <v>1</v>
      </c>
      <c r="AW112">
        <f>SUMIF(RawDataTotal!$B:$B,$A112,RawDataTotal!AZ:AZ)</f>
        <v>1</v>
      </c>
      <c r="AX112">
        <f>SUMIF(RawDataTotal!$B:$B,$A112,RawDataTotal!BA:BA)</f>
        <v>1</v>
      </c>
      <c r="AY112">
        <f>SUMIF(RawDataTotal!$B:$B,$A112,RawDataTotal!BB:BB)</f>
        <v>1</v>
      </c>
      <c r="AZ112">
        <f>SUMIF(RawDataTotal!$B:$B,$A112,RawDataTotal!BC:BC)</f>
        <v>1</v>
      </c>
      <c r="BA112">
        <f>SUMIF(RawDataTotal!$B:$B,$A112,RawDataTotal!BD:BD)</f>
        <v>1</v>
      </c>
      <c r="BB112">
        <f>SUMIF(RawDataTotal!$B:$B,$A112,RawDataTotal!BE:BE)</f>
        <v>1</v>
      </c>
      <c r="BC112">
        <f>SUMIF(RawDataTotal!$B:$B,$A112,RawDataTotal!BF:BF)</f>
        <v>1</v>
      </c>
      <c r="BD112">
        <f>SUMIF(RawDataTotal!$B:$B,$A112,RawDataTotal!BG:BG)</f>
        <v>1</v>
      </c>
      <c r="BE112">
        <f>SUMIF(RawDataTotal!$B:$B,$A112,RawDataTotal!BH:BH)</f>
        <v>1</v>
      </c>
      <c r="BF112">
        <f>SUMIF(RawDataTotal!$B:$B,$A112,RawDataTotal!BI:BI)</f>
        <v>0</v>
      </c>
      <c r="BG112">
        <f>SUMIF(RawDataTotal!$B:$B,$A112,RawDataTotal!BJ:BJ)</f>
        <v>0</v>
      </c>
      <c r="BH112">
        <f>SUMIF(RawDataTotal!$B:$B,$A112,RawDataTotal!BK:BK)</f>
        <v>0</v>
      </c>
      <c r="BI112">
        <f>SUMIF(RawDataTotal!$B:$B,$A112,RawDataTotal!BL:BL)</f>
        <v>0</v>
      </c>
      <c r="BJ112">
        <f>SUMIF(RawDataTotal!$B:$B,$A112,RawDataTotal!BM:BM)</f>
        <v>0</v>
      </c>
      <c r="BK112">
        <f>SUMIF(RawDataTotal!$B:$B,$A112,RawDataTotal!BN:BN)</f>
        <v>0</v>
      </c>
      <c r="BL112">
        <f>SUMIF(RawDataTotal!$B:$B,$A112,RawDataTotal!BO:BO)</f>
        <v>0</v>
      </c>
      <c r="BM112">
        <f>SUMIF(RawDataTotal!$B:$B,$A112,RawDataTotal!BP:BP)</f>
        <v>0</v>
      </c>
      <c r="BN112">
        <f>SUMIF(RawDataTotal!$B:$B,$A112,RawDataTotal!BQ:BQ)</f>
        <v>0</v>
      </c>
      <c r="BO112">
        <f>SUMIF(RawDataTotal!$B:$B,$A112,RawDataTotal!BR:BR)</f>
        <v>0</v>
      </c>
      <c r="BP112">
        <f>SUMIF(RawDataTotal!$B:$B,$A112,RawDataTotal!BS:BS)</f>
        <v>0</v>
      </c>
      <c r="BQ112">
        <f>SUMIF(RawDataTotal!$B:$B,$A112,RawDataTotal!BT:BT)</f>
        <v>0</v>
      </c>
      <c r="BR112">
        <f>SUMIF(RawDataTotal!$B:$B,$A112,RawDataTotal!BU:BU)</f>
        <v>0</v>
      </c>
      <c r="BS112">
        <f>SUMIF(RawDataTotal!$B:$B,$A112,RawDataTotal!BV:BV)</f>
        <v>0</v>
      </c>
      <c r="BT112">
        <f>SUMIF(RawDataTotal!$B:$B,$A112,RawDataTotal!BW:BW)</f>
        <v>0</v>
      </c>
    </row>
    <row r="113" spans="1:72" ht="15" thickBot="1" x14ac:dyDescent="0.35">
      <c r="A113" s="4" t="s">
        <v>443</v>
      </c>
      <c r="B113">
        <f>SUMIF(RawDataTotal!$B:$B,$A113,RawDataTotal!E:E)</f>
        <v>0</v>
      </c>
      <c r="C113">
        <f>SUMIF(RawDataTotal!$B:$B,$A113,RawDataTotal!F:F)</f>
        <v>0</v>
      </c>
      <c r="D113">
        <f>SUMIF(RawDataTotal!$B:$B,$A113,RawDataTotal!G:G)</f>
        <v>0</v>
      </c>
      <c r="E113">
        <f>SUMIF(RawDataTotal!$B:$B,$A113,RawDataTotal!H:H)</f>
        <v>0</v>
      </c>
      <c r="F113">
        <f>SUMIF(RawDataTotal!$B:$B,$A113,RawDataTotal!I:I)</f>
        <v>0</v>
      </c>
      <c r="G113">
        <f>SUMIF(RawDataTotal!$B:$B,$A113,RawDataTotal!J:J)</f>
        <v>0</v>
      </c>
      <c r="H113">
        <f>SUMIF(RawDataTotal!$B:$B,$A113,RawDataTotal!K:K)</f>
        <v>0</v>
      </c>
      <c r="I113">
        <f>SUMIF(RawDataTotal!$B:$B,$A113,RawDataTotal!L:L)</f>
        <v>0</v>
      </c>
      <c r="J113">
        <f>SUMIF(RawDataTotal!$B:$B,$A113,RawDataTotal!M:M)</f>
        <v>0</v>
      </c>
      <c r="K113">
        <f>SUMIF(RawDataTotal!$B:$B,$A113,RawDataTotal!N:N)</f>
        <v>0</v>
      </c>
      <c r="L113">
        <f>SUMIF(RawDataTotal!$B:$B,$A113,RawDataTotal!O:O)</f>
        <v>0</v>
      </c>
      <c r="M113">
        <f>SUMIF(RawDataTotal!$B:$B,$A113,RawDataTotal!P:P)</f>
        <v>0</v>
      </c>
      <c r="N113">
        <f>SUMIF(RawDataTotal!$B:$B,$A113,RawDataTotal!Q:Q)</f>
        <v>0</v>
      </c>
      <c r="O113">
        <f>SUMIF(RawDataTotal!$B:$B,$A113,RawDataTotal!R:R)</f>
        <v>0</v>
      </c>
      <c r="P113">
        <f>SUMIF(RawDataTotal!$B:$B,$A113,RawDataTotal!S:S)</f>
        <v>0</v>
      </c>
      <c r="Q113">
        <f>SUMIF(RawDataTotal!$B:$B,$A113,RawDataTotal!T:T)</f>
        <v>0</v>
      </c>
      <c r="R113">
        <f>SUMIF(RawDataTotal!$B:$B,$A113,RawDataTotal!U:U)</f>
        <v>0</v>
      </c>
      <c r="S113">
        <f>SUMIF(RawDataTotal!$B:$B,$A113,RawDataTotal!V:V)</f>
        <v>0</v>
      </c>
      <c r="T113">
        <f>SUMIF(RawDataTotal!$B:$B,$A113,RawDataTotal!W:W)</f>
        <v>0</v>
      </c>
      <c r="U113">
        <f>SUMIF(RawDataTotal!$B:$B,$A113,RawDataTotal!X:X)</f>
        <v>0</v>
      </c>
      <c r="V113">
        <f>SUMIF(RawDataTotal!$B:$B,$A113,RawDataTotal!Y:Y)</f>
        <v>0</v>
      </c>
      <c r="W113">
        <f>SUMIF(RawDataTotal!$B:$B,$A113,RawDataTotal!Z:Z)</f>
        <v>0</v>
      </c>
      <c r="X113">
        <f>SUMIF(RawDataTotal!$B:$B,$A113,RawDataTotal!AA:AA)</f>
        <v>0</v>
      </c>
      <c r="Y113">
        <f>SUMIF(RawDataTotal!$B:$B,$A113,RawDataTotal!AB:AB)</f>
        <v>0</v>
      </c>
      <c r="Z113">
        <f>SUMIF(RawDataTotal!$B:$B,$A113,RawDataTotal!AC:AC)</f>
        <v>0</v>
      </c>
      <c r="AA113">
        <f>SUMIF(RawDataTotal!$B:$B,$A113,RawDataTotal!AD:AD)</f>
        <v>0</v>
      </c>
      <c r="AB113">
        <f>SUMIF(RawDataTotal!$B:$B,$A113,RawDataTotal!AE:AE)</f>
        <v>0</v>
      </c>
      <c r="AC113">
        <f>SUMIF(RawDataTotal!$B:$B,$A113,RawDataTotal!AF:AF)</f>
        <v>0</v>
      </c>
      <c r="AD113">
        <f>SUMIF(RawDataTotal!$B:$B,$A113,RawDataTotal!AG:AG)</f>
        <v>0</v>
      </c>
      <c r="AE113">
        <f>SUMIF(RawDataTotal!$B:$B,$A113,RawDataTotal!AH:AH)</f>
        <v>0</v>
      </c>
      <c r="AF113">
        <f>SUMIF(RawDataTotal!$B:$B,$A113,RawDataTotal!AI:AI)</f>
        <v>0</v>
      </c>
      <c r="AG113">
        <f>SUMIF(RawDataTotal!$B:$B,$A113,RawDataTotal!AJ:AJ)</f>
        <v>0</v>
      </c>
      <c r="AH113">
        <f>SUMIF(RawDataTotal!$B:$B,$A113,RawDataTotal!AK:AK)</f>
        <v>0</v>
      </c>
      <c r="AI113">
        <f>SUMIF(RawDataTotal!$B:$B,$A113,RawDataTotal!AL:AL)</f>
        <v>0</v>
      </c>
      <c r="AJ113">
        <f>SUMIF(RawDataTotal!$B:$B,$A113,RawDataTotal!AM:AM)</f>
        <v>0</v>
      </c>
      <c r="AK113">
        <f>SUMIF(RawDataTotal!$B:$B,$A113,RawDataTotal!AN:AN)</f>
        <v>0</v>
      </c>
      <c r="AL113">
        <f>SUMIF(RawDataTotal!$B:$B,$A113,RawDataTotal!AO:AO)</f>
        <v>0</v>
      </c>
      <c r="AM113">
        <f>SUMIF(RawDataTotal!$B:$B,$A113,RawDataTotal!AP:AP)</f>
        <v>0</v>
      </c>
      <c r="AN113">
        <f>SUMIF(RawDataTotal!$B:$B,$A113,RawDataTotal!AQ:AQ)</f>
        <v>0</v>
      </c>
      <c r="AO113">
        <f>SUMIF(RawDataTotal!$B:$B,$A113,RawDataTotal!AR:AR)</f>
        <v>0</v>
      </c>
      <c r="AP113">
        <f>SUMIF(RawDataTotal!$B:$B,$A113,RawDataTotal!AS:AS)</f>
        <v>0</v>
      </c>
      <c r="AQ113">
        <f>SUMIF(RawDataTotal!$B:$B,$A113,RawDataTotal!AT:AT)</f>
        <v>0</v>
      </c>
      <c r="AR113">
        <f>SUMIF(RawDataTotal!$B:$B,$A113,RawDataTotal!AU:AU)</f>
        <v>0</v>
      </c>
      <c r="AS113">
        <f>SUMIF(RawDataTotal!$B:$B,$A113,RawDataTotal!AV:AV)</f>
        <v>0</v>
      </c>
      <c r="AT113">
        <f>SUMIF(RawDataTotal!$B:$B,$A113,RawDataTotal!AW:AW)</f>
        <v>0</v>
      </c>
      <c r="AU113">
        <f>SUMIF(RawDataTotal!$B:$B,$A113,RawDataTotal!AX:AX)</f>
        <v>0</v>
      </c>
      <c r="AV113">
        <f>SUMIF(RawDataTotal!$B:$B,$A113,RawDataTotal!AY:AY)</f>
        <v>0</v>
      </c>
      <c r="AW113">
        <f>SUMIF(RawDataTotal!$B:$B,$A113,RawDataTotal!AZ:AZ)</f>
        <v>0</v>
      </c>
      <c r="AX113">
        <f>SUMIF(RawDataTotal!$B:$B,$A113,RawDataTotal!BA:BA)</f>
        <v>0</v>
      </c>
      <c r="AY113">
        <f>SUMIF(RawDataTotal!$B:$B,$A113,RawDataTotal!BB:BB)</f>
        <v>0</v>
      </c>
      <c r="AZ113">
        <f>SUMIF(RawDataTotal!$B:$B,$A113,RawDataTotal!BC:BC)</f>
        <v>0</v>
      </c>
      <c r="BA113">
        <f>SUMIF(RawDataTotal!$B:$B,$A113,RawDataTotal!BD:BD)</f>
        <v>0</v>
      </c>
      <c r="BB113">
        <f>SUMIF(RawDataTotal!$B:$B,$A113,RawDataTotal!BE:BE)</f>
        <v>0</v>
      </c>
      <c r="BC113">
        <f>SUMIF(RawDataTotal!$B:$B,$A113,RawDataTotal!BF:BF)</f>
        <v>0</v>
      </c>
      <c r="BD113">
        <f>SUMIF(RawDataTotal!$B:$B,$A113,RawDataTotal!BG:BG)</f>
        <v>0</v>
      </c>
      <c r="BE113">
        <f>SUMIF(RawDataTotal!$B:$B,$A113,RawDataTotal!BH:BH)</f>
        <v>0</v>
      </c>
      <c r="BF113">
        <f>SUMIF(RawDataTotal!$B:$B,$A113,RawDataTotal!BI:BI)</f>
        <v>0</v>
      </c>
      <c r="BG113">
        <f>SUMIF(RawDataTotal!$B:$B,$A113,RawDataTotal!BJ:BJ)</f>
        <v>0</v>
      </c>
      <c r="BH113">
        <f>SUMIF(RawDataTotal!$B:$B,$A113,RawDataTotal!BK:BK)</f>
        <v>0</v>
      </c>
      <c r="BI113">
        <f>SUMIF(RawDataTotal!$B:$B,$A113,RawDataTotal!BL:BL)</f>
        <v>0</v>
      </c>
      <c r="BJ113">
        <f>SUMIF(RawDataTotal!$B:$B,$A113,RawDataTotal!BM:BM)</f>
        <v>0</v>
      </c>
      <c r="BK113">
        <f>SUMIF(RawDataTotal!$B:$B,$A113,RawDataTotal!BN:BN)</f>
        <v>0</v>
      </c>
      <c r="BL113">
        <f>SUMIF(RawDataTotal!$B:$B,$A113,RawDataTotal!BO:BO)</f>
        <v>0</v>
      </c>
      <c r="BM113">
        <f>SUMIF(RawDataTotal!$B:$B,$A113,RawDataTotal!BP:BP)</f>
        <v>0</v>
      </c>
      <c r="BN113">
        <f>SUMIF(RawDataTotal!$B:$B,$A113,RawDataTotal!BQ:BQ)</f>
        <v>0</v>
      </c>
      <c r="BO113">
        <f>SUMIF(RawDataTotal!$B:$B,$A113,RawDataTotal!BR:BR)</f>
        <v>0</v>
      </c>
      <c r="BP113">
        <f>SUMIF(RawDataTotal!$B:$B,$A113,RawDataTotal!BS:BS)</f>
        <v>0</v>
      </c>
      <c r="BQ113">
        <f>SUMIF(RawDataTotal!$B:$B,$A113,RawDataTotal!BT:BT)</f>
        <v>0</v>
      </c>
      <c r="BR113">
        <f>SUMIF(RawDataTotal!$B:$B,$A113,RawDataTotal!BU:BU)</f>
        <v>0</v>
      </c>
      <c r="BS113">
        <f>SUMIF(RawDataTotal!$B:$B,$A113,RawDataTotal!BV:BV)</f>
        <v>0</v>
      </c>
      <c r="BT113">
        <f>SUMIF(RawDataTotal!$B:$B,$A113,RawDataTotal!BW:BW)</f>
        <v>0</v>
      </c>
    </row>
    <row r="114" spans="1:72" ht="15" thickBot="1" x14ac:dyDescent="0.35">
      <c r="A114" s="3" t="s">
        <v>380</v>
      </c>
      <c r="B114">
        <f>SUMIF(RawDataTotal!$B:$B,$A114,RawDataTotal!E:E)</f>
        <v>0</v>
      </c>
      <c r="C114">
        <f>SUMIF(RawDataTotal!$B:$B,$A114,RawDataTotal!F:F)</f>
        <v>0</v>
      </c>
      <c r="D114">
        <f>SUMIF(RawDataTotal!$B:$B,$A114,RawDataTotal!G:G)</f>
        <v>0</v>
      </c>
      <c r="E114">
        <f>SUMIF(RawDataTotal!$B:$B,$A114,RawDataTotal!H:H)</f>
        <v>0</v>
      </c>
      <c r="F114">
        <f>SUMIF(RawDataTotal!$B:$B,$A114,RawDataTotal!I:I)</f>
        <v>0</v>
      </c>
      <c r="G114">
        <f>SUMIF(RawDataTotal!$B:$B,$A114,RawDataTotal!J:J)</f>
        <v>0</v>
      </c>
      <c r="H114">
        <f>SUMIF(RawDataTotal!$B:$B,$A114,RawDataTotal!K:K)</f>
        <v>0</v>
      </c>
      <c r="I114">
        <f>SUMIF(RawDataTotal!$B:$B,$A114,RawDataTotal!L:L)</f>
        <v>0</v>
      </c>
      <c r="J114">
        <f>SUMIF(RawDataTotal!$B:$B,$A114,RawDataTotal!M:M)</f>
        <v>0</v>
      </c>
      <c r="K114">
        <f>SUMIF(RawDataTotal!$B:$B,$A114,RawDataTotal!N:N)</f>
        <v>0</v>
      </c>
      <c r="L114">
        <f>SUMIF(RawDataTotal!$B:$B,$A114,RawDataTotal!O:O)</f>
        <v>0</v>
      </c>
      <c r="M114">
        <f>SUMIF(RawDataTotal!$B:$B,$A114,RawDataTotal!P:P)</f>
        <v>0</v>
      </c>
      <c r="N114">
        <f>SUMIF(RawDataTotal!$B:$B,$A114,RawDataTotal!Q:Q)</f>
        <v>0</v>
      </c>
      <c r="O114">
        <f>SUMIF(RawDataTotal!$B:$B,$A114,RawDataTotal!R:R)</f>
        <v>0</v>
      </c>
      <c r="P114">
        <f>SUMIF(RawDataTotal!$B:$B,$A114,RawDataTotal!S:S)</f>
        <v>0</v>
      </c>
      <c r="Q114">
        <f>SUMIF(RawDataTotal!$B:$B,$A114,RawDataTotal!T:T)</f>
        <v>0</v>
      </c>
      <c r="R114">
        <f>SUMIF(RawDataTotal!$B:$B,$A114,RawDataTotal!U:U)</f>
        <v>0</v>
      </c>
      <c r="S114">
        <f>SUMIF(RawDataTotal!$B:$B,$A114,RawDataTotal!V:V)</f>
        <v>0</v>
      </c>
      <c r="T114">
        <f>SUMIF(RawDataTotal!$B:$B,$A114,RawDataTotal!W:W)</f>
        <v>0</v>
      </c>
      <c r="U114">
        <f>SUMIF(RawDataTotal!$B:$B,$A114,RawDataTotal!X:X)</f>
        <v>0</v>
      </c>
      <c r="V114">
        <f>SUMIF(RawDataTotal!$B:$B,$A114,RawDataTotal!Y:Y)</f>
        <v>0</v>
      </c>
      <c r="W114">
        <f>SUMIF(RawDataTotal!$B:$B,$A114,RawDataTotal!Z:Z)</f>
        <v>0</v>
      </c>
      <c r="X114">
        <f>SUMIF(RawDataTotal!$B:$B,$A114,RawDataTotal!AA:AA)</f>
        <v>0</v>
      </c>
      <c r="Y114">
        <f>SUMIF(RawDataTotal!$B:$B,$A114,RawDataTotal!AB:AB)</f>
        <v>0</v>
      </c>
      <c r="Z114">
        <f>SUMIF(RawDataTotal!$B:$B,$A114,RawDataTotal!AC:AC)</f>
        <v>0</v>
      </c>
      <c r="AA114">
        <f>SUMIF(RawDataTotal!$B:$B,$A114,RawDataTotal!AD:AD)</f>
        <v>0</v>
      </c>
      <c r="AB114">
        <f>SUMIF(RawDataTotal!$B:$B,$A114,RawDataTotal!AE:AE)</f>
        <v>0</v>
      </c>
      <c r="AC114">
        <f>SUMIF(RawDataTotal!$B:$B,$A114,RawDataTotal!AF:AF)</f>
        <v>0</v>
      </c>
      <c r="AD114">
        <f>SUMIF(RawDataTotal!$B:$B,$A114,RawDataTotal!AG:AG)</f>
        <v>0</v>
      </c>
      <c r="AE114">
        <f>SUMIF(RawDataTotal!$B:$B,$A114,RawDataTotal!AH:AH)</f>
        <v>0</v>
      </c>
      <c r="AF114">
        <f>SUMIF(RawDataTotal!$B:$B,$A114,RawDataTotal!AI:AI)</f>
        <v>0</v>
      </c>
      <c r="AG114">
        <f>SUMIF(RawDataTotal!$B:$B,$A114,RawDataTotal!AJ:AJ)</f>
        <v>0</v>
      </c>
      <c r="AH114">
        <f>SUMIF(RawDataTotal!$B:$B,$A114,RawDataTotal!AK:AK)</f>
        <v>0</v>
      </c>
      <c r="AI114">
        <f>SUMIF(RawDataTotal!$B:$B,$A114,RawDataTotal!AL:AL)</f>
        <v>0</v>
      </c>
      <c r="AJ114">
        <f>SUMIF(RawDataTotal!$B:$B,$A114,RawDataTotal!AM:AM)</f>
        <v>0</v>
      </c>
      <c r="AK114">
        <f>SUMIF(RawDataTotal!$B:$B,$A114,RawDataTotal!AN:AN)</f>
        <v>0</v>
      </c>
      <c r="AL114">
        <f>SUMIF(RawDataTotal!$B:$B,$A114,RawDataTotal!AO:AO)</f>
        <v>0</v>
      </c>
      <c r="AM114">
        <f>SUMIF(RawDataTotal!$B:$B,$A114,RawDataTotal!AP:AP)</f>
        <v>0</v>
      </c>
      <c r="AN114">
        <f>SUMIF(RawDataTotal!$B:$B,$A114,RawDataTotal!AQ:AQ)</f>
        <v>0</v>
      </c>
      <c r="AO114">
        <f>SUMIF(RawDataTotal!$B:$B,$A114,RawDataTotal!AR:AR)</f>
        <v>0</v>
      </c>
      <c r="AP114">
        <f>SUMIF(RawDataTotal!$B:$B,$A114,RawDataTotal!AS:AS)</f>
        <v>0</v>
      </c>
      <c r="AQ114">
        <f>SUMIF(RawDataTotal!$B:$B,$A114,RawDataTotal!AT:AT)</f>
        <v>0</v>
      </c>
      <c r="AR114">
        <f>SUMIF(RawDataTotal!$B:$B,$A114,RawDataTotal!AU:AU)</f>
        <v>0</v>
      </c>
      <c r="AS114">
        <f>SUMIF(RawDataTotal!$B:$B,$A114,RawDataTotal!AV:AV)</f>
        <v>0</v>
      </c>
      <c r="AT114">
        <f>SUMIF(RawDataTotal!$B:$B,$A114,RawDataTotal!AW:AW)</f>
        <v>0</v>
      </c>
      <c r="AU114">
        <f>SUMIF(RawDataTotal!$B:$B,$A114,RawDataTotal!AX:AX)</f>
        <v>0</v>
      </c>
      <c r="AV114">
        <f>SUMIF(RawDataTotal!$B:$B,$A114,RawDataTotal!AY:AY)</f>
        <v>0</v>
      </c>
      <c r="AW114">
        <f>SUMIF(RawDataTotal!$B:$B,$A114,RawDataTotal!AZ:AZ)</f>
        <v>0</v>
      </c>
      <c r="AX114">
        <f>SUMIF(RawDataTotal!$B:$B,$A114,RawDataTotal!BA:BA)</f>
        <v>0</v>
      </c>
      <c r="AY114">
        <f>SUMIF(RawDataTotal!$B:$B,$A114,RawDataTotal!BB:BB)</f>
        <v>1</v>
      </c>
      <c r="AZ114">
        <f>SUMIF(RawDataTotal!$B:$B,$A114,RawDataTotal!BC:BC)</f>
        <v>1</v>
      </c>
      <c r="BA114">
        <f>SUMIF(RawDataTotal!$B:$B,$A114,RawDataTotal!BD:BD)</f>
        <v>1</v>
      </c>
      <c r="BB114">
        <f>SUMIF(RawDataTotal!$B:$B,$A114,RawDataTotal!BE:BE)</f>
        <v>1</v>
      </c>
      <c r="BC114">
        <f>SUMIF(RawDataTotal!$B:$B,$A114,RawDataTotal!BF:BF)</f>
        <v>1</v>
      </c>
      <c r="BD114">
        <f>SUMIF(RawDataTotal!$B:$B,$A114,RawDataTotal!BG:BG)</f>
        <v>1</v>
      </c>
      <c r="BE114">
        <f>SUMIF(RawDataTotal!$B:$B,$A114,RawDataTotal!BH:BH)</f>
        <v>5</v>
      </c>
      <c r="BF114">
        <f>SUMIF(RawDataTotal!$B:$B,$A114,RawDataTotal!BI:BI)</f>
        <v>0</v>
      </c>
      <c r="BG114">
        <f>SUMIF(RawDataTotal!$B:$B,$A114,RawDataTotal!BJ:BJ)</f>
        <v>0</v>
      </c>
      <c r="BH114">
        <f>SUMIF(RawDataTotal!$B:$B,$A114,RawDataTotal!BK:BK)</f>
        <v>0</v>
      </c>
      <c r="BI114">
        <f>SUMIF(RawDataTotal!$B:$B,$A114,RawDataTotal!BL:BL)</f>
        <v>0</v>
      </c>
      <c r="BJ114">
        <f>SUMIF(RawDataTotal!$B:$B,$A114,RawDataTotal!BM:BM)</f>
        <v>0</v>
      </c>
      <c r="BK114">
        <f>SUMIF(RawDataTotal!$B:$B,$A114,RawDataTotal!BN:BN)</f>
        <v>0</v>
      </c>
      <c r="BL114">
        <f>SUMIF(RawDataTotal!$B:$B,$A114,RawDataTotal!BO:BO)</f>
        <v>0</v>
      </c>
      <c r="BM114">
        <f>SUMIF(RawDataTotal!$B:$B,$A114,RawDataTotal!BP:BP)</f>
        <v>0</v>
      </c>
      <c r="BN114">
        <f>SUMIF(RawDataTotal!$B:$B,$A114,RawDataTotal!BQ:BQ)</f>
        <v>0</v>
      </c>
      <c r="BO114">
        <f>SUMIF(RawDataTotal!$B:$B,$A114,RawDataTotal!BR:BR)</f>
        <v>0</v>
      </c>
      <c r="BP114">
        <f>SUMIF(RawDataTotal!$B:$B,$A114,RawDataTotal!BS:BS)</f>
        <v>0</v>
      </c>
      <c r="BQ114">
        <f>SUMIF(RawDataTotal!$B:$B,$A114,RawDataTotal!BT:BT)</f>
        <v>0</v>
      </c>
      <c r="BR114">
        <f>SUMIF(RawDataTotal!$B:$B,$A114,RawDataTotal!BU:BU)</f>
        <v>0</v>
      </c>
      <c r="BS114">
        <f>SUMIF(RawDataTotal!$B:$B,$A114,RawDataTotal!BV:BV)</f>
        <v>0</v>
      </c>
      <c r="BT114">
        <f>SUMIF(RawDataTotal!$B:$B,$A114,RawDataTotal!BW:BW)</f>
        <v>0</v>
      </c>
    </row>
    <row r="115" spans="1:72" ht="15" thickBot="1" x14ac:dyDescent="0.35">
      <c r="A115" s="4" t="s">
        <v>447</v>
      </c>
      <c r="B115">
        <f>SUMIF(RawDataTotal!$B:$B,$A115,RawDataTotal!E:E)</f>
        <v>0</v>
      </c>
      <c r="C115">
        <f>SUMIF(RawDataTotal!$B:$B,$A115,RawDataTotal!F:F)</f>
        <v>0</v>
      </c>
      <c r="D115">
        <f>SUMIF(RawDataTotal!$B:$B,$A115,RawDataTotal!G:G)</f>
        <v>0</v>
      </c>
      <c r="E115">
        <f>SUMIF(RawDataTotal!$B:$B,$A115,RawDataTotal!H:H)</f>
        <v>0</v>
      </c>
      <c r="F115">
        <f>SUMIF(RawDataTotal!$B:$B,$A115,RawDataTotal!I:I)</f>
        <v>0</v>
      </c>
      <c r="G115">
        <f>SUMIF(RawDataTotal!$B:$B,$A115,RawDataTotal!J:J)</f>
        <v>0</v>
      </c>
      <c r="H115">
        <f>SUMIF(RawDataTotal!$B:$B,$A115,RawDataTotal!K:K)</f>
        <v>0</v>
      </c>
      <c r="I115">
        <f>SUMIF(RawDataTotal!$B:$B,$A115,RawDataTotal!L:L)</f>
        <v>0</v>
      </c>
      <c r="J115">
        <f>SUMIF(RawDataTotal!$B:$B,$A115,RawDataTotal!M:M)</f>
        <v>0</v>
      </c>
      <c r="K115">
        <f>SUMIF(RawDataTotal!$B:$B,$A115,RawDataTotal!N:N)</f>
        <v>0</v>
      </c>
      <c r="L115">
        <f>SUMIF(RawDataTotal!$B:$B,$A115,RawDataTotal!O:O)</f>
        <v>0</v>
      </c>
      <c r="M115">
        <f>SUMIF(RawDataTotal!$B:$B,$A115,RawDataTotal!P:P)</f>
        <v>0</v>
      </c>
      <c r="N115">
        <f>SUMIF(RawDataTotal!$B:$B,$A115,RawDataTotal!Q:Q)</f>
        <v>0</v>
      </c>
      <c r="O115">
        <f>SUMIF(RawDataTotal!$B:$B,$A115,RawDataTotal!R:R)</f>
        <v>0</v>
      </c>
      <c r="P115">
        <f>SUMIF(RawDataTotal!$B:$B,$A115,RawDataTotal!S:S)</f>
        <v>0</v>
      </c>
      <c r="Q115">
        <f>SUMIF(RawDataTotal!$B:$B,$A115,RawDataTotal!T:T)</f>
        <v>0</v>
      </c>
      <c r="R115">
        <f>SUMIF(RawDataTotal!$B:$B,$A115,RawDataTotal!U:U)</f>
        <v>0</v>
      </c>
      <c r="S115">
        <f>SUMIF(RawDataTotal!$B:$B,$A115,RawDataTotal!V:V)</f>
        <v>0</v>
      </c>
      <c r="T115">
        <f>SUMIF(RawDataTotal!$B:$B,$A115,RawDataTotal!W:W)</f>
        <v>0</v>
      </c>
      <c r="U115">
        <f>SUMIF(RawDataTotal!$B:$B,$A115,RawDataTotal!X:X)</f>
        <v>0</v>
      </c>
      <c r="V115">
        <f>SUMIF(RawDataTotal!$B:$B,$A115,RawDataTotal!Y:Y)</f>
        <v>0</v>
      </c>
      <c r="W115">
        <f>SUMIF(RawDataTotal!$B:$B,$A115,RawDataTotal!Z:Z)</f>
        <v>0</v>
      </c>
      <c r="X115">
        <f>SUMIF(RawDataTotal!$B:$B,$A115,RawDataTotal!AA:AA)</f>
        <v>0</v>
      </c>
      <c r="Y115">
        <f>SUMIF(RawDataTotal!$B:$B,$A115,RawDataTotal!AB:AB)</f>
        <v>0</v>
      </c>
      <c r="Z115">
        <f>SUMIF(RawDataTotal!$B:$B,$A115,RawDataTotal!AC:AC)</f>
        <v>0</v>
      </c>
      <c r="AA115">
        <f>SUMIF(RawDataTotal!$B:$B,$A115,RawDataTotal!AD:AD)</f>
        <v>0</v>
      </c>
      <c r="AB115">
        <f>SUMIF(RawDataTotal!$B:$B,$A115,RawDataTotal!AE:AE)</f>
        <v>0</v>
      </c>
      <c r="AC115">
        <f>SUMIF(RawDataTotal!$B:$B,$A115,RawDataTotal!AF:AF)</f>
        <v>0</v>
      </c>
      <c r="AD115">
        <f>SUMIF(RawDataTotal!$B:$B,$A115,RawDataTotal!AG:AG)</f>
        <v>0</v>
      </c>
      <c r="AE115">
        <f>SUMIF(RawDataTotal!$B:$B,$A115,RawDataTotal!AH:AH)</f>
        <v>0</v>
      </c>
      <c r="AF115">
        <f>SUMIF(RawDataTotal!$B:$B,$A115,RawDataTotal!AI:AI)</f>
        <v>0</v>
      </c>
      <c r="AG115">
        <f>SUMIF(RawDataTotal!$B:$B,$A115,RawDataTotal!AJ:AJ)</f>
        <v>0</v>
      </c>
      <c r="AH115">
        <f>SUMIF(RawDataTotal!$B:$B,$A115,RawDataTotal!AK:AK)</f>
        <v>0</v>
      </c>
      <c r="AI115">
        <f>SUMIF(RawDataTotal!$B:$B,$A115,RawDataTotal!AL:AL)</f>
        <v>0</v>
      </c>
      <c r="AJ115">
        <f>SUMIF(RawDataTotal!$B:$B,$A115,RawDataTotal!AM:AM)</f>
        <v>0</v>
      </c>
      <c r="AK115">
        <f>SUMIF(RawDataTotal!$B:$B,$A115,RawDataTotal!AN:AN)</f>
        <v>0</v>
      </c>
      <c r="AL115">
        <f>SUMIF(RawDataTotal!$B:$B,$A115,RawDataTotal!AO:AO)</f>
        <v>0</v>
      </c>
      <c r="AM115">
        <f>SUMIF(RawDataTotal!$B:$B,$A115,RawDataTotal!AP:AP)</f>
        <v>0</v>
      </c>
      <c r="AN115">
        <f>SUMIF(RawDataTotal!$B:$B,$A115,RawDataTotal!AQ:AQ)</f>
        <v>0</v>
      </c>
      <c r="AO115">
        <f>SUMIF(RawDataTotal!$B:$B,$A115,RawDataTotal!AR:AR)</f>
        <v>0</v>
      </c>
      <c r="AP115">
        <f>SUMIF(RawDataTotal!$B:$B,$A115,RawDataTotal!AS:AS)</f>
        <v>0</v>
      </c>
      <c r="AQ115">
        <f>SUMIF(RawDataTotal!$B:$B,$A115,RawDataTotal!AT:AT)</f>
        <v>0</v>
      </c>
      <c r="AR115">
        <f>SUMIF(RawDataTotal!$B:$B,$A115,RawDataTotal!AU:AU)</f>
        <v>0</v>
      </c>
      <c r="AS115">
        <f>SUMIF(RawDataTotal!$B:$B,$A115,RawDataTotal!AV:AV)</f>
        <v>0</v>
      </c>
      <c r="AT115">
        <f>SUMIF(RawDataTotal!$B:$B,$A115,RawDataTotal!AW:AW)</f>
        <v>0</v>
      </c>
      <c r="AU115">
        <f>SUMIF(RawDataTotal!$B:$B,$A115,RawDataTotal!AX:AX)</f>
        <v>0</v>
      </c>
      <c r="AV115">
        <f>SUMIF(RawDataTotal!$B:$B,$A115,RawDataTotal!AY:AY)</f>
        <v>0</v>
      </c>
      <c r="AW115">
        <f>SUMIF(RawDataTotal!$B:$B,$A115,RawDataTotal!AZ:AZ)</f>
        <v>0</v>
      </c>
      <c r="AX115">
        <f>SUMIF(RawDataTotal!$B:$B,$A115,RawDataTotal!BA:BA)</f>
        <v>0</v>
      </c>
      <c r="AY115">
        <f>SUMIF(RawDataTotal!$B:$B,$A115,RawDataTotal!BB:BB)</f>
        <v>0</v>
      </c>
      <c r="AZ115">
        <f>SUMIF(RawDataTotal!$B:$B,$A115,RawDataTotal!BC:BC)</f>
        <v>0</v>
      </c>
      <c r="BA115">
        <f>SUMIF(RawDataTotal!$B:$B,$A115,RawDataTotal!BD:BD)</f>
        <v>1</v>
      </c>
      <c r="BB115">
        <f>SUMIF(RawDataTotal!$B:$B,$A115,RawDataTotal!BE:BE)</f>
        <v>1</v>
      </c>
      <c r="BC115">
        <f>SUMIF(RawDataTotal!$B:$B,$A115,RawDataTotal!BF:BF)</f>
        <v>1</v>
      </c>
      <c r="BD115">
        <f>SUMIF(RawDataTotal!$B:$B,$A115,RawDataTotal!BG:BG)</f>
        <v>5</v>
      </c>
      <c r="BE115">
        <f>SUMIF(RawDataTotal!$B:$B,$A115,RawDataTotal!BH:BH)</f>
        <v>5</v>
      </c>
      <c r="BF115">
        <f>SUMIF(RawDataTotal!$B:$B,$A115,RawDataTotal!BI:BI)</f>
        <v>0</v>
      </c>
      <c r="BG115">
        <f>SUMIF(RawDataTotal!$B:$B,$A115,RawDataTotal!BJ:BJ)</f>
        <v>0</v>
      </c>
      <c r="BH115">
        <f>SUMIF(RawDataTotal!$B:$B,$A115,RawDataTotal!BK:BK)</f>
        <v>0</v>
      </c>
      <c r="BI115">
        <f>SUMIF(RawDataTotal!$B:$B,$A115,RawDataTotal!BL:BL)</f>
        <v>0</v>
      </c>
      <c r="BJ115">
        <f>SUMIF(RawDataTotal!$B:$B,$A115,RawDataTotal!BM:BM)</f>
        <v>0</v>
      </c>
      <c r="BK115">
        <f>SUMIF(RawDataTotal!$B:$B,$A115,RawDataTotal!BN:BN)</f>
        <v>0</v>
      </c>
      <c r="BL115">
        <f>SUMIF(RawDataTotal!$B:$B,$A115,RawDataTotal!BO:BO)</f>
        <v>0</v>
      </c>
      <c r="BM115">
        <f>SUMIF(RawDataTotal!$B:$B,$A115,RawDataTotal!BP:BP)</f>
        <v>0</v>
      </c>
      <c r="BN115">
        <f>SUMIF(RawDataTotal!$B:$B,$A115,RawDataTotal!BQ:BQ)</f>
        <v>0</v>
      </c>
      <c r="BO115">
        <f>SUMIF(RawDataTotal!$B:$B,$A115,RawDataTotal!BR:BR)</f>
        <v>0</v>
      </c>
      <c r="BP115">
        <f>SUMIF(RawDataTotal!$B:$B,$A115,RawDataTotal!BS:BS)</f>
        <v>0</v>
      </c>
      <c r="BQ115">
        <f>SUMIF(RawDataTotal!$B:$B,$A115,RawDataTotal!BT:BT)</f>
        <v>0</v>
      </c>
      <c r="BR115">
        <f>SUMIF(RawDataTotal!$B:$B,$A115,RawDataTotal!BU:BU)</f>
        <v>0</v>
      </c>
      <c r="BS115">
        <f>SUMIF(RawDataTotal!$B:$B,$A115,RawDataTotal!BV:BV)</f>
        <v>0</v>
      </c>
      <c r="BT115">
        <f>SUMIF(RawDataTotal!$B:$B,$A115,RawDataTotal!BW:BW)</f>
        <v>0</v>
      </c>
    </row>
    <row r="116" spans="1:72" ht="15" thickBot="1" x14ac:dyDescent="0.35">
      <c r="A116" s="3" t="s">
        <v>444</v>
      </c>
      <c r="B116">
        <f>SUMIF(RawDataTotal!$B:$B,$A116,RawDataTotal!E:E)</f>
        <v>0</v>
      </c>
      <c r="C116">
        <f>SUMIF(RawDataTotal!$B:$B,$A116,RawDataTotal!F:F)</f>
        <v>0</v>
      </c>
      <c r="D116">
        <f>SUMIF(RawDataTotal!$B:$B,$A116,RawDataTotal!G:G)</f>
        <v>0</v>
      </c>
      <c r="E116">
        <f>SUMIF(RawDataTotal!$B:$B,$A116,RawDataTotal!H:H)</f>
        <v>0</v>
      </c>
      <c r="F116">
        <f>SUMIF(RawDataTotal!$B:$B,$A116,RawDataTotal!I:I)</f>
        <v>0</v>
      </c>
      <c r="G116">
        <f>SUMIF(RawDataTotal!$B:$B,$A116,RawDataTotal!J:J)</f>
        <v>0</v>
      </c>
      <c r="H116">
        <f>SUMIF(RawDataTotal!$B:$B,$A116,RawDataTotal!K:K)</f>
        <v>0</v>
      </c>
      <c r="I116">
        <f>SUMIF(RawDataTotal!$B:$B,$A116,RawDataTotal!L:L)</f>
        <v>0</v>
      </c>
      <c r="J116">
        <f>SUMIF(RawDataTotal!$B:$B,$A116,RawDataTotal!M:M)</f>
        <v>0</v>
      </c>
      <c r="K116">
        <f>SUMIF(RawDataTotal!$B:$B,$A116,RawDataTotal!N:N)</f>
        <v>0</v>
      </c>
      <c r="L116">
        <f>SUMIF(RawDataTotal!$B:$B,$A116,RawDataTotal!O:O)</f>
        <v>0</v>
      </c>
      <c r="M116">
        <f>SUMIF(RawDataTotal!$B:$B,$A116,RawDataTotal!P:P)</f>
        <v>0</v>
      </c>
      <c r="N116">
        <f>SUMIF(RawDataTotal!$B:$B,$A116,RawDataTotal!Q:Q)</f>
        <v>0</v>
      </c>
      <c r="O116">
        <f>SUMIF(RawDataTotal!$B:$B,$A116,RawDataTotal!R:R)</f>
        <v>0</v>
      </c>
      <c r="P116">
        <f>SUMIF(RawDataTotal!$B:$B,$A116,RawDataTotal!S:S)</f>
        <v>0</v>
      </c>
      <c r="Q116">
        <f>SUMIF(RawDataTotal!$B:$B,$A116,RawDataTotal!T:T)</f>
        <v>0</v>
      </c>
      <c r="R116">
        <f>SUMIF(RawDataTotal!$B:$B,$A116,RawDataTotal!U:U)</f>
        <v>0</v>
      </c>
      <c r="S116">
        <f>SUMIF(RawDataTotal!$B:$B,$A116,RawDataTotal!V:V)</f>
        <v>0</v>
      </c>
      <c r="T116">
        <f>SUMIF(RawDataTotal!$B:$B,$A116,RawDataTotal!W:W)</f>
        <v>0</v>
      </c>
      <c r="U116">
        <f>SUMIF(RawDataTotal!$B:$B,$A116,RawDataTotal!X:X)</f>
        <v>0</v>
      </c>
      <c r="V116">
        <f>SUMIF(RawDataTotal!$B:$B,$A116,RawDataTotal!Y:Y)</f>
        <v>0</v>
      </c>
      <c r="W116">
        <f>SUMIF(RawDataTotal!$B:$B,$A116,RawDataTotal!Z:Z)</f>
        <v>0</v>
      </c>
      <c r="X116">
        <f>SUMIF(RawDataTotal!$B:$B,$A116,RawDataTotal!AA:AA)</f>
        <v>0</v>
      </c>
      <c r="Y116">
        <f>SUMIF(RawDataTotal!$B:$B,$A116,RawDataTotal!AB:AB)</f>
        <v>0</v>
      </c>
      <c r="Z116">
        <f>SUMIF(RawDataTotal!$B:$B,$A116,RawDataTotal!AC:AC)</f>
        <v>0</v>
      </c>
      <c r="AA116">
        <f>SUMIF(RawDataTotal!$B:$B,$A116,RawDataTotal!AD:AD)</f>
        <v>0</v>
      </c>
      <c r="AB116">
        <f>SUMIF(RawDataTotal!$B:$B,$A116,RawDataTotal!AE:AE)</f>
        <v>0</v>
      </c>
      <c r="AC116">
        <f>SUMIF(RawDataTotal!$B:$B,$A116,RawDataTotal!AF:AF)</f>
        <v>0</v>
      </c>
      <c r="AD116">
        <f>SUMIF(RawDataTotal!$B:$B,$A116,RawDataTotal!AG:AG)</f>
        <v>0</v>
      </c>
      <c r="AE116">
        <f>SUMIF(RawDataTotal!$B:$B,$A116,RawDataTotal!AH:AH)</f>
        <v>0</v>
      </c>
      <c r="AF116">
        <f>SUMIF(RawDataTotal!$B:$B,$A116,RawDataTotal!AI:AI)</f>
        <v>0</v>
      </c>
      <c r="AG116">
        <f>SUMIF(RawDataTotal!$B:$B,$A116,RawDataTotal!AJ:AJ)</f>
        <v>0</v>
      </c>
      <c r="AH116">
        <f>SUMIF(RawDataTotal!$B:$B,$A116,RawDataTotal!AK:AK)</f>
        <v>0</v>
      </c>
      <c r="AI116">
        <f>SUMIF(RawDataTotal!$B:$B,$A116,RawDataTotal!AL:AL)</f>
        <v>0</v>
      </c>
      <c r="AJ116">
        <f>SUMIF(RawDataTotal!$B:$B,$A116,RawDataTotal!AM:AM)</f>
        <v>0</v>
      </c>
      <c r="AK116">
        <f>SUMIF(RawDataTotal!$B:$B,$A116,RawDataTotal!AN:AN)</f>
        <v>0</v>
      </c>
      <c r="AL116">
        <f>SUMIF(RawDataTotal!$B:$B,$A116,RawDataTotal!AO:AO)</f>
        <v>0</v>
      </c>
      <c r="AM116">
        <f>SUMIF(RawDataTotal!$B:$B,$A116,RawDataTotal!AP:AP)</f>
        <v>0</v>
      </c>
      <c r="AN116">
        <f>SUMIF(RawDataTotal!$B:$B,$A116,RawDataTotal!AQ:AQ)</f>
        <v>0</v>
      </c>
      <c r="AO116">
        <f>SUMIF(RawDataTotal!$B:$B,$A116,RawDataTotal!AR:AR)</f>
        <v>0</v>
      </c>
      <c r="AP116">
        <f>SUMIF(RawDataTotal!$B:$B,$A116,RawDataTotal!AS:AS)</f>
        <v>0</v>
      </c>
      <c r="AQ116">
        <f>SUMIF(RawDataTotal!$B:$B,$A116,RawDataTotal!AT:AT)</f>
        <v>0</v>
      </c>
      <c r="AR116">
        <f>SUMIF(RawDataTotal!$B:$B,$A116,RawDataTotal!AU:AU)</f>
        <v>0</v>
      </c>
      <c r="AS116">
        <f>SUMIF(RawDataTotal!$B:$B,$A116,RawDataTotal!AV:AV)</f>
        <v>0</v>
      </c>
      <c r="AT116">
        <f>SUMIF(RawDataTotal!$B:$B,$A116,RawDataTotal!AW:AW)</f>
        <v>0</v>
      </c>
      <c r="AU116">
        <f>SUMIF(RawDataTotal!$B:$B,$A116,RawDataTotal!AX:AX)</f>
        <v>0</v>
      </c>
      <c r="AV116">
        <f>SUMIF(RawDataTotal!$B:$B,$A116,RawDataTotal!AY:AY)</f>
        <v>0</v>
      </c>
      <c r="AW116">
        <f>SUMIF(RawDataTotal!$B:$B,$A116,RawDataTotal!AZ:AZ)</f>
        <v>0</v>
      </c>
      <c r="AX116">
        <f>SUMIF(RawDataTotal!$B:$B,$A116,RawDataTotal!BA:BA)</f>
        <v>0</v>
      </c>
      <c r="AY116">
        <f>SUMIF(RawDataTotal!$B:$B,$A116,RawDataTotal!BB:BB)</f>
        <v>0</v>
      </c>
      <c r="AZ116">
        <f>SUMIF(RawDataTotal!$B:$B,$A116,RawDataTotal!BC:BC)</f>
        <v>0</v>
      </c>
      <c r="BA116">
        <f>SUMIF(RawDataTotal!$B:$B,$A116,RawDataTotal!BD:BD)</f>
        <v>0</v>
      </c>
      <c r="BB116">
        <f>SUMIF(RawDataTotal!$B:$B,$A116,RawDataTotal!BE:BE)</f>
        <v>0</v>
      </c>
      <c r="BC116">
        <f>SUMIF(RawDataTotal!$B:$B,$A116,RawDataTotal!BF:BF)</f>
        <v>0</v>
      </c>
      <c r="BD116">
        <f>SUMIF(RawDataTotal!$B:$B,$A116,RawDataTotal!BG:BG)</f>
        <v>0</v>
      </c>
      <c r="BE116">
        <f>SUMIF(RawDataTotal!$B:$B,$A116,RawDataTotal!BH:BH)</f>
        <v>0</v>
      </c>
      <c r="BF116">
        <f>SUMIF(RawDataTotal!$B:$B,$A116,RawDataTotal!BI:BI)</f>
        <v>0</v>
      </c>
      <c r="BG116">
        <f>SUMIF(RawDataTotal!$B:$B,$A116,RawDataTotal!BJ:BJ)</f>
        <v>0</v>
      </c>
      <c r="BH116">
        <f>SUMIF(RawDataTotal!$B:$B,$A116,RawDataTotal!BK:BK)</f>
        <v>0</v>
      </c>
      <c r="BI116">
        <f>SUMIF(RawDataTotal!$B:$B,$A116,RawDataTotal!BL:BL)</f>
        <v>0</v>
      </c>
      <c r="BJ116">
        <f>SUMIF(RawDataTotal!$B:$B,$A116,RawDataTotal!BM:BM)</f>
        <v>0</v>
      </c>
      <c r="BK116">
        <f>SUMIF(RawDataTotal!$B:$B,$A116,RawDataTotal!BN:BN)</f>
        <v>0</v>
      </c>
      <c r="BL116">
        <f>SUMIF(RawDataTotal!$B:$B,$A116,RawDataTotal!BO:BO)</f>
        <v>0</v>
      </c>
      <c r="BM116">
        <f>SUMIF(RawDataTotal!$B:$B,$A116,RawDataTotal!BP:BP)</f>
        <v>0</v>
      </c>
      <c r="BN116">
        <f>SUMIF(RawDataTotal!$B:$B,$A116,RawDataTotal!BQ:BQ)</f>
        <v>0</v>
      </c>
      <c r="BO116">
        <f>SUMIF(RawDataTotal!$B:$B,$A116,RawDataTotal!BR:BR)</f>
        <v>0</v>
      </c>
      <c r="BP116">
        <f>SUMIF(RawDataTotal!$B:$B,$A116,RawDataTotal!BS:BS)</f>
        <v>0</v>
      </c>
      <c r="BQ116">
        <f>SUMIF(RawDataTotal!$B:$B,$A116,RawDataTotal!BT:BT)</f>
        <v>0</v>
      </c>
      <c r="BR116">
        <f>SUMIF(RawDataTotal!$B:$B,$A116,RawDataTotal!BU:BU)</f>
        <v>0</v>
      </c>
      <c r="BS116">
        <f>SUMIF(RawDataTotal!$B:$B,$A116,RawDataTotal!BV:BV)</f>
        <v>0</v>
      </c>
      <c r="BT116">
        <f>SUMIF(RawDataTotal!$B:$B,$A116,RawDataTotal!BW:BW)</f>
        <v>0</v>
      </c>
    </row>
    <row r="117" spans="1:72" ht="15" thickBot="1" x14ac:dyDescent="0.35">
      <c r="A117" s="4" t="s">
        <v>449</v>
      </c>
      <c r="B117">
        <f>SUMIF(RawDataTotal!$B:$B,$A117,RawDataTotal!E:E)</f>
        <v>0</v>
      </c>
      <c r="C117">
        <f>SUMIF(RawDataTotal!$B:$B,$A117,RawDataTotal!F:F)</f>
        <v>0</v>
      </c>
      <c r="D117">
        <f>SUMIF(RawDataTotal!$B:$B,$A117,RawDataTotal!G:G)</f>
        <v>0</v>
      </c>
      <c r="E117">
        <f>SUMIF(RawDataTotal!$B:$B,$A117,RawDataTotal!H:H)</f>
        <v>0</v>
      </c>
      <c r="F117">
        <f>SUMIF(RawDataTotal!$B:$B,$A117,RawDataTotal!I:I)</f>
        <v>0</v>
      </c>
      <c r="G117">
        <f>SUMIF(RawDataTotal!$B:$B,$A117,RawDataTotal!J:J)</f>
        <v>0</v>
      </c>
      <c r="H117">
        <f>SUMIF(RawDataTotal!$B:$B,$A117,RawDataTotal!K:K)</f>
        <v>0</v>
      </c>
      <c r="I117">
        <f>SUMIF(RawDataTotal!$B:$B,$A117,RawDataTotal!L:L)</f>
        <v>0</v>
      </c>
      <c r="J117">
        <f>SUMIF(RawDataTotal!$B:$B,$A117,RawDataTotal!M:M)</f>
        <v>0</v>
      </c>
      <c r="K117">
        <f>SUMIF(RawDataTotal!$B:$B,$A117,RawDataTotal!N:N)</f>
        <v>0</v>
      </c>
      <c r="L117">
        <f>SUMIF(RawDataTotal!$B:$B,$A117,RawDataTotal!O:O)</f>
        <v>0</v>
      </c>
      <c r="M117">
        <f>SUMIF(RawDataTotal!$B:$B,$A117,RawDataTotal!P:P)</f>
        <v>0</v>
      </c>
      <c r="N117">
        <f>SUMIF(RawDataTotal!$B:$B,$A117,RawDataTotal!Q:Q)</f>
        <v>0</v>
      </c>
      <c r="O117">
        <f>SUMIF(RawDataTotal!$B:$B,$A117,RawDataTotal!R:R)</f>
        <v>0</v>
      </c>
      <c r="P117">
        <f>SUMIF(RawDataTotal!$B:$B,$A117,RawDataTotal!S:S)</f>
        <v>0</v>
      </c>
      <c r="Q117">
        <f>SUMIF(RawDataTotal!$B:$B,$A117,RawDataTotal!T:T)</f>
        <v>0</v>
      </c>
      <c r="R117">
        <f>SUMIF(RawDataTotal!$B:$B,$A117,RawDataTotal!U:U)</f>
        <v>0</v>
      </c>
      <c r="S117">
        <f>SUMIF(RawDataTotal!$B:$B,$A117,RawDataTotal!V:V)</f>
        <v>0</v>
      </c>
      <c r="T117">
        <f>SUMIF(RawDataTotal!$B:$B,$A117,RawDataTotal!W:W)</f>
        <v>0</v>
      </c>
      <c r="U117">
        <f>SUMIF(RawDataTotal!$B:$B,$A117,RawDataTotal!X:X)</f>
        <v>0</v>
      </c>
      <c r="V117">
        <f>SUMIF(RawDataTotal!$B:$B,$A117,RawDataTotal!Y:Y)</f>
        <v>0</v>
      </c>
      <c r="W117">
        <f>SUMIF(RawDataTotal!$B:$B,$A117,RawDataTotal!Z:Z)</f>
        <v>0</v>
      </c>
      <c r="X117">
        <f>SUMIF(RawDataTotal!$B:$B,$A117,RawDataTotal!AA:AA)</f>
        <v>0</v>
      </c>
      <c r="Y117">
        <f>SUMIF(RawDataTotal!$B:$B,$A117,RawDataTotal!AB:AB)</f>
        <v>0</v>
      </c>
      <c r="Z117">
        <f>SUMIF(RawDataTotal!$B:$B,$A117,RawDataTotal!AC:AC)</f>
        <v>0</v>
      </c>
      <c r="AA117">
        <f>SUMIF(RawDataTotal!$B:$B,$A117,RawDataTotal!AD:AD)</f>
        <v>0</v>
      </c>
      <c r="AB117">
        <f>SUMIF(RawDataTotal!$B:$B,$A117,RawDataTotal!AE:AE)</f>
        <v>0</v>
      </c>
      <c r="AC117">
        <f>SUMIF(RawDataTotal!$B:$B,$A117,RawDataTotal!AF:AF)</f>
        <v>0</v>
      </c>
      <c r="AD117">
        <f>SUMIF(RawDataTotal!$B:$B,$A117,RawDataTotal!AG:AG)</f>
        <v>0</v>
      </c>
      <c r="AE117">
        <f>SUMIF(RawDataTotal!$B:$B,$A117,RawDataTotal!AH:AH)</f>
        <v>0</v>
      </c>
      <c r="AF117">
        <f>SUMIF(RawDataTotal!$B:$B,$A117,RawDataTotal!AI:AI)</f>
        <v>0</v>
      </c>
      <c r="AG117">
        <f>SUMIF(RawDataTotal!$B:$B,$A117,RawDataTotal!AJ:AJ)</f>
        <v>0</v>
      </c>
      <c r="AH117">
        <f>SUMIF(RawDataTotal!$B:$B,$A117,RawDataTotal!AK:AK)</f>
        <v>0</v>
      </c>
      <c r="AI117">
        <f>SUMIF(RawDataTotal!$B:$B,$A117,RawDataTotal!AL:AL)</f>
        <v>0</v>
      </c>
      <c r="AJ117">
        <f>SUMIF(RawDataTotal!$B:$B,$A117,RawDataTotal!AM:AM)</f>
        <v>0</v>
      </c>
      <c r="AK117">
        <f>SUMIF(RawDataTotal!$B:$B,$A117,RawDataTotal!AN:AN)</f>
        <v>0</v>
      </c>
      <c r="AL117">
        <f>SUMIF(RawDataTotal!$B:$B,$A117,RawDataTotal!AO:AO)</f>
        <v>0</v>
      </c>
      <c r="AM117">
        <f>SUMIF(RawDataTotal!$B:$B,$A117,RawDataTotal!AP:AP)</f>
        <v>0</v>
      </c>
      <c r="AN117">
        <f>SUMIF(RawDataTotal!$B:$B,$A117,RawDataTotal!AQ:AQ)</f>
        <v>0</v>
      </c>
      <c r="AO117">
        <f>SUMIF(RawDataTotal!$B:$B,$A117,RawDataTotal!AR:AR)</f>
        <v>0</v>
      </c>
      <c r="AP117">
        <f>SUMIF(RawDataTotal!$B:$B,$A117,RawDataTotal!AS:AS)</f>
        <v>0</v>
      </c>
      <c r="AQ117">
        <f>SUMIF(RawDataTotal!$B:$B,$A117,RawDataTotal!AT:AT)</f>
        <v>0</v>
      </c>
      <c r="AR117">
        <f>SUMIF(RawDataTotal!$B:$B,$A117,RawDataTotal!AU:AU)</f>
        <v>0</v>
      </c>
      <c r="AS117">
        <f>SUMIF(RawDataTotal!$B:$B,$A117,RawDataTotal!AV:AV)</f>
        <v>0</v>
      </c>
      <c r="AT117">
        <f>SUMIF(RawDataTotal!$B:$B,$A117,RawDataTotal!AW:AW)</f>
        <v>0</v>
      </c>
      <c r="AU117">
        <f>SUMIF(RawDataTotal!$B:$B,$A117,RawDataTotal!AX:AX)</f>
        <v>0</v>
      </c>
      <c r="AV117">
        <f>SUMIF(RawDataTotal!$B:$B,$A117,RawDataTotal!AY:AY)</f>
        <v>0</v>
      </c>
      <c r="AW117">
        <f>SUMIF(RawDataTotal!$B:$B,$A117,RawDataTotal!AZ:AZ)</f>
        <v>0</v>
      </c>
      <c r="AX117">
        <f>SUMIF(RawDataTotal!$B:$B,$A117,RawDataTotal!BA:BA)</f>
        <v>0</v>
      </c>
      <c r="AY117">
        <f>SUMIF(RawDataTotal!$B:$B,$A117,RawDataTotal!BB:BB)</f>
        <v>0</v>
      </c>
      <c r="AZ117">
        <f>SUMIF(RawDataTotal!$B:$B,$A117,RawDataTotal!BC:BC)</f>
        <v>0</v>
      </c>
      <c r="BA117">
        <f>SUMIF(RawDataTotal!$B:$B,$A117,RawDataTotal!BD:BD)</f>
        <v>1</v>
      </c>
      <c r="BB117">
        <f>SUMIF(RawDataTotal!$B:$B,$A117,RawDataTotal!BE:BE)</f>
        <v>1</v>
      </c>
      <c r="BC117">
        <f>SUMIF(RawDataTotal!$B:$B,$A117,RawDataTotal!BF:BF)</f>
        <v>1</v>
      </c>
      <c r="BD117">
        <f>SUMIF(RawDataTotal!$B:$B,$A117,RawDataTotal!BG:BG)</f>
        <v>1</v>
      </c>
      <c r="BE117">
        <f>SUMIF(RawDataTotal!$B:$B,$A117,RawDataTotal!BH:BH)</f>
        <v>1</v>
      </c>
      <c r="BF117">
        <f>SUMIF(RawDataTotal!$B:$B,$A117,RawDataTotal!BI:BI)</f>
        <v>0</v>
      </c>
      <c r="BG117">
        <f>SUMIF(RawDataTotal!$B:$B,$A117,RawDataTotal!BJ:BJ)</f>
        <v>0</v>
      </c>
      <c r="BH117">
        <f>SUMIF(RawDataTotal!$B:$B,$A117,RawDataTotal!BK:BK)</f>
        <v>0</v>
      </c>
      <c r="BI117">
        <f>SUMIF(RawDataTotal!$B:$B,$A117,RawDataTotal!BL:BL)</f>
        <v>0</v>
      </c>
      <c r="BJ117">
        <f>SUMIF(RawDataTotal!$B:$B,$A117,RawDataTotal!BM:BM)</f>
        <v>0</v>
      </c>
      <c r="BK117">
        <f>SUMIF(RawDataTotal!$B:$B,$A117,RawDataTotal!BN:BN)</f>
        <v>0</v>
      </c>
      <c r="BL117">
        <f>SUMIF(RawDataTotal!$B:$B,$A117,RawDataTotal!BO:BO)</f>
        <v>0</v>
      </c>
      <c r="BM117">
        <f>SUMIF(RawDataTotal!$B:$B,$A117,RawDataTotal!BP:BP)</f>
        <v>0</v>
      </c>
      <c r="BN117">
        <f>SUMIF(RawDataTotal!$B:$B,$A117,RawDataTotal!BQ:BQ)</f>
        <v>0</v>
      </c>
      <c r="BO117">
        <f>SUMIF(RawDataTotal!$B:$B,$A117,RawDataTotal!BR:BR)</f>
        <v>0</v>
      </c>
      <c r="BP117">
        <f>SUMIF(RawDataTotal!$B:$B,$A117,RawDataTotal!BS:BS)</f>
        <v>0</v>
      </c>
      <c r="BQ117">
        <f>SUMIF(RawDataTotal!$B:$B,$A117,RawDataTotal!BT:BT)</f>
        <v>0</v>
      </c>
      <c r="BR117">
        <f>SUMIF(RawDataTotal!$B:$B,$A117,RawDataTotal!BU:BU)</f>
        <v>0</v>
      </c>
      <c r="BS117">
        <f>SUMIF(RawDataTotal!$B:$B,$A117,RawDataTotal!BV:BV)</f>
        <v>0</v>
      </c>
      <c r="BT117">
        <f>SUMIF(RawDataTotal!$B:$B,$A117,RawDataTotal!BW:BW)</f>
        <v>0</v>
      </c>
    </row>
    <row r="118" spans="1:72" ht="15" thickBot="1" x14ac:dyDescent="0.35">
      <c r="A118" s="3" t="s">
        <v>439</v>
      </c>
      <c r="B118">
        <f>SUMIF(RawDataTotal!$B:$B,$A118,RawDataTotal!E:E)</f>
        <v>0</v>
      </c>
      <c r="C118">
        <f>SUMIF(RawDataTotal!$B:$B,$A118,RawDataTotal!F:F)</f>
        <v>0</v>
      </c>
      <c r="D118">
        <f>SUMIF(RawDataTotal!$B:$B,$A118,RawDataTotal!G:G)</f>
        <v>0</v>
      </c>
      <c r="E118">
        <f>SUMIF(RawDataTotal!$B:$B,$A118,RawDataTotal!H:H)</f>
        <v>0</v>
      </c>
      <c r="F118">
        <f>SUMIF(RawDataTotal!$B:$B,$A118,RawDataTotal!I:I)</f>
        <v>0</v>
      </c>
      <c r="G118">
        <f>SUMIF(RawDataTotal!$B:$B,$A118,RawDataTotal!J:J)</f>
        <v>0</v>
      </c>
      <c r="H118">
        <f>SUMIF(RawDataTotal!$B:$B,$A118,RawDataTotal!K:K)</f>
        <v>0</v>
      </c>
      <c r="I118">
        <f>SUMIF(RawDataTotal!$B:$B,$A118,RawDataTotal!L:L)</f>
        <v>0</v>
      </c>
      <c r="J118">
        <f>SUMIF(RawDataTotal!$B:$B,$A118,RawDataTotal!M:M)</f>
        <v>0</v>
      </c>
      <c r="K118">
        <f>SUMIF(RawDataTotal!$B:$B,$A118,RawDataTotal!N:N)</f>
        <v>0</v>
      </c>
      <c r="L118">
        <f>SUMIF(RawDataTotal!$B:$B,$A118,RawDataTotal!O:O)</f>
        <v>0</v>
      </c>
      <c r="M118">
        <f>SUMIF(RawDataTotal!$B:$B,$A118,RawDataTotal!P:P)</f>
        <v>0</v>
      </c>
      <c r="N118">
        <f>SUMIF(RawDataTotal!$B:$B,$A118,RawDataTotal!Q:Q)</f>
        <v>0</v>
      </c>
      <c r="O118">
        <f>SUMIF(RawDataTotal!$B:$B,$A118,RawDataTotal!R:R)</f>
        <v>0</v>
      </c>
      <c r="P118">
        <f>SUMIF(RawDataTotal!$B:$B,$A118,RawDataTotal!S:S)</f>
        <v>0</v>
      </c>
      <c r="Q118">
        <f>SUMIF(RawDataTotal!$B:$B,$A118,RawDataTotal!T:T)</f>
        <v>0</v>
      </c>
      <c r="R118">
        <f>SUMIF(RawDataTotal!$B:$B,$A118,RawDataTotal!U:U)</f>
        <v>0</v>
      </c>
      <c r="S118">
        <f>SUMIF(RawDataTotal!$B:$B,$A118,RawDataTotal!V:V)</f>
        <v>0</v>
      </c>
      <c r="T118">
        <f>SUMIF(RawDataTotal!$B:$B,$A118,RawDataTotal!W:W)</f>
        <v>0</v>
      </c>
      <c r="U118">
        <f>SUMIF(RawDataTotal!$B:$B,$A118,RawDataTotal!X:X)</f>
        <v>0</v>
      </c>
      <c r="V118">
        <f>SUMIF(RawDataTotal!$B:$B,$A118,RawDataTotal!Y:Y)</f>
        <v>0</v>
      </c>
      <c r="W118">
        <f>SUMIF(RawDataTotal!$B:$B,$A118,RawDataTotal!Z:Z)</f>
        <v>0</v>
      </c>
      <c r="X118">
        <f>SUMIF(RawDataTotal!$B:$B,$A118,RawDataTotal!AA:AA)</f>
        <v>0</v>
      </c>
      <c r="Y118">
        <f>SUMIF(RawDataTotal!$B:$B,$A118,RawDataTotal!AB:AB)</f>
        <v>0</v>
      </c>
      <c r="Z118">
        <f>SUMIF(RawDataTotal!$B:$B,$A118,RawDataTotal!AC:AC)</f>
        <v>0</v>
      </c>
      <c r="AA118">
        <f>SUMIF(RawDataTotal!$B:$B,$A118,RawDataTotal!AD:AD)</f>
        <v>0</v>
      </c>
      <c r="AB118">
        <f>SUMIF(RawDataTotal!$B:$B,$A118,RawDataTotal!AE:AE)</f>
        <v>0</v>
      </c>
      <c r="AC118">
        <f>SUMIF(RawDataTotal!$B:$B,$A118,RawDataTotal!AF:AF)</f>
        <v>0</v>
      </c>
      <c r="AD118">
        <f>SUMIF(RawDataTotal!$B:$B,$A118,RawDataTotal!AG:AG)</f>
        <v>0</v>
      </c>
      <c r="AE118">
        <f>SUMIF(RawDataTotal!$B:$B,$A118,RawDataTotal!AH:AH)</f>
        <v>0</v>
      </c>
      <c r="AF118">
        <f>SUMIF(RawDataTotal!$B:$B,$A118,RawDataTotal!AI:AI)</f>
        <v>0</v>
      </c>
      <c r="AG118">
        <f>SUMIF(RawDataTotal!$B:$B,$A118,RawDataTotal!AJ:AJ)</f>
        <v>0</v>
      </c>
      <c r="AH118">
        <f>SUMIF(RawDataTotal!$B:$B,$A118,RawDataTotal!AK:AK)</f>
        <v>0</v>
      </c>
      <c r="AI118">
        <f>SUMIF(RawDataTotal!$B:$B,$A118,RawDataTotal!AL:AL)</f>
        <v>0</v>
      </c>
      <c r="AJ118">
        <f>SUMIF(RawDataTotal!$B:$B,$A118,RawDataTotal!AM:AM)</f>
        <v>0</v>
      </c>
      <c r="AK118">
        <f>SUMIF(RawDataTotal!$B:$B,$A118,RawDataTotal!AN:AN)</f>
        <v>0</v>
      </c>
      <c r="AL118">
        <f>SUMIF(RawDataTotal!$B:$B,$A118,RawDataTotal!AO:AO)</f>
        <v>0</v>
      </c>
      <c r="AM118">
        <f>SUMIF(RawDataTotal!$B:$B,$A118,RawDataTotal!AP:AP)</f>
        <v>0</v>
      </c>
      <c r="AN118">
        <f>SUMIF(RawDataTotal!$B:$B,$A118,RawDataTotal!AQ:AQ)</f>
        <v>0</v>
      </c>
      <c r="AO118">
        <f>SUMIF(RawDataTotal!$B:$B,$A118,RawDataTotal!AR:AR)</f>
        <v>0</v>
      </c>
      <c r="AP118">
        <f>SUMIF(RawDataTotal!$B:$B,$A118,RawDataTotal!AS:AS)</f>
        <v>0</v>
      </c>
      <c r="AQ118">
        <f>SUMIF(RawDataTotal!$B:$B,$A118,RawDataTotal!AT:AT)</f>
        <v>0</v>
      </c>
      <c r="AR118">
        <f>SUMIF(RawDataTotal!$B:$B,$A118,RawDataTotal!AU:AU)</f>
        <v>0</v>
      </c>
      <c r="AS118">
        <f>SUMIF(RawDataTotal!$B:$B,$A118,RawDataTotal!AV:AV)</f>
        <v>0</v>
      </c>
      <c r="AT118">
        <f>SUMIF(RawDataTotal!$B:$B,$A118,RawDataTotal!AW:AW)</f>
        <v>0</v>
      </c>
      <c r="AU118">
        <f>SUMIF(RawDataTotal!$B:$B,$A118,RawDataTotal!AX:AX)</f>
        <v>0</v>
      </c>
      <c r="AV118">
        <f>SUMIF(RawDataTotal!$B:$B,$A118,RawDataTotal!AY:AY)</f>
        <v>0</v>
      </c>
      <c r="AW118">
        <f>SUMIF(RawDataTotal!$B:$B,$A118,RawDataTotal!AZ:AZ)</f>
        <v>0</v>
      </c>
      <c r="AX118">
        <f>SUMIF(RawDataTotal!$B:$B,$A118,RawDataTotal!BA:BA)</f>
        <v>0</v>
      </c>
      <c r="AY118">
        <f>SUMIF(RawDataTotal!$B:$B,$A118,RawDataTotal!BB:BB)</f>
        <v>0</v>
      </c>
      <c r="AZ118">
        <f>SUMIF(RawDataTotal!$B:$B,$A118,RawDataTotal!BC:BC)</f>
        <v>1</v>
      </c>
      <c r="BA118">
        <f>SUMIF(RawDataTotal!$B:$B,$A118,RawDataTotal!BD:BD)</f>
        <v>1</v>
      </c>
      <c r="BB118">
        <f>SUMIF(RawDataTotal!$B:$B,$A118,RawDataTotal!BE:BE)</f>
        <v>1</v>
      </c>
      <c r="BC118">
        <f>SUMIF(RawDataTotal!$B:$B,$A118,RawDataTotal!BF:BF)</f>
        <v>4</v>
      </c>
      <c r="BD118">
        <f>SUMIF(RawDataTotal!$B:$B,$A118,RawDataTotal!BG:BG)</f>
        <v>4</v>
      </c>
      <c r="BE118">
        <f>SUMIF(RawDataTotal!$B:$B,$A118,RawDataTotal!BH:BH)</f>
        <v>7</v>
      </c>
      <c r="BF118">
        <f>SUMIF(RawDataTotal!$B:$B,$A118,RawDataTotal!BI:BI)</f>
        <v>0</v>
      </c>
      <c r="BG118">
        <f>SUMIF(RawDataTotal!$B:$B,$A118,RawDataTotal!BJ:BJ)</f>
        <v>0</v>
      </c>
      <c r="BH118">
        <f>SUMIF(RawDataTotal!$B:$B,$A118,RawDataTotal!BK:BK)</f>
        <v>0</v>
      </c>
      <c r="BI118">
        <f>SUMIF(RawDataTotal!$B:$B,$A118,RawDataTotal!BL:BL)</f>
        <v>0</v>
      </c>
      <c r="BJ118">
        <f>SUMIF(RawDataTotal!$B:$B,$A118,RawDataTotal!BM:BM)</f>
        <v>0</v>
      </c>
      <c r="BK118">
        <f>SUMIF(RawDataTotal!$B:$B,$A118,RawDataTotal!BN:BN)</f>
        <v>0</v>
      </c>
      <c r="BL118">
        <f>SUMIF(RawDataTotal!$B:$B,$A118,RawDataTotal!BO:BO)</f>
        <v>0</v>
      </c>
      <c r="BM118">
        <f>SUMIF(RawDataTotal!$B:$B,$A118,RawDataTotal!BP:BP)</f>
        <v>0</v>
      </c>
      <c r="BN118">
        <f>SUMIF(RawDataTotal!$B:$B,$A118,RawDataTotal!BQ:BQ)</f>
        <v>0</v>
      </c>
      <c r="BO118">
        <f>SUMIF(RawDataTotal!$B:$B,$A118,RawDataTotal!BR:BR)</f>
        <v>0</v>
      </c>
      <c r="BP118">
        <f>SUMIF(RawDataTotal!$B:$B,$A118,RawDataTotal!BS:BS)</f>
        <v>0</v>
      </c>
      <c r="BQ118">
        <f>SUMIF(RawDataTotal!$B:$B,$A118,RawDataTotal!BT:BT)</f>
        <v>0</v>
      </c>
      <c r="BR118">
        <f>SUMIF(RawDataTotal!$B:$B,$A118,RawDataTotal!BU:BU)</f>
        <v>0</v>
      </c>
      <c r="BS118">
        <f>SUMIF(RawDataTotal!$B:$B,$A118,RawDataTotal!BV:BV)</f>
        <v>0</v>
      </c>
      <c r="BT118">
        <f>SUMIF(RawDataTotal!$B:$B,$A118,RawDataTotal!BW:BW)</f>
        <v>0</v>
      </c>
    </row>
    <row r="119" spans="1:72" ht="15" thickBot="1" x14ac:dyDescent="0.35">
      <c r="A119" s="3" t="s">
        <v>308</v>
      </c>
      <c r="B119">
        <f>SUMIF(RawDataTotal!$B:$B,$A119,RawDataTotal!E:E)</f>
        <v>0</v>
      </c>
      <c r="C119">
        <f>SUMIF(RawDataTotal!$B:$B,$A119,RawDataTotal!F:F)</f>
        <v>0</v>
      </c>
      <c r="D119">
        <f>SUMIF(RawDataTotal!$B:$B,$A119,RawDataTotal!G:G)</f>
        <v>0</v>
      </c>
      <c r="E119">
        <f>SUMIF(RawDataTotal!$B:$B,$A119,RawDataTotal!H:H)</f>
        <v>0</v>
      </c>
      <c r="F119">
        <f>SUMIF(RawDataTotal!$B:$B,$A119,RawDataTotal!I:I)</f>
        <v>0</v>
      </c>
      <c r="G119">
        <f>SUMIF(RawDataTotal!$B:$B,$A119,RawDataTotal!J:J)</f>
        <v>0</v>
      </c>
      <c r="H119">
        <f>SUMIF(RawDataTotal!$B:$B,$A119,RawDataTotal!K:K)</f>
        <v>0</v>
      </c>
      <c r="I119">
        <f>SUMIF(RawDataTotal!$B:$B,$A119,RawDataTotal!L:L)</f>
        <v>0</v>
      </c>
      <c r="J119">
        <f>SUMIF(RawDataTotal!$B:$B,$A119,RawDataTotal!M:M)</f>
        <v>0</v>
      </c>
      <c r="K119">
        <f>SUMIF(RawDataTotal!$B:$B,$A119,RawDataTotal!N:N)</f>
        <v>0</v>
      </c>
      <c r="L119">
        <f>SUMIF(RawDataTotal!$B:$B,$A119,RawDataTotal!O:O)</f>
        <v>0</v>
      </c>
      <c r="M119">
        <f>SUMIF(RawDataTotal!$B:$B,$A119,RawDataTotal!P:P)</f>
        <v>0</v>
      </c>
      <c r="N119">
        <f>SUMIF(RawDataTotal!$B:$B,$A119,RawDataTotal!Q:Q)</f>
        <v>0</v>
      </c>
      <c r="O119">
        <f>SUMIF(RawDataTotal!$B:$B,$A119,RawDataTotal!R:R)</f>
        <v>0</v>
      </c>
      <c r="P119">
        <f>SUMIF(RawDataTotal!$B:$B,$A119,RawDataTotal!S:S)</f>
        <v>0</v>
      </c>
      <c r="Q119">
        <f>SUMIF(RawDataTotal!$B:$B,$A119,RawDataTotal!T:T)</f>
        <v>0</v>
      </c>
      <c r="R119">
        <f>SUMIF(RawDataTotal!$B:$B,$A119,RawDataTotal!U:U)</f>
        <v>0</v>
      </c>
      <c r="S119">
        <f>SUMIF(RawDataTotal!$B:$B,$A119,RawDataTotal!V:V)</f>
        <v>0</v>
      </c>
      <c r="T119">
        <f>SUMIF(RawDataTotal!$B:$B,$A119,RawDataTotal!W:W)</f>
        <v>0</v>
      </c>
      <c r="U119">
        <f>SUMIF(RawDataTotal!$B:$B,$A119,RawDataTotal!X:X)</f>
        <v>0</v>
      </c>
      <c r="V119">
        <f>SUMIF(RawDataTotal!$B:$B,$A119,RawDataTotal!Y:Y)</f>
        <v>0</v>
      </c>
      <c r="W119">
        <f>SUMIF(RawDataTotal!$B:$B,$A119,RawDataTotal!Z:Z)</f>
        <v>0</v>
      </c>
      <c r="X119">
        <f>SUMIF(RawDataTotal!$B:$B,$A119,RawDataTotal!AA:AA)</f>
        <v>0</v>
      </c>
      <c r="Y119">
        <f>SUMIF(RawDataTotal!$B:$B,$A119,RawDataTotal!AB:AB)</f>
        <v>0</v>
      </c>
      <c r="Z119">
        <f>SUMIF(RawDataTotal!$B:$B,$A119,RawDataTotal!AC:AC)</f>
        <v>0</v>
      </c>
      <c r="AA119">
        <f>SUMIF(RawDataTotal!$B:$B,$A119,RawDataTotal!AD:AD)</f>
        <v>0</v>
      </c>
      <c r="AB119">
        <f>SUMIF(RawDataTotal!$B:$B,$A119,RawDataTotal!AE:AE)</f>
        <v>0</v>
      </c>
      <c r="AC119">
        <f>SUMIF(RawDataTotal!$B:$B,$A119,RawDataTotal!AF:AF)</f>
        <v>0</v>
      </c>
      <c r="AD119">
        <f>SUMIF(RawDataTotal!$B:$B,$A119,RawDataTotal!AG:AG)</f>
        <v>0</v>
      </c>
      <c r="AE119">
        <f>SUMIF(RawDataTotal!$B:$B,$A119,RawDataTotal!AH:AH)</f>
        <v>0</v>
      </c>
      <c r="AF119">
        <f>SUMIF(RawDataTotal!$B:$B,$A119,RawDataTotal!AI:AI)</f>
        <v>0</v>
      </c>
      <c r="AG119">
        <f>SUMIF(RawDataTotal!$B:$B,$A119,RawDataTotal!AJ:AJ)</f>
        <v>0</v>
      </c>
      <c r="AH119">
        <f>SUMIF(RawDataTotal!$B:$B,$A119,RawDataTotal!AK:AK)</f>
        <v>0</v>
      </c>
      <c r="AI119">
        <f>SUMIF(RawDataTotal!$B:$B,$A119,RawDataTotal!AL:AL)</f>
        <v>0</v>
      </c>
      <c r="AJ119">
        <f>SUMIF(RawDataTotal!$B:$B,$A119,RawDataTotal!AM:AM)</f>
        <v>0</v>
      </c>
      <c r="AK119">
        <f>SUMIF(RawDataTotal!$B:$B,$A119,RawDataTotal!AN:AN)</f>
        <v>0</v>
      </c>
      <c r="AL119">
        <f>SUMIF(RawDataTotal!$B:$B,$A119,RawDataTotal!AO:AO)</f>
        <v>0</v>
      </c>
      <c r="AM119">
        <f>SUMIF(RawDataTotal!$B:$B,$A119,RawDataTotal!AP:AP)</f>
        <v>0</v>
      </c>
      <c r="AN119">
        <f>SUMIF(RawDataTotal!$B:$B,$A119,RawDataTotal!AQ:AQ)</f>
        <v>0</v>
      </c>
      <c r="AO119">
        <f>SUMIF(RawDataTotal!$B:$B,$A119,RawDataTotal!AR:AR)</f>
        <v>0</v>
      </c>
      <c r="AP119">
        <f>SUMIF(RawDataTotal!$B:$B,$A119,RawDataTotal!AS:AS)</f>
        <v>0</v>
      </c>
      <c r="AQ119">
        <f>SUMIF(RawDataTotal!$B:$B,$A119,RawDataTotal!AT:AT)</f>
        <v>0</v>
      </c>
      <c r="AR119">
        <f>SUMIF(RawDataTotal!$B:$B,$A119,RawDataTotal!AU:AU)</f>
        <v>0</v>
      </c>
      <c r="AS119">
        <f>SUMIF(RawDataTotal!$B:$B,$A119,RawDataTotal!AV:AV)</f>
        <v>0</v>
      </c>
      <c r="AT119">
        <f>SUMIF(RawDataTotal!$B:$B,$A119,RawDataTotal!AW:AW)</f>
        <v>1</v>
      </c>
      <c r="AU119">
        <f>SUMIF(RawDataTotal!$B:$B,$A119,RawDataTotal!AX:AX)</f>
        <v>1</v>
      </c>
      <c r="AV119">
        <f>SUMIF(RawDataTotal!$B:$B,$A119,RawDataTotal!AY:AY)</f>
        <v>1</v>
      </c>
      <c r="AW119">
        <f>SUMIF(RawDataTotal!$B:$B,$A119,RawDataTotal!AZ:AZ)</f>
        <v>1</v>
      </c>
      <c r="AX119">
        <f>SUMIF(RawDataTotal!$B:$B,$A119,RawDataTotal!BA:BA)</f>
        <v>1</v>
      </c>
      <c r="AY119">
        <f>SUMIF(RawDataTotal!$B:$B,$A119,RawDataTotal!BB:BB)</f>
        <v>1</v>
      </c>
      <c r="AZ119">
        <f>SUMIF(RawDataTotal!$B:$B,$A119,RawDataTotal!BC:BC)</f>
        <v>1</v>
      </c>
      <c r="BA119">
        <f>SUMIF(RawDataTotal!$B:$B,$A119,RawDataTotal!BD:BD)</f>
        <v>1</v>
      </c>
      <c r="BB119">
        <f>SUMIF(RawDataTotal!$B:$B,$A119,RawDataTotal!BE:BE)</f>
        <v>1</v>
      </c>
      <c r="BC119">
        <f>SUMIF(RawDataTotal!$B:$B,$A119,RawDataTotal!BF:BF)</f>
        <v>1</v>
      </c>
      <c r="BD119">
        <f>SUMIF(RawDataTotal!$B:$B,$A119,RawDataTotal!BG:BG)</f>
        <v>1</v>
      </c>
      <c r="BE119">
        <f>SUMIF(RawDataTotal!$B:$B,$A119,RawDataTotal!BH:BH)</f>
        <v>1</v>
      </c>
      <c r="BF119">
        <f>SUMIF(RawDataTotal!$B:$B,$A119,RawDataTotal!BI:BI)</f>
        <v>0</v>
      </c>
      <c r="BG119">
        <f>SUMIF(RawDataTotal!$B:$B,$A119,RawDataTotal!BJ:BJ)</f>
        <v>0</v>
      </c>
      <c r="BH119">
        <f>SUMIF(RawDataTotal!$B:$B,$A119,RawDataTotal!BK:BK)</f>
        <v>0</v>
      </c>
      <c r="BI119">
        <f>SUMIF(RawDataTotal!$B:$B,$A119,RawDataTotal!BL:BL)</f>
        <v>0</v>
      </c>
      <c r="BJ119">
        <f>SUMIF(RawDataTotal!$B:$B,$A119,RawDataTotal!BM:BM)</f>
        <v>0</v>
      </c>
      <c r="BK119">
        <f>SUMIF(RawDataTotal!$B:$B,$A119,RawDataTotal!BN:BN)</f>
        <v>0</v>
      </c>
      <c r="BL119">
        <f>SUMIF(RawDataTotal!$B:$B,$A119,RawDataTotal!BO:BO)</f>
        <v>0</v>
      </c>
      <c r="BM119">
        <f>SUMIF(RawDataTotal!$B:$B,$A119,RawDataTotal!BP:BP)</f>
        <v>0</v>
      </c>
      <c r="BN119">
        <f>SUMIF(RawDataTotal!$B:$B,$A119,RawDataTotal!BQ:BQ)</f>
        <v>0</v>
      </c>
      <c r="BO119">
        <f>SUMIF(RawDataTotal!$B:$B,$A119,RawDataTotal!BR:BR)</f>
        <v>0</v>
      </c>
      <c r="BP119">
        <f>SUMIF(RawDataTotal!$B:$B,$A119,RawDataTotal!BS:BS)</f>
        <v>0</v>
      </c>
      <c r="BQ119">
        <f>SUMIF(RawDataTotal!$B:$B,$A119,RawDataTotal!BT:BT)</f>
        <v>0</v>
      </c>
      <c r="BR119">
        <f>SUMIF(RawDataTotal!$B:$B,$A119,RawDataTotal!BU:BU)</f>
        <v>0</v>
      </c>
      <c r="BS119">
        <f>SUMIF(RawDataTotal!$B:$B,$A119,RawDataTotal!BV:BV)</f>
        <v>0</v>
      </c>
      <c r="BT119">
        <f>SUMIF(RawDataTotal!$B:$B,$A119,RawDataTotal!BW:BW)</f>
        <v>0</v>
      </c>
    </row>
    <row r="120" spans="1:72" ht="15" thickBot="1" x14ac:dyDescent="0.35">
      <c r="A120" s="4" t="s">
        <v>152</v>
      </c>
      <c r="B120">
        <f>SUMIF(RawDataTotal!$B:$B,$A120,RawDataTotal!E:E)</f>
        <v>0</v>
      </c>
      <c r="C120">
        <f>SUMIF(RawDataTotal!$B:$B,$A120,RawDataTotal!F:F)</f>
        <v>0</v>
      </c>
      <c r="D120">
        <f>SUMIF(RawDataTotal!$B:$B,$A120,RawDataTotal!G:G)</f>
        <v>0</v>
      </c>
      <c r="E120">
        <f>SUMIF(RawDataTotal!$B:$B,$A120,RawDataTotal!H:H)</f>
        <v>0</v>
      </c>
      <c r="F120">
        <f>SUMIF(RawDataTotal!$B:$B,$A120,RawDataTotal!I:I)</f>
        <v>0</v>
      </c>
      <c r="G120">
        <f>SUMIF(RawDataTotal!$B:$B,$A120,RawDataTotal!J:J)</f>
        <v>0</v>
      </c>
      <c r="H120">
        <f>SUMIF(RawDataTotal!$B:$B,$A120,RawDataTotal!K:K)</f>
        <v>0</v>
      </c>
      <c r="I120">
        <f>SUMIF(RawDataTotal!$B:$B,$A120,RawDataTotal!L:L)</f>
        <v>0</v>
      </c>
      <c r="J120">
        <f>SUMIF(RawDataTotal!$B:$B,$A120,RawDataTotal!M:M)</f>
        <v>0</v>
      </c>
      <c r="K120">
        <f>SUMIF(RawDataTotal!$B:$B,$A120,RawDataTotal!N:N)</f>
        <v>0</v>
      </c>
      <c r="L120">
        <f>SUMIF(RawDataTotal!$B:$B,$A120,RawDataTotal!O:O)</f>
        <v>0</v>
      </c>
      <c r="M120">
        <f>SUMIF(RawDataTotal!$B:$B,$A120,RawDataTotal!P:P)</f>
        <v>0</v>
      </c>
      <c r="N120">
        <f>SUMIF(RawDataTotal!$B:$B,$A120,RawDataTotal!Q:Q)</f>
        <v>0</v>
      </c>
      <c r="O120">
        <f>SUMIF(RawDataTotal!$B:$B,$A120,RawDataTotal!R:R)</f>
        <v>0</v>
      </c>
      <c r="P120">
        <f>SUMIF(RawDataTotal!$B:$B,$A120,RawDataTotal!S:S)</f>
        <v>0</v>
      </c>
      <c r="Q120">
        <f>SUMIF(RawDataTotal!$B:$B,$A120,RawDataTotal!T:T)</f>
        <v>0</v>
      </c>
      <c r="R120">
        <f>SUMIF(RawDataTotal!$B:$B,$A120,RawDataTotal!U:U)</f>
        <v>0</v>
      </c>
      <c r="S120">
        <f>SUMIF(RawDataTotal!$B:$B,$A120,RawDataTotal!V:V)</f>
        <v>0</v>
      </c>
      <c r="T120">
        <f>SUMIF(RawDataTotal!$B:$B,$A120,RawDataTotal!W:W)</f>
        <v>0</v>
      </c>
      <c r="U120">
        <f>SUMIF(RawDataTotal!$B:$B,$A120,RawDataTotal!X:X)</f>
        <v>0</v>
      </c>
      <c r="V120">
        <f>SUMIF(RawDataTotal!$B:$B,$A120,RawDataTotal!Y:Y)</f>
        <v>0</v>
      </c>
      <c r="W120">
        <f>SUMIF(RawDataTotal!$B:$B,$A120,RawDataTotal!Z:Z)</f>
        <v>0</v>
      </c>
      <c r="X120">
        <f>SUMIF(RawDataTotal!$B:$B,$A120,RawDataTotal!AA:AA)</f>
        <v>0</v>
      </c>
      <c r="Y120">
        <f>SUMIF(RawDataTotal!$B:$B,$A120,RawDataTotal!AB:AB)</f>
        <v>0</v>
      </c>
      <c r="Z120">
        <f>SUMIF(RawDataTotal!$B:$B,$A120,RawDataTotal!AC:AC)</f>
        <v>0</v>
      </c>
      <c r="AA120">
        <f>SUMIF(RawDataTotal!$B:$B,$A120,RawDataTotal!AD:AD)</f>
        <v>0</v>
      </c>
      <c r="AB120">
        <f>SUMIF(RawDataTotal!$B:$B,$A120,RawDataTotal!AE:AE)</f>
        <v>0</v>
      </c>
      <c r="AC120">
        <f>SUMIF(RawDataTotal!$B:$B,$A120,RawDataTotal!AF:AF)</f>
        <v>0</v>
      </c>
      <c r="AD120">
        <f>SUMIF(RawDataTotal!$B:$B,$A120,RawDataTotal!AG:AG)</f>
        <v>0</v>
      </c>
      <c r="AE120">
        <f>SUMIF(RawDataTotal!$B:$B,$A120,RawDataTotal!AH:AH)</f>
        <v>0</v>
      </c>
      <c r="AF120">
        <f>SUMIF(RawDataTotal!$B:$B,$A120,RawDataTotal!AI:AI)</f>
        <v>0</v>
      </c>
      <c r="AG120">
        <f>SUMIF(RawDataTotal!$B:$B,$A120,RawDataTotal!AJ:AJ)</f>
        <v>0</v>
      </c>
      <c r="AH120">
        <f>SUMIF(RawDataTotal!$B:$B,$A120,RawDataTotal!AK:AK)</f>
        <v>0</v>
      </c>
      <c r="AI120">
        <f>SUMIF(RawDataTotal!$B:$B,$A120,RawDataTotal!AL:AL)</f>
        <v>0</v>
      </c>
      <c r="AJ120">
        <f>SUMIF(RawDataTotal!$B:$B,$A120,RawDataTotal!AM:AM)</f>
        <v>0</v>
      </c>
      <c r="AK120">
        <f>SUMIF(RawDataTotal!$B:$B,$A120,RawDataTotal!AN:AN)</f>
        <v>0</v>
      </c>
      <c r="AL120">
        <f>SUMIF(RawDataTotal!$B:$B,$A120,RawDataTotal!AO:AO)</f>
        <v>0</v>
      </c>
      <c r="AM120">
        <f>SUMIF(RawDataTotal!$B:$B,$A120,RawDataTotal!AP:AP)</f>
        <v>0</v>
      </c>
      <c r="AN120">
        <f>SUMIF(RawDataTotal!$B:$B,$A120,RawDataTotal!AQ:AQ)</f>
        <v>0</v>
      </c>
      <c r="AO120">
        <f>SUMIF(RawDataTotal!$B:$B,$A120,RawDataTotal!AR:AR)</f>
        <v>0</v>
      </c>
      <c r="AP120">
        <f>SUMIF(RawDataTotal!$B:$B,$A120,RawDataTotal!AS:AS)</f>
        <v>0</v>
      </c>
      <c r="AQ120">
        <f>SUMIF(RawDataTotal!$B:$B,$A120,RawDataTotal!AT:AT)</f>
        <v>1</v>
      </c>
      <c r="AR120">
        <f>SUMIF(RawDataTotal!$B:$B,$A120,RawDataTotal!AU:AU)</f>
        <v>1</v>
      </c>
      <c r="AS120">
        <f>SUMIF(RawDataTotal!$B:$B,$A120,RawDataTotal!AV:AV)</f>
        <v>1</v>
      </c>
      <c r="AT120">
        <f>SUMIF(RawDataTotal!$B:$B,$A120,RawDataTotal!AW:AW)</f>
        <v>1</v>
      </c>
      <c r="AU120">
        <f>SUMIF(RawDataTotal!$B:$B,$A120,RawDataTotal!AX:AX)</f>
        <v>1</v>
      </c>
      <c r="AV120">
        <f>SUMIF(RawDataTotal!$B:$B,$A120,RawDataTotal!AY:AY)</f>
        <v>1</v>
      </c>
      <c r="AW120">
        <f>SUMIF(RawDataTotal!$B:$B,$A120,RawDataTotal!AZ:AZ)</f>
        <v>1</v>
      </c>
      <c r="AX120">
        <f>SUMIF(RawDataTotal!$B:$B,$A120,RawDataTotal!BA:BA)</f>
        <v>1</v>
      </c>
      <c r="AY120">
        <f>SUMIF(RawDataTotal!$B:$B,$A120,RawDataTotal!BB:BB)</f>
        <v>1</v>
      </c>
      <c r="AZ120">
        <f>SUMIF(RawDataTotal!$B:$B,$A120,RawDataTotal!BC:BC)</f>
        <v>1</v>
      </c>
      <c r="BA120">
        <f>SUMIF(RawDataTotal!$B:$B,$A120,RawDataTotal!BD:BD)</f>
        <v>1</v>
      </c>
      <c r="BB120">
        <f>SUMIF(RawDataTotal!$B:$B,$A120,RawDataTotal!BE:BE)</f>
        <v>1</v>
      </c>
      <c r="BC120">
        <f>SUMIF(RawDataTotal!$B:$B,$A120,RawDataTotal!BF:BF)</f>
        <v>8</v>
      </c>
      <c r="BD120">
        <f>SUMIF(RawDataTotal!$B:$B,$A120,RawDataTotal!BG:BG)</f>
        <v>17</v>
      </c>
      <c r="BE120">
        <f>SUMIF(RawDataTotal!$B:$B,$A120,RawDataTotal!BH:BH)</f>
        <v>34</v>
      </c>
      <c r="BF120">
        <f>SUMIF(RawDataTotal!$B:$B,$A120,RawDataTotal!BI:BI)</f>
        <v>0</v>
      </c>
      <c r="BG120">
        <f>SUMIF(RawDataTotal!$B:$B,$A120,RawDataTotal!BJ:BJ)</f>
        <v>0</v>
      </c>
      <c r="BH120">
        <f>SUMIF(RawDataTotal!$B:$B,$A120,RawDataTotal!BK:BK)</f>
        <v>0</v>
      </c>
      <c r="BI120">
        <f>SUMIF(RawDataTotal!$B:$B,$A120,RawDataTotal!BL:BL)</f>
        <v>0</v>
      </c>
      <c r="BJ120">
        <f>SUMIF(RawDataTotal!$B:$B,$A120,RawDataTotal!BM:BM)</f>
        <v>0</v>
      </c>
      <c r="BK120">
        <f>SUMIF(RawDataTotal!$B:$B,$A120,RawDataTotal!BN:BN)</f>
        <v>0</v>
      </c>
      <c r="BL120">
        <f>SUMIF(RawDataTotal!$B:$B,$A120,RawDataTotal!BO:BO)</f>
        <v>0</v>
      </c>
      <c r="BM120">
        <f>SUMIF(RawDataTotal!$B:$B,$A120,RawDataTotal!BP:BP)</f>
        <v>0</v>
      </c>
      <c r="BN120">
        <f>SUMIF(RawDataTotal!$B:$B,$A120,RawDataTotal!BQ:BQ)</f>
        <v>0</v>
      </c>
      <c r="BO120">
        <f>SUMIF(RawDataTotal!$B:$B,$A120,RawDataTotal!BR:BR)</f>
        <v>0</v>
      </c>
      <c r="BP120">
        <f>SUMIF(RawDataTotal!$B:$B,$A120,RawDataTotal!BS:BS)</f>
        <v>0</v>
      </c>
      <c r="BQ120">
        <f>SUMIF(RawDataTotal!$B:$B,$A120,RawDataTotal!BT:BT)</f>
        <v>0</v>
      </c>
      <c r="BR120">
        <f>SUMIF(RawDataTotal!$B:$B,$A120,RawDataTotal!BU:BU)</f>
        <v>0</v>
      </c>
      <c r="BS120">
        <f>SUMIF(RawDataTotal!$B:$B,$A120,RawDataTotal!BV:BV)</f>
        <v>0</v>
      </c>
      <c r="BT120">
        <f>SUMIF(RawDataTotal!$B:$B,$A120,RawDataTotal!BW:BW)</f>
        <v>0</v>
      </c>
    </row>
    <row r="121" spans="1:72" ht="15" thickBot="1" x14ac:dyDescent="0.35">
      <c r="A121" s="3" t="s">
        <v>451</v>
      </c>
      <c r="B121">
        <f>SUMIF(RawDataTotal!$B:$B,$A121,RawDataTotal!E:E)</f>
        <v>0</v>
      </c>
      <c r="C121">
        <f>SUMIF(RawDataTotal!$B:$B,$A121,RawDataTotal!F:F)</f>
        <v>0</v>
      </c>
      <c r="D121">
        <f>SUMIF(RawDataTotal!$B:$B,$A121,RawDataTotal!G:G)</f>
        <v>0</v>
      </c>
      <c r="E121">
        <f>SUMIF(RawDataTotal!$B:$B,$A121,RawDataTotal!H:H)</f>
        <v>0</v>
      </c>
      <c r="F121">
        <f>SUMIF(RawDataTotal!$B:$B,$A121,RawDataTotal!I:I)</f>
        <v>0</v>
      </c>
      <c r="G121">
        <f>SUMIF(RawDataTotal!$B:$B,$A121,RawDataTotal!J:J)</f>
        <v>0</v>
      </c>
      <c r="H121">
        <f>SUMIF(RawDataTotal!$B:$B,$A121,RawDataTotal!K:K)</f>
        <v>0</v>
      </c>
      <c r="I121">
        <f>SUMIF(RawDataTotal!$B:$B,$A121,RawDataTotal!L:L)</f>
        <v>0</v>
      </c>
      <c r="J121">
        <f>SUMIF(RawDataTotal!$B:$B,$A121,RawDataTotal!M:M)</f>
        <v>0</v>
      </c>
      <c r="K121">
        <f>SUMIF(RawDataTotal!$B:$B,$A121,RawDataTotal!N:N)</f>
        <v>0</v>
      </c>
      <c r="L121">
        <f>SUMIF(RawDataTotal!$B:$B,$A121,RawDataTotal!O:O)</f>
        <v>0</v>
      </c>
      <c r="M121">
        <f>SUMIF(RawDataTotal!$B:$B,$A121,RawDataTotal!P:P)</f>
        <v>0</v>
      </c>
      <c r="N121">
        <f>SUMIF(RawDataTotal!$B:$B,$A121,RawDataTotal!Q:Q)</f>
        <v>0</v>
      </c>
      <c r="O121">
        <f>SUMIF(RawDataTotal!$B:$B,$A121,RawDataTotal!R:R)</f>
        <v>0</v>
      </c>
      <c r="P121">
        <f>SUMIF(RawDataTotal!$B:$B,$A121,RawDataTotal!S:S)</f>
        <v>0</v>
      </c>
      <c r="Q121">
        <f>SUMIF(RawDataTotal!$B:$B,$A121,RawDataTotal!T:T)</f>
        <v>0</v>
      </c>
      <c r="R121">
        <f>SUMIF(RawDataTotal!$B:$B,$A121,RawDataTotal!U:U)</f>
        <v>0</v>
      </c>
      <c r="S121">
        <f>SUMIF(RawDataTotal!$B:$B,$A121,RawDataTotal!V:V)</f>
        <v>0</v>
      </c>
      <c r="T121">
        <f>SUMIF(RawDataTotal!$B:$B,$A121,RawDataTotal!W:W)</f>
        <v>0</v>
      </c>
      <c r="U121">
        <f>SUMIF(RawDataTotal!$B:$B,$A121,RawDataTotal!X:X)</f>
        <v>0</v>
      </c>
      <c r="V121">
        <f>SUMIF(RawDataTotal!$B:$B,$A121,RawDataTotal!Y:Y)</f>
        <v>0</v>
      </c>
      <c r="W121">
        <f>SUMIF(RawDataTotal!$B:$B,$A121,RawDataTotal!Z:Z)</f>
        <v>0</v>
      </c>
      <c r="X121">
        <f>SUMIF(RawDataTotal!$B:$B,$A121,RawDataTotal!AA:AA)</f>
        <v>0</v>
      </c>
      <c r="Y121">
        <f>SUMIF(RawDataTotal!$B:$B,$A121,RawDataTotal!AB:AB)</f>
        <v>0</v>
      </c>
      <c r="Z121">
        <f>SUMIF(RawDataTotal!$B:$B,$A121,RawDataTotal!AC:AC)</f>
        <v>0</v>
      </c>
      <c r="AA121">
        <f>SUMIF(RawDataTotal!$B:$B,$A121,RawDataTotal!AD:AD)</f>
        <v>0</v>
      </c>
      <c r="AB121">
        <f>SUMIF(RawDataTotal!$B:$B,$A121,RawDataTotal!AE:AE)</f>
        <v>0</v>
      </c>
      <c r="AC121">
        <f>SUMIF(RawDataTotal!$B:$B,$A121,RawDataTotal!AF:AF)</f>
        <v>0</v>
      </c>
      <c r="AD121">
        <f>SUMIF(RawDataTotal!$B:$B,$A121,RawDataTotal!AG:AG)</f>
        <v>0</v>
      </c>
      <c r="AE121">
        <f>SUMIF(RawDataTotal!$B:$B,$A121,RawDataTotal!AH:AH)</f>
        <v>0</v>
      </c>
      <c r="AF121">
        <f>SUMIF(RawDataTotal!$B:$B,$A121,RawDataTotal!AI:AI)</f>
        <v>0</v>
      </c>
      <c r="AG121">
        <f>SUMIF(RawDataTotal!$B:$B,$A121,RawDataTotal!AJ:AJ)</f>
        <v>0</v>
      </c>
      <c r="AH121">
        <f>SUMIF(RawDataTotal!$B:$B,$A121,RawDataTotal!AK:AK)</f>
        <v>0</v>
      </c>
      <c r="AI121">
        <f>SUMIF(RawDataTotal!$B:$B,$A121,RawDataTotal!AL:AL)</f>
        <v>0</v>
      </c>
      <c r="AJ121">
        <f>SUMIF(RawDataTotal!$B:$B,$A121,RawDataTotal!AM:AM)</f>
        <v>0</v>
      </c>
      <c r="AK121">
        <f>SUMIF(RawDataTotal!$B:$B,$A121,RawDataTotal!AN:AN)</f>
        <v>0</v>
      </c>
      <c r="AL121">
        <f>SUMIF(RawDataTotal!$B:$B,$A121,RawDataTotal!AO:AO)</f>
        <v>0</v>
      </c>
      <c r="AM121">
        <f>SUMIF(RawDataTotal!$B:$B,$A121,RawDataTotal!AP:AP)</f>
        <v>0</v>
      </c>
      <c r="AN121">
        <f>SUMIF(RawDataTotal!$B:$B,$A121,RawDataTotal!AQ:AQ)</f>
        <v>0</v>
      </c>
      <c r="AO121">
        <f>SUMIF(RawDataTotal!$B:$B,$A121,RawDataTotal!AR:AR)</f>
        <v>0</v>
      </c>
      <c r="AP121">
        <f>SUMIF(RawDataTotal!$B:$B,$A121,RawDataTotal!AS:AS)</f>
        <v>0</v>
      </c>
      <c r="AQ121">
        <f>SUMIF(RawDataTotal!$B:$B,$A121,RawDataTotal!AT:AT)</f>
        <v>0</v>
      </c>
      <c r="AR121">
        <f>SUMIF(RawDataTotal!$B:$B,$A121,RawDataTotal!AU:AU)</f>
        <v>0</v>
      </c>
      <c r="AS121">
        <f>SUMIF(RawDataTotal!$B:$B,$A121,RawDataTotal!AV:AV)</f>
        <v>0</v>
      </c>
      <c r="AT121">
        <f>SUMIF(RawDataTotal!$B:$B,$A121,RawDataTotal!AW:AW)</f>
        <v>0</v>
      </c>
      <c r="AU121">
        <f>SUMIF(RawDataTotal!$B:$B,$A121,RawDataTotal!AX:AX)</f>
        <v>0</v>
      </c>
      <c r="AV121">
        <f>SUMIF(RawDataTotal!$B:$B,$A121,RawDataTotal!AY:AY)</f>
        <v>0</v>
      </c>
      <c r="AW121">
        <f>SUMIF(RawDataTotal!$B:$B,$A121,RawDataTotal!AZ:AZ)</f>
        <v>0</v>
      </c>
      <c r="AX121">
        <f>SUMIF(RawDataTotal!$B:$B,$A121,RawDataTotal!BA:BA)</f>
        <v>0</v>
      </c>
      <c r="AY121">
        <f>SUMIF(RawDataTotal!$B:$B,$A121,RawDataTotal!BB:BB)</f>
        <v>0</v>
      </c>
      <c r="AZ121">
        <f>SUMIF(RawDataTotal!$B:$B,$A121,RawDataTotal!BC:BC)</f>
        <v>0</v>
      </c>
      <c r="BA121">
        <f>SUMIF(RawDataTotal!$B:$B,$A121,RawDataTotal!BD:BD)</f>
        <v>1</v>
      </c>
      <c r="BB121">
        <f>SUMIF(RawDataTotal!$B:$B,$A121,RawDataTotal!BE:BE)</f>
        <v>1</v>
      </c>
      <c r="BC121">
        <f>SUMIF(RawDataTotal!$B:$B,$A121,RawDataTotal!BF:BF)</f>
        <v>3</v>
      </c>
      <c r="BD121">
        <f>SUMIF(RawDataTotal!$B:$B,$A121,RawDataTotal!BG:BG)</f>
        <v>3</v>
      </c>
      <c r="BE121">
        <f>SUMIF(RawDataTotal!$B:$B,$A121,RawDataTotal!BH:BH)</f>
        <v>3</v>
      </c>
      <c r="BF121">
        <f>SUMIF(RawDataTotal!$B:$B,$A121,RawDataTotal!BI:BI)</f>
        <v>0</v>
      </c>
      <c r="BG121">
        <f>SUMIF(RawDataTotal!$B:$B,$A121,RawDataTotal!BJ:BJ)</f>
        <v>0</v>
      </c>
      <c r="BH121">
        <f>SUMIF(RawDataTotal!$B:$B,$A121,RawDataTotal!BK:BK)</f>
        <v>0</v>
      </c>
      <c r="BI121">
        <f>SUMIF(RawDataTotal!$B:$B,$A121,RawDataTotal!BL:BL)</f>
        <v>0</v>
      </c>
      <c r="BJ121">
        <f>SUMIF(RawDataTotal!$B:$B,$A121,RawDataTotal!BM:BM)</f>
        <v>0</v>
      </c>
      <c r="BK121">
        <f>SUMIF(RawDataTotal!$B:$B,$A121,RawDataTotal!BN:BN)</f>
        <v>0</v>
      </c>
      <c r="BL121">
        <f>SUMIF(RawDataTotal!$B:$B,$A121,RawDataTotal!BO:BO)</f>
        <v>0</v>
      </c>
      <c r="BM121">
        <f>SUMIF(RawDataTotal!$B:$B,$A121,RawDataTotal!BP:BP)</f>
        <v>0</v>
      </c>
      <c r="BN121">
        <f>SUMIF(RawDataTotal!$B:$B,$A121,RawDataTotal!BQ:BQ)</f>
        <v>0</v>
      </c>
      <c r="BO121">
        <f>SUMIF(RawDataTotal!$B:$B,$A121,RawDataTotal!BR:BR)</f>
        <v>0</v>
      </c>
      <c r="BP121">
        <f>SUMIF(RawDataTotal!$B:$B,$A121,RawDataTotal!BS:BS)</f>
        <v>0</v>
      </c>
      <c r="BQ121">
        <f>SUMIF(RawDataTotal!$B:$B,$A121,RawDataTotal!BT:BT)</f>
        <v>0</v>
      </c>
      <c r="BR121">
        <f>SUMIF(RawDataTotal!$B:$B,$A121,RawDataTotal!BU:BU)</f>
        <v>0</v>
      </c>
      <c r="BS121">
        <f>SUMIF(RawDataTotal!$B:$B,$A121,RawDataTotal!BV:BV)</f>
        <v>0</v>
      </c>
      <c r="BT121">
        <f>SUMIF(RawDataTotal!$B:$B,$A121,RawDataTotal!BW:BW)</f>
        <v>0</v>
      </c>
    </row>
    <row r="122" spans="1:72" ht="15" thickBot="1" x14ac:dyDescent="0.35">
      <c r="A122" s="4" t="s">
        <v>163</v>
      </c>
      <c r="B122">
        <f>SUMIF(RawDataTotal!$B:$B,$A122,RawDataTotal!E:E)</f>
        <v>0</v>
      </c>
      <c r="C122">
        <f>SUMIF(RawDataTotal!$B:$B,$A122,RawDataTotal!F:F)</f>
        <v>0</v>
      </c>
      <c r="D122">
        <f>SUMIF(RawDataTotal!$B:$B,$A122,RawDataTotal!G:G)</f>
        <v>0</v>
      </c>
      <c r="E122">
        <f>SUMIF(RawDataTotal!$B:$B,$A122,RawDataTotal!H:H)</f>
        <v>0</v>
      </c>
      <c r="F122">
        <f>SUMIF(RawDataTotal!$B:$B,$A122,RawDataTotal!I:I)</f>
        <v>0</v>
      </c>
      <c r="G122">
        <f>SUMIF(RawDataTotal!$B:$B,$A122,RawDataTotal!J:J)</f>
        <v>0</v>
      </c>
      <c r="H122">
        <f>SUMIF(RawDataTotal!$B:$B,$A122,RawDataTotal!K:K)</f>
        <v>0</v>
      </c>
      <c r="I122">
        <f>SUMIF(RawDataTotal!$B:$B,$A122,RawDataTotal!L:L)</f>
        <v>0</v>
      </c>
      <c r="J122">
        <f>SUMIF(RawDataTotal!$B:$B,$A122,RawDataTotal!M:M)</f>
        <v>0</v>
      </c>
      <c r="K122">
        <f>SUMIF(RawDataTotal!$B:$B,$A122,RawDataTotal!N:N)</f>
        <v>0</v>
      </c>
      <c r="L122">
        <f>SUMIF(RawDataTotal!$B:$B,$A122,RawDataTotal!O:O)</f>
        <v>0</v>
      </c>
      <c r="M122">
        <f>SUMIF(RawDataTotal!$B:$B,$A122,RawDataTotal!P:P)</f>
        <v>0</v>
      </c>
      <c r="N122">
        <f>SUMIF(RawDataTotal!$B:$B,$A122,RawDataTotal!Q:Q)</f>
        <v>0</v>
      </c>
      <c r="O122">
        <f>SUMIF(RawDataTotal!$B:$B,$A122,RawDataTotal!R:R)</f>
        <v>0</v>
      </c>
      <c r="P122">
        <f>SUMIF(RawDataTotal!$B:$B,$A122,RawDataTotal!S:S)</f>
        <v>0</v>
      </c>
      <c r="Q122">
        <f>SUMIF(RawDataTotal!$B:$B,$A122,RawDataTotal!T:T)</f>
        <v>0</v>
      </c>
      <c r="R122">
        <f>SUMIF(RawDataTotal!$B:$B,$A122,RawDataTotal!U:U)</f>
        <v>0</v>
      </c>
      <c r="S122">
        <f>SUMIF(RawDataTotal!$B:$B,$A122,RawDataTotal!V:V)</f>
        <v>0</v>
      </c>
      <c r="T122">
        <f>SUMIF(RawDataTotal!$B:$B,$A122,RawDataTotal!W:W)</f>
        <v>0</v>
      </c>
      <c r="U122">
        <f>SUMIF(RawDataTotal!$B:$B,$A122,RawDataTotal!X:X)</f>
        <v>0</v>
      </c>
      <c r="V122">
        <f>SUMIF(RawDataTotal!$B:$B,$A122,RawDataTotal!Y:Y)</f>
        <v>0</v>
      </c>
      <c r="W122">
        <f>SUMIF(RawDataTotal!$B:$B,$A122,RawDataTotal!Z:Z)</f>
        <v>0</v>
      </c>
      <c r="X122">
        <f>SUMIF(RawDataTotal!$B:$B,$A122,RawDataTotal!AA:AA)</f>
        <v>0</v>
      </c>
      <c r="Y122">
        <f>SUMIF(RawDataTotal!$B:$B,$A122,RawDataTotal!AB:AB)</f>
        <v>0</v>
      </c>
      <c r="Z122">
        <f>SUMIF(RawDataTotal!$B:$B,$A122,RawDataTotal!AC:AC)</f>
        <v>0</v>
      </c>
      <c r="AA122">
        <f>SUMIF(RawDataTotal!$B:$B,$A122,RawDataTotal!AD:AD)</f>
        <v>0</v>
      </c>
      <c r="AB122">
        <f>SUMIF(RawDataTotal!$B:$B,$A122,RawDataTotal!AE:AE)</f>
        <v>0</v>
      </c>
      <c r="AC122">
        <f>SUMIF(RawDataTotal!$B:$B,$A122,RawDataTotal!AF:AF)</f>
        <v>0</v>
      </c>
      <c r="AD122">
        <f>SUMIF(RawDataTotal!$B:$B,$A122,RawDataTotal!AG:AG)</f>
        <v>0</v>
      </c>
      <c r="AE122">
        <f>SUMIF(RawDataTotal!$B:$B,$A122,RawDataTotal!AH:AH)</f>
        <v>0</v>
      </c>
      <c r="AF122">
        <f>SUMIF(RawDataTotal!$B:$B,$A122,RawDataTotal!AI:AI)</f>
        <v>0</v>
      </c>
      <c r="AG122">
        <f>SUMIF(RawDataTotal!$B:$B,$A122,RawDataTotal!AJ:AJ)</f>
        <v>0</v>
      </c>
      <c r="AH122">
        <f>SUMIF(RawDataTotal!$B:$B,$A122,RawDataTotal!AK:AK)</f>
        <v>0</v>
      </c>
      <c r="AI122">
        <f>SUMIF(RawDataTotal!$B:$B,$A122,RawDataTotal!AL:AL)</f>
        <v>0</v>
      </c>
      <c r="AJ122">
        <f>SUMIF(RawDataTotal!$B:$B,$A122,RawDataTotal!AM:AM)</f>
        <v>0</v>
      </c>
      <c r="AK122">
        <f>SUMIF(RawDataTotal!$B:$B,$A122,RawDataTotal!AN:AN)</f>
        <v>0</v>
      </c>
      <c r="AL122">
        <f>SUMIF(RawDataTotal!$B:$B,$A122,RawDataTotal!AO:AO)</f>
        <v>0</v>
      </c>
      <c r="AM122">
        <f>SUMIF(RawDataTotal!$B:$B,$A122,RawDataTotal!AP:AP)</f>
        <v>0</v>
      </c>
      <c r="AN122">
        <f>SUMIF(RawDataTotal!$B:$B,$A122,RawDataTotal!AQ:AQ)</f>
        <v>0</v>
      </c>
      <c r="AO122">
        <f>SUMIF(RawDataTotal!$B:$B,$A122,RawDataTotal!AR:AR)</f>
        <v>0</v>
      </c>
      <c r="AP122">
        <f>SUMIF(RawDataTotal!$B:$B,$A122,RawDataTotal!AS:AS)</f>
        <v>0</v>
      </c>
      <c r="AQ122">
        <f>SUMIF(RawDataTotal!$B:$B,$A122,RawDataTotal!AT:AT)</f>
        <v>0</v>
      </c>
      <c r="AR122">
        <f>SUMIF(RawDataTotal!$B:$B,$A122,RawDataTotal!AU:AU)</f>
        <v>1</v>
      </c>
      <c r="AS122">
        <f>SUMIF(RawDataTotal!$B:$B,$A122,RawDataTotal!AV:AV)</f>
        <v>1</v>
      </c>
      <c r="AT122">
        <f>SUMIF(RawDataTotal!$B:$B,$A122,RawDataTotal!AW:AW)</f>
        <v>1</v>
      </c>
      <c r="AU122">
        <f>SUMIF(RawDataTotal!$B:$B,$A122,RawDataTotal!AX:AX)</f>
        <v>1</v>
      </c>
      <c r="AV122">
        <f>SUMIF(RawDataTotal!$B:$B,$A122,RawDataTotal!AY:AY)</f>
        <v>1</v>
      </c>
      <c r="AW122">
        <f>SUMIF(RawDataTotal!$B:$B,$A122,RawDataTotal!AZ:AZ)</f>
        <v>1</v>
      </c>
      <c r="AX122">
        <f>SUMIF(RawDataTotal!$B:$B,$A122,RawDataTotal!BA:BA)</f>
        <v>1</v>
      </c>
      <c r="AY122">
        <f>SUMIF(RawDataTotal!$B:$B,$A122,RawDataTotal!BB:BB)</f>
        <v>1</v>
      </c>
      <c r="AZ122">
        <f>SUMIF(RawDataTotal!$B:$B,$A122,RawDataTotal!BC:BC)</f>
        <v>1</v>
      </c>
      <c r="BA122">
        <f>SUMIF(RawDataTotal!$B:$B,$A122,RawDataTotal!BD:BD)</f>
        <v>1</v>
      </c>
      <c r="BB122">
        <f>SUMIF(RawDataTotal!$B:$B,$A122,RawDataTotal!BE:BE)</f>
        <v>4</v>
      </c>
      <c r="BC122">
        <f>SUMIF(RawDataTotal!$B:$B,$A122,RawDataTotal!BF:BF)</f>
        <v>4</v>
      </c>
      <c r="BD122">
        <f>SUMIF(RawDataTotal!$B:$B,$A122,RawDataTotal!BG:BG)</f>
        <v>4</v>
      </c>
      <c r="BE122">
        <f>SUMIF(RawDataTotal!$B:$B,$A122,RawDataTotal!BH:BH)</f>
        <v>7</v>
      </c>
      <c r="BF122">
        <f>SUMIF(RawDataTotal!$B:$B,$A122,RawDataTotal!BI:BI)</f>
        <v>0</v>
      </c>
      <c r="BG122">
        <f>SUMIF(RawDataTotal!$B:$B,$A122,RawDataTotal!BJ:BJ)</f>
        <v>0</v>
      </c>
      <c r="BH122">
        <f>SUMIF(RawDataTotal!$B:$B,$A122,RawDataTotal!BK:BK)</f>
        <v>0</v>
      </c>
      <c r="BI122">
        <f>SUMIF(RawDataTotal!$B:$B,$A122,RawDataTotal!BL:BL)</f>
        <v>0</v>
      </c>
      <c r="BJ122">
        <f>SUMIF(RawDataTotal!$B:$B,$A122,RawDataTotal!BM:BM)</f>
        <v>0</v>
      </c>
      <c r="BK122">
        <f>SUMIF(RawDataTotal!$B:$B,$A122,RawDataTotal!BN:BN)</f>
        <v>0</v>
      </c>
      <c r="BL122">
        <f>SUMIF(RawDataTotal!$B:$B,$A122,RawDataTotal!BO:BO)</f>
        <v>0</v>
      </c>
      <c r="BM122">
        <f>SUMIF(RawDataTotal!$B:$B,$A122,RawDataTotal!BP:BP)</f>
        <v>0</v>
      </c>
      <c r="BN122">
        <f>SUMIF(RawDataTotal!$B:$B,$A122,RawDataTotal!BQ:BQ)</f>
        <v>0</v>
      </c>
      <c r="BO122">
        <f>SUMIF(RawDataTotal!$B:$B,$A122,RawDataTotal!BR:BR)</f>
        <v>0</v>
      </c>
      <c r="BP122">
        <f>SUMIF(RawDataTotal!$B:$B,$A122,RawDataTotal!BS:BS)</f>
        <v>0</v>
      </c>
      <c r="BQ122">
        <f>SUMIF(RawDataTotal!$B:$B,$A122,RawDataTotal!BT:BT)</f>
        <v>0</v>
      </c>
      <c r="BR122">
        <f>SUMIF(RawDataTotal!$B:$B,$A122,RawDataTotal!BU:BU)</f>
        <v>0</v>
      </c>
      <c r="BS122">
        <f>SUMIF(RawDataTotal!$B:$B,$A122,RawDataTotal!BV:BV)</f>
        <v>0</v>
      </c>
      <c r="BT122">
        <f>SUMIF(RawDataTotal!$B:$B,$A122,RawDataTotal!BW:BW)</f>
        <v>0</v>
      </c>
    </row>
    <row r="123" spans="1:72" ht="15" thickBot="1" x14ac:dyDescent="0.35">
      <c r="A123" s="4" t="s">
        <v>309</v>
      </c>
      <c r="B123">
        <f>SUMIF(RawDataTotal!$B:$B,$A123,RawDataTotal!E:E)</f>
        <v>0</v>
      </c>
      <c r="C123">
        <f>SUMIF(RawDataTotal!$B:$B,$A123,RawDataTotal!F:F)</f>
        <v>0</v>
      </c>
      <c r="D123">
        <f>SUMIF(RawDataTotal!$B:$B,$A123,RawDataTotal!G:G)</f>
        <v>0</v>
      </c>
      <c r="E123">
        <f>SUMIF(RawDataTotal!$B:$B,$A123,RawDataTotal!H:H)</f>
        <v>0</v>
      </c>
      <c r="F123">
        <f>SUMIF(RawDataTotal!$B:$B,$A123,RawDataTotal!I:I)</f>
        <v>0</v>
      </c>
      <c r="G123">
        <f>SUMIF(RawDataTotal!$B:$B,$A123,RawDataTotal!J:J)</f>
        <v>0</v>
      </c>
      <c r="H123">
        <f>SUMIF(RawDataTotal!$B:$B,$A123,RawDataTotal!K:K)</f>
        <v>0</v>
      </c>
      <c r="I123">
        <f>SUMIF(RawDataTotal!$B:$B,$A123,RawDataTotal!L:L)</f>
        <v>0</v>
      </c>
      <c r="J123">
        <f>SUMIF(RawDataTotal!$B:$B,$A123,RawDataTotal!M:M)</f>
        <v>0</v>
      </c>
      <c r="K123">
        <f>SUMIF(RawDataTotal!$B:$B,$A123,RawDataTotal!N:N)</f>
        <v>0</v>
      </c>
      <c r="L123">
        <f>SUMIF(RawDataTotal!$B:$B,$A123,RawDataTotal!O:O)</f>
        <v>0</v>
      </c>
      <c r="M123">
        <f>SUMIF(RawDataTotal!$B:$B,$A123,RawDataTotal!P:P)</f>
        <v>0</v>
      </c>
      <c r="N123">
        <f>SUMIF(RawDataTotal!$B:$B,$A123,RawDataTotal!Q:Q)</f>
        <v>0</v>
      </c>
      <c r="O123">
        <f>SUMIF(RawDataTotal!$B:$B,$A123,RawDataTotal!R:R)</f>
        <v>0</v>
      </c>
      <c r="P123">
        <f>SUMIF(RawDataTotal!$B:$B,$A123,RawDataTotal!S:S)</f>
        <v>0</v>
      </c>
      <c r="Q123">
        <f>SUMIF(RawDataTotal!$B:$B,$A123,RawDataTotal!T:T)</f>
        <v>0</v>
      </c>
      <c r="R123">
        <f>SUMIF(RawDataTotal!$B:$B,$A123,RawDataTotal!U:U)</f>
        <v>0</v>
      </c>
      <c r="S123">
        <f>SUMIF(RawDataTotal!$B:$B,$A123,RawDataTotal!V:V)</f>
        <v>0</v>
      </c>
      <c r="T123">
        <f>SUMIF(RawDataTotal!$B:$B,$A123,RawDataTotal!W:W)</f>
        <v>0</v>
      </c>
      <c r="U123">
        <f>SUMIF(RawDataTotal!$B:$B,$A123,RawDataTotal!X:X)</f>
        <v>0</v>
      </c>
      <c r="V123">
        <f>SUMIF(RawDataTotal!$B:$B,$A123,RawDataTotal!Y:Y)</f>
        <v>0</v>
      </c>
      <c r="W123">
        <f>SUMIF(RawDataTotal!$B:$B,$A123,RawDataTotal!Z:Z)</f>
        <v>0</v>
      </c>
      <c r="X123">
        <f>SUMIF(RawDataTotal!$B:$B,$A123,RawDataTotal!AA:AA)</f>
        <v>0</v>
      </c>
      <c r="Y123">
        <f>SUMIF(RawDataTotal!$B:$B,$A123,RawDataTotal!AB:AB)</f>
        <v>0</v>
      </c>
      <c r="Z123">
        <f>SUMIF(RawDataTotal!$B:$B,$A123,RawDataTotal!AC:AC)</f>
        <v>0</v>
      </c>
      <c r="AA123">
        <f>SUMIF(RawDataTotal!$B:$B,$A123,RawDataTotal!AD:AD)</f>
        <v>0</v>
      </c>
      <c r="AB123">
        <f>SUMIF(RawDataTotal!$B:$B,$A123,RawDataTotal!AE:AE)</f>
        <v>0</v>
      </c>
      <c r="AC123">
        <f>SUMIF(RawDataTotal!$B:$B,$A123,RawDataTotal!AF:AF)</f>
        <v>0</v>
      </c>
      <c r="AD123">
        <f>SUMIF(RawDataTotal!$B:$B,$A123,RawDataTotal!AG:AG)</f>
        <v>0</v>
      </c>
      <c r="AE123">
        <f>SUMIF(RawDataTotal!$B:$B,$A123,RawDataTotal!AH:AH)</f>
        <v>0</v>
      </c>
      <c r="AF123">
        <f>SUMIF(RawDataTotal!$B:$B,$A123,RawDataTotal!AI:AI)</f>
        <v>0</v>
      </c>
      <c r="AG123">
        <f>SUMIF(RawDataTotal!$B:$B,$A123,RawDataTotal!AJ:AJ)</f>
        <v>0</v>
      </c>
      <c r="AH123">
        <f>SUMIF(RawDataTotal!$B:$B,$A123,RawDataTotal!AK:AK)</f>
        <v>0</v>
      </c>
      <c r="AI123">
        <f>SUMIF(RawDataTotal!$B:$B,$A123,RawDataTotal!AL:AL)</f>
        <v>0</v>
      </c>
      <c r="AJ123">
        <f>SUMIF(RawDataTotal!$B:$B,$A123,RawDataTotal!AM:AM)</f>
        <v>0</v>
      </c>
      <c r="AK123">
        <f>SUMIF(RawDataTotal!$B:$B,$A123,RawDataTotal!AN:AN)</f>
        <v>0</v>
      </c>
      <c r="AL123">
        <f>SUMIF(RawDataTotal!$B:$B,$A123,RawDataTotal!AO:AO)</f>
        <v>0</v>
      </c>
      <c r="AM123">
        <f>SUMIF(RawDataTotal!$B:$B,$A123,RawDataTotal!AP:AP)</f>
        <v>0</v>
      </c>
      <c r="AN123">
        <f>SUMIF(RawDataTotal!$B:$B,$A123,RawDataTotal!AQ:AQ)</f>
        <v>0</v>
      </c>
      <c r="AO123">
        <f>SUMIF(RawDataTotal!$B:$B,$A123,RawDataTotal!AR:AR)</f>
        <v>0</v>
      </c>
      <c r="AP123">
        <f>SUMIF(RawDataTotal!$B:$B,$A123,RawDataTotal!AS:AS)</f>
        <v>0</v>
      </c>
      <c r="AQ123">
        <f>SUMIF(RawDataTotal!$B:$B,$A123,RawDataTotal!AT:AT)</f>
        <v>0</v>
      </c>
      <c r="AR123">
        <f>SUMIF(RawDataTotal!$B:$B,$A123,RawDataTotal!AU:AU)</f>
        <v>0</v>
      </c>
      <c r="AS123">
        <f>SUMIF(RawDataTotal!$B:$B,$A123,RawDataTotal!AV:AV)</f>
        <v>0</v>
      </c>
      <c r="AT123">
        <f>SUMIF(RawDataTotal!$B:$B,$A123,RawDataTotal!AW:AW)</f>
        <v>0</v>
      </c>
      <c r="AU123">
        <f>SUMIF(RawDataTotal!$B:$B,$A123,RawDataTotal!AX:AX)</f>
        <v>0</v>
      </c>
      <c r="AV123">
        <f>SUMIF(RawDataTotal!$B:$B,$A123,RawDataTotal!AY:AY)</f>
        <v>0</v>
      </c>
      <c r="AW123">
        <f>SUMIF(RawDataTotal!$B:$B,$A123,RawDataTotal!AZ:AZ)</f>
        <v>0</v>
      </c>
      <c r="AX123">
        <f>SUMIF(RawDataTotal!$B:$B,$A123,RawDataTotal!BA:BA)</f>
        <v>1</v>
      </c>
      <c r="AY123">
        <f>SUMIF(RawDataTotal!$B:$B,$A123,RawDataTotal!BB:BB)</f>
        <v>1</v>
      </c>
      <c r="AZ123">
        <f>SUMIF(RawDataTotal!$B:$B,$A123,RawDataTotal!BC:BC)</f>
        <v>1</v>
      </c>
      <c r="BA123">
        <f>SUMIF(RawDataTotal!$B:$B,$A123,RawDataTotal!BD:BD)</f>
        <v>1</v>
      </c>
      <c r="BB123">
        <f>SUMIF(RawDataTotal!$B:$B,$A123,RawDataTotal!BE:BE)</f>
        <v>1</v>
      </c>
      <c r="BC123">
        <f>SUMIF(RawDataTotal!$B:$B,$A123,RawDataTotal!BF:BF)</f>
        <v>1</v>
      </c>
      <c r="BD123">
        <f>SUMIF(RawDataTotal!$B:$B,$A123,RawDataTotal!BG:BG)</f>
        <v>1</v>
      </c>
      <c r="BE123">
        <f>SUMIF(RawDataTotal!$B:$B,$A123,RawDataTotal!BH:BH)</f>
        <v>5</v>
      </c>
      <c r="BF123">
        <f>SUMIF(RawDataTotal!$B:$B,$A123,RawDataTotal!BI:BI)</f>
        <v>0</v>
      </c>
      <c r="BG123">
        <f>SUMIF(RawDataTotal!$B:$B,$A123,RawDataTotal!BJ:BJ)</f>
        <v>0</v>
      </c>
      <c r="BH123">
        <f>SUMIF(RawDataTotal!$B:$B,$A123,RawDataTotal!BK:BK)</f>
        <v>0</v>
      </c>
      <c r="BI123">
        <f>SUMIF(RawDataTotal!$B:$B,$A123,RawDataTotal!BL:BL)</f>
        <v>0</v>
      </c>
      <c r="BJ123">
        <f>SUMIF(RawDataTotal!$B:$B,$A123,RawDataTotal!BM:BM)</f>
        <v>0</v>
      </c>
      <c r="BK123">
        <f>SUMIF(RawDataTotal!$B:$B,$A123,RawDataTotal!BN:BN)</f>
        <v>0</v>
      </c>
      <c r="BL123">
        <f>SUMIF(RawDataTotal!$B:$B,$A123,RawDataTotal!BO:BO)</f>
        <v>0</v>
      </c>
      <c r="BM123">
        <f>SUMIF(RawDataTotal!$B:$B,$A123,RawDataTotal!BP:BP)</f>
        <v>0</v>
      </c>
      <c r="BN123">
        <f>SUMIF(RawDataTotal!$B:$B,$A123,RawDataTotal!BQ:BQ)</f>
        <v>0</v>
      </c>
      <c r="BO123">
        <f>SUMIF(RawDataTotal!$B:$B,$A123,RawDataTotal!BR:BR)</f>
        <v>0</v>
      </c>
      <c r="BP123">
        <f>SUMIF(RawDataTotal!$B:$B,$A123,RawDataTotal!BS:BS)</f>
        <v>0</v>
      </c>
      <c r="BQ123">
        <f>SUMIF(RawDataTotal!$B:$B,$A123,RawDataTotal!BT:BT)</f>
        <v>0</v>
      </c>
      <c r="BR123">
        <f>SUMIF(RawDataTotal!$B:$B,$A123,RawDataTotal!BU:BU)</f>
        <v>0</v>
      </c>
      <c r="BS123">
        <f>SUMIF(RawDataTotal!$B:$B,$A123,RawDataTotal!BV:BV)</f>
        <v>0</v>
      </c>
      <c r="BT123">
        <f>SUMIF(RawDataTotal!$B:$B,$A123,RawDataTotal!BW:BW)</f>
        <v>0</v>
      </c>
    </row>
    <row r="124" spans="1:72" ht="15" thickBot="1" x14ac:dyDescent="0.35">
      <c r="A124" s="4" t="s">
        <v>69</v>
      </c>
      <c r="B124">
        <f>SUMIF(RawDataTotal!$B:$B,$A124,RawDataTotal!E:E)</f>
        <v>0</v>
      </c>
      <c r="C124">
        <f>SUMIF(RawDataTotal!$B:$B,$A124,RawDataTotal!F:F)</f>
        <v>0</v>
      </c>
      <c r="D124">
        <f>SUMIF(RawDataTotal!$B:$B,$A124,RawDataTotal!G:G)</f>
        <v>0</v>
      </c>
      <c r="E124">
        <f>SUMIF(RawDataTotal!$B:$B,$A124,RawDataTotal!H:H)</f>
        <v>1</v>
      </c>
      <c r="F124">
        <f>SUMIF(RawDataTotal!$B:$B,$A124,RawDataTotal!I:I)</f>
        <v>1</v>
      </c>
      <c r="G124">
        <f>SUMIF(RawDataTotal!$B:$B,$A124,RawDataTotal!J:J)</f>
        <v>1</v>
      </c>
      <c r="H124">
        <f>SUMIF(RawDataTotal!$B:$B,$A124,RawDataTotal!K:K)</f>
        <v>1</v>
      </c>
      <c r="I124">
        <f>SUMIF(RawDataTotal!$B:$B,$A124,RawDataTotal!L:L)</f>
        <v>1</v>
      </c>
      <c r="J124">
        <f>SUMIF(RawDataTotal!$B:$B,$A124,RawDataTotal!M:M)</f>
        <v>1</v>
      </c>
      <c r="K124">
        <f>SUMIF(RawDataTotal!$B:$B,$A124,RawDataTotal!N:N)</f>
        <v>1</v>
      </c>
      <c r="L124">
        <f>SUMIF(RawDataTotal!$B:$B,$A124,RawDataTotal!O:O)</f>
        <v>1</v>
      </c>
      <c r="M124">
        <f>SUMIF(RawDataTotal!$B:$B,$A124,RawDataTotal!P:P)</f>
        <v>1</v>
      </c>
      <c r="N124">
        <f>SUMIF(RawDataTotal!$B:$B,$A124,RawDataTotal!Q:Q)</f>
        <v>1</v>
      </c>
      <c r="O124">
        <f>SUMIF(RawDataTotal!$B:$B,$A124,RawDataTotal!R:R)</f>
        <v>1</v>
      </c>
      <c r="P124">
        <f>SUMIF(RawDataTotal!$B:$B,$A124,RawDataTotal!S:S)</f>
        <v>1</v>
      </c>
      <c r="Q124">
        <f>SUMIF(RawDataTotal!$B:$B,$A124,RawDataTotal!T:T)</f>
        <v>1</v>
      </c>
      <c r="R124">
        <f>SUMIF(RawDataTotal!$B:$B,$A124,RawDataTotal!U:U)</f>
        <v>1</v>
      </c>
      <c r="S124">
        <f>SUMIF(RawDataTotal!$B:$B,$A124,RawDataTotal!V:V)</f>
        <v>1</v>
      </c>
      <c r="T124">
        <f>SUMIF(RawDataTotal!$B:$B,$A124,RawDataTotal!W:W)</f>
        <v>1</v>
      </c>
      <c r="U124">
        <f>SUMIF(RawDataTotal!$B:$B,$A124,RawDataTotal!X:X)</f>
        <v>1</v>
      </c>
      <c r="V124">
        <f>SUMIF(RawDataTotal!$B:$B,$A124,RawDataTotal!Y:Y)</f>
        <v>1</v>
      </c>
      <c r="W124">
        <f>SUMIF(RawDataTotal!$B:$B,$A124,RawDataTotal!Z:Z)</f>
        <v>1</v>
      </c>
      <c r="X124">
        <f>SUMIF(RawDataTotal!$B:$B,$A124,RawDataTotal!AA:AA)</f>
        <v>1</v>
      </c>
      <c r="Y124">
        <f>SUMIF(RawDataTotal!$B:$B,$A124,RawDataTotal!AB:AB)</f>
        <v>1</v>
      </c>
      <c r="Z124">
        <f>SUMIF(RawDataTotal!$B:$B,$A124,RawDataTotal!AC:AC)</f>
        <v>1</v>
      </c>
      <c r="AA124">
        <f>SUMIF(RawDataTotal!$B:$B,$A124,RawDataTotal!AD:AD)</f>
        <v>1</v>
      </c>
      <c r="AB124">
        <f>SUMIF(RawDataTotal!$B:$B,$A124,RawDataTotal!AE:AE)</f>
        <v>1</v>
      </c>
      <c r="AC124">
        <f>SUMIF(RawDataTotal!$B:$B,$A124,RawDataTotal!AF:AF)</f>
        <v>1</v>
      </c>
      <c r="AD124">
        <f>SUMIF(RawDataTotal!$B:$B,$A124,RawDataTotal!AG:AG)</f>
        <v>1</v>
      </c>
      <c r="AE124">
        <f>SUMIF(RawDataTotal!$B:$B,$A124,RawDataTotal!AH:AH)</f>
        <v>1</v>
      </c>
      <c r="AF124">
        <f>SUMIF(RawDataTotal!$B:$B,$A124,RawDataTotal!AI:AI)</f>
        <v>1</v>
      </c>
      <c r="AG124">
        <f>SUMIF(RawDataTotal!$B:$B,$A124,RawDataTotal!AJ:AJ)</f>
        <v>1</v>
      </c>
      <c r="AH124">
        <f>SUMIF(RawDataTotal!$B:$B,$A124,RawDataTotal!AK:AK)</f>
        <v>1</v>
      </c>
      <c r="AI124">
        <f>SUMIF(RawDataTotal!$B:$B,$A124,RawDataTotal!AL:AL)</f>
        <v>1</v>
      </c>
      <c r="AJ124">
        <f>SUMIF(RawDataTotal!$B:$B,$A124,RawDataTotal!AM:AM)</f>
        <v>1</v>
      </c>
      <c r="AK124">
        <f>SUMIF(RawDataTotal!$B:$B,$A124,RawDataTotal!AN:AN)</f>
        <v>1</v>
      </c>
      <c r="AL124">
        <f>SUMIF(RawDataTotal!$B:$B,$A124,RawDataTotal!AO:AO)</f>
        <v>1</v>
      </c>
      <c r="AM124">
        <f>SUMIF(RawDataTotal!$B:$B,$A124,RawDataTotal!AP:AP)</f>
        <v>1</v>
      </c>
      <c r="AN124">
        <f>SUMIF(RawDataTotal!$B:$B,$A124,RawDataTotal!AQ:AQ)</f>
        <v>1</v>
      </c>
      <c r="AO124">
        <f>SUMIF(RawDataTotal!$B:$B,$A124,RawDataTotal!AR:AR)</f>
        <v>1</v>
      </c>
      <c r="AP124">
        <f>SUMIF(RawDataTotal!$B:$B,$A124,RawDataTotal!AS:AS)</f>
        <v>1</v>
      </c>
      <c r="AQ124">
        <f>SUMIF(RawDataTotal!$B:$B,$A124,RawDataTotal!AT:AT)</f>
        <v>1</v>
      </c>
      <c r="AR124">
        <f>SUMIF(RawDataTotal!$B:$B,$A124,RawDataTotal!AU:AU)</f>
        <v>1</v>
      </c>
      <c r="AS124">
        <f>SUMIF(RawDataTotal!$B:$B,$A124,RawDataTotal!AV:AV)</f>
        <v>1</v>
      </c>
      <c r="AT124">
        <f>SUMIF(RawDataTotal!$B:$B,$A124,RawDataTotal!AW:AW)</f>
        <v>1</v>
      </c>
      <c r="AU124">
        <f>SUMIF(RawDataTotal!$B:$B,$A124,RawDataTotal!AX:AX)</f>
        <v>1</v>
      </c>
      <c r="AV124">
        <f>SUMIF(RawDataTotal!$B:$B,$A124,RawDataTotal!AY:AY)</f>
        <v>1</v>
      </c>
      <c r="AW124">
        <f>SUMIF(RawDataTotal!$B:$B,$A124,RawDataTotal!AZ:AZ)</f>
        <v>1</v>
      </c>
      <c r="AX124">
        <f>SUMIF(RawDataTotal!$B:$B,$A124,RawDataTotal!BA:BA)</f>
        <v>1</v>
      </c>
      <c r="AY124">
        <f>SUMIF(RawDataTotal!$B:$B,$A124,RawDataTotal!BB:BB)</f>
        <v>1</v>
      </c>
      <c r="AZ124">
        <f>SUMIF(RawDataTotal!$B:$B,$A124,RawDataTotal!BC:BC)</f>
        <v>1</v>
      </c>
      <c r="BA124">
        <f>SUMIF(RawDataTotal!$B:$B,$A124,RawDataTotal!BD:BD)</f>
        <v>1</v>
      </c>
      <c r="BB124">
        <f>SUMIF(RawDataTotal!$B:$B,$A124,RawDataTotal!BE:BE)</f>
        <v>1</v>
      </c>
      <c r="BC124">
        <f>SUMIF(RawDataTotal!$B:$B,$A124,RawDataTotal!BF:BF)</f>
        <v>1</v>
      </c>
      <c r="BD124">
        <f>SUMIF(RawDataTotal!$B:$B,$A124,RawDataTotal!BG:BG)</f>
        <v>1</v>
      </c>
      <c r="BE124">
        <f>SUMIF(RawDataTotal!$B:$B,$A124,RawDataTotal!BH:BH)</f>
        <v>1</v>
      </c>
      <c r="BF124">
        <f>SUMIF(RawDataTotal!$B:$B,$A124,RawDataTotal!BI:BI)</f>
        <v>0</v>
      </c>
      <c r="BG124">
        <f>SUMIF(RawDataTotal!$B:$B,$A124,RawDataTotal!BJ:BJ)</f>
        <v>0</v>
      </c>
      <c r="BH124">
        <f>SUMIF(RawDataTotal!$B:$B,$A124,RawDataTotal!BK:BK)</f>
        <v>0</v>
      </c>
      <c r="BI124">
        <f>SUMIF(RawDataTotal!$B:$B,$A124,RawDataTotal!BL:BL)</f>
        <v>0</v>
      </c>
      <c r="BJ124">
        <f>SUMIF(RawDataTotal!$B:$B,$A124,RawDataTotal!BM:BM)</f>
        <v>0</v>
      </c>
      <c r="BK124">
        <f>SUMIF(RawDataTotal!$B:$B,$A124,RawDataTotal!BN:BN)</f>
        <v>0</v>
      </c>
      <c r="BL124">
        <f>SUMIF(RawDataTotal!$B:$B,$A124,RawDataTotal!BO:BO)</f>
        <v>0</v>
      </c>
      <c r="BM124">
        <f>SUMIF(RawDataTotal!$B:$B,$A124,RawDataTotal!BP:BP)</f>
        <v>0</v>
      </c>
      <c r="BN124">
        <f>SUMIF(RawDataTotal!$B:$B,$A124,RawDataTotal!BQ:BQ)</f>
        <v>0</v>
      </c>
      <c r="BO124">
        <f>SUMIF(RawDataTotal!$B:$B,$A124,RawDataTotal!BR:BR)</f>
        <v>0</v>
      </c>
      <c r="BP124">
        <f>SUMIF(RawDataTotal!$B:$B,$A124,RawDataTotal!BS:BS)</f>
        <v>0</v>
      </c>
      <c r="BQ124">
        <f>SUMIF(RawDataTotal!$B:$B,$A124,RawDataTotal!BT:BT)</f>
        <v>0</v>
      </c>
      <c r="BR124">
        <f>SUMIF(RawDataTotal!$B:$B,$A124,RawDataTotal!BU:BU)</f>
        <v>0</v>
      </c>
      <c r="BS124">
        <f>SUMIF(RawDataTotal!$B:$B,$A124,RawDataTotal!BV:BV)</f>
        <v>0</v>
      </c>
      <c r="BT124">
        <f>SUMIF(RawDataTotal!$B:$B,$A124,RawDataTotal!BW:BW)</f>
        <v>0</v>
      </c>
    </row>
    <row r="125" spans="1:72" ht="15" thickBot="1" x14ac:dyDescent="0.35">
      <c r="A125" s="3" t="s">
        <v>448</v>
      </c>
      <c r="B125">
        <f>SUMIF(RawDataTotal!$B:$B,$A125,RawDataTotal!E:E)</f>
        <v>0</v>
      </c>
      <c r="C125">
        <f>SUMIF(RawDataTotal!$B:$B,$A125,RawDataTotal!F:F)</f>
        <v>0</v>
      </c>
      <c r="D125">
        <f>SUMIF(RawDataTotal!$B:$B,$A125,RawDataTotal!G:G)</f>
        <v>0</v>
      </c>
      <c r="E125">
        <f>SUMIF(RawDataTotal!$B:$B,$A125,RawDataTotal!H:H)</f>
        <v>0</v>
      </c>
      <c r="F125">
        <f>SUMIF(RawDataTotal!$B:$B,$A125,RawDataTotal!I:I)</f>
        <v>0</v>
      </c>
      <c r="G125">
        <f>SUMIF(RawDataTotal!$B:$B,$A125,RawDataTotal!J:J)</f>
        <v>0</v>
      </c>
      <c r="H125">
        <f>SUMIF(RawDataTotal!$B:$B,$A125,RawDataTotal!K:K)</f>
        <v>0</v>
      </c>
      <c r="I125">
        <f>SUMIF(RawDataTotal!$B:$B,$A125,RawDataTotal!L:L)</f>
        <v>0</v>
      </c>
      <c r="J125">
        <f>SUMIF(RawDataTotal!$B:$B,$A125,RawDataTotal!M:M)</f>
        <v>0</v>
      </c>
      <c r="K125">
        <f>SUMIF(RawDataTotal!$B:$B,$A125,RawDataTotal!N:N)</f>
        <v>0</v>
      </c>
      <c r="L125">
        <f>SUMIF(RawDataTotal!$B:$B,$A125,RawDataTotal!O:O)</f>
        <v>0</v>
      </c>
      <c r="M125">
        <f>SUMIF(RawDataTotal!$B:$B,$A125,RawDataTotal!P:P)</f>
        <v>0</v>
      </c>
      <c r="N125">
        <f>SUMIF(RawDataTotal!$B:$B,$A125,RawDataTotal!Q:Q)</f>
        <v>0</v>
      </c>
      <c r="O125">
        <f>SUMIF(RawDataTotal!$B:$B,$A125,RawDataTotal!R:R)</f>
        <v>0</v>
      </c>
      <c r="P125">
        <f>SUMIF(RawDataTotal!$B:$B,$A125,RawDataTotal!S:S)</f>
        <v>0</v>
      </c>
      <c r="Q125">
        <f>SUMIF(RawDataTotal!$B:$B,$A125,RawDataTotal!T:T)</f>
        <v>0</v>
      </c>
      <c r="R125">
        <f>SUMIF(RawDataTotal!$B:$B,$A125,RawDataTotal!U:U)</f>
        <v>0</v>
      </c>
      <c r="S125">
        <f>SUMIF(RawDataTotal!$B:$B,$A125,RawDataTotal!V:V)</f>
        <v>0</v>
      </c>
      <c r="T125">
        <f>SUMIF(RawDataTotal!$B:$B,$A125,RawDataTotal!W:W)</f>
        <v>0</v>
      </c>
      <c r="U125">
        <f>SUMIF(RawDataTotal!$B:$B,$A125,RawDataTotal!X:X)</f>
        <v>0</v>
      </c>
      <c r="V125">
        <f>SUMIF(RawDataTotal!$B:$B,$A125,RawDataTotal!Y:Y)</f>
        <v>0</v>
      </c>
      <c r="W125">
        <f>SUMIF(RawDataTotal!$B:$B,$A125,RawDataTotal!Z:Z)</f>
        <v>0</v>
      </c>
      <c r="X125">
        <f>SUMIF(RawDataTotal!$B:$B,$A125,RawDataTotal!AA:AA)</f>
        <v>0</v>
      </c>
      <c r="Y125">
        <f>SUMIF(RawDataTotal!$B:$B,$A125,RawDataTotal!AB:AB)</f>
        <v>0</v>
      </c>
      <c r="Z125">
        <f>SUMIF(RawDataTotal!$B:$B,$A125,RawDataTotal!AC:AC)</f>
        <v>0</v>
      </c>
      <c r="AA125">
        <f>SUMIF(RawDataTotal!$B:$B,$A125,RawDataTotal!AD:AD)</f>
        <v>0</v>
      </c>
      <c r="AB125">
        <f>SUMIF(RawDataTotal!$B:$B,$A125,RawDataTotal!AE:AE)</f>
        <v>0</v>
      </c>
      <c r="AC125">
        <f>SUMIF(RawDataTotal!$B:$B,$A125,RawDataTotal!AF:AF)</f>
        <v>0</v>
      </c>
      <c r="AD125">
        <f>SUMIF(RawDataTotal!$B:$B,$A125,RawDataTotal!AG:AG)</f>
        <v>0</v>
      </c>
      <c r="AE125">
        <f>SUMIF(RawDataTotal!$B:$B,$A125,RawDataTotal!AH:AH)</f>
        <v>0</v>
      </c>
      <c r="AF125">
        <f>SUMIF(RawDataTotal!$B:$B,$A125,RawDataTotal!AI:AI)</f>
        <v>0</v>
      </c>
      <c r="AG125">
        <f>SUMIF(RawDataTotal!$B:$B,$A125,RawDataTotal!AJ:AJ)</f>
        <v>0</v>
      </c>
      <c r="AH125">
        <f>SUMIF(RawDataTotal!$B:$B,$A125,RawDataTotal!AK:AK)</f>
        <v>0</v>
      </c>
      <c r="AI125">
        <f>SUMIF(RawDataTotal!$B:$B,$A125,RawDataTotal!AL:AL)</f>
        <v>0</v>
      </c>
      <c r="AJ125">
        <f>SUMIF(RawDataTotal!$B:$B,$A125,RawDataTotal!AM:AM)</f>
        <v>0</v>
      </c>
      <c r="AK125">
        <f>SUMIF(RawDataTotal!$B:$B,$A125,RawDataTotal!AN:AN)</f>
        <v>0</v>
      </c>
      <c r="AL125">
        <f>SUMIF(RawDataTotal!$B:$B,$A125,RawDataTotal!AO:AO)</f>
        <v>0</v>
      </c>
      <c r="AM125">
        <f>SUMIF(RawDataTotal!$B:$B,$A125,RawDataTotal!AP:AP)</f>
        <v>0</v>
      </c>
      <c r="AN125">
        <f>SUMIF(RawDataTotal!$B:$B,$A125,RawDataTotal!AQ:AQ)</f>
        <v>0</v>
      </c>
      <c r="AO125">
        <f>SUMIF(RawDataTotal!$B:$B,$A125,RawDataTotal!AR:AR)</f>
        <v>0</v>
      </c>
      <c r="AP125">
        <f>SUMIF(RawDataTotal!$B:$B,$A125,RawDataTotal!AS:AS)</f>
        <v>0</v>
      </c>
      <c r="AQ125">
        <f>SUMIF(RawDataTotal!$B:$B,$A125,RawDataTotal!AT:AT)</f>
        <v>0</v>
      </c>
      <c r="AR125">
        <f>SUMIF(RawDataTotal!$B:$B,$A125,RawDataTotal!AU:AU)</f>
        <v>0</v>
      </c>
      <c r="AS125">
        <f>SUMIF(RawDataTotal!$B:$B,$A125,RawDataTotal!AV:AV)</f>
        <v>0</v>
      </c>
      <c r="AT125">
        <f>SUMIF(RawDataTotal!$B:$B,$A125,RawDataTotal!AW:AW)</f>
        <v>0</v>
      </c>
      <c r="AU125">
        <f>SUMIF(RawDataTotal!$B:$B,$A125,RawDataTotal!AX:AX)</f>
        <v>0</v>
      </c>
      <c r="AV125">
        <f>SUMIF(RawDataTotal!$B:$B,$A125,RawDataTotal!AY:AY)</f>
        <v>0</v>
      </c>
      <c r="AW125">
        <f>SUMIF(RawDataTotal!$B:$B,$A125,RawDataTotal!AZ:AZ)</f>
        <v>0</v>
      </c>
      <c r="AX125">
        <f>SUMIF(RawDataTotal!$B:$B,$A125,RawDataTotal!BA:BA)</f>
        <v>0</v>
      </c>
      <c r="AY125">
        <f>SUMIF(RawDataTotal!$B:$B,$A125,RawDataTotal!BB:BB)</f>
        <v>0</v>
      </c>
      <c r="AZ125">
        <f>SUMIF(RawDataTotal!$B:$B,$A125,RawDataTotal!BC:BC)</f>
        <v>0</v>
      </c>
      <c r="BA125">
        <f>SUMIF(RawDataTotal!$B:$B,$A125,RawDataTotal!BD:BD)</f>
        <v>1</v>
      </c>
      <c r="BB125">
        <f>SUMIF(RawDataTotal!$B:$B,$A125,RawDataTotal!BE:BE)</f>
        <v>1</v>
      </c>
      <c r="BC125">
        <f>SUMIF(RawDataTotal!$B:$B,$A125,RawDataTotal!BF:BF)</f>
        <v>1</v>
      </c>
      <c r="BD125">
        <f>SUMIF(RawDataTotal!$B:$B,$A125,RawDataTotal!BG:BG)</f>
        <v>1</v>
      </c>
      <c r="BE125">
        <f>SUMIF(RawDataTotal!$B:$B,$A125,RawDataTotal!BH:BH)</f>
        <v>1</v>
      </c>
      <c r="BF125">
        <f>SUMIF(RawDataTotal!$B:$B,$A125,RawDataTotal!BI:BI)</f>
        <v>0</v>
      </c>
      <c r="BG125">
        <f>SUMIF(RawDataTotal!$B:$B,$A125,RawDataTotal!BJ:BJ)</f>
        <v>0</v>
      </c>
      <c r="BH125">
        <f>SUMIF(RawDataTotal!$B:$B,$A125,RawDataTotal!BK:BK)</f>
        <v>0</v>
      </c>
      <c r="BI125">
        <f>SUMIF(RawDataTotal!$B:$B,$A125,RawDataTotal!BL:BL)</f>
        <v>0</v>
      </c>
      <c r="BJ125">
        <f>SUMIF(RawDataTotal!$B:$B,$A125,RawDataTotal!BM:BM)</f>
        <v>0</v>
      </c>
      <c r="BK125">
        <f>SUMIF(RawDataTotal!$B:$B,$A125,RawDataTotal!BN:BN)</f>
        <v>0</v>
      </c>
      <c r="BL125">
        <f>SUMIF(RawDataTotal!$B:$B,$A125,RawDataTotal!BO:BO)</f>
        <v>0</v>
      </c>
      <c r="BM125">
        <f>SUMIF(RawDataTotal!$B:$B,$A125,RawDataTotal!BP:BP)</f>
        <v>0</v>
      </c>
      <c r="BN125">
        <f>SUMIF(RawDataTotal!$B:$B,$A125,RawDataTotal!BQ:BQ)</f>
        <v>0</v>
      </c>
      <c r="BO125">
        <f>SUMIF(RawDataTotal!$B:$B,$A125,RawDataTotal!BR:BR)</f>
        <v>0</v>
      </c>
      <c r="BP125">
        <f>SUMIF(RawDataTotal!$B:$B,$A125,RawDataTotal!BS:BS)</f>
        <v>0</v>
      </c>
      <c r="BQ125">
        <f>SUMIF(RawDataTotal!$B:$B,$A125,RawDataTotal!BT:BT)</f>
        <v>0</v>
      </c>
      <c r="BR125">
        <f>SUMIF(RawDataTotal!$B:$B,$A125,RawDataTotal!BU:BU)</f>
        <v>0</v>
      </c>
      <c r="BS125">
        <f>SUMIF(RawDataTotal!$B:$B,$A125,RawDataTotal!BV:BV)</f>
        <v>0</v>
      </c>
      <c r="BT125">
        <f>SUMIF(RawDataTotal!$B:$B,$A125,RawDataTotal!BW:BW)</f>
        <v>0</v>
      </c>
    </row>
    <row r="126" spans="1:72" ht="15" thickBot="1" x14ac:dyDescent="0.35">
      <c r="A126" s="3" t="s">
        <v>190</v>
      </c>
      <c r="B126">
        <f>SUMIF(RawDataTotal!$B:$B,$A126,RawDataTotal!E:E)</f>
        <v>0</v>
      </c>
      <c r="C126">
        <f>SUMIF(RawDataTotal!$B:$B,$A126,RawDataTotal!F:F)</f>
        <v>0</v>
      </c>
      <c r="D126">
        <f>SUMIF(RawDataTotal!$B:$B,$A126,RawDataTotal!G:G)</f>
        <v>0</v>
      </c>
      <c r="E126">
        <f>SUMIF(RawDataTotal!$B:$B,$A126,RawDataTotal!H:H)</f>
        <v>0</v>
      </c>
      <c r="F126">
        <f>SUMIF(RawDataTotal!$B:$B,$A126,RawDataTotal!I:I)</f>
        <v>0</v>
      </c>
      <c r="G126">
        <f>SUMIF(RawDataTotal!$B:$B,$A126,RawDataTotal!J:J)</f>
        <v>0</v>
      </c>
      <c r="H126">
        <f>SUMIF(RawDataTotal!$B:$B,$A126,RawDataTotal!K:K)</f>
        <v>0</v>
      </c>
      <c r="I126">
        <f>SUMIF(RawDataTotal!$B:$B,$A126,RawDataTotal!L:L)</f>
        <v>0</v>
      </c>
      <c r="J126">
        <f>SUMIF(RawDataTotal!$B:$B,$A126,RawDataTotal!M:M)</f>
        <v>0</v>
      </c>
      <c r="K126">
        <f>SUMIF(RawDataTotal!$B:$B,$A126,RawDataTotal!N:N)</f>
        <v>0</v>
      </c>
      <c r="L126">
        <f>SUMIF(RawDataTotal!$B:$B,$A126,RawDataTotal!O:O)</f>
        <v>0</v>
      </c>
      <c r="M126">
        <f>SUMIF(RawDataTotal!$B:$B,$A126,RawDataTotal!P:P)</f>
        <v>0</v>
      </c>
      <c r="N126">
        <f>SUMIF(RawDataTotal!$B:$B,$A126,RawDataTotal!Q:Q)</f>
        <v>0</v>
      </c>
      <c r="O126">
        <f>SUMIF(RawDataTotal!$B:$B,$A126,RawDataTotal!R:R)</f>
        <v>0</v>
      </c>
      <c r="P126">
        <f>SUMIF(RawDataTotal!$B:$B,$A126,RawDataTotal!S:S)</f>
        <v>0</v>
      </c>
      <c r="Q126">
        <f>SUMIF(RawDataTotal!$B:$B,$A126,RawDataTotal!T:T)</f>
        <v>0</v>
      </c>
      <c r="R126">
        <f>SUMIF(RawDataTotal!$B:$B,$A126,RawDataTotal!U:U)</f>
        <v>0</v>
      </c>
      <c r="S126">
        <f>SUMIF(RawDataTotal!$B:$B,$A126,RawDataTotal!V:V)</f>
        <v>0</v>
      </c>
      <c r="T126">
        <f>SUMIF(RawDataTotal!$B:$B,$A126,RawDataTotal!W:W)</f>
        <v>0</v>
      </c>
      <c r="U126">
        <f>SUMIF(RawDataTotal!$B:$B,$A126,RawDataTotal!X:X)</f>
        <v>0</v>
      </c>
      <c r="V126">
        <f>SUMIF(RawDataTotal!$B:$B,$A126,RawDataTotal!Y:Y)</f>
        <v>0</v>
      </c>
      <c r="W126">
        <f>SUMIF(RawDataTotal!$B:$B,$A126,RawDataTotal!Z:Z)</f>
        <v>0</v>
      </c>
      <c r="X126">
        <f>SUMIF(RawDataTotal!$B:$B,$A126,RawDataTotal!AA:AA)</f>
        <v>0</v>
      </c>
      <c r="Y126">
        <f>SUMIF(RawDataTotal!$B:$B,$A126,RawDataTotal!AB:AB)</f>
        <v>0</v>
      </c>
      <c r="Z126">
        <f>SUMIF(RawDataTotal!$B:$B,$A126,RawDataTotal!AC:AC)</f>
        <v>0</v>
      </c>
      <c r="AA126">
        <f>SUMIF(RawDataTotal!$B:$B,$A126,RawDataTotal!AD:AD)</f>
        <v>0</v>
      </c>
      <c r="AB126">
        <f>SUMIF(RawDataTotal!$B:$B,$A126,RawDataTotal!AE:AE)</f>
        <v>0</v>
      </c>
      <c r="AC126">
        <f>SUMIF(RawDataTotal!$B:$B,$A126,RawDataTotal!AF:AF)</f>
        <v>0</v>
      </c>
      <c r="AD126">
        <f>SUMIF(RawDataTotal!$B:$B,$A126,RawDataTotal!AG:AG)</f>
        <v>0</v>
      </c>
      <c r="AE126">
        <f>SUMIF(RawDataTotal!$B:$B,$A126,RawDataTotal!AH:AH)</f>
        <v>0</v>
      </c>
      <c r="AF126">
        <f>SUMIF(RawDataTotal!$B:$B,$A126,RawDataTotal!AI:AI)</f>
        <v>0</v>
      </c>
      <c r="AG126">
        <f>SUMIF(RawDataTotal!$B:$B,$A126,RawDataTotal!AJ:AJ)</f>
        <v>0</v>
      </c>
      <c r="AH126">
        <f>SUMIF(RawDataTotal!$B:$B,$A126,RawDataTotal!AK:AK)</f>
        <v>0</v>
      </c>
      <c r="AI126">
        <f>SUMIF(RawDataTotal!$B:$B,$A126,RawDataTotal!AL:AL)</f>
        <v>0</v>
      </c>
      <c r="AJ126">
        <f>SUMIF(RawDataTotal!$B:$B,$A126,RawDataTotal!AM:AM)</f>
        <v>0</v>
      </c>
      <c r="AK126">
        <f>SUMIF(RawDataTotal!$B:$B,$A126,RawDataTotal!AN:AN)</f>
        <v>0</v>
      </c>
      <c r="AL126">
        <f>SUMIF(RawDataTotal!$B:$B,$A126,RawDataTotal!AO:AO)</f>
        <v>0</v>
      </c>
      <c r="AM126">
        <f>SUMIF(RawDataTotal!$B:$B,$A126,RawDataTotal!AP:AP)</f>
        <v>0</v>
      </c>
      <c r="AN126">
        <f>SUMIF(RawDataTotal!$B:$B,$A126,RawDataTotal!AQ:AQ)</f>
        <v>0</v>
      </c>
      <c r="AO126">
        <f>SUMIF(RawDataTotal!$B:$B,$A126,RawDataTotal!AR:AR)</f>
        <v>0</v>
      </c>
      <c r="AP126">
        <f>SUMIF(RawDataTotal!$B:$B,$A126,RawDataTotal!AS:AS)</f>
        <v>0</v>
      </c>
      <c r="AQ126">
        <f>SUMIF(RawDataTotal!$B:$B,$A126,RawDataTotal!AT:AT)</f>
        <v>0</v>
      </c>
      <c r="AR126">
        <f>SUMIF(RawDataTotal!$B:$B,$A126,RawDataTotal!AU:AU)</f>
        <v>0</v>
      </c>
      <c r="AS126">
        <f>SUMIF(RawDataTotal!$B:$B,$A126,RawDataTotal!AV:AV)</f>
        <v>0</v>
      </c>
      <c r="AT126">
        <f>SUMIF(RawDataTotal!$B:$B,$A126,RawDataTotal!AW:AW)</f>
        <v>1</v>
      </c>
      <c r="AU126">
        <f>SUMIF(RawDataTotal!$B:$B,$A126,RawDataTotal!AX:AX)</f>
        <v>1</v>
      </c>
      <c r="AV126">
        <f>SUMIF(RawDataTotal!$B:$B,$A126,RawDataTotal!AY:AY)</f>
        <v>1</v>
      </c>
      <c r="AW126">
        <f>SUMIF(RawDataTotal!$B:$B,$A126,RawDataTotal!AZ:AZ)</f>
        <v>1</v>
      </c>
      <c r="AX126">
        <f>SUMIF(RawDataTotal!$B:$B,$A126,RawDataTotal!BA:BA)</f>
        <v>1</v>
      </c>
      <c r="AY126">
        <f>SUMIF(RawDataTotal!$B:$B,$A126,RawDataTotal!BB:BB)</f>
        <v>1</v>
      </c>
      <c r="AZ126">
        <f>SUMIF(RawDataTotal!$B:$B,$A126,RawDataTotal!BC:BC)</f>
        <v>1</v>
      </c>
      <c r="BA126">
        <f>SUMIF(RawDataTotal!$B:$B,$A126,RawDataTotal!BD:BD)</f>
        <v>1</v>
      </c>
      <c r="BB126">
        <f>SUMIF(RawDataTotal!$B:$B,$A126,RawDataTotal!BE:BE)</f>
        <v>1</v>
      </c>
      <c r="BC126">
        <f>SUMIF(RawDataTotal!$B:$B,$A126,RawDataTotal!BF:BF)</f>
        <v>1</v>
      </c>
      <c r="BD126">
        <f>SUMIF(RawDataTotal!$B:$B,$A126,RawDataTotal!BG:BG)</f>
        <v>1</v>
      </c>
      <c r="BE126">
        <f>SUMIF(RawDataTotal!$B:$B,$A126,RawDataTotal!BH:BH)</f>
        <v>1</v>
      </c>
      <c r="BF126">
        <f>SUMIF(RawDataTotal!$B:$B,$A126,RawDataTotal!BI:BI)</f>
        <v>0</v>
      </c>
      <c r="BG126">
        <f>SUMIF(RawDataTotal!$B:$B,$A126,RawDataTotal!BJ:BJ)</f>
        <v>0</v>
      </c>
      <c r="BH126">
        <f>SUMIF(RawDataTotal!$B:$B,$A126,RawDataTotal!BK:BK)</f>
        <v>0</v>
      </c>
      <c r="BI126">
        <f>SUMIF(RawDataTotal!$B:$B,$A126,RawDataTotal!BL:BL)</f>
        <v>0</v>
      </c>
      <c r="BJ126">
        <f>SUMIF(RawDataTotal!$B:$B,$A126,RawDataTotal!BM:BM)</f>
        <v>0</v>
      </c>
      <c r="BK126">
        <f>SUMIF(RawDataTotal!$B:$B,$A126,RawDataTotal!BN:BN)</f>
        <v>0</v>
      </c>
      <c r="BL126">
        <f>SUMIF(RawDataTotal!$B:$B,$A126,RawDataTotal!BO:BO)</f>
        <v>0</v>
      </c>
      <c r="BM126">
        <f>SUMIF(RawDataTotal!$B:$B,$A126,RawDataTotal!BP:BP)</f>
        <v>0</v>
      </c>
      <c r="BN126">
        <f>SUMIF(RawDataTotal!$B:$B,$A126,RawDataTotal!BQ:BQ)</f>
        <v>0</v>
      </c>
      <c r="BO126">
        <f>SUMIF(RawDataTotal!$B:$B,$A126,RawDataTotal!BR:BR)</f>
        <v>0</v>
      </c>
      <c r="BP126">
        <f>SUMIF(RawDataTotal!$B:$B,$A126,RawDataTotal!BS:BS)</f>
        <v>0</v>
      </c>
      <c r="BQ126">
        <f>SUMIF(RawDataTotal!$B:$B,$A126,RawDataTotal!BT:BT)</f>
        <v>0</v>
      </c>
      <c r="BR126">
        <f>SUMIF(RawDataTotal!$B:$B,$A126,RawDataTotal!BU:BU)</f>
        <v>0</v>
      </c>
      <c r="BS126">
        <f>SUMIF(RawDataTotal!$B:$B,$A126,RawDataTotal!BV:BV)</f>
        <v>0</v>
      </c>
      <c r="BT126">
        <f>SUMIF(RawDataTotal!$B:$B,$A126,RawDataTotal!BW:BW)</f>
        <v>0</v>
      </c>
    </row>
  </sheetData>
  <autoFilter ref="A1:BA1" xr:uid="{00000000-0009-0000-0000-000003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324B8-203E-489E-B09E-6DE0725DF50F}">
  <dimension ref="A1:BT126"/>
  <sheetViews>
    <sheetView topLeftCell="AX1" workbookViewId="0">
      <selection activeCell="B2" sqref="B2:BT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365</v>
      </c>
      <c r="B2">
        <f>SUMIF(RawDataRecovered!$B:$B,$A2,RawDataRecovered!E:E)</f>
        <v>28</v>
      </c>
      <c r="C2">
        <f>SUMIF(RawDataRecovered!$B:$B,$A2,RawDataRecovered!F:F)</f>
        <v>30</v>
      </c>
      <c r="D2">
        <f>SUMIF(RawDataRecovered!$B:$B,$A2,RawDataRecovered!G:G)</f>
        <v>36</v>
      </c>
      <c r="E2">
        <f>SUMIF(RawDataRecovered!$B:$B,$A2,RawDataRecovered!H:H)</f>
        <v>39</v>
      </c>
      <c r="F2">
        <f>SUMIF(RawDataRecovered!$B:$B,$A2,RawDataRecovered!I:I)</f>
        <v>49</v>
      </c>
      <c r="G2">
        <f>SUMIF(RawDataRecovered!$B:$B,$A2,RawDataRecovered!J:J)</f>
        <v>58</v>
      </c>
      <c r="H2">
        <f>SUMIF(RawDataRecovered!$B:$B,$A2,RawDataRecovered!K:K)</f>
        <v>101</v>
      </c>
      <c r="I2">
        <f>SUMIF(RawDataRecovered!$B:$B,$A2,RawDataRecovered!L:L)</f>
        <v>120</v>
      </c>
      <c r="J2">
        <f>SUMIF(RawDataRecovered!$B:$B,$A2,RawDataRecovered!M:M)</f>
        <v>135</v>
      </c>
      <c r="K2">
        <f>SUMIF(RawDataRecovered!$B:$B,$A2,RawDataRecovered!N:N)</f>
        <v>214</v>
      </c>
      <c r="L2">
        <f>SUMIF(RawDataRecovered!$B:$B,$A2,RawDataRecovered!O:O)</f>
        <v>275</v>
      </c>
      <c r="M2">
        <f>SUMIF(RawDataRecovered!$B:$B,$A2,RawDataRecovered!P:P)</f>
        <v>463</v>
      </c>
      <c r="N2">
        <f>SUMIF(RawDataRecovered!$B:$B,$A2,RawDataRecovered!Q:Q)</f>
        <v>614</v>
      </c>
      <c r="O2">
        <f>SUMIF(RawDataRecovered!$B:$B,$A2,RawDataRecovered!R:R)</f>
        <v>843</v>
      </c>
      <c r="P2">
        <f>SUMIF(RawDataRecovered!$B:$B,$A2,RawDataRecovered!S:S)</f>
        <v>1115</v>
      </c>
      <c r="Q2">
        <f>SUMIF(RawDataRecovered!$B:$B,$A2,RawDataRecovered!T:T)</f>
        <v>1477</v>
      </c>
      <c r="R2">
        <f>SUMIF(RawDataRecovered!$B:$B,$A2,RawDataRecovered!U:U)</f>
        <v>1999</v>
      </c>
      <c r="S2">
        <f>SUMIF(RawDataRecovered!$B:$B,$A2,RawDataRecovered!V:V)</f>
        <v>2596</v>
      </c>
      <c r="T2">
        <f>SUMIF(RawDataRecovered!$B:$B,$A2,RawDataRecovered!W:W)</f>
        <v>3219</v>
      </c>
      <c r="U2">
        <f>SUMIF(RawDataRecovered!$B:$B,$A2,RawDataRecovered!X:X)</f>
        <v>3918</v>
      </c>
      <c r="V2">
        <f>SUMIF(RawDataRecovered!$B:$B,$A2,RawDataRecovered!Y:Y)</f>
        <v>4636</v>
      </c>
      <c r="W2">
        <f>SUMIF(RawDataRecovered!$B:$B,$A2,RawDataRecovered!Z:Z)</f>
        <v>5082</v>
      </c>
      <c r="X2">
        <f>SUMIF(RawDataRecovered!$B:$B,$A2,RawDataRecovered!AA:AA)</f>
        <v>6217</v>
      </c>
      <c r="Y2">
        <f>SUMIF(RawDataRecovered!$B:$B,$A2,RawDataRecovered!AB:AB)</f>
        <v>7977</v>
      </c>
      <c r="Z2">
        <f>SUMIF(RawDataRecovered!$B:$B,$A2,RawDataRecovered!AC:AC)</f>
        <v>9298</v>
      </c>
      <c r="AA2">
        <f>SUMIF(RawDataRecovered!$B:$B,$A2,RawDataRecovered!AD:AD)</f>
        <v>10755</v>
      </c>
      <c r="AB2">
        <f>SUMIF(RawDataRecovered!$B:$B,$A2,RawDataRecovered!AE:AE)</f>
        <v>12462</v>
      </c>
      <c r="AC2">
        <f>SUMIF(RawDataRecovered!$B:$B,$A2,RawDataRecovered!AF:AF)</f>
        <v>14206</v>
      </c>
      <c r="AD2">
        <f>SUMIF(RawDataRecovered!$B:$B,$A2,RawDataRecovered!AG:AG)</f>
        <v>15962</v>
      </c>
      <c r="AE2">
        <f>SUMIF(RawDataRecovered!$B:$B,$A2,RawDataRecovered!AH:AH)</f>
        <v>18014</v>
      </c>
      <c r="AF2">
        <f>SUMIF(RawDataRecovered!$B:$B,$A2,RawDataRecovered!AI:AI)</f>
        <v>18704</v>
      </c>
      <c r="AG2">
        <f>SUMIF(RawDataRecovered!$B:$B,$A2,RawDataRecovered!AJ:AJ)</f>
        <v>22699</v>
      </c>
      <c r="AH2">
        <f>SUMIF(RawDataRecovered!$B:$B,$A2,RawDataRecovered!AK:AK)</f>
        <v>23187</v>
      </c>
      <c r="AI2">
        <f>SUMIF(RawDataRecovered!$B:$B,$A2,RawDataRecovered!AL:AL)</f>
        <v>25015</v>
      </c>
      <c r="AJ2">
        <f>SUMIF(RawDataRecovered!$B:$B,$A2,RawDataRecovered!AM:AM)</f>
        <v>27676</v>
      </c>
      <c r="AK2">
        <f>SUMIF(RawDataRecovered!$B:$B,$A2,RawDataRecovered!AN:AN)</f>
        <v>30084</v>
      </c>
      <c r="AL2">
        <f>SUMIF(RawDataRecovered!$B:$B,$A2,RawDataRecovered!AO:AO)</f>
        <v>32930</v>
      </c>
      <c r="AM2">
        <f>SUMIF(RawDataRecovered!$B:$B,$A2,RawDataRecovered!AP:AP)</f>
        <v>36329</v>
      </c>
      <c r="AN2">
        <f>SUMIF(RawDataRecovered!$B:$B,$A2,RawDataRecovered!AQ:AQ)</f>
        <v>39320</v>
      </c>
      <c r="AO2">
        <f>SUMIF(RawDataRecovered!$B:$B,$A2,RawDataRecovered!AR:AR)</f>
        <v>42162</v>
      </c>
      <c r="AP2">
        <f>SUMIF(RawDataRecovered!$B:$B,$A2,RawDataRecovered!AS:AS)</f>
        <v>44854</v>
      </c>
      <c r="AQ2">
        <f>SUMIF(RawDataRecovered!$B:$B,$A2,RawDataRecovered!AT:AT)</f>
        <v>47450</v>
      </c>
      <c r="AR2">
        <f>SUMIF(RawDataRecovered!$B:$B,$A2,RawDataRecovered!AU:AU)</f>
        <v>50001</v>
      </c>
      <c r="AS2">
        <f>SUMIF(RawDataRecovered!$B:$B,$A2,RawDataRecovered!AV:AV)</f>
        <v>52292</v>
      </c>
      <c r="AT2">
        <f>SUMIF(RawDataRecovered!$B:$B,$A2,RawDataRecovered!AW:AW)</f>
        <v>53944</v>
      </c>
      <c r="AU2">
        <f>SUMIF(RawDataRecovered!$B:$B,$A2,RawDataRecovered!AX:AX)</f>
        <v>55539</v>
      </c>
      <c r="AV2">
        <f>SUMIF(RawDataRecovered!$B:$B,$A2,RawDataRecovered!AY:AY)</f>
        <v>57388</v>
      </c>
      <c r="AW2">
        <f>SUMIF(RawDataRecovered!$B:$B,$A2,RawDataRecovered!AZ:AZ)</f>
        <v>58804</v>
      </c>
      <c r="AX2">
        <f>SUMIF(RawDataRecovered!$B:$B,$A2,RawDataRecovered!BA:BA)</f>
        <v>60181</v>
      </c>
      <c r="AY2">
        <f>SUMIF(RawDataRecovered!$B:$B,$A2,RawDataRecovered!BB:BB)</f>
        <v>61644</v>
      </c>
      <c r="AZ2">
        <f>SUMIF(RawDataRecovered!$B:$B,$A2,RawDataRecovered!BC:BC)</f>
        <v>62901</v>
      </c>
      <c r="BA2">
        <f>SUMIF(RawDataRecovered!$B:$B,$A2,RawDataRecovered!BD:BD)</f>
        <v>64196</v>
      </c>
      <c r="BB2">
        <f>SUMIF(RawDataRecovered!$B:$B,$A2,RawDataRecovered!BE:BE)</f>
        <v>65660</v>
      </c>
      <c r="BC2">
        <f>SUMIF(RawDataRecovered!$B:$B,$A2,RawDataRecovered!BF:BF)</f>
        <v>67017</v>
      </c>
      <c r="BD2">
        <f>SUMIF(RawDataRecovered!$B:$B,$A2,RawDataRecovered!BG:BG)</f>
        <v>67910</v>
      </c>
      <c r="BE2">
        <f>SUMIF(RawDataRecovered!$B:$B,$A2,RawDataRecovered!BH:BH)</f>
        <v>68798</v>
      </c>
      <c r="BF2">
        <f>SUMIF(RawDataRecovered!$B:$B,$A2,RawDataRecovered!BI:BI)</f>
        <v>0</v>
      </c>
      <c r="BG2">
        <f>SUMIF(RawDataRecovered!$B:$B,$A2,RawDataRecovered!BJ:BJ)</f>
        <v>0</v>
      </c>
      <c r="BH2">
        <f>SUMIF(RawDataRecovered!$B:$B,$A2,RawDataRecovered!BK:BK)</f>
        <v>0</v>
      </c>
      <c r="BI2">
        <f>SUMIF(RawDataRecovered!$B:$B,$A2,RawDataRecovered!BL:BL)</f>
        <v>0</v>
      </c>
      <c r="BJ2">
        <f>SUMIF(RawDataRecovered!$B:$B,$A2,RawDataRecovered!BM:BM)</f>
        <v>0</v>
      </c>
      <c r="BK2">
        <f>SUMIF(RawDataRecovered!$B:$B,$A2,RawDataRecovered!BN:BN)</f>
        <v>0</v>
      </c>
      <c r="BL2">
        <f>SUMIF(RawDataRecovered!$B:$B,$A2,RawDataRecovered!BO:BO)</f>
        <v>0</v>
      </c>
      <c r="BM2">
        <f>SUMIF(RawDataRecovered!$B:$B,$A2,RawDataRecovered!BP:BP)</f>
        <v>0</v>
      </c>
      <c r="BN2">
        <f>SUMIF(RawDataRecovered!$B:$B,$A2,RawDataRecovered!BQ:BQ)</f>
        <v>0</v>
      </c>
      <c r="BO2">
        <f>SUMIF(RawDataRecovered!$B:$B,$A2,RawDataRecovered!BR:BR)</f>
        <v>0</v>
      </c>
      <c r="BP2">
        <f>SUMIF(RawDataRecovered!$B:$B,$A2,RawDataRecovered!BS:BS)</f>
        <v>0</v>
      </c>
      <c r="BQ2">
        <f>SUMIF(RawDataRecovered!$B:$B,$A2,RawDataRecovered!BT:BT)</f>
        <v>0</v>
      </c>
      <c r="BR2">
        <f>SUMIF(RawDataRecovered!$B:$B,$A2,RawDataRecovered!BU:BU)</f>
        <v>0</v>
      </c>
      <c r="BS2">
        <f>SUMIF(RawDataRecovered!$B:$B,$A2,RawDataRecovered!BV:BV)</f>
        <v>0</v>
      </c>
      <c r="BT2">
        <f>SUMIF(RawDataRecovered!$B:$B,$A2,RawDataRecovered!BW:BW)</f>
        <v>0</v>
      </c>
    </row>
    <row r="3" spans="1:72" ht="15" thickBot="1" x14ac:dyDescent="0.35">
      <c r="A3" s="3" t="s">
        <v>85</v>
      </c>
      <c r="B3">
        <f>SUMIF(RawDataRecovered!$B:$B,$A3,RawDataRecovered!E:E)</f>
        <v>0</v>
      </c>
      <c r="C3">
        <f>SUMIF(RawDataRecovered!$B:$B,$A3,RawDataRecovered!F:F)</f>
        <v>0</v>
      </c>
      <c r="D3">
        <f>SUMIF(RawDataRecovered!$B:$B,$A3,RawDataRecovered!G:G)</f>
        <v>0</v>
      </c>
      <c r="E3">
        <f>SUMIF(RawDataRecovered!$B:$B,$A3,RawDataRecovered!H:H)</f>
        <v>0</v>
      </c>
      <c r="F3">
        <f>SUMIF(RawDataRecovered!$B:$B,$A3,RawDataRecovered!I:I)</f>
        <v>0</v>
      </c>
      <c r="G3">
        <f>SUMIF(RawDataRecovered!$B:$B,$A3,RawDataRecovered!J:J)</f>
        <v>0</v>
      </c>
      <c r="H3">
        <f>SUMIF(RawDataRecovered!$B:$B,$A3,RawDataRecovered!K:K)</f>
        <v>0</v>
      </c>
      <c r="I3">
        <f>SUMIF(RawDataRecovered!$B:$B,$A3,RawDataRecovered!L:L)</f>
        <v>0</v>
      </c>
      <c r="J3">
        <f>SUMIF(RawDataRecovered!$B:$B,$A3,RawDataRecovered!M:M)</f>
        <v>0</v>
      </c>
      <c r="K3">
        <f>SUMIF(RawDataRecovered!$B:$B,$A3,RawDataRecovered!N:N)</f>
        <v>0</v>
      </c>
      <c r="L3">
        <f>SUMIF(RawDataRecovered!$B:$B,$A3,RawDataRecovered!O:O)</f>
        <v>0</v>
      </c>
      <c r="M3">
        <f>SUMIF(RawDataRecovered!$B:$B,$A3,RawDataRecovered!P:P)</f>
        <v>0</v>
      </c>
      <c r="N3">
        <f>SUMIF(RawDataRecovered!$B:$B,$A3,RawDataRecovered!Q:Q)</f>
        <v>0</v>
      </c>
      <c r="O3">
        <f>SUMIF(RawDataRecovered!$B:$B,$A3,RawDataRecovered!R:R)</f>
        <v>0</v>
      </c>
      <c r="P3">
        <f>SUMIF(RawDataRecovered!$B:$B,$A3,RawDataRecovered!S:S)</f>
        <v>0</v>
      </c>
      <c r="Q3">
        <f>SUMIF(RawDataRecovered!$B:$B,$A3,RawDataRecovered!T:T)</f>
        <v>0</v>
      </c>
      <c r="R3">
        <f>SUMIF(RawDataRecovered!$B:$B,$A3,RawDataRecovered!U:U)</f>
        <v>0</v>
      </c>
      <c r="S3">
        <f>SUMIF(RawDataRecovered!$B:$B,$A3,RawDataRecovered!V:V)</f>
        <v>0</v>
      </c>
      <c r="T3">
        <f>SUMIF(RawDataRecovered!$B:$B,$A3,RawDataRecovered!W:W)</f>
        <v>0</v>
      </c>
      <c r="U3">
        <f>SUMIF(RawDataRecovered!$B:$B,$A3,RawDataRecovered!X:X)</f>
        <v>0</v>
      </c>
      <c r="V3">
        <f>SUMIF(RawDataRecovered!$B:$B,$A3,RawDataRecovered!Y:Y)</f>
        <v>0</v>
      </c>
      <c r="W3">
        <f>SUMIF(RawDataRecovered!$B:$B,$A3,RawDataRecovered!Z:Z)</f>
        <v>0</v>
      </c>
      <c r="X3">
        <f>SUMIF(RawDataRecovered!$B:$B,$A3,RawDataRecovered!AA:AA)</f>
        <v>0</v>
      </c>
      <c r="Y3">
        <f>SUMIF(RawDataRecovered!$B:$B,$A3,RawDataRecovered!AB:AB)</f>
        <v>0</v>
      </c>
      <c r="Z3">
        <f>SUMIF(RawDataRecovered!$B:$B,$A3,RawDataRecovered!AC:AC)</f>
        <v>0</v>
      </c>
      <c r="AA3">
        <f>SUMIF(RawDataRecovered!$B:$B,$A3,RawDataRecovered!AD:AD)</f>
        <v>0</v>
      </c>
      <c r="AB3">
        <f>SUMIF(RawDataRecovered!$B:$B,$A3,RawDataRecovered!AE:AE)</f>
        <v>0</v>
      </c>
      <c r="AC3">
        <f>SUMIF(RawDataRecovered!$B:$B,$A3,RawDataRecovered!AF:AF)</f>
        <v>0</v>
      </c>
      <c r="AD3">
        <f>SUMIF(RawDataRecovered!$B:$B,$A3,RawDataRecovered!AG:AG)</f>
        <v>0</v>
      </c>
      <c r="AE3">
        <f>SUMIF(RawDataRecovered!$B:$B,$A3,RawDataRecovered!AH:AH)</f>
        <v>0</v>
      </c>
      <c r="AF3">
        <f>SUMIF(RawDataRecovered!$B:$B,$A3,RawDataRecovered!AI:AI)</f>
        <v>0</v>
      </c>
      <c r="AG3">
        <f>SUMIF(RawDataRecovered!$B:$B,$A3,RawDataRecovered!AJ:AJ)</f>
        <v>1</v>
      </c>
      <c r="AH3">
        <f>SUMIF(RawDataRecovered!$B:$B,$A3,RawDataRecovered!AK:AK)</f>
        <v>2</v>
      </c>
      <c r="AI3">
        <f>SUMIF(RawDataRecovered!$B:$B,$A3,RawDataRecovered!AL:AL)</f>
        <v>1</v>
      </c>
      <c r="AJ3">
        <f>SUMIF(RawDataRecovered!$B:$B,$A3,RawDataRecovered!AM:AM)</f>
        <v>1</v>
      </c>
      <c r="AK3">
        <f>SUMIF(RawDataRecovered!$B:$B,$A3,RawDataRecovered!AN:AN)</f>
        <v>3</v>
      </c>
      <c r="AL3">
        <f>SUMIF(RawDataRecovered!$B:$B,$A3,RawDataRecovered!AO:AO)</f>
        <v>45</v>
      </c>
      <c r="AM3">
        <f>SUMIF(RawDataRecovered!$B:$B,$A3,RawDataRecovered!AP:AP)</f>
        <v>46</v>
      </c>
      <c r="AN3">
        <f>SUMIF(RawDataRecovered!$B:$B,$A3,RawDataRecovered!AQ:AQ)</f>
        <v>46</v>
      </c>
      <c r="AO3">
        <f>SUMIF(RawDataRecovered!$B:$B,$A3,RawDataRecovered!AR:AR)</f>
        <v>83</v>
      </c>
      <c r="AP3">
        <f>SUMIF(RawDataRecovered!$B:$B,$A3,RawDataRecovered!AS:AS)</f>
        <v>149</v>
      </c>
      <c r="AQ3">
        <f>SUMIF(RawDataRecovered!$B:$B,$A3,RawDataRecovered!AT:AT)</f>
        <v>160</v>
      </c>
      <c r="AR3">
        <f>SUMIF(RawDataRecovered!$B:$B,$A3,RawDataRecovered!AU:AU)</f>
        <v>276</v>
      </c>
      <c r="AS3">
        <f>SUMIF(RawDataRecovered!$B:$B,$A3,RawDataRecovered!AV:AV)</f>
        <v>414</v>
      </c>
      <c r="AT3">
        <f>SUMIF(RawDataRecovered!$B:$B,$A3,RawDataRecovered!AW:AW)</f>
        <v>523</v>
      </c>
      <c r="AU3">
        <f>SUMIF(RawDataRecovered!$B:$B,$A3,RawDataRecovered!AX:AX)</f>
        <v>589</v>
      </c>
      <c r="AV3">
        <f>SUMIF(RawDataRecovered!$B:$B,$A3,RawDataRecovered!AY:AY)</f>
        <v>622</v>
      </c>
      <c r="AW3">
        <f>SUMIF(RawDataRecovered!$B:$B,$A3,RawDataRecovered!AZ:AZ)</f>
        <v>724</v>
      </c>
      <c r="AX3">
        <f>SUMIF(RawDataRecovered!$B:$B,$A3,RawDataRecovered!BA:BA)</f>
        <v>724</v>
      </c>
      <c r="AY3">
        <f>SUMIF(RawDataRecovered!$B:$B,$A3,RawDataRecovered!BB:BB)</f>
        <v>1045</v>
      </c>
      <c r="AZ3">
        <f>SUMIF(RawDataRecovered!$B:$B,$A3,RawDataRecovered!BC:BC)</f>
        <v>1045</v>
      </c>
      <c r="BA3">
        <f>SUMIF(RawDataRecovered!$B:$B,$A3,RawDataRecovered!BD:BD)</f>
        <v>1439</v>
      </c>
      <c r="BB3">
        <f>SUMIF(RawDataRecovered!$B:$B,$A3,RawDataRecovered!BE:BE)</f>
        <v>1966</v>
      </c>
      <c r="BC3">
        <f>SUMIF(RawDataRecovered!$B:$B,$A3,RawDataRecovered!BF:BF)</f>
        <v>2335</v>
      </c>
      <c r="BD3">
        <f>SUMIF(RawDataRecovered!$B:$B,$A3,RawDataRecovered!BG:BG)</f>
        <v>2749</v>
      </c>
      <c r="BE3">
        <f>SUMIF(RawDataRecovered!$B:$B,$A3,RawDataRecovered!BH:BH)</f>
        <v>2941</v>
      </c>
      <c r="BF3">
        <f>SUMIF(RawDataRecovered!$B:$B,$A3,RawDataRecovered!BI:BI)</f>
        <v>0</v>
      </c>
      <c r="BG3">
        <f>SUMIF(RawDataRecovered!$B:$B,$A3,RawDataRecovered!BJ:BJ)</f>
        <v>0</v>
      </c>
      <c r="BH3">
        <f>SUMIF(RawDataRecovered!$B:$B,$A3,RawDataRecovered!BK:BK)</f>
        <v>0</v>
      </c>
      <c r="BI3">
        <f>SUMIF(RawDataRecovered!$B:$B,$A3,RawDataRecovered!BL:BL)</f>
        <v>0</v>
      </c>
      <c r="BJ3">
        <f>SUMIF(RawDataRecovered!$B:$B,$A3,RawDataRecovered!BM:BM)</f>
        <v>0</v>
      </c>
      <c r="BK3">
        <f>SUMIF(RawDataRecovered!$B:$B,$A3,RawDataRecovered!BN:BN)</f>
        <v>0</v>
      </c>
      <c r="BL3">
        <f>SUMIF(RawDataRecovered!$B:$B,$A3,RawDataRecovered!BO:BO)</f>
        <v>0</v>
      </c>
      <c r="BM3">
        <f>SUMIF(RawDataRecovered!$B:$B,$A3,RawDataRecovered!BP:BP)</f>
        <v>0</v>
      </c>
      <c r="BN3">
        <f>SUMIF(RawDataRecovered!$B:$B,$A3,RawDataRecovered!BQ:BQ)</f>
        <v>0</v>
      </c>
      <c r="BO3">
        <f>SUMIF(RawDataRecovered!$B:$B,$A3,RawDataRecovered!BR:BR)</f>
        <v>0</v>
      </c>
      <c r="BP3">
        <f>SUMIF(RawDataRecovered!$B:$B,$A3,RawDataRecovered!BS:BS)</f>
        <v>0</v>
      </c>
      <c r="BQ3">
        <f>SUMIF(RawDataRecovered!$B:$B,$A3,RawDataRecovered!BT:BT)</f>
        <v>0</v>
      </c>
      <c r="BR3">
        <f>SUMIF(RawDataRecovered!$B:$B,$A3,RawDataRecovered!BU:BU)</f>
        <v>0</v>
      </c>
      <c r="BS3">
        <f>SUMIF(RawDataRecovered!$B:$B,$A3,RawDataRecovered!BV:BV)</f>
        <v>0</v>
      </c>
      <c r="BT3">
        <f>SUMIF(RawDataRecovered!$B:$B,$A3,RawDataRecovered!BW:BW)</f>
        <v>0</v>
      </c>
    </row>
    <row r="4" spans="1:72" ht="15" thickBot="1" x14ac:dyDescent="0.35">
      <c r="A4" s="4" t="s">
        <v>366</v>
      </c>
      <c r="B4">
        <f>SUMIF(RawDataRecovered!$B:$B,$A4,RawDataRecovered!E:E)</f>
        <v>0</v>
      </c>
      <c r="C4">
        <f>SUMIF(RawDataRecovered!$B:$B,$A4,RawDataRecovered!F:F)</f>
        <v>0</v>
      </c>
      <c r="D4">
        <f>SUMIF(RawDataRecovered!$B:$B,$A4,RawDataRecovered!G:G)</f>
        <v>0</v>
      </c>
      <c r="E4">
        <f>SUMIF(RawDataRecovered!$B:$B,$A4,RawDataRecovered!H:H)</f>
        <v>0</v>
      </c>
      <c r="F4">
        <f>SUMIF(RawDataRecovered!$B:$B,$A4,RawDataRecovered!I:I)</f>
        <v>0</v>
      </c>
      <c r="G4">
        <f>SUMIF(RawDataRecovered!$B:$B,$A4,RawDataRecovered!J:J)</f>
        <v>0</v>
      </c>
      <c r="H4">
        <f>SUMIF(RawDataRecovered!$B:$B,$A4,RawDataRecovered!K:K)</f>
        <v>0</v>
      </c>
      <c r="I4">
        <f>SUMIF(RawDataRecovered!$B:$B,$A4,RawDataRecovered!L:L)</f>
        <v>0</v>
      </c>
      <c r="J4">
        <f>SUMIF(RawDataRecovered!$B:$B,$A4,RawDataRecovered!M:M)</f>
        <v>0</v>
      </c>
      <c r="K4">
        <f>SUMIF(RawDataRecovered!$B:$B,$A4,RawDataRecovered!N:N)</f>
        <v>0</v>
      </c>
      <c r="L4">
        <f>SUMIF(RawDataRecovered!$B:$B,$A4,RawDataRecovered!O:O)</f>
        <v>0</v>
      </c>
      <c r="M4">
        <f>SUMIF(RawDataRecovered!$B:$B,$A4,RawDataRecovered!P:P)</f>
        <v>0</v>
      </c>
      <c r="N4">
        <f>SUMIF(RawDataRecovered!$B:$B,$A4,RawDataRecovered!Q:Q)</f>
        <v>0</v>
      </c>
      <c r="O4">
        <f>SUMIF(RawDataRecovered!$B:$B,$A4,RawDataRecovered!R:R)</f>
        <v>0</v>
      </c>
      <c r="P4">
        <f>SUMIF(RawDataRecovered!$B:$B,$A4,RawDataRecovered!S:S)</f>
        <v>0</v>
      </c>
      <c r="Q4">
        <f>SUMIF(RawDataRecovered!$B:$B,$A4,RawDataRecovered!T:T)</f>
        <v>0</v>
      </c>
      <c r="R4">
        <f>SUMIF(RawDataRecovered!$B:$B,$A4,RawDataRecovered!U:U)</f>
        <v>0</v>
      </c>
      <c r="S4">
        <f>SUMIF(RawDataRecovered!$B:$B,$A4,RawDataRecovered!V:V)</f>
        <v>0</v>
      </c>
      <c r="T4">
        <f>SUMIF(RawDataRecovered!$B:$B,$A4,RawDataRecovered!W:W)</f>
        <v>0</v>
      </c>
      <c r="U4">
        <f>SUMIF(RawDataRecovered!$B:$B,$A4,RawDataRecovered!X:X)</f>
        <v>0</v>
      </c>
      <c r="V4">
        <f>SUMIF(RawDataRecovered!$B:$B,$A4,RawDataRecovered!Y:Y)</f>
        <v>0</v>
      </c>
      <c r="W4">
        <f>SUMIF(RawDataRecovered!$B:$B,$A4,RawDataRecovered!Z:Z)</f>
        <v>0</v>
      </c>
      <c r="X4">
        <f>SUMIF(RawDataRecovered!$B:$B,$A4,RawDataRecovered!AA:AA)</f>
        <v>0</v>
      </c>
      <c r="Y4">
        <f>SUMIF(RawDataRecovered!$B:$B,$A4,RawDataRecovered!AB:AB)</f>
        <v>0</v>
      </c>
      <c r="Z4">
        <f>SUMIF(RawDataRecovered!$B:$B,$A4,RawDataRecovered!AC:AC)</f>
        <v>0</v>
      </c>
      <c r="AA4">
        <f>SUMIF(RawDataRecovered!$B:$B,$A4,RawDataRecovered!AD:AD)</f>
        <v>0</v>
      </c>
      <c r="AB4">
        <f>SUMIF(RawDataRecovered!$B:$B,$A4,RawDataRecovered!AE:AE)</f>
        <v>0</v>
      </c>
      <c r="AC4">
        <f>SUMIF(RawDataRecovered!$B:$B,$A4,RawDataRecovered!AF:AF)</f>
        <v>0</v>
      </c>
      <c r="AD4">
        <f>SUMIF(RawDataRecovered!$B:$B,$A4,RawDataRecovered!AG:AG)</f>
        <v>0</v>
      </c>
      <c r="AE4">
        <f>SUMIF(RawDataRecovered!$B:$B,$A4,RawDataRecovered!AH:AH)</f>
        <v>0</v>
      </c>
      <c r="AF4">
        <f>SUMIF(RawDataRecovered!$B:$B,$A4,RawDataRecovered!AI:AI)</f>
        <v>0</v>
      </c>
      <c r="AG4">
        <f>SUMIF(RawDataRecovered!$B:$B,$A4,RawDataRecovered!AJ:AJ)</f>
        <v>0</v>
      </c>
      <c r="AH4">
        <f>SUMIF(RawDataRecovered!$B:$B,$A4,RawDataRecovered!AK:AK)</f>
        <v>0</v>
      </c>
      <c r="AI4">
        <f>SUMIF(RawDataRecovered!$B:$B,$A4,RawDataRecovered!AL:AL)</f>
        <v>0</v>
      </c>
      <c r="AJ4">
        <f>SUMIF(RawDataRecovered!$B:$B,$A4,RawDataRecovered!AM:AM)</f>
        <v>0</v>
      </c>
      <c r="AK4">
        <f>SUMIF(RawDataRecovered!$B:$B,$A4,RawDataRecovered!AN:AN)</f>
        <v>49</v>
      </c>
      <c r="AL4">
        <f>SUMIF(RawDataRecovered!$B:$B,$A4,RawDataRecovered!AO:AO)</f>
        <v>49</v>
      </c>
      <c r="AM4">
        <f>SUMIF(RawDataRecovered!$B:$B,$A4,RawDataRecovered!AP:AP)</f>
        <v>73</v>
      </c>
      <c r="AN4">
        <f>SUMIF(RawDataRecovered!$B:$B,$A4,RawDataRecovered!AQ:AQ)</f>
        <v>123</v>
      </c>
      <c r="AO4">
        <f>SUMIF(RawDataRecovered!$B:$B,$A4,RawDataRecovered!AR:AR)</f>
        <v>175</v>
      </c>
      <c r="AP4">
        <f>SUMIF(RawDataRecovered!$B:$B,$A4,RawDataRecovered!AS:AS)</f>
        <v>291</v>
      </c>
      <c r="AQ4">
        <f>SUMIF(RawDataRecovered!$B:$B,$A4,RawDataRecovered!AT:AT)</f>
        <v>291</v>
      </c>
      <c r="AR4">
        <f>SUMIF(RawDataRecovered!$B:$B,$A4,RawDataRecovered!AU:AU)</f>
        <v>552</v>
      </c>
      <c r="AS4">
        <f>SUMIF(RawDataRecovered!$B:$B,$A4,RawDataRecovered!AV:AV)</f>
        <v>739</v>
      </c>
      <c r="AT4">
        <f>SUMIF(RawDataRecovered!$B:$B,$A4,RawDataRecovered!AW:AW)</f>
        <v>913</v>
      </c>
      <c r="AU4">
        <f>SUMIF(RawDataRecovered!$B:$B,$A4,RawDataRecovered!AX:AX)</f>
        <v>1669</v>
      </c>
      <c r="AV4">
        <f>SUMIF(RawDataRecovered!$B:$B,$A4,RawDataRecovered!AY:AY)</f>
        <v>2134</v>
      </c>
      <c r="AW4">
        <f>SUMIF(RawDataRecovered!$B:$B,$A4,RawDataRecovered!AZ:AZ)</f>
        <v>2394</v>
      </c>
      <c r="AX4">
        <f>SUMIF(RawDataRecovered!$B:$B,$A4,RawDataRecovered!BA:BA)</f>
        <v>2731</v>
      </c>
      <c r="AY4">
        <f>SUMIF(RawDataRecovered!$B:$B,$A4,RawDataRecovered!BB:BB)</f>
        <v>2959</v>
      </c>
      <c r="AZ4">
        <f>SUMIF(RawDataRecovered!$B:$B,$A4,RawDataRecovered!BC:BC)</f>
        <v>2959</v>
      </c>
      <c r="BA4">
        <f>SUMIF(RawDataRecovered!$B:$B,$A4,RawDataRecovered!BD:BD)</f>
        <v>2959</v>
      </c>
      <c r="BB4">
        <f>SUMIF(RawDataRecovered!$B:$B,$A4,RawDataRecovered!BE:BE)</f>
        <v>2959</v>
      </c>
      <c r="BC4">
        <f>SUMIF(RawDataRecovered!$B:$B,$A4,RawDataRecovered!BF:BF)</f>
        <v>4590</v>
      </c>
      <c r="BD4">
        <f>SUMIF(RawDataRecovered!$B:$B,$A4,RawDataRecovered!BG:BG)</f>
        <v>4590</v>
      </c>
      <c r="BE4">
        <f>SUMIF(RawDataRecovered!$B:$B,$A4,RawDataRecovered!BH:BH)</f>
        <v>5389</v>
      </c>
      <c r="BF4">
        <f>SUMIF(RawDataRecovered!$B:$B,$A4,RawDataRecovered!BI:BI)</f>
        <v>0</v>
      </c>
      <c r="BG4">
        <f>SUMIF(RawDataRecovered!$B:$B,$A4,RawDataRecovered!BJ:BJ)</f>
        <v>0</v>
      </c>
      <c r="BH4">
        <f>SUMIF(RawDataRecovered!$B:$B,$A4,RawDataRecovered!BK:BK)</f>
        <v>0</v>
      </c>
      <c r="BI4">
        <f>SUMIF(RawDataRecovered!$B:$B,$A4,RawDataRecovered!BL:BL)</f>
        <v>0</v>
      </c>
      <c r="BJ4">
        <f>SUMIF(RawDataRecovered!$B:$B,$A4,RawDataRecovered!BM:BM)</f>
        <v>0</v>
      </c>
      <c r="BK4">
        <f>SUMIF(RawDataRecovered!$B:$B,$A4,RawDataRecovered!BN:BN)</f>
        <v>0</v>
      </c>
      <c r="BL4">
        <f>SUMIF(RawDataRecovered!$B:$B,$A4,RawDataRecovered!BO:BO)</f>
        <v>0</v>
      </c>
      <c r="BM4">
        <f>SUMIF(RawDataRecovered!$B:$B,$A4,RawDataRecovered!BP:BP)</f>
        <v>0</v>
      </c>
      <c r="BN4">
        <f>SUMIF(RawDataRecovered!$B:$B,$A4,RawDataRecovered!BQ:BQ)</f>
        <v>0</v>
      </c>
      <c r="BO4">
        <f>SUMIF(RawDataRecovered!$B:$B,$A4,RawDataRecovered!BR:BR)</f>
        <v>0</v>
      </c>
      <c r="BP4">
        <f>SUMIF(RawDataRecovered!$B:$B,$A4,RawDataRecovered!BS:BS)</f>
        <v>0</v>
      </c>
      <c r="BQ4">
        <f>SUMIF(RawDataRecovered!$B:$B,$A4,RawDataRecovered!BT:BT)</f>
        <v>0</v>
      </c>
      <c r="BR4">
        <f>SUMIF(RawDataRecovered!$B:$B,$A4,RawDataRecovered!BU:BU)</f>
        <v>0</v>
      </c>
      <c r="BS4">
        <f>SUMIF(RawDataRecovered!$B:$B,$A4,RawDataRecovered!BV:BV)</f>
        <v>0</v>
      </c>
      <c r="BT4">
        <f>SUMIF(RawDataRecovered!$B:$B,$A4,RawDataRecovered!BW:BW)</f>
        <v>0</v>
      </c>
    </row>
    <row r="5" spans="1:72" ht="15" thickBot="1" x14ac:dyDescent="0.35">
      <c r="A5" s="3" t="s">
        <v>367</v>
      </c>
      <c r="B5">
        <f>SUMIF(RawDataRecovered!$B:$B,$A5,RawDataRecovered!E:E)</f>
        <v>0</v>
      </c>
      <c r="C5">
        <f>SUMIF(RawDataRecovered!$B:$B,$A5,RawDataRecovered!F:F)</f>
        <v>0</v>
      </c>
      <c r="D5">
        <f>SUMIF(RawDataRecovered!$B:$B,$A5,RawDataRecovered!G:G)</f>
        <v>0</v>
      </c>
      <c r="E5">
        <f>SUMIF(RawDataRecovered!$B:$B,$A5,RawDataRecovered!H:H)</f>
        <v>0</v>
      </c>
      <c r="F5">
        <f>SUMIF(RawDataRecovered!$B:$B,$A5,RawDataRecovered!I:I)</f>
        <v>0</v>
      </c>
      <c r="G5">
        <f>SUMIF(RawDataRecovered!$B:$B,$A5,RawDataRecovered!J:J)</f>
        <v>0</v>
      </c>
      <c r="H5">
        <f>SUMIF(RawDataRecovered!$B:$B,$A5,RawDataRecovered!K:K)</f>
        <v>0</v>
      </c>
      <c r="I5">
        <f>SUMIF(RawDataRecovered!$B:$B,$A5,RawDataRecovered!L:L)</f>
        <v>0</v>
      </c>
      <c r="J5">
        <f>SUMIF(RawDataRecovered!$B:$B,$A5,RawDataRecovered!M:M)</f>
        <v>0</v>
      </c>
      <c r="K5">
        <f>SUMIF(RawDataRecovered!$B:$B,$A5,RawDataRecovered!N:N)</f>
        <v>0</v>
      </c>
      <c r="L5">
        <f>SUMIF(RawDataRecovered!$B:$B,$A5,RawDataRecovered!O:O)</f>
        <v>0</v>
      </c>
      <c r="M5">
        <f>SUMIF(RawDataRecovered!$B:$B,$A5,RawDataRecovered!P:P)</f>
        <v>0</v>
      </c>
      <c r="N5">
        <f>SUMIF(RawDataRecovered!$B:$B,$A5,RawDataRecovered!Q:Q)</f>
        <v>0</v>
      </c>
      <c r="O5">
        <f>SUMIF(RawDataRecovered!$B:$B,$A5,RawDataRecovered!R:R)</f>
        <v>0</v>
      </c>
      <c r="P5">
        <f>SUMIF(RawDataRecovered!$B:$B,$A5,RawDataRecovered!S:S)</f>
        <v>0</v>
      </c>
      <c r="Q5">
        <f>SUMIF(RawDataRecovered!$B:$B,$A5,RawDataRecovered!T:T)</f>
        <v>0</v>
      </c>
      <c r="R5">
        <f>SUMIF(RawDataRecovered!$B:$B,$A5,RawDataRecovered!U:U)</f>
        <v>1</v>
      </c>
      <c r="S5">
        <f>SUMIF(RawDataRecovered!$B:$B,$A5,RawDataRecovered!V:V)</f>
        <v>1</v>
      </c>
      <c r="T5">
        <f>SUMIF(RawDataRecovered!$B:$B,$A5,RawDataRecovered!W:W)</f>
        <v>3</v>
      </c>
      <c r="U5">
        <f>SUMIF(RawDataRecovered!$B:$B,$A5,RawDataRecovered!X:X)</f>
        <v>3</v>
      </c>
      <c r="V5">
        <f>SUMIF(RawDataRecovered!$B:$B,$A5,RawDataRecovered!Y:Y)</f>
        <v>3</v>
      </c>
      <c r="W5">
        <f>SUMIF(RawDataRecovered!$B:$B,$A5,RawDataRecovered!Z:Z)</f>
        <v>7</v>
      </c>
      <c r="X5">
        <f>SUMIF(RawDataRecovered!$B:$B,$A5,RawDataRecovered!AA:AA)</f>
        <v>7</v>
      </c>
      <c r="Y5">
        <f>SUMIF(RawDataRecovered!$B:$B,$A5,RawDataRecovered!AB:AB)</f>
        <v>7</v>
      </c>
      <c r="Z5">
        <f>SUMIF(RawDataRecovered!$B:$B,$A5,RawDataRecovered!AC:AC)</f>
        <v>9</v>
      </c>
      <c r="AA5">
        <f>SUMIF(RawDataRecovered!$B:$B,$A5,RawDataRecovered!AD:AD)</f>
        <v>9</v>
      </c>
      <c r="AB5">
        <f>SUMIF(RawDataRecovered!$B:$B,$A5,RawDataRecovered!AE:AE)</f>
        <v>10</v>
      </c>
      <c r="AC5">
        <f>SUMIF(RawDataRecovered!$B:$B,$A5,RawDataRecovered!AF:AF)</f>
        <v>12</v>
      </c>
      <c r="AD5">
        <f>SUMIF(RawDataRecovered!$B:$B,$A5,RawDataRecovered!AG:AG)</f>
        <v>12</v>
      </c>
      <c r="AE5">
        <f>SUMIF(RawDataRecovered!$B:$B,$A5,RawDataRecovered!AH:AH)</f>
        <v>16</v>
      </c>
      <c r="AF5">
        <f>SUMIF(RawDataRecovered!$B:$B,$A5,RawDataRecovered!AI:AI)</f>
        <v>16</v>
      </c>
      <c r="AG5">
        <f>SUMIF(RawDataRecovered!$B:$B,$A5,RawDataRecovered!AJ:AJ)</f>
        <v>16</v>
      </c>
      <c r="AH5">
        <f>SUMIF(RawDataRecovered!$B:$B,$A5,RawDataRecovered!AK:AK)</f>
        <v>18</v>
      </c>
      <c r="AI5">
        <f>SUMIF(RawDataRecovered!$B:$B,$A5,RawDataRecovered!AL:AL)</f>
        <v>18</v>
      </c>
      <c r="AJ5">
        <f>SUMIF(RawDataRecovered!$B:$B,$A5,RawDataRecovered!AM:AM)</f>
        <v>22</v>
      </c>
      <c r="AK5">
        <f>SUMIF(RawDataRecovered!$B:$B,$A5,RawDataRecovered!AN:AN)</f>
        <v>22</v>
      </c>
      <c r="AL5">
        <f>SUMIF(RawDataRecovered!$B:$B,$A5,RawDataRecovered!AO:AO)</f>
        <v>22</v>
      </c>
      <c r="AM5">
        <f>SUMIF(RawDataRecovered!$B:$B,$A5,RawDataRecovered!AP:AP)</f>
        <v>22</v>
      </c>
      <c r="AN5">
        <f>SUMIF(RawDataRecovered!$B:$B,$A5,RawDataRecovered!AQ:AQ)</f>
        <v>27</v>
      </c>
      <c r="AO5">
        <f>SUMIF(RawDataRecovered!$B:$B,$A5,RawDataRecovered!AR:AR)</f>
        <v>30</v>
      </c>
      <c r="AP5">
        <f>SUMIF(RawDataRecovered!$B:$B,$A5,RawDataRecovered!AS:AS)</f>
        <v>30</v>
      </c>
      <c r="AQ5">
        <f>SUMIF(RawDataRecovered!$B:$B,$A5,RawDataRecovered!AT:AT)</f>
        <v>30</v>
      </c>
      <c r="AR5">
        <f>SUMIF(RawDataRecovered!$B:$B,$A5,RawDataRecovered!AU:AU)</f>
        <v>41</v>
      </c>
      <c r="AS5">
        <f>SUMIF(RawDataRecovered!$B:$B,$A5,RawDataRecovered!AV:AV)</f>
        <v>41</v>
      </c>
      <c r="AT5">
        <f>SUMIF(RawDataRecovered!$B:$B,$A5,RawDataRecovered!AW:AW)</f>
        <v>135</v>
      </c>
      <c r="AU5">
        <f>SUMIF(RawDataRecovered!$B:$B,$A5,RawDataRecovered!AX:AX)</f>
        <v>135</v>
      </c>
      <c r="AV5">
        <f>SUMIF(RawDataRecovered!$B:$B,$A5,RawDataRecovered!AY:AY)</f>
        <v>118</v>
      </c>
      <c r="AW5">
        <f>SUMIF(RawDataRecovered!$B:$B,$A5,RawDataRecovered!AZ:AZ)</f>
        <v>118</v>
      </c>
      <c r="AX5">
        <f>SUMIF(RawDataRecovered!$B:$B,$A5,RawDataRecovered!BA:BA)</f>
        <v>247</v>
      </c>
      <c r="AY5">
        <f>SUMIF(RawDataRecovered!$B:$B,$A5,RawDataRecovered!BB:BB)</f>
        <v>288</v>
      </c>
      <c r="AZ5">
        <f>SUMIF(RawDataRecovered!$B:$B,$A5,RawDataRecovered!BC:BC)</f>
        <v>333</v>
      </c>
      <c r="BA5">
        <f>SUMIF(RawDataRecovered!$B:$B,$A5,RawDataRecovered!BD:BD)</f>
        <v>510</v>
      </c>
      <c r="BB5">
        <f>SUMIF(RawDataRecovered!$B:$B,$A5,RawDataRecovered!BE:BE)</f>
        <v>510</v>
      </c>
      <c r="BC5">
        <f>SUMIF(RawDataRecovered!$B:$B,$A5,RawDataRecovered!BF:BF)</f>
        <v>510</v>
      </c>
      <c r="BD5">
        <f>SUMIF(RawDataRecovered!$B:$B,$A5,RawDataRecovered!BG:BG)</f>
        <v>1137</v>
      </c>
      <c r="BE5">
        <f>SUMIF(RawDataRecovered!$B:$B,$A5,RawDataRecovered!BH:BH)</f>
        <v>1407</v>
      </c>
      <c r="BF5">
        <f>SUMIF(RawDataRecovered!$B:$B,$A5,RawDataRecovered!BI:BI)</f>
        <v>0</v>
      </c>
      <c r="BG5">
        <f>SUMIF(RawDataRecovered!$B:$B,$A5,RawDataRecovered!BJ:BJ)</f>
        <v>0</v>
      </c>
      <c r="BH5">
        <f>SUMIF(RawDataRecovered!$B:$B,$A5,RawDataRecovered!BK:BK)</f>
        <v>0</v>
      </c>
      <c r="BI5">
        <f>SUMIF(RawDataRecovered!$B:$B,$A5,RawDataRecovered!BL:BL)</f>
        <v>0</v>
      </c>
      <c r="BJ5">
        <f>SUMIF(RawDataRecovered!$B:$B,$A5,RawDataRecovered!BM:BM)</f>
        <v>0</v>
      </c>
      <c r="BK5">
        <f>SUMIF(RawDataRecovered!$B:$B,$A5,RawDataRecovered!BN:BN)</f>
        <v>0</v>
      </c>
      <c r="BL5">
        <f>SUMIF(RawDataRecovered!$B:$B,$A5,RawDataRecovered!BO:BO)</f>
        <v>0</v>
      </c>
      <c r="BM5">
        <f>SUMIF(RawDataRecovered!$B:$B,$A5,RawDataRecovered!BP:BP)</f>
        <v>0</v>
      </c>
      <c r="BN5">
        <f>SUMIF(RawDataRecovered!$B:$B,$A5,RawDataRecovered!BQ:BQ)</f>
        <v>0</v>
      </c>
      <c r="BO5">
        <f>SUMIF(RawDataRecovered!$B:$B,$A5,RawDataRecovered!BR:BR)</f>
        <v>0</v>
      </c>
      <c r="BP5">
        <f>SUMIF(RawDataRecovered!$B:$B,$A5,RawDataRecovered!BS:BS)</f>
        <v>0</v>
      </c>
      <c r="BQ5">
        <f>SUMIF(RawDataRecovered!$B:$B,$A5,RawDataRecovered!BT:BT)</f>
        <v>0</v>
      </c>
      <c r="BR5">
        <f>SUMIF(RawDataRecovered!$B:$B,$A5,RawDataRecovered!BU:BU)</f>
        <v>0</v>
      </c>
      <c r="BS5">
        <f>SUMIF(RawDataRecovered!$B:$B,$A5,RawDataRecovered!BV:BV)</f>
        <v>0</v>
      </c>
      <c r="BT5">
        <f>SUMIF(RawDataRecovered!$B:$B,$A5,RawDataRecovered!BW:BW)</f>
        <v>0</v>
      </c>
    </row>
    <row r="6" spans="1:72" ht="15" thickBot="1" x14ac:dyDescent="0.35">
      <c r="A6" s="3" t="s">
        <v>87</v>
      </c>
      <c r="B6">
        <f>SUMIF(RawDataRecovered!$B:$B,$A6,RawDataRecovered!E:E)</f>
        <v>0</v>
      </c>
      <c r="C6">
        <f>SUMIF(RawDataRecovered!$B:$B,$A6,RawDataRecovered!F:F)</f>
        <v>0</v>
      </c>
      <c r="D6">
        <f>SUMIF(RawDataRecovered!$B:$B,$A6,RawDataRecovered!G:G)</f>
        <v>0</v>
      </c>
      <c r="E6">
        <f>SUMIF(RawDataRecovered!$B:$B,$A6,RawDataRecovered!H:H)</f>
        <v>0</v>
      </c>
      <c r="F6">
        <f>SUMIF(RawDataRecovered!$B:$B,$A6,RawDataRecovered!I:I)</f>
        <v>0</v>
      </c>
      <c r="G6">
        <f>SUMIF(RawDataRecovered!$B:$B,$A6,RawDataRecovered!J:J)</f>
        <v>0</v>
      </c>
      <c r="H6">
        <f>SUMIF(RawDataRecovered!$B:$B,$A6,RawDataRecovered!K:K)</f>
        <v>0</v>
      </c>
      <c r="I6">
        <f>SUMIF(RawDataRecovered!$B:$B,$A6,RawDataRecovered!L:L)</f>
        <v>0</v>
      </c>
      <c r="J6">
        <f>SUMIF(RawDataRecovered!$B:$B,$A6,RawDataRecovered!M:M)</f>
        <v>0</v>
      </c>
      <c r="K6">
        <f>SUMIF(RawDataRecovered!$B:$B,$A6,RawDataRecovered!N:N)</f>
        <v>0</v>
      </c>
      <c r="L6">
        <f>SUMIF(RawDataRecovered!$B:$B,$A6,RawDataRecovered!O:O)</f>
        <v>0</v>
      </c>
      <c r="M6">
        <f>SUMIF(RawDataRecovered!$B:$B,$A6,RawDataRecovered!P:P)</f>
        <v>0</v>
      </c>
      <c r="N6">
        <f>SUMIF(RawDataRecovered!$B:$B,$A6,RawDataRecovered!Q:Q)</f>
        <v>0</v>
      </c>
      <c r="O6">
        <f>SUMIF(RawDataRecovered!$B:$B,$A6,RawDataRecovered!R:R)</f>
        <v>0</v>
      </c>
      <c r="P6">
        <f>SUMIF(RawDataRecovered!$B:$B,$A6,RawDataRecovered!S:S)</f>
        <v>0</v>
      </c>
      <c r="Q6">
        <f>SUMIF(RawDataRecovered!$B:$B,$A6,RawDataRecovered!T:T)</f>
        <v>0</v>
      </c>
      <c r="R6">
        <f>SUMIF(RawDataRecovered!$B:$B,$A6,RawDataRecovered!U:U)</f>
        <v>0</v>
      </c>
      <c r="S6">
        <f>SUMIF(RawDataRecovered!$B:$B,$A6,RawDataRecovered!V:V)</f>
        <v>0</v>
      </c>
      <c r="T6">
        <f>SUMIF(RawDataRecovered!$B:$B,$A6,RawDataRecovered!W:W)</f>
        <v>0</v>
      </c>
      <c r="U6">
        <f>SUMIF(RawDataRecovered!$B:$B,$A6,RawDataRecovered!X:X)</f>
        <v>0</v>
      </c>
      <c r="V6">
        <f>SUMIF(RawDataRecovered!$B:$B,$A6,RawDataRecovered!Y:Y)</f>
        <v>0</v>
      </c>
      <c r="W6">
        <f>SUMIF(RawDataRecovered!$B:$B,$A6,RawDataRecovered!Z:Z)</f>
        <v>0</v>
      </c>
      <c r="X6">
        <f>SUMIF(RawDataRecovered!$B:$B,$A6,RawDataRecovered!AA:AA)</f>
        <v>0</v>
      </c>
      <c r="Y6">
        <f>SUMIF(RawDataRecovered!$B:$B,$A6,RawDataRecovered!AB:AB)</f>
        <v>0</v>
      </c>
      <c r="Z6">
        <f>SUMIF(RawDataRecovered!$B:$B,$A6,RawDataRecovered!AC:AC)</f>
        <v>2</v>
      </c>
      <c r="AA6">
        <f>SUMIF(RawDataRecovered!$B:$B,$A6,RawDataRecovered!AD:AD)</f>
        <v>2</v>
      </c>
      <c r="AB6">
        <f>SUMIF(RawDataRecovered!$B:$B,$A6,RawDataRecovered!AE:AE)</f>
        <v>2</v>
      </c>
      <c r="AC6">
        <f>SUMIF(RawDataRecovered!$B:$B,$A6,RawDataRecovered!AF:AF)</f>
        <v>2</v>
      </c>
      <c r="AD6">
        <f>SUMIF(RawDataRecovered!$B:$B,$A6,RawDataRecovered!AG:AG)</f>
        <v>2</v>
      </c>
      <c r="AE6">
        <f>SUMIF(RawDataRecovered!$B:$B,$A6,RawDataRecovered!AH:AH)</f>
        <v>2</v>
      </c>
      <c r="AF6">
        <f>SUMIF(RawDataRecovered!$B:$B,$A6,RawDataRecovered!AI:AI)</f>
        <v>2</v>
      </c>
      <c r="AG6">
        <f>SUMIF(RawDataRecovered!$B:$B,$A6,RawDataRecovered!AJ:AJ)</f>
        <v>2</v>
      </c>
      <c r="AH6">
        <f>SUMIF(RawDataRecovered!$B:$B,$A6,RawDataRecovered!AK:AK)</f>
        <v>2</v>
      </c>
      <c r="AI6">
        <f>SUMIF(RawDataRecovered!$B:$B,$A6,RawDataRecovered!AL:AL)</f>
        <v>2</v>
      </c>
      <c r="AJ6">
        <f>SUMIF(RawDataRecovered!$B:$B,$A6,RawDataRecovered!AM:AM)</f>
        <v>2</v>
      </c>
      <c r="AK6">
        <f>SUMIF(RawDataRecovered!$B:$B,$A6,RawDataRecovered!AN:AN)</f>
        <v>2</v>
      </c>
      <c r="AL6">
        <f>SUMIF(RawDataRecovered!$B:$B,$A6,RawDataRecovered!AO:AO)</f>
        <v>2</v>
      </c>
      <c r="AM6">
        <f>SUMIF(RawDataRecovered!$B:$B,$A6,RawDataRecovered!AP:AP)</f>
        <v>2</v>
      </c>
      <c r="AN6">
        <f>SUMIF(RawDataRecovered!$B:$B,$A6,RawDataRecovered!AQ:AQ)</f>
        <v>2</v>
      </c>
      <c r="AO6">
        <f>SUMIF(RawDataRecovered!$B:$B,$A6,RawDataRecovered!AR:AR)</f>
        <v>2</v>
      </c>
      <c r="AP6">
        <f>SUMIF(RawDataRecovered!$B:$B,$A6,RawDataRecovered!AS:AS)</f>
        <v>2</v>
      </c>
      <c r="AQ6">
        <f>SUMIF(RawDataRecovered!$B:$B,$A6,RawDataRecovered!AT:AT)</f>
        <v>2</v>
      </c>
      <c r="AR6">
        <f>SUMIF(RawDataRecovered!$B:$B,$A6,RawDataRecovered!AU:AU)</f>
        <v>2</v>
      </c>
      <c r="AS6">
        <f>SUMIF(RawDataRecovered!$B:$B,$A6,RawDataRecovered!AV:AV)</f>
        <v>2</v>
      </c>
      <c r="AT6">
        <f>SUMIF(RawDataRecovered!$B:$B,$A6,RawDataRecovered!AW:AW)</f>
        <v>2</v>
      </c>
      <c r="AU6">
        <f>SUMIF(RawDataRecovered!$B:$B,$A6,RawDataRecovered!AX:AX)</f>
        <v>30</v>
      </c>
      <c r="AV6">
        <f>SUMIF(RawDataRecovered!$B:$B,$A6,RawDataRecovered!AY:AY)</f>
        <v>30</v>
      </c>
      <c r="AW6">
        <f>SUMIF(RawDataRecovered!$B:$B,$A6,RawDataRecovered!AZ:AZ)</f>
        <v>32</v>
      </c>
      <c r="AX6">
        <f>SUMIF(RawDataRecovered!$B:$B,$A6,RawDataRecovered!BA:BA)</f>
        <v>32</v>
      </c>
      <c r="AY6">
        <f>SUMIF(RawDataRecovered!$B:$B,$A6,RawDataRecovered!BB:BB)</f>
        <v>183</v>
      </c>
      <c r="AZ6">
        <f>SUMIF(RawDataRecovered!$B:$B,$A6,RawDataRecovered!BC:BC)</f>
        <v>183</v>
      </c>
      <c r="BA6">
        <f>SUMIF(RawDataRecovered!$B:$B,$A6,RawDataRecovered!BD:BD)</f>
        <v>193</v>
      </c>
      <c r="BB6">
        <f>SUMIF(RawDataRecovered!$B:$B,$A6,RawDataRecovered!BE:BE)</f>
        <v>517</v>
      </c>
      <c r="BC6">
        <f>SUMIF(RawDataRecovered!$B:$B,$A6,RawDataRecovered!BF:BF)</f>
        <v>517</v>
      </c>
      <c r="BD6">
        <f>SUMIF(RawDataRecovered!$B:$B,$A6,RawDataRecovered!BG:BG)</f>
        <v>530</v>
      </c>
      <c r="BE6">
        <f>SUMIF(RawDataRecovered!$B:$B,$A6,RawDataRecovered!BH:BH)</f>
        <v>1028</v>
      </c>
      <c r="BF6">
        <f>SUMIF(RawDataRecovered!$B:$B,$A6,RawDataRecovered!BI:BI)</f>
        <v>0</v>
      </c>
      <c r="BG6">
        <f>SUMIF(RawDataRecovered!$B:$B,$A6,RawDataRecovered!BJ:BJ)</f>
        <v>0</v>
      </c>
      <c r="BH6">
        <f>SUMIF(RawDataRecovered!$B:$B,$A6,RawDataRecovered!BK:BK)</f>
        <v>0</v>
      </c>
      <c r="BI6">
        <f>SUMIF(RawDataRecovered!$B:$B,$A6,RawDataRecovered!BL:BL)</f>
        <v>0</v>
      </c>
      <c r="BJ6">
        <f>SUMIF(RawDataRecovered!$B:$B,$A6,RawDataRecovered!BM:BM)</f>
        <v>0</v>
      </c>
      <c r="BK6">
        <f>SUMIF(RawDataRecovered!$B:$B,$A6,RawDataRecovered!BN:BN)</f>
        <v>0</v>
      </c>
      <c r="BL6">
        <f>SUMIF(RawDataRecovered!$B:$B,$A6,RawDataRecovered!BO:BO)</f>
        <v>0</v>
      </c>
      <c r="BM6">
        <f>SUMIF(RawDataRecovered!$B:$B,$A6,RawDataRecovered!BP:BP)</f>
        <v>0</v>
      </c>
      <c r="BN6">
        <f>SUMIF(RawDataRecovered!$B:$B,$A6,RawDataRecovered!BQ:BQ)</f>
        <v>0</v>
      </c>
      <c r="BO6">
        <f>SUMIF(RawDataRecovered!$B:$B,$A6,RawDataRecovered!BR:BR)</f>
        <v>0</v>
      </c>
      <c r="BP6">
        <f>SUMIF(RawDataRecovered!$B:$B,$A6,RawDataRecovered!BS:BS)</f>
        <v>0</v>
      </c>
      <c r="BQ6">
        <f>SUMIF(RawDataRecovered!$B:$B,$A6,RawDataRecovered!BT:BT)</f>
        <v>0</v>
      </c>
      <c r="BR6">
        <f>SUMIF(RawDataRecovered!$B:$B,$A6,RawDataRecovered!BU:BU)</f>
        <v>0</v>
      </c>
      <c r="BS6">
        <f>SUMIF(RawDataRecovered!$B:$B,$A6,RawDataRecovered!BV:BV)</f>
        <v>0</v>
      </c>
      <c r="BT6">
        <f>SUMIF(RawDataRecovered!$B:$B,$A6,RawDataRecovered!BW:BW)</f>
        <v>0</v>
      </c>
    </row>
    <row r="7" spans="1:72" ht="15" thickBot="1" x14ac:dyDescent="0.35">
      <c r="A7" s="4" t="s">
        <v>80</v>
      </c>
      <c r="B7">
        <f>SUMIF(RawDataRecovered!$B:$B,$A7,RawDataRecovered!E:E)</f>
        <v>0</v>
      </c>
      <c r="C7">
        <f>SUMIF(RawDataRecovered!$B:$B,$A7,RawDataRecovered!F:F)</f>
        <v>0</v>
      </c>
      <c r="D7">
        <f>SUMIF(RawDataRecovered!$B:$B,$A7,RawDataRecovered!G:G)</f>
        <v>0</v>
      </c>
      <c r="E7">
        <f>SUMIF(RawDataRecovered!$B:$B,$A7,RawDataRecovered!H:H)</f>
        <v>0</v>
      </c>
      <c r="F7">
        <f>SUMIF(RawDataRecovered!$B:$B,$A7,RawDataRecovered!I:I)</f>
        <v>0</v>
      </c>
      <c r="G7">
        <f>SUMIF(RawDataRecovered!$B:$B,$A7,RawDataRecovered!J:J)</f>
        <v>0</v>
      </c>
      <c r="H7">
        <f>SUMIF(RawDataRecovered!$B:$B,$A7,RawDataRecovered!K:K)</f>
        <v>0</v>
      </c>
      <c r="I7">
        <f>SUMIF(RawDataRecovered!$B:$B,$A7,RawDataRecovered!L:L)</f>
        <v>0</v>
      </c>
      <c r="J7">
        <f>SUMIF(RawDataRecovered!$B:$B,$A7,RawDataRecovered!M:M)</f>
        <v>0</v>
      </c>
      <c r="K7">
        <f>SUMIF(RawDataRecovered!$B:$B,$A7,RawDataRecovered!N:N)</f>
        <v>0</v>
      </c>
      <c r="L7">
        <f>SUMIF(RawDataRecovered!$B:$B,$A7,RawDataRecovered!O:O)</f>
        <v>0</v>
      </c>
      <c r="M7">
        <f>SUMIF(RawDataRecovered!$B:$B,$A7,RawDataRecovered!P:P)</f>
        <v>0</v>
      </c>
      <c r="N7">
        <f>SUMIF(RawDataRecovered!$B:$B,$A7,RawDataRecovered!Q:Q)</f>
        <v>0</v>
      </c>
      <c r="O7">
        <f>SUMIF(RawDataRecovered!$B:$B,$A7,RawDataRecovered!R:R)</f>
        <v>0</v>
      </c>
      <c r="P7">
        <f>SUMIF(RawDataRecovered!$B:$B,$A7,RawDataRecovered!S:S)</f>
        <v>0</v>
      </c>
      <c r="Q7">
        <f>SUMIF(RawDataRecovered!$B:$B,$A7,RawDataRecovered!T:T)</f>
        <v>0</v>
      </c>
      <c r="R7">
        <f>SUMIF(RawDataRecovered!$B:$B,$A7,RawDataRecovered!U:U)</f>
        <v>0</v>
      </c>
      <c r="S7">
        <f>SUMIF(RawDataRecovered!$B:$B,$A7,RawDataRecovered!V:V)</f>
        <v>0</v>
      </c>
      <c r="T7">
        <f>SUMIF(RawDataRecovered!$B:$B,$A7,RawDataRecovered!W:W)</f>
        <v>0</v>
      </c>
      <c r="U7">
        <f>SUMIF(RawDataRecovered!$B:$B,$A7,RawDataRecovered!X:X)</f>
        <v>0</v>
      </c>
      <c r="V7">
        <f>SUMIF(RawDataRecovered!$B:$B,$A7,RawDataRecovered!Y:Y)</f>
        <v>0</v>
      </c>
      <c r="W7">
        <f>SUMIF(RawDataRecovered!$B:$B,$A7,RawDataRecovered!Z:Z)</f>
        <v>0</v>
      </c>
      <c r="X7">
        <f>SUMIF(RawDataRecovered!$B:$B,$A7,RawDataRecovered!AA:AA)</f>
        <v>1</v>
      </c>
      <c r="Y7">
        <f>SUMIF(RawDataRecovered!$B:$B,$A7,RawDataRecovered!AB:AB)</f>
        <v>1</v>
      </c>
      <c r="Z7">
        <f>SUMIF(RawDataRecovered!$B:$B,$A7,RawDataRecovered!AC:AC)</f>
        <v>1</v>
      </c>
      <c r="AA7">
        <f>SUMIF(RawDataRecovered!$B:$B,$A7,RawDataRecovered!AD:AD)</f>
        <v>1</v>
      </c>
      <c r="AB7">
        <f>SUMIF(RawDataRecovered!$B:$B,$A7,RawDataRecovered!AE:AE)</f>
        <v>1</v>
      </c>
      <c r="AC7">
        <f>SUMIF(RawDataRecovered!$B:$B,$A7,RawDataRecovered!AF:AF)</f>
        <v>12</v>
      </c>
      <c r="AD7">
        <f>SUMIF(RawDataRecovered!$B:$B,$A7,RawDataRecovered!AG:AG)</f>
        <v>12</v>
      </c>
      <c r="AE7">
        <f>SUMIF(RawDataRecovered!$B:$B,$A7,RawDataRecovered!AH:AH)</f>
        <v>12</v>
      </c>
      <c r="AF7">
        <f>SUMIF(RawDataRecovered!$B:$B,$A7,RawDataRecovered!AI:AI)</f>
        <v>14</v>
      </c>
      <c r="AG7">
        <f>SUMIF(RawDataRecovered!$B:$B,$A7,RawDataRecovered!AJ:AJ)</f>
        <v>14</v>
      </c>
      <c r="AH7">
        <f>SUMIF(RawDataRecovered!$B:$B,$A7,RawDataRecovered!AK:AK)</f>
        <v>14</v>
      </c>
      <c r="AI7">
        <f>SUMIF(RawDataRecovered!$B:$B,$A7,RawDataRecovered!AL:AL)</f>
        <v>14</v>
      </c>
      <c r="AJ7">
        <f>SUMIF(RawDataRecovered!$B:$B,$A7,RawDataRecovered!AM:AM)</f>
        <v>14</v>
      </c>
      <c r="AK7">
        <f>SUMIF(RawDataRecovered!$B:$B,$A7,RawDataRecovered!AN:AN)</f>
        <v>15</v>
      </c>
      <c r="AL7">
        <f>SUMIF(RawDataRecovered!$B:$B,$A7,RawDataRecovered!AO:AO)</f>
        <v>16</v>
      </c>
      <c r="AM7">
        <f>SUMIF(RawDataRecovered!$B:$B,$A7,RawDataRecovered!AP:AP)</f>
        <v>16</v>
      </c>
      <c r="AN7">
        <f>SUMIF(RawDataRecovered!$B:$B,$A7,RawDataRecovered!AQ:AQ)</f>
        <v>16</v>
      </c>
      <c r="AO7">
        <f>SUMIF(RawDataRecovered!$B:$B,$A7,RawDataRecovered!AR:AR)</f>
        <v>16</v>
      </c>
      <c r="AP7">
        <f>SUMIF(RawDataRecovered!$B:$B,$A7,RawDataRecovered!AS:AS)</f>
        <v>16</v>
      </c>
      <c r="AQ7">
        <f>SUMIF(RawDataRecovered!$B:$B,$A7,RawDataRecovered!AT:AT)</f>
        <v>16</v>
      </c>
      <c r="AR7">
        <f>SUMIF(RawDataRecovered!$B:$B,$A7,RawDataRecovered!AU:AU)</f>
        <v>16</v>
      </c>
      <c r="AS7">
        <f>SUMIF(RawDataRecovered!$B:$B,$A7,RawDataRecovered!AV:AV)</f>
        <v>16</v>
      </c>
      <c r="AT7">
        <f>SUMIF(RawDataRecovered!$B:$B,$A7,RawDataRecovered!AW:AW)</f>
        <v>17</v>
      </c>
      <c r="AU7">
        <f>SUMIF(RawDataRecovered!$B:$B,$A7,RawDataRecovered!AX:AX)</f>
        <v>18</v>
      </c>
      <c r="AV7">
        <f>SUMIF(RawDataRecovered!$B:$B,$A7,RawDataRecovered!AY:AY)</f>
        <v>18</v>
      </c>
      <c r="AW7">
        <f>SUMIF(RawDataRecovered!$B:$B,$A7,RawDataRecovered!AZ:AZ)</f>
        <v>18</v>
      </c>
      <c r="AX7">
        <f>SUMIF(RawDataRecovered!$B:$B,$A7,RawDataRecovered!BA:BA)</f>
        <v>18</v>
      </c>
      <c r="AY7">
        <f>SUMIF(RawDataRecovered!$B:$B,$A7,RawDataRecovered!BB:BB)</f>
        <v>25</v>
      </c>
      <c r="AZ7">
        <f>SUMIF(RawDataRecovered!$B:$B,$A7,RawDataRecovered!BC:BC)</f>
        <v>25</v>
      </c>
      <c r="BA7">
        <f>SUMIF(RawDataRecovered!$B:$B,$A7,RawDataRecovered!BD:BD)</f>
        <v>46</v>
      </c>
      <c r="BB7">
        <f>SUMIF(RawDataRecovered!$B:$B,$A7,RawDataRecovered!BE:BE)</f>
        <v>46</v>
      </c>
      <c r="BC7">
        <f>SUMIF(RawDataRecovered!$B:$B,$A7,RawDataRecovered!BF:BF)</f>
        <v>46</v>
      </c>
      <c r="BD7">
        <f>SUMIF(RawDataRecovered!$B:$B,$A7,RawDataRecovered!BG:BG)</f>
        <v>67</v>
      </c>
      <c r="BE7">
        <f>SUMIF(RawDataRecovered!$B:$B,$A7,RawDataRecovered!BH:BH)</f>
        <v>67</v>
      </c>
      <c r="BF7">
        <f>SUMIF(RawDataRecovered!$B:$B,$A7,RawDataRecovered!BI:BI)</f>
        <v>0</v>
      </c>
      <c r="BG7">
        <f>SUMIF(RawDataRecovered!$B:$B,$A7,RawDataRecovered!BJ:BJ)</f>
        <v>0</v>
      </c>
      <c r="BH7">
        <f>SUMIF(RawDataRecovered!$B:$B,$A7,RawDataRecovered!BK:BK)</f>
        <v>0</v>
      </c>
      <c r="BI7">
        <f>SUMIF(RawDataRecovered!$B:$B,$A7,RawDataRecovered!BL:BL)</f>
        <v>0</v>
      </c>
      <c r="BJ7">
        <f>SUMIF(RawDataRecovered!$B:$B,$A7,RawDataRecovered!BM:BM)</f>
        <v>0</v>
      </c>
      <c r="BK7">
        <f>SUMIF(RawDataRecovered!$B:$B,$A7,RawDataRecovered!BN:BN)</f>
        <v>0</v>
      </c>
      <c r="BL7">
        <f>SUMIF(RawDataRecovered!$B:$B,$A7,RawDataRecovered!BO:BO)</f>
        <v>0</v>
      </c>
      <c r="BM7">
        <f>SUMIF(RawDataRecovered!$B:$B,$A7,RawDataRecovered!BP:BP)</f>
        <v>0</v>
      </c>
      <c r="BN7">
        <f>SUMIF(RawDataRecovered!$B:$B,$A7,RawDataRecovered!BQ:BQ)</f>
        <v>0</v>
      </c>
      <c r="BO7">
        <f>SUMIF(RawDataRecovered!$B:$B,$A7,RawDataRecovered!BR:BR)</f>
        <v>0</v>
      </c>
      <c r="BP7">
        <f>SUMIF(RawDataRecovered!$B:$B,$A7,RawDataRecovered!BS:BS)</f>
        <v>0</v>
      </c>
      <c r="BQ7">
        <f>SUMIF(RawDataRecovered!$B:$B,$A7,RawDataRecovered!BT:BT)</f>
        <v>0</v>
      </c>
      <c r="BR7">
        <f>SUMIF(RawDataRecovered!$B:$B,$A7,RawDataRecovered!BU:BU)</f>
        <v>0</v>
      </c>
      <c r="BS7">
        <f>SUMIF(RawDataRecovered!$B:$B,$A7,RawDataRecovered!BV:BV)</f>
        <v>0</v>
      </c>
      <c r="BT7">
        <f>SUMIF(RawDataRecovered!$B:$B,$A7,RawDataRecovered!BW:BW)</f>
        <v>0</v>
      </c>
    </row>
    <row r="8" spans="1:72" ht="15" thickBot="1" x14ac:dyDescent="0.35">
      <c r="A8" s="4" t="s">
        <v>68</v>
      </c>
      <c r="B8">
        <f>SUMIF(RawDataRecovered!$B:$B,$A8,RawDataRecovered!E:E)</f>
        <v>0</v>
      </c>
      <c r="C8">
        <f>SUMIF(RawDataRecovered!$B:$B,$A8,RawDataRecovered!F:F)</f>
        <v>0</v>
      </c>
      <c r="D8">
        <f>SUMIF(RawDataRecovered!$B:$B,$A8,RawDataRecovered!G:G)</f>
        <v>0</v>
      </c>
      <c r="E8">
        <f>SUMIF(RawDataRecovered!$B:$B,$A8,RawDataRecovered!H:H)</f>
        <v>0</v>
      </c>
      <c r="F8">
        <f>SUMIF(RawDataRecovered!$B:$B,$A8,RawDataRecovered!I:I)</f>
        <v>0</v>
      </c>
      <c r="G8">
        <f>SUMIF(RawDataRecovered!$B:$B,$A8,RawDataRecovered!J:J)</f>
        <v>0</v>
      </c>
      <c r="H8">
        <f>SUMIF(RawDataRecovered!$B:$B,$A8,RawDataRecovered!K:K)</f>
        <v>0</v>
      </c>
      <c r="I8">
        <f>SUMIF(RawDataRecovered!$B:$B,$A8,RawDataRecovered!L:L)</f>
        <v>0</v>
      </c>
      <c r="J8">
        <f>SUMIF(RawDataRecovered!$B:$B,$A8,RawDataRecovered!M:M)</f>
        <v>0</v>
      </c>
      <c r="K8">
        <f>SUMIF(RawDataRecovered!$B:$B,$A8,RawDataRecovered!N:N)</f>
        <v>0</v>
      </c>
      <c r="L8">
        <f>SUMIF(RawDataRecovered!$B:$B,$A8,RawDataRecovered!O:O)</f>
        <v>0</v>
      </c>
      <c r="M8">
        <f>SUMIF(RawDataRecovered!$B:$B,$A8,RawDataRecovered!P:P)</f>
        <v>0</v>
      </c>
      <c r="N8">
        <f>SUMIF(RawDataRecovered!$B:$B,$A8,RawDataRecovered!Q:Q)</f>
        <v>0</v>
      </c>
      <c r="O8">
        <f>SUMIF(RawDataRecovered!$B:$B,$A8,RawDataRecovered!R:R)</f>
        <v>0</v>
      </c>
      <c r="P8">
        <f>SUMIF(RawDataRecovered!$B:$B,$A8,RawDataRecovered!S:S)</f>
        <v>0</v>
      </c>
      <c r="Q8">
        <f>SUMIF(RawDataRecovered!$B:$B,$A8,RawDataRecovered!T:T)</f>
        <v>0</v>
      </c>
      <c r="R8">
        <f>SUMIF(RawDataRecovered!$B:$B,$A8,RawDataRecovered!U:U)</f>
        <v>0</v>
      </c>
      <c r="S8">
        <f>SUMIF(RawDataRecovered!$B:$B,$A8,RawDataRecovered!V:V)</f>
        <v>0</v>
      </c>
      <c r="T8">
        <f>SUMIF(RawDataRecovered!$B:$B,$A8,RawDataRecovered!W:W)</f>
        <v>0</v>
      </c>
      <c r="U8">
        <f>SUMIF(RawDataRecovered!$B:$B,$A8,RawDataRecovered!X:X)</f>
        <v>0</v>
      </c>
      <c r="V8">
        <f>SUMIF(RawDataRecovered!$B:$B,$A8,RawDataRecovered!Y:Y)</f>
        <v>0</v>
      </c>
      <c r="W8">
        <f>SUMIF(RawDataRecovered!$B:$B,$A8,RawDataRecovered!Z:Z)</f>
        <v>2</v>
      </c>
      <c r="X8">
        <f>SUMIF(RawDataRecovered!$B:$B,$A8,RawDataRecovered!AA:AA)</f>
        <v>2</v>
      </c>
      <c r="Y8">
        <f>SUMIF(RawDataRecovered!$B:$B,$A8,RawDataRecovered!AB:AB)</f>
        <v>2</v>
      </c>
      <c r="Z8">
        <f>SUMIF(RawDataRecovered!$B:$B,$A8,RawDataRecovered!AC:AC)</f>
        <v>4</v>
      </c>
      <c r="AA8">
        <f>SUMIF(RawDataRecovered!$B:$B,$A8,RawDataRecovered!AD:AD)</f>
        <v>4</v>
      </c>
      <c r="AB8">
        <f>SUMIF(RawDataRecovered!$B:$B,$A8,RawDataRecovered!AE:AE)</f>
        <v>4</v>
      </c>
      <c r="AC8">
        <f>SUMIF(RawDataRecovered!$B:$B,$A8,RawDataRecovered!AF:AF)</f>
        <v>4</v>
      </c>
      <c r="AD8">
        <f>SUMIF(RawDataRecovered!$B:$B,$A8,RawDataRecovered!AG:AG)</f>
        <v>4</v>
      </c>
      <c r="AE8">
        <f>SUMIF(RawDataRecovered!$B:$B,$A8,RawDataRecovered!AH:AH)</f>
        <v>4</v>
      </c>
      <c r="AF8">
        <f>SUMIF(RawDataRecovered!$B:$B,$A8,RawDataRecovered!AI:AI)</f>
        <v>4</v>
      </c>
      <c r="AG8">
        <f>SUMIF(RawDataRecovered!$B:$B,$A8,RawDataRecovered!AJ:AJ)</f>
        <v>4</v>
      </c>
      <c r="AH8">
        <f>SUMIF(RawDataRecovered!$B:$B,$A8,RawDataRecovered!AK:AK)</f>
        <v>4</v>
      </c>
      <c r="AI8">
        <f>SUMIF(RawDataRecovered!$B:$B,$A8,RawDataRecovered!AL:AL)</f>
        <v>4</v>
      </c>
      <c r="AJ8">
        <f>SUMIF(RawDataRecovered!$B:$B,$A8,RawDataRecovered!AM:AM)</f>
        <v>11</v>
      </c>
      <c r="AK8">
        <f>SUMIF(RawDataRecovered!$B:$B,$A8,RawDataRecovered!AN:AN)</f>
        <v>11</v>
      </c>
      <c r="AL8">
        <f>SUMIF(RawDataRecovered!$B:$B,$A8,RawDataRecovered!AO:AO)</f>
        <v>11</v>
      </c>
      <c r="AM8">
        <f>SUMIF(RawDataRecovered!$B:$B,$A8,RawDataRecovered!AP:AP)</f>
        <v>11</v>
      </c>
      <c r="AN8">
        <f>SUMIF(RawDataRecovered!$B:$B,$A8,RawDataRecovered!AQ:AQ)</f>
        <v>12</v>
      </c>
      <c r="AO8">
        <f>SUMIF(RawDataRecovered!$B:$B,$A8,RawDataRecovered!AR:AR)</f>
        <v>12</v>
      </c>
      <c r="AP8">
        <f>SUMIF(RawDataRecovered!$B:$B,$A8,RawDataRecovered!AS:AS)</f>
        <v>12</v>
      </c>
      <c r="AQ8">
        <f>SUMIF(RawDataRecovered!$B:$B,$A8,RawDataRecovered!AT:AT)</f>
        <v>12</v>
      </c>
      <c r="AR8">
        <f>SUMIF(RawDataRecovered!$B:$B,$A8,RawDataRecovered!AU:AU)</f>
        <v>12</v>
      </c>
      <c r="AS8">
        <f>SUMIF(RawDataRecovered!$B:$B,$A8,RawDataRecovered!AV:AV)</f>
        <v>12</v>
      </c>
      <c r="AT8">
        <f>SUMIF(RawDataRecovered!$B:$B,$A8,RawDataRecovered!AW:AW)</f>
        <v>12</v>
      </c>
      <c r="AU8">
        <f>SUMIF(RawDataRecovered!$B:$B,$A8,RawDataRecovered!AX:AX)</f>
        <v>12</v>
      </c>
      <c r="AV8">
        <f>SUMIF(RawDataRecovered!$B:$B,$A8,RawDataRecovered!AY:AY)</f>
        <v>12</v>
      </c>
      <c r="AW8">
        <f>SUMIF(RawDataRecovered!$B:$B,$A8,RawDataRecovered!AZ:AZ)</f>
        <v>12</v>
      </c>
      <c r="AX8">
        <f>SUMIF(RawDataRecovered!$B:$B,$A8,RawDataRecovered!BA:BA)</f>
        <v>12</v>
      </c>
      <c r="AY8">
        <f>SUMIF(RawDataRecovered!$B:$B,$A8,RawDataRecovered!BB:BB)</f>
        <v>12</v>
      </c>
      <c r="AZ8">
        <f>SUMIF(RawDataRecovered!$B:$B,$A8,RawDataRecovered!BC:BC)</f>
        <v>12</v>
      </c>
      <c r="BA8">
        <f>SUMIF(RawDataRecovered!$B:$B,$A8,RawDataRecovered!BD:BD)</f>
        <v>12</v>
      </c>
      <c r="BB8">
        <f>SUMIF(RawDataRecovered!$B:$B,$A8,RawDataRecovered!BE:BE)</f>
        <v>12</v>
      </c>
      <c r="BC8">
        <f>SUMIF(RawDataRecovered!$B:$B,$A8,RawDataRecovered!BF:BF)</f>
        <v>12</v>
      </c>
      <c r="BD8">
        <f>SUMIF(RawDataRecovered!$B:$B,$A8,RawDataRecovered!BG:BG)</f>
        <v>12</v>
      </c>
      <c r="BE8">
        <f>SUMIF(RawDataRecovered!$B:$B,$A8,RawDataRecovered!BH:BH)</f>
        <v>12</v>
      </c>
      <c r="BF8">
        <f>SUMIF(RawDataRecovered!$B:$B,$A8,RawDataRecovered!BI:BI)</f>
        <v>0</v>
      </c>
      <c r="BG8">
        <f>SUMIF(RawDataRecovered!$B:$B,$A8,RawDataRecovered!BJ:BJ)</f>
        <v>0</v>
      </c>
      <c r="BH8">
        <f>SUMIF(RawDataRecovered!$B:$B,$A8,RawDataRecovered!BK:BK)</f>
        <v>0</v>
      </c>
      <c r="BI8">
        <f>SUMIF(RawDataRecovered!$B:$B,$A8,RawDataRecovered!BL:BL)</f>
        <v>0</v>
      </c>
      <c r="BJ8">
        <f>SUMIF(RawDataRecovered!$B:$B,$A8,RawDataRecovered!BM:BM)</f>
        <v>0</v>
      </c>
      <c r="BK8">
        <f>SUMIF(RawDataRecovered!$B:$B,$A8,RawDataRecovered!BN:BN)</f>
        <v>0</v>
      </c>
      <c r="BL8">
        <f>SUMIF(RawDataRecovered!$B:$B,$A8,RawDataRecovered!BO:BO)</f>
        <v>0</v>
      </c>
      <c r="BM8">
        <f>SUMIF(RawDataRecovered!$B:$B,$A8,RawDataRecovered!BP:BP)</f>
        <v>0</v>
      </c>
      <c r="BN8">
        <f>SUMIF(RawDataRecovered!$B:$B,$A8,RawDataRecovered!BQ:BQ)</f>
        <v>0</v>
      </c>
      <c r="BO8">
        <f>SUMIF(RawDataRecovered!$B:$B,$A8,RawDataRecovered!BR:BR)</f>
        <v>0</v>
      </c>
      <c r="BP8">
        <f>SUMIF(RawDataRecovered!$B:$B,$A8,RawDataRecovered!BS:BS)</f>
        <v>0</v>
      </c>
      <c r="BQ8">
        <f>SUMIF(RawDataRecovered!$B:$B,$A8,RawDataRecovered!BT:BT)</f>
        <v>0</v>
      </c>
      <c r="BR8">
        <f>SUMIF(RawDataRecovered!$B:$B,$A8,RawDataRecovered!BU:BU)</f>
        <v>0</v>
      </c>
      <c r="BS8">
        <f>SUMIF(RawDataRecovered!$B:$B,$A8,RawDataRecovered!BV:BV)</f>
        <v>0</v>
      </c>
      <c r="BT8">
        <f>SUMIF(RawDataRecovered!$B:$B,$A8,RawDataRecovered!BW:BW)</f>
        <v>0</v>
      </c>
    </row>
    <row r="9" spans="1:72" ht="15" thickBot="1" x14ac:dyDescent="0.35">
      <c r="A9" s="3" t="s">
        <v>65</v>
      </c>
      <c r="B9">
        <f>SUMIF(RawDataRecovered!$B:$B,$A9,RawDataRecovered!E:E)</f>
        <v>0</v>
      </c>
      <c r="C9">
        <f>SUMIF(RawDataRecovered!$B:$B,$A9,RawDataRecovered!F:F)</f>
        <v>0</v>
      </c>
      <c r="D9">
        <f>SUMIF(RawDataRecovered!$B:$B,$A9,RawDataRecovered!G:G)</f>
        <v>0</v>
      </c>
      <c r="E9">
        <f>SUMIF(RawDataRecovered!$B:$B,$A9,RawDataRecovered!H:H)</f>
        <v>0</v>
      </c>
      <c r="F9">
        <f>SUMIF(RawDataRecovered!$B:$B,$A9,RawDataRecovered!I:I)</f>
        <v>0</v>
      </c>
      <c r="G9">
        <f>SUMIF(RawDataRecovered!$B:$B,$A9,RawDataRecovered!J:J)</f>
        <v>0</v>
      </c>
      <c r="H9">
        <f>SUMIF(RawDataRecovered!$B:$B,$A9,RawDataRecovered!K:K)</f>
        <v>0</v>
      </c>
      <c r="I9">
        <f>SUMIF(RawDataRecovered!$B:$B,$A9,RawDataRecovered!L:L)</f>
        <v>0</v>
      </c>
      <c r="J9">
        <f>SUMIF(RawDataRecovered!$B:$B,$A9,RawDataRecovered!M:M)</f>
        <v>0</v>
      </c>
      <c r="K9">
        <f>SUMIF(RawDataRecovered!$B:$B,$A9,RawDataRecovered!N:N)</f>
        <v>0</v>
      </c>
      <c r="L9">
        <f>SUMIF(RawDataRecovered!$B:$B,$A9,RawDataRecovered!O:O)</f>
        <v>0</v>
      </c>
      <c r="M9">
        <f>SUMIF(RawDataRecovered!$B:$B,$A9,RawDataRecovered!P:P)</f>
        <v>0</v>
      </c>
      <c r="N9">
        <f>SUMIF(RawDataRecovered!$B:$B,$A9,RawDataRecovered!Q:Q)</f>
        <v>0</v>
      </c>
      <c r="O9">
        <f>SUMIF(RawDataRecovered!$B:$B,$A9,RawDataRecovered!R:R)</f>
        <v>0</v>
      </c>
      <c r="P9">
        <f>SUMIF(RawDataRecovered!$B:$B,$A9,RawDataRecovered!S:S)</f>
        <v>0</v>
      </c>
      <c r="Q9">
        <f>SUMIF(RawDataRecovered!$B:$B,$A9,RawDataRecovered!T:T)</f>
        <v>0</v>
      </c>
      <c r="R9">
        <f>SUMIF(RawDataRecovered!$B:$B,$A9,RawDataRecovered!U:U)</f>
        <v>0</v>
      </c>
      <c r="S9">
        <f>SUMIF(RawDataRecovered!$B:$B,$A9,RawDataRecovered!V:V)</f>
        <v>0</v>
      </c>
      <c r="T9">
        <f>SUMIF(RawDataRecovered!$B:$B,$A9,RawDataRecovered!W:W)</f>
        <v>3</v>
      </c>
      <c r="U9">
        <f>SUMIF(RawDataRecovered!$B:$B,$A9,RawDataRecovered!X:X)</f>
        <v>3</v>
      </c>
      <c r="V9">
        <f>SUMIF(RawDataRecovered!$B:$B,$A9,RawDataRecovered!Y:Y)</f>
        <v>3</v>
      </c>
      <c r="W9">
        <f>SUMIF(RawDataRecovered!$B:$B,$A9,RawDataRecovered!Z:Z)</f>
        <v>3</v>
      </c>
      <c r="X9">
        <f>SUMIF(RawDataRecovered!$B:$B,$A9,RawDataRecovered!AA:AA)</f>
        <v>3</v>
      </c>
      <c r="Y9">
        <f>SUMIF(RawDataRecovered!$B:$B,$A9,RawDataRecovered!AB:AB)</f>
        <v>3</v>
      </c>
      <c r="Z9">
        <f>SUMIF(RawDataRecovered!$B:$B,$A9,RawDataRecovered!AC:AC)</f>
        <v>3</v>
      </c>
      <c r="AA9">
        <f>SUMIF(RawDataRecovered!$B:$B,$A9,RawDataRecovered!AD:AD)</f>
        <v>3</v>
      </c>
      <c r="AB9">
        <f>SUMIF(RawDataRecovered!$B:$B,$A9,RawDataRecovered!AE:AE)</f>
        <v>3</v>
      </c>
      <c r="AC9">
        <f>SUMIF(RawDataRecovered!$B:$B,$A9,RawDataRecovered!AF:AF)</f>
        <v>3</v>
      </c>
      <c r="AD9">
        <f>SUMIF(RawDataRecovered!$B:$B,$A9,RawDataRecovered!AG:AG)</f>
        <v>3</v>
      </c>
      <c r="AE9">
        <f>SUMIF(RawDataRecovered!$B:$B,$A9,RawDataRecovered!AH:AH)</f>
        <v>3</v>
      </c>
      <c r="AF9">
        <f>SUMIF(RawDataRecovered!$B:$B,$A9,RawDataRecovered!AI:AI)</f>
        <v>5</v>
      </c>
      <c r="AG9">
        <f>SUMIF(RawDataRecovered!$B:$B,$A9,RawDataRecovered!AJ:AJ)</f>
        <v>5</v>
      </c>
      <c r="AH9">
        <f>SUMIF(RawDataRecovered!$B:$B,$A9,RawDataRecovered!AK:AK)</f>
        <v>5</v>
      </c>
      <c r="AI9">
        <f>SUMIF(RawDataRecovered!$B:$B,$A9,RawDataRecovered!AL:AL)</f>
        <v>5</v>
      </c>
      <c r="AJ9">
        <f>SUMIF(RawDataRecovered!$B:$B,$A9,RawDataRecovered!AM:AM)</f>
        <v>6</v>
      </c>
      <c r="AK9">
        <f>SUMIF(RawDataRecovered!$B:$B,$A9,RawDataRecovered!AN:AN)</f>
        <v>6</v>
      </c>
      <c r="AL9">
        <f>SUMIF(RawDataRecovered!$B:$B,$A9,RawDataRecovered!AO:AO)</f>
        <v>6</v>
      </c>
      <c r="AM9">
        <f>SUMIF(RawDataRecovered!$B:$B,$A9,RawDataRecovered!AP:AP)</f>
        <v>7</v>
      </c>
      <c r="AN9">
        <f>SUMIF(RawDataRecovered!$B:$B,$A9,RawDataRecovered!AQ:AQ)</f>
        <v>7</v>
      </c>
      <c r="AO9">
        <f>SUMIF(RawDataRecovered!$B:$B,$A9,RawDataRecovered!AR:AR)</f>
        <v>7</v>
      </c>
      <c r="AP9">
        <f>SUMIF(RawDataRecovered!$B:$B,$A9,RawDataRecovered!AS:AS)</f>
        <v>7</v>
      </c>
      <c r="AQ9">
        <f>SUMIF(RawDataRecovered!$B:$B,$A9,RawDataRecovered!AT:AT)</f>
        <v>7</v>
      </c>
      <c r="AR9">
        <f>SUMIF(RawDataRecovered!$B:$B,$A9,RawDataRecovered!AU:AU)</f>
        <v>7</v>
      </c>
      <c r="AS9">
        <f>SUMIF(RawDataRecovered!$B:$B,$A9,RawDataRecovered!AV:AV)</f>
        <v>7</v>
      </c>
      <c r="AT9">
        <f>SUMIF(RawDataRecovered!$B:$B,$A9,RawDataRecovered!AW:AW)</f>
        <v>7</v>
      </c>
      <c r="AU9">
        <f>SUMIF(RawDataRecovered!$B:$B,$A9,RawDataRecovered!AX:AX)</f>
        <v>7</v>
      </c>
      <c r="AV9">
        <f>SUMIF(RawDataRecovered!$B:$B,$A9,RawDataRecovered!AY:AY)</f>
        <v>7</v>
      </c>
      <c r="AW9">
        <f>SUMIF(RawDataRecovered!$B:$B,$A9,RawDataRecovered!AZ:AZ)</f>
        <v>7</v>
      </c>
      <c r="AX9">
        <f>SUMIF(RawDataRecovered!$B:$B,$A9,RawDataRecovered!BA:BA)</f>
        <v>8</v>
      </c>
      <c r="AY9">
        <f>SUMIF(RawDataRecovered!$B:$B,$A9,RawDataRecovered!BB:BB)</f>
        <v>8</v>
      </c>
      <c r="AZ9">
        <f>SUMIF(RawDataRecovered!$B:$B,$A9,RawDataRecovered!BC:BC)</f>
        <v>12</v>
      </c>
      <c r="BA9">
        <f>SUMIF(RawDataRecovered!$B:$B,$A9,RawDataRecovered!BD:BD)</f>
        <v>12</v>
      </c>
      <c r="BB9">
        <f>SUMIF(RawDataRecovered!$B:$B,$A9,RawDataRecovered!BE:BE)</f>
        <v>12</v>
      </c>
      <c r="BC9">
        <f>SUMIF(RawDataRecovered!$B:$B,$A9,RawDataRecovered!BF:BF)</f>
        <v>12</v>
      </c>
      <c r="BD9">
        <f>SUMIF(RawDataRecovered!$B:$B,$A9,RawDataRecovered!BG:BG)</f>
        <v>17</v>
      </c>
      <c r="BE9">
        <f>SUMIF(RawDataRecovered!$B:$B,$A9,RawDataRecovered!BH:BH)</f>
        <v>17</v>
      </c>
      <c r="BF9">
        <f>SUMIF(RawDataRecovered!$B:$B,$A9,RawDataRecovered!BI:BI)</f>
        <v>0</v>
      </c>
      <c r="BG9">
        <f>SUMIF(RawDataRecovered!$B:$B,$A9,RawDataRecovered!BJ:BJ)</f>
        <v>0</v>
      </c>
      <c r="BH9">
        <f>SUMIF(RawDataRecovered!$B:$B,$A9,RawDataRecovered!BK:BK)</f>
        <v>0</v>
      </c>
      <c r="BI9">
        <f>SUMIF(RawDataRecovered!$B:$B,$A9,RawDataRecovered!BL:BL)</f>
        <v>0</v>
      </c>
      <c r="BJ9">
        <f>SUMIF(RawDataRecovered!$B:$B,$A9,RawDataRecovered!BM:BM)</f>
        <v>0</v>
      </c>
      <c r="BK9">
        <f>SUMIF(RawDataRecovered!$B:$B,$A9,RawDataRecovered!BN:BN)</f>
        <v>0</v>
      </c>
      <c r="BL9">
        <f>SUMIF(RawDataRecovered!$B:$B,$A9,RawDataRecovered!BO:BO)</f>
        <v>0</v>
      </c>
      <c r="BM9">
        <f>SUMIF(RawDataRecovered!$B:$B,$A9,RawDataRecovered!BP:BP)</f>
        <v>0</v>
      </c>
      <c r="BN9">
        <f>SUMIF(RawDataRecovered!$B:$B,$A9,RawDataRecovered!BQ:BQ)</f>
        <v>0</v>
      </c>
      <c r="BO9">
        <f>SUMIF(RawDataRecovered!$B:$B,$A9,RawDataRecovered!BR:BR)</f>
        <v>0</v>
      </c>
      <c r="BP9">
        <f>SUMIF(RawDataRecovered!$B:$B,$A9,RawDataRecovered!BS:BS)</f>
        <v>0</v>
      </c>
      <c r="BQ9">
        <f>SUMIF(RawDataRecovered!$B:$B,$A9,RawDataRecovered!BT:BT)</f>
        <v>0</v>
      </c>
      <c r="BR9">
        <f>SUMIF(RawDataRecovered!$B:$B,$A9,RawDataRecovered!BU:BU)</f>
        <v>0</v>
      </c>
      <c r="BS9">
        <f>SUMIF(RawDataRecovered!$B:$B,$A9,RawDataRecovered!BV:BV)</f>
        <v>0</v>
      </c>
      <c r="BT9">
        <f>SUMIF(RawDataRecovered!$B:$B,$A9,RawDataRecovered!BW:BW)</f>
        <v>0</v>
      </c>
    </row>
    <row r="10" spans="1:72" ht="15" thickBot="1" x14ac:dyDescent="0.35">
      <c r="A10" s="4" t="s">
        <v>104</v>
      </c>
      <c r="B10">
        <f>SUMIF(RawDataRecovered!$B:$B,$A10,RawDataRecovered!E:E)</f>
        <v>0</v>
      </c>
      <c r="C10">
        <f>SUMIF(RawDataRecovered!$B:$B,$A10,RawDataRecovered!F:F)</f>
        <v>0</v>
      </c>
      <c r="D10">
        <f>SUMIF(RawDataRecovered!$B:$B,$A10,RawDataRecovered!G:G)</f>
        <v>0</v>
      </c>
      <c r="E10">
        <f>SUMIF(RawDataRecovered!$B:$B,$A10,RawDataRecovered!H:H)</f>
        <v>0</v>
      </c>
      <c r="F10">
        <f>SUMIF(RawDataRecovered!$B:$B,$A10,RawDataRecovered!I:I)</f>
        <v>0</v>
      </c>
      <c r="G10">
        <f>SUMIF(RawDataRecovered!$B:$B,$A10,RawDataRecovered!J:J)</f>
        <v>0</v>
      </c>
      <c r="H10">
        <f>SUMIF(RawDataRecovered!$B:$B,$A10,RawDataRecovered!K:K)</f>
        <v>0</v>
      </c>
      <c r="I10">
        <f>SUMIF(RawDataRecovered!$B:$B,$A10,RawDataRecovered!L:L)</f>
        <v>0</v>
      </c>
      <c r="J10">
        <f>SUMIF(RawDataRecovered!$B:$B,$A10,RawDataRecovered!M:M)</f>
        <v>0</v>
      </c>
      <c r="K10">
        <f>SUMIF(RawDataRecovered!$B:$B,$A10,RawDataRecovered!N:N)</f>
        <v>0</v>
      </c>
      <c r="L10">
        <f>SUMIF(RawDataRecovered!$B:$B,$A10,RawDataRecovered!O:O)</f>
        <v>0</v>
      </c>
      <c r="M10">
        <f>SUMIF(RawDataRecovered!$B:$B,$A10,RawDataRecovered!P:P)</f>
        <v>0</v>
      </c>
      <c r="N10">
        <f>SUMIF(RawDataRecovered!$B:$B,$A10,RawDataRecovered!Q:Q)</f>
        <v>0</v>
      </c>
      <c r="O10">
        <f>SUMIF(RawDataRecovered!$B:$B,$A10,RawDataRecovered!R:R)</f>
        <v>0</v>
      </c>
      <c r="P10">
        <f>SUMIF(RawDataRecovered!$B:$B,$A10,RawDataRecovered!S:S)</f>
        <v>0</v>
      </c>
      <c r="Q10">
        <f>SUMIF(RawDataRecovered!$B:$B,$A10,RawDataRecovered!T:T)</f>
        <v>0</v>
      </c>
      <c r="R10">
        <f>SUMIF(RawDataRecovered!$B:$B,$A10,RawDataRecovered!U:U)</f>
        <v>0</v>
      </c>
      <c r="S10">
        <f>SUMIF(RawDataRecovered!$B:$B,$A10,RawDataRecovered!V:V)</f>
        <v>0</v>
      </c>
      <c r="T10">
        <f>SUMIF(RawDataRecovered!$B:$B,$A10,RawDataRecovered!W:W)</f>
        <v>0</v>
      </c>
      <c r="U10">
        <f>SUMIF(RawDataRecovered!$B:$B,$A10,RawDataRecovered!X:X)</f>
        <v>0</v>
      </c>
      <c r="V10">
        <f>SUMIF(RawDataRecovered!$B:$B,$A10,RawDataRecovered!Y:Y)</f>
        <v>0</v>
      </c>
      <c r="W10">
        <f>SUMIF(RawDataRecovered!$B:$B,$A10,RawDataRecovered!Z:Z)</f>
        <v>0</v>
      </c>
      <c r="X10">
        <f>SUMIF(RawDataRecovered!$B:$B,$A10,RawDataRecovered!AA:AA)</f>
        <v>0</v>
      </c>
      <c r="Y10">
        <f>SUMIF(RawDataRecovered!$B:$B,$A10,RawDataRecovered!AB:AB)</f>
        <v>0</v>
      </c>
      <c r="Z10">
        <f>SUMIF(RawDataRecovered!$B:$B,$A10,RawDataRecovered!AC:AC)</f>
        <v>0</v>
      </c>
      <c r="AA10">
        <f>SUMIF(RawDataRecovered!$B:$B,$A10,RawDataRecovered!AD:AD)</f>
        <v>0</v>
      </c>
      <c r="AB10">
        <f>SUMIF(RawDataRecovered!$B:$B,$A10,RawDataRecovered!AE:AE)</f>
        <v>0</v>
      </c>
      <c r="AC10">
        <f>SUMIF(RawDataRecovered!$B:$B,$A10,RawDataRecovered!AF:AF)</f>
        <v>0</v>
      </c>
      <c r="AD10">
        <f>SUMIF(RawDataRecovered!$B:$B,$A10,RawDataRecovered!AG:AG)</f>
        <v>0</v>
      </c>
      <c r="AE10">
        <f>SUMIF(RawDataRecovered!$B:$B,$A10,RawDataRecovered!AH:AH)</f>
        <v>0</v>
      </c>
      <c r="AF10">
        <f>SUMIF(RawDataRecovered!$B:$B,$A10,RawDataRecovered!AI:AI)</f>
        <v>0</v>
      </c>
      <c r="AG10">
        <f>SUMIF(RawDataRecovered!$B:$B,$A10,RawDataRecovered!AJ:AJ)</f>
        <v>0</v>
      </c>
      <c r="AH10">
        <f>SUMIF(RawDataRecovered!$B:$B,$A10,RawDataRecovered!AK:AK)</f>
        <v>0</v>
      </c>
      <c r="AI10">
        <f>SUMIF(RawDataRecovered!$B:$B,$A10,RawDataRecovered!AL:AL)</f>
        <v>0</v>
      </c>
      <c r="AJ10">
        <f>SUMIF(RawDataRecovered!$B:$B,$A10,RawDataRecovered!AM:AM)</f>
        <v>0</v>
      </c>
      <c r="AK10">
        <f>SUMIF(RawDataRecovered!$B:$B,$A10,RawDataRecovered!AN:AN)</f>
        <v>0</v>
      </c>
      <c r="AL10">
        <f>SUMIF(RawDataRecovered!$B:$B,$A10,RawDataRecovered!AO:AO)</f>
        <v>0</v>
      </c>
      <c r="AM10">
        <f>SUMIF(RawDataRecovered!$B:$B,$A10,RawDataRecovered!AP:AP)</f>
        <v>0</v>
      </c>
      <c r="AN10">
        <f>SUMIF(RawDataRecovered!$B:$B,$A10,RawDataRecovered!AQ:AQ)</f>
        <v>0</v>
      </c>
      <c r="AO10">
        <f>SUMIF(RawDataRecovered!$B:$B,$A10,RawDataRecovered!AR:AR)</f>
        <v>0</v>
      </c>
      <c r="AP10">
        <f>SUMIF(RawDataRecovered!$B:$B,$A10,RawDataRecovered!AS:AS)</f>
        <v>0</v>
      </c>
      <c r="AQ10">
        <f>SUMIF(RawDataRecovered!$B:$B,$A10,RawDataRecovered!AT:AT)</f>
        <v>2</v>
      </c>
      <c r="AR10">
        <f>SUMIF(RawDataRecovered!$B:$B,$A10,RawDataRecovered!AU:AU)</f>
        <v>3</v>
      </c>
      <c r="AS10">
        <f>SUMIF(RawDataRecovered!$B:$B,$A10,RawDataRecovered!AV:AV)</f>
        <v>3</v>
      </c>
      <c r="AT10">
        <f>SUMIF(RawDataRecovered!$B:$B,$A10,RawDataRecovered!AW:AW)</f>
        <v>3</v>
      </c>
      <c r="AU10">
        <f>SUMIF(RawDataRecovered!$B:$B,$A10,RawDataRecovered!AX:AX)</f>
        <v>3</v>
      </c>
      <c r="AV10">
        <f>SUMIF(RawDataRecovered!$B:$B,$A10,RawDataRecovered!AY:AY)</f>
        <v>3</v>
      </c>
      <c r="AW10">
        <f>SUMIF(RawDataRecovered!$B:$B,$A10,RawDataRecovered!AZ:AZ)</f>
        <v>3</v>
      </c>
      <c r="AX10">
        <f>SUMIF(RawDataRecovered!$B:$B,$A10,RawDataRecovered!BA:BA)</f>
        <v>3</v>
      </c>
      <c r="AY10">
        <f>SUMIF(RawDataRecovered!$B:$B,$A10,RawDataRecovered!BB:BB)</f>
        <v>4</v>
      </c>
      <c r="AZ10">
        <f>SUMIF(RawDataRecovered!$B:$B,$A10,RawDataRecovered!BC:BC)</f>
        <v>4</v>
      </c>
      <c r="BA10">
        <f>SUMIF(RawDataRecovered!$B:$B,$A10,RawDataRecovered!BD:BD)</f>
        <v>4</v>
      </c>
      <c r="BB10">
        <f>SUMIF(RawDataRecovered!$B:$B,$A10,RawDataRecovered!BE:BE)</f>
        <v>4</v>
      </c>
      <c r="BC10">
        <f>SUMIF(RawDataRecovered!$B:$B,$A10,RawDataRecovered!BF:BF)</f>
        <v>4</v>
      </c>
      <c r="BD10">
        <f>SUMIF(RawDataRecovered!$B:$B,$A10,RawDataRecovered!BG:BG)</f>
        <v>4</v>
      </c>
      <c r="BE10">
        <f>SUMIF(RawDataRecovered!$B:$B,$A10,RawDataRecovered!BH:BH)</f>
        <v>4</v>
      </c>
      <c r="BF10">
        <f>SUMIF(RawDataRecovered!$B:$B,$A10,RawDataRecovered!BI:BI)</f>
        <v>0</v>
      </c>
      <c r="BG10">
        <f>SUMIF(RawDataRecovered!$B:$B,$A10,RawDataRecovered!BJ:BJ)</f>
        <v>0</v>
      </c>
      <c r="BH10">
        <f>SUMIF(RawDataRecovered!$B:$B,$A10,RawDataRecovered!BK:BK)</f>
        <v>0</v>
      </c>
      <c r="BI10">
        <f>SUMIF(RawDataRecovered!$B:$B,$A10,RawDataRecovered!BL:BL)</f>
        <v>0</v>
      </c>
      <c r="BJ10">
        <f>SUMIF(RawDataRecovered!$B:$B,$A10,RawDataRecovered!BM:BM)</f>
        <v>0</v>
      </c>
      <c r="BK10">
        <f>SUMIF(RawDataRecovered!$B:$B,$A10,RawDataRecovered!BN:BN)</f>
        <v>0</v>
      </c>
      <c r="BL10">
        <f>SUMIF(RawDataRecovered!$B:$B,$A10,RawDataRecovered!BO:BO)</f>
        <v>0</v>
      </c>
      <c r="BM10">
        <f>SUMIF(RawDataRecovered!$B:$B,$A10,RawDataRecovered!BP:BP)</f>
        <v>0</v>
      </c>
      <c r="BN10">
        <f>SUMIF(RawDataRecovered!$B:$B,$A10,RawDataRecovered!BQ:BQ)</f>
        <v>0</v>
      </c>
      <c r="BO10">
        <f>SUMIF(RawDataRecovered!$B:$B,$A10,RawDataRecovered!BR:BR)</f>
        <v>0</v>
      </c>
      <c r="BP10">
        <f>SUMIF(RawDataRecovered!$B:$B,$A10,RawDataRecovered!BS:BS)</f>
        <v>0</v>
      </c>
      <c r="BQ10">
        <f>SUMIF(RawDataRecovered!$B:$B,$A10,RawDataRecovered!BT:BT)</f>
        <v>0</v>
      </c>
      <c r="BR10">
        <f>SUMIF(RawDataRecovered!$B:$B,$A10,RawDataRecovered!BU:BU)</f>
        <v>0</v>
      </c>
      <c r="BS10">
        <f>SUMIF(RawDataRecovered!$B:$B,$A10,RawDataRecovered!BV:BV)</f>
        <v>0</v>
      </c>
      <c r="BT10">
        <f>SUMIF(RawDataRecovered!$B:$B,$A10,RawDataRecovered!BW:BW)</f>
        <v>0</v>
      </c>
    </row>
    <row r="11" spans="1:72" ht="15" thickBot="1" x14ac:dyDescent="0.35">
      <c r="A11" s="4" t="s">
        <v>112</v>
      </c>
      <c r="B11">
        <f>SUMIF(RawDataRecovered!$B:$B,$A11,RawDataRecovered!E:E)</f>
        <v>0</v>
      </c>
      <c r="C11">
        <f>SUMIF(RawDataRecovered!$B:$B,$A11,RawDataRecovered!F:F)</f>
        <v>0</v>
      </c>
      <c r="D11">
        <f>SUMIF(RawDataRecovered!$B:$B,$A11,RawDataRecovered!G:G)</f>
        <v>0</v>
      </c>
      <c r="E11">
        <f>SUMIF(RawDataRecovered!$B:$B,$A11,RawDataRecovered!H:H)</f>
        <v>0</v>
      </c>
      <c r="F11">
        <f>SUMIF(RawDataRecovered!$B:$B,$A11,RawDataRecovered!I:I)</f>
        <v>0</v>
      </c>
      <c r="G11">
        <f>SUMIF(RawDataRecovered!$B:$B,$A11,RawDataRecovered!J:J)</f>
        <v>0</v>
      </c>
      <c r="H11">
        <f>SUMIF(RawDataRecovered!$B:$B,$A11,RawDataRecovered!K:K)</f>
        <v>0</v>
      </c>
      <c r="I11">
        <f>SUMIF(RawDataRecovered!$B:$B,$A11,RawDataRecovered!L:L)</f>
        <v>0</v>
      </c>
      <c r="J11">
        <f>SUMIF(RawDataRecovered!$B:$B,$A11,RawDataRecovered!M:M)</f>
        <v>0</v>
      </c>
      <c r="K11">
        <f>SUMIF(RawDataRecovered!$B:$B,$A11,RawDataRecovered!N:N)</f>
        <v>0</v>
      </c>
      <c r="L11">
        <f>SUMIF(RawDataRecovered!$B:$B,$A11,RawDataRecovered!O:O)</f>
        <v>0</v>
      </c>
      <c r="M11">
        <f>SUMIF(RawDataRecovered!$B:$B,$A11,RawDataRecovered!P:P)</f>
        <v>0</v>
      </c>
      <c r="N11">
        <f>SUMIF(RawDataRecovered!$B:$B,$A11,RawDataRecovered!Q:Q)</f>
        <v>0</v>
      </c>
      <c r="O11">
        <f>SUMIF(RawDataRecovered!$B:$B,$A11,RawDataRecovered!R:R)</f>
        <v>0</v>
      </c>
      <c r="P11">
        <f>SUMIF(RawDataRecovered!$B:$B,$A11,RawDataRecovered!S:S)</f>
        <v>0</v>
      </c>
      <c r="Q11">
        <f>SUMIF(RawDataRecovered!$B:$B,$A11,RawDataRecovered!T:T)</f>
        <v>0</v>
      </c>
      <c r="R11">
        <f>SUMIF(RawDataRecovered!$B:$B,$A11,RawDataRecovered!U:U)</f>
        <v>0</v>
      </c>
      <c r="S11">
        <f>SUMIF(RawDataRecovered!$B:$B,$A11,RawDataRecovered!V:V)</f>
        <v>0</v>
      </c>
      <c r="T11">
        <f>SUMIF(RawDataRecovered!$B:$B,$A11,RawDataRecovered!W:W)</f>
        <v>0</v>
      </c>
      <c r="U11">
        <f>SUMIF(RawDataRecovered!$B:$B,$A11,RawDataRecovered!X:X)</f>
        <v>0</v>
      </c>
      <c r="V11">
        <f>SUMIF(RawDataRecovered!$B:$B,$A11,RawDataRecovered!Y:Y)</f>
        <v>0</v>
      </c>
      <c r="W11">
        <f>SUMIF(RawDataRecovered!$B:$B,$A11,RawDataRecovered!Z:Z)</f>
        <v>0</v>
      </c>
      <c r="X11">
        <f>SUMIF(RawDataRecovered!$B:$B,$A11,RawDataRecovered!AA:AA)</f>
        <v>0</v>
      </c>
      <c r="Y11">
        <f>SUMIF(RawDataRecovered!$B:$B,$A11,RawDataRecovered!AB:AB)</f>
        <v>0</v>
      </c>
      <c r="Z11">
        <f>SUMIF(RawDataRecovered!$B:$B,$A11,RawDataRecovered!AC:AC)</f>
        <v>0</v>
      </c>
      <c r="AA11">
        <f>SUMIF(RawDataRecovered!$B:$B,$A11,RawDataRecovered!AD:AD)</f>
        <v>0</v>
      </c>
      <c r="AB11">
        <f>SUMIF(RawDataRecovered!$B:$B,$A11,RawDataRecovered!AE:AE)</f>
        <v>0</v>
      </c>
      <c r="AC11">
        <f>SUMIF(RawDataRecovered!$B:$B,$A11,RawDataRecovered!AF:AF)</f>
        <v>0</v>
      </c>
      <c r="AD11">
        <f>SUMIF(RawDataRecovered!$B:$B,$A11,RawDataRecovered!AG:AG)</f>
        <v>0</v>
      </c>
      <c r="AE11">
        <f>SUMIF(RawDataRecovered!$B:$B,$A11,RawDataRecovered!AH:AH)</f>
        <v>0</v>
      </c>
      <c r="AF11">
        <f>SUMIF(RawDataRecovered!$B:$B,$A11,RawDataRecovered!AI:AI)</f>
        <v>0</v>
      </c>
      <c r="AG11">
        <f>SUMIF(RawDataRecovered!$B:$B,$A11,RawDataRecovered!AJ:AJ)</f>
        <v>0</v>
      </c>
      <c r="AH11">
        <f>SUMIF(RawDataRecovered!$B:$B,$A11,RawDataRecovered!AK:AK)</f>
        <v>0</v>
      </c>
      <c r="AI11">
        <f>SUMIF(RawDataRecovered!$B:$B,$A11,RawDataRecovered!AL:AL)</f>
        <v>0</v>
      </c>
      <c r="AJ11">
        <f>SUMIF(RawDataRecovered!$B:$B,$A11,RawDataRecovered!AM:AM)</f>
        <v>0</v>
      </c>
      <c r="AK11">
        <f>SUMIF(RawDataRecovered!$B:$B,$A11,RawDataRecovered!AN:AN)</f>
        <v>0</v>
      </c>
      <c r="AL11">
        <f>SUMIF(RawDataRecovered!$B:$B,$A11,RawDataRecovered!AO:AO)</f>
        <v>0</v>
      </c>
      <c r="AM11">
        <f>SUMIF(RawDataRecovered!$B:$B,$A11,RawDataRecovered!AP:AP)</f>
        <v>0</v>
      </c>
      <c r="AN11">
        <f>SUMIF(RawDataRecovered!$B:$B,$A11,RawDataRecovered!AQ:AQ)</f>
        <v>0</v>
      </c>
      <c r="AO11">
        <f>SUMIF(RawDataRecovered!$B:$B,$A11,RawDataRecovered!AR:AR)</f>
        <v>0</v>
      </c>
      <c r="AP11">
        <f>SUMIF(RawDataRecovered!$B:$B,$A11,RawDataRecovered!AS:AS)</f>
        <v>0</v>
      </c>
      <c r="AQ11">
        <f>SUMIF(RawDataRecovered!$B:$B,$A11,RawDataRecovered!AT:AT)</f>
        <v>0</v>
      </c>
      <c r="AR11">
        <f>SUMIF(RawDataRecovered!$B:$B,$A11,RawDataRecovered!AU:AU)</f>
        <v>0</v>
      </c>
      <c r="AS11">
        <f>SUMIF(RawDataRecovered!$B:$B,$A11,RawDataRecovered!AV:AV)</f>
        <v>0</v>
      </c>
      <c r="AT11">
        <f>SUMIF(RawDataRecovered!$B:$B,$A11,RawDataRecovered!AW:AW)</f>
        <v>0</v>
      </c>
      <c r="AU11">
        <f>SUMIF(RawDataRecovered!$B:$B,$A11,RawDataRecovered!AX:AX)</f>
        <v>0</v>
      </c>
      <c r="AV11">
        <f>SUMIF(RawDataRecovered!$B:$B,$A11,RawDataRecovered!AY:AY)</f>
        <v>0</v>
      </c>
      <c r="AW11">
        <f>SUMIF(RawDataRecovered!$B:$B,$A11,RawDataRecovered!AZ:AZ)</f>
        <v>1</v>
      </c>
      <c r="AX11">
        <f>SUMIF(RawDataRecovered!$B:$B,$A11,RawDataRecovered!BA:BA)</f>
        <v>1</v>
      </c>
      <c r="AY11">
        <f>SUMIF(RawDataRecovered!$B:$B,$A11,RawDataRecovered!BB:BB)</f>
        <v>1</v>
      </c>
      <c r="AZ11">
        <f>SUMIF(RawDataRecovered!$B:$B,$A11,RawDataRecovered!BC:BC)</f>
        <v>1</v>
      </c>
      <c r="BA11">
        <f>SUMIF(RawDataRecovered!$B:$B,$A11,RawDataRecovered!BD:BD)</f>
        <v>1</v>
      </c>
      <c r="BB11">
        <f>SUMIF(RawDataRecovered!$B:$B,$A11,RawDataRecovered!BE:BE)</f>
        <v>1</v>
      </c>
      <c r="BC11">
        <f>SUMIF(RawDataRecovered!$B:$B,$A11,RawDataRecovered!BF:BF)</f>
        <v>1</v>
      </c>
      <c r="BD11">
        <f>SUMIF(RawDataRecovered!$B:$B,$A11,RawDataRecovered!BG:BG)</f>
        <v>1</v>
      </c>
      <c r="BE11">
        <f>SUMIF(RawDataRecovered!$B:$B,$A11,RawDataRecovered!BH:BH)</f>
        <v>1</v>
      </c>
      <c r="BF11">
        <f>SUMIF(RawDataRecovered!$B:$B,$A11,RawDataRecovered!BI:BI)</f>
        <v>0</v>
      </c>
      <c r="BG11">
        <f>SUMIF(RawDataRecovered!$B:$B,$A11,RawDataRecovered!BJ:BJ)</f>
        <v>0</v>
      </c>
      <c r="BH11">
        <f>SUMIF(RawDataRecovered!$B:$B,$A11,RawDataRecovered!BK:BK)</f>
        <v>0</v>
      </c>
      <c r="BI11">
        <f>SUMIF(RawDataRecovered!$B:$B,$A11,RawDataRecovered!BL:BL)</f>
        <v>0</v>
      </c>
      <c r="BJ11">
        <f>SUMIF(RawDataRecovered!$B:$B,$A11,RawDataRecovered!BM:BM)</f>
        <v>0</v>
      </c>
      <c r="BK11">
        <f>SUMIF(RawDataRecovered!$B:$B,$A11,RawDataRecovered!BN:BN)</f>
        <v>0</v>
      </c>
      <c r="BL11">
        <f>SUMIF(RawDataRecovered!$B:$B,$A11,RawDataRecovered!BO:BO)</f>
        <v>0</v>
      </c>
      <c r="BM11">
        <f>SUMIF(RawDataRecovered!$B:$B,$A11,RawDataRecovered!BP:BP)</f>
        <v>0</v>
      </c>
      <c r="BN11">
        <f>SUMIF(RawDataRecovered!$B:$B,$A11,RawDataRecovered!BQ:BQ)</f>
        <v>0</v>
      </c>
      <c r="BO11">
        <f>SUMIF(RawDataRecovered!$B:$B,$A11,RawDataRecovered!BR:BR)</f>
        <v>0</v>
      </c>
      <c r="BP11">
        <f>SUMIF(RawDataRecovered!$B:$B,$A11,RawDataRecovered!BS:BS)</f>
        <v>0</v>
      </c>
      <c r="BQ11">
        <f>SUMIF(RawDataRecovered!$B:$B,$A11,RawDataRecovered!BT:BT)</f>
        <v>0</v>
      </c>
      <c r="BR11">
        <f>SUMIF(RawDataRecovered!$B:$B,$A11,RawDataRecovered!BU:BU)</f>
        <v>0</v>
      </c>
      <c r="BS11">
        <f>SUMIF(RawDataRecovered!$B:$B,$A11,RawDataRecovered!BV:BV)</f>
        <v>0</v>
      </c>
      <c r="BT11">
        <f>SUMIF(RawDataRecovered!$B:$B,$A11,RawDataRecovered!BW:BW)</f>
        <v>0</v>
      </c>
    </row>
    <row r="12" spans="1:72" ht="15" thickBot="1" x14ac:dyDescent="0.35">
      <c r="A12" s="4" t="s">
        <v>86</v>
      </c>
      <c r="B12">
        <f>SUMIF(RawDataRecovered!$B:$B,$A12,RawDataRecovered!E:E)</f>
        <v>0</v>
      </c>
      <c r="C12">
        <f>SUMIF(RawDataRecovered!$B:$B,$A12,RawDataRecovered!F:F)</f>
        <v>0</v>
      </c>
      <c r="D12">
        <f>SUMIF(RawDataRecovered!$B:$B,$A12,RawDataRecovered!G:G)</f>
        <v>0</v>
      </c>
      <c r="E12">
        <f>SUMIF(RawDataRecovered!$B:$B,$A12,RawDataRecovered!H:H)</f>
        <v>0</v>
      </c>
      <c r="F12">
        <f>SUMIF(RawDataRecovered!$B:$B,$A12,RawDataRecovered!I:I)</f>
        <v>0</v>
      </c>
      <c r="G12">
        <f>SUMIF(RawDataRecovered!$B:$B,$A12,RawDataRecovered!J:J)</f>
        <v>0</v>
      </c>
      <c r="H12">
        <f>SUMIF(RawDataRecovered!$B:$B,$A12,RawDataRecovered!K:K)</f>
        <v>0</v>
      </c>
      <c r="I12">
        <f>SUMIF(RawDataRecovered!$B:$B,$A12,RawDataRecovered!L:L)</f>
        <v>0</v>
      </c>
      <c r="J12">
        <f>SUMIF(RawDataRecovered!$B:$B,$A12,RawDataRecovered!M:M)</f>
        <v>0</v>
      </c>
      <c r="K12">
        <f>SUMIF(RawDataRecovered!$B:$B,$A12,RawDataRecovered!N:N)</f>
        <v>0</v>
      </c>
      <c r="L12">
        <f>SUMIF(RawDataRecovered!$B:$B,$A12,RawDataRecovered!O:O)</f>
        <v>0</v>
      </c>
      <c r="M12">
        <f>SUMIF(RawDataRecovered!$B:$B,$A12,RawDataRecovered!P:P)</f>
        <v>0</v>
      </c>
      <c r="N12">
        <f>SUMIF(RawDataRecovered!$B:$B,$A12,RawDataRecovered!Q:Q)</f>
        <v>0</v>
      </c>
      <c r="O12">
        <f>SUMIF(RawDataRecovered!$B:$B,$A12,RawDataRecovered!R:R)</f>
        <v>0</v>
      </c>
      <c r="P12">
        <f>SUMIF(RawDataRecovered!$B:$B,$A12,RawDataRecovered!S:S)</f>
        <v>0</v>
      </c>
      <c r="Q12">
        <f>SUMIF(RawDataRecovered!$B:$B,$A12,RawDataRecovered!T:T)</f>
        <v>0</v>
      </c>
      <c r="R12">
        <f>SUMIF(RawDataRecovered!$B:$B,$A12,RawDataRecovered!U:U)</f>
        <v>0</v>
      </c>
      <c r="S12">
        <f>SUMIF(RawDataRecovered!$B:$B,$A12,RawDataRecovered!V:V)</f>
        <v>0</v>
      </c>
      <c r="T12">
        <f>SUMIF(RawDataRecovered!$B:$B,$A12,RawDataRecovered!W:W)</f>
        <v>0</v>
      </c>
      <c r="U12">
        <f>SUMIF(RawDataRecovered!$B:$B,$A12,RawDataRecovered!X:X)</f>
        <v>0</v>
      </c>
      <c r="V12">
        <f>SUMIF(RawDataRecovered!$B:$B,$A12,RawDataRecovered!Y:Y)</f>
        <v>0</v>
      </c>
      <c r="W12">
        <f>SUMIF(RawDataRecovered!$B:$B,$A12,RawDataRecovered!Z:Z)</f>
        <v>0</v>
      </c>
      <c r="X12">
        <f>SUMIF(RawDataRecovered!$B:$B,$A12,RawDataRecovered!AA:AA)</f>
        <v>0</v>
      </c>
      <c r="Y12">
        <f>SUMIF(RawDataRecovered!$B:$B,$A12,RawDataRecovered!AB:AB)</f>
        <v>0</v>
      </c>
      <c r="Z12">
        <f>SUMIF(RawDataRecovered!$B:$B,$A12,RawDataRecovered!AC:AC)</f>
        <v>0</v>
      </c>
      <c r="AA12">
        <f>SUMIF(RawDataRecovered!$B:$B,$A12,RawDataRecovered!AD:AD)</f>
        <v>0</v>
      </c>
      <c r="AB12">
        <f>SUMIF(RawDataRecovered!$B:$B,$A12,RawDataRecovered!AE:AE)</f>
        <v>0</v>
      </c>
      <c r="AC12">
        <f>SUMIF(RawDataRecovered!$B:$B,$A12,RawDataRecovered!AF:AF)</f>
        <v>0</v>
      </c>
      <c r="AD12">
        <f>SUMIF(RawDataRecovered!$B:$B,$A12,RawDataRecovered!AG:AG)</f>
        <v>0</v>
      </c>
      <c r="AE12">
        <f>SUMIF(RawDataRecovered!$B:$B,$A12,RawDataRecovered!AH:AH)</f>
        <v>0</v>
      </c>
      <c r="AF12">
        <f>SUMIF(RawDataRecovered!$B:$B,$A12,RawDataRecovered!AI:AI)</f>
        <v>0</v>
      </c>
      <c r="AG12">
        <f>SUMIF(RawDataRecovered!$B:$B,$A12,RawDataRecovered!AJ:AJ)</f>
        <v>0</v>
      </c>
      <c r="AH12">
        <f>SUMIF(RawDataRecovered!$B:$B,$A12,RawDataRecovered!AK:AK)</f>
        <v>0</v>
      </c>
      <c r="AI12">
        <f>SUMIF(RawDataRecovered!$B:$B,$A12,RawDataRecovered!AL:AL)</f>
        <v>0</v>
      </c>
      <c r="AJ12">
        <f>SUMIF(RawDataRecovered!$B:$B,$A12,RawDataRecovered!AM:AM)</f>
        <v>0</v>
      </c>
      <c r="AK12">
        <f>SUMIF(RawDataRecovered!$B:$B,$A12,RawDataRecovered!AN:AN)</f>
        <v>0</v>
      </c>
      <c r="AL12">
        <f>SUMIF(RawDataRecovered!$B:$B,$A12,RawDataRecovered!AO:AO)</f>
        <v>0</v>
      </c>
      <c r="AM12">
        <f>SUMIF(RawDataRecovered!$B:$B,$A12,RawDataRecovered!AP:AP)</f>
        <v>0</v>
      </c>
      <c r="AN12">
        <f>SUMIF(RawDataRecovered!$B:$B,$A12,RawDataRecovered!AQ:AQ)</f>
        <v>0</v>
      </c>
      <c r="AO12">
        <f>SUMIF(RawDataRecovered!$B:$B,$A12,RawDataRecovered!AR:AR)</f>
        <v>0</v>
      </c>
      <c r="AP12">
        <f>SUMIF(RawDataRecovered!$B:$B,$A12,RawDataRecovered!AS:AS)</f>
        <v>0</v>
      </c>
      <c r="AQ12">
        <f>SUMIF(RawDataRecovered!$B:$B,$A12,RawDataRecovered!AT:AT)</f>
        <v>0</v>
      </c>
      <c r="AR12">
        <f>SUMIF(RawDataRecovered!$B:$B,$A12,RawDataRecovered!AU:AU)</f>
        <v>0</v>
      </c>
      <c r="AS12">
        <f>SUMIF(RawDataRecovered!$B:$B,$A12,RawDataRecovered!AV:AV)</f>
        <v>0</v>
      </c>
      <c r="AT12">
        <f>SUMIF(RawDataRecovered!$B:$B,$A12,RawDataRecovered!AW:AW)</f>
        <v>0</v>
      </c>
      <c r="AU12">
        <f>SUMIF(RawDataRecovered!$B:$B,$A12,RawDataRecovered!AX:AX)</f>
        <v>0</v>
      </c>
      <c r="AV12">
        <f>SUMIF(RawDataRecovered!$B:$B,$A12,RawDataRecovered!AY:AY)</f>
        <v>0</v>
      </c>
      <c r="AW12">
        <f>SUMIF(RawDataRecovered!$B:$B,$A12,RawDataRecovered!AZ:AZ)</f>
        <v>1</v>
      </c>
      <c r="AX12">
        <f>SUMIF(RawDataRecovered!$B:$B,$A12,RawDataRecovered!BA:BA)</f>
        <v>1</v>
      </c>
      <c r="AY12">
        <f>SUMIF(RawDataRecovered!$B:$B,$A12,RawDataRecovered!BB:BB)</f>
        <v>1</v>
      </c>
      <c r="AZ12">
        <f>SUMIF(RawDataRecovered!$B:$B,$A12,RawDataRecovered!BC:BC)</f>
        <v>1</v>
      </c>
      <c r="BA12">
        <f>SUMIF(RawDataRecovered!$B:$B,$A12,RawDataRecovered!BD:BD)</f>
        <v>1</v>
      </c>
      <c r="BB12">
        <f>SUMIF(RawDataRecovered!$B:$B,$A12,RawDataRecovered!BE:BE)</f>
        <v>1</v>
      </c>
      <c r="BC12">
        <f>SUMIF(RawDataRecovered!$B:$B,$A12,RawDataRecovered!BF:BF)</f>
        <v>1</v>
      </c>
      <c r="BD12">
        <f>SUMIF(RawDataRecovered!$B:$B,$A12,RawDataRecovered!BG:BG)</f>
        <v>1</v>
      </c>
      <c r="BE12">
        <f>SUMIF(RawDataRecovered!$B:$B,$A12,RawDataRecovered!BH:BH)</f>
        <v>1</v>
      </c>
      <c r="BF12">
        <f>SUMIF(RawDataRecovered!$B:$B,$A12,RawDataRecovered!BI:BI)</f>
        <v>0</v>
      </c>
      <c r="BG12">
        <f>SUMIF(RawDataRecovered!$B:$B,$A12,RawDataRecovered!BJ:BJ)</f>
        <v>0</v>
      </c>
      <c r="BH12">
        <f>SUMIF(RawDataRecovered!$B:$B,$A12,RawDataRecovered!BK:BK)</f>
        <v>0</v>
      </c>
      <c r="BI12">
        <f>SUMIF(RawDataRecovered!$B:$B,$A12,RawDataRecovered!BL:BL)</f>
        <v>0</v>
      </c>
      <c r="BJ12">
        <f>SUMIF(RawDataRecovered!$B:$B,$A12,RawDataRecovered!BM:BM)</f>
        <v>0</v>
      </c>
      <c r="BK12">
        <f>SUMIF(RawDataRecovered!$B:$B,$A12,RawDataRecovered!BN:BN)</f>
        <v>0</v>
      </c>
      <c r="BL12">
        <f>SUMIF(RawDataRecovered!$B:$B,$A12,RawDataRecovered!BO:BO)</f>
        <v>0</v>
      </c>
      <c r="BM12">
        <f>SUMIF(RawDataRecovered!$B:$B,$A12,RawDataRecovered!BP:BP)</f>
        <v>0</v>
      </c>
      <c r="BN12">
        <f>SUMIF(RawDataRecovered!$B:$B,$A12,RawDataRecovered!BQ:BQ)</f>
        <v>0</v>
      </c>
      <c r="BO12">
        <f>SUMIF(RawDataRecovered!$B:$B,$A12,RawDataRecovered!BR:BR)</f>
        <v>0</v>
      </c>
      <c r="BP12">
        <f>SUMIF(RawDataRecovered!$B:$B,$A12,RawDataRecovered!BS:BS)</f>
        <v>0</v>
      </c>
      <c r="BQ12">
        <f>SUMIF(RawDataRecovered!$B:$B,$A12,RawDataRecovered!BT:BT)</f>
        <v>0</v>
      </c>
      <c r="BR12">
        <f>SUMIF(RawDataRecovered!$B:$B,$A12,RawDataRecovered!BU:BU)</f>
        <v>0</v>
      </c>
      <c r="BS12">
        <f>SUMIF(RawDataRecovered!$B:$B,$A12,RawDataRecovered!BV:BV)</f>
        <v>0</v>
      </c>
      <c r="BT12">
        <f>SUMIF(RawDataRecovered!$B:$B,$A12,RawDataRecovered!BW:BW)</f>
        <v>0</v>
      </c>
    </row>
    <row r="13" spans="1:72" ht="15" thickBot="1" x14ac:dyDescent="0.35">
      <c r="A13" s="3" t="s">
        <v>114</v>
      </c>
      <c r="B13">
        <f>SUMIF(RawDataRecovered!$B:$B,$A13,RawDataRecovered!E:E)</f>
        <v>0</v>
      </c>
      <c r="C13">
        <f>SUMIF(RawDataRecovered!$B:$B,$A13,RawDataRecovered!F:F)</f>
        <v>0</v>
      </c>
      <c r="D13">
        <f>SUMIF(RawDataRecovered!$B:$B,$A13,RawDataRecovered!G:G)</f>
        <v>0</v>
      </c>
      <c r="E13">
        <f>SUMIF(RawDataRecovered!$B:$B,$A13,RawDataRecovered!H:H)</f>
        <v>0</v>
      </c>
      <c r="F13">
        <f>SUMIF(RawDataRecovered!$B:$B,$A13,RawDataRecovered!I:I)</f>
        <v>0</v>
      </c>
      <c r="G13">
        <f>SUMIF(RawDataRecovered!$B:$B,$A13,RawDataRecovered!J:J)</f>
        <v>0</v>
      </c>
      <c r="H13">
        <f>SUMIF(RawDataRecovered!$B:$B,$A13,RawDataRecovered!K:K)</f>
        <v>0</v>
      </c>
      <c r="I13">
        <f>SUMIF(RawDataRecovered!$B:$B,$A13,RawDataRecovered!L:L)</f>
        <v>0</v>
      </c>
      <c r="J13">
        <f>SUMIF(RawDataRecovered!$B:$B,$A13,RawDataRecovered!M:M)</f>
        <v>0</v>
      </c>
      <c r="K13">
        <f>SUMIF(RawDataRecovered!$B:$B,$A13,RawDataRecovered!N:N)</f>
        <v>0</v>
      </c>
      <c r="L13">
        <f>SUMIF(RawDataRecovered!$B:$B,$A13,RawDataRecovered!O:O)</f>
        <v>0</v>
      </c>
      <c r="M13">
        <f>SUMIF(RawDataRecovered!$B:$B,$A13,RawDataRecovered!P:P)</f>
        <v>0</v>
      </c>
      <c r="N13">
        <f>SUMIF(RawDataRecovered!$B:$B,$A13,RawDataRecovered!Q:Q)</f>
        <v>0</v>
      </c>
      <c r="O13">
        <f>SUMIF(RawDataRecovered!$B:$B,$A13,RawDataRecovered!R:R)</f>
        <v>0</v>
      </c>
      <c r="P13">
        <f>SUMIF(RawDataRecovered!$B:$B,$A13,RawDataRecovered!S:S)</f>
        <v>0</v>
      </c>
      <c r="Q13">
        <f>SUMIF(RawDataRecovered!$B:$B,$A13,RawDataRecovered!T:T)</f>
        <v>0</v>
      </c>
      <c r="R13">
        <f>SUMIF(RawDataRecovered!$B:$B,$A13,RawDataRecovered!U:U)</f>
        <v>0</v>
      </c>
      <c r="S13">
        <f>SUMIF(RawDataRecovered!$B:$B,$A13,RawDataRecovered!V:V)</f>
        <v>0</v>
      </c>
      <c r="T13">
        <f>SUMIF(RawDataRecovered!$B:$B,$A13,RawDataRecovered!W:W)</f>
        <v>0</v>
      </c>
      <c r="U13">
        <f>SUMIF(RawDataRecovered!$B:$B,$A13,RawDataRecovered!X:X)</f>
        <v>0</v>
      </c>
      <c r="V13">
        <f>SUMIF(RawDataRecovered!$B:$B,$A13,RawDataRecovered!Y:Y)</f>
        <v>0</v>
      </c>
      <c r="W13">
        <f>SUMIF(RawDataRecovered!$B:$B,$A13,RawDataRecovered!Z:Z)</f>
        <v>0</v>
      </c>
      <c r="X13">
        <f>SUMIF(RawDataRecovered!$B:$B,$A13,RawDataRecovered!AA:AA)</f>
        <v>0</v>
      </c>
      <c r="Y13">
        <f>SUMIF(RawDataRecovered!$B:$B,$A13,RawDataRecovered!AB:AB)</f>
        <v>0</v>
      </c>
      <c r="Z13">
        <f>SUMIF(RawDataRecovered!$B:$B,$A13,RawDataRecovered!AC:AC)</f>
        <v>0</v>
      </c>
      <c r="AA13">
        <f>SUMIF(RawDataRecovered!$B:$B,$A13,RawDataRecovered!AD:AD)</f>
        <v>0</v>
      </c>
      <c r="AB13">
        <f>SUMIF(RawDataRecovered!$B:$B,$A13,RawDataRecovered!AE:AE)</f>
        <v>0</v>
      </c>
      <c r="AC13">
        <f>SUMIF(RawDataRecovered!$B:$B,$A13,RawDataRecovered!AF:AF)</f>
        <v>0</v>
      </c>
      <c r="AD13">
        <f>SUMIF(RawDataRecovered!$B:$B,$A13,RawDataRecovered!AG:AG)</f>
        <v>0</v>
      </c>
      <c r="AE13">
        <f>SUMIF(RawDataRecovered!$B:$B,$A13,RawDataRecovered!AH:AH)</f>
        <v>0</v>
      </c>
      <c r="AF13">
        <f>SUMIF(RawDataRecovered!$B:$B,$A13,RawDataRecovered!AI:AI)</f>
        <v>0</v>
      </c>
      <c r="AG13">
        <f>SUMIF(RawDataRecovered!$B:$B,$A13,RawDataRecovered!AJ:AJ)</f>
        <v>0</v>
      </c>
      <c r="AH13">
        <f>SUMIF(RawDataRecovered!$B:$B,$A13,RawDataRecovered!AK:AK)</f>
        <v>0</v>
      </c>
      <c r="AI13">
        <f>SUMIF(RawDataRecovered!$B:$B,$A13,RawDataRecovered!AL:AL)</f>
        <v>0</v>
      </c>
      <c r="AJ13">
        <f>SUMIF(RawDataRecovered!$B:$B,$A13,RawDataRecovered!AM:AM)</f>
        <v>0</v>
      </c>
      <c r="AK13">
        <f>SUMIF(RawDataRecovered!$B:$B,$A13,RawDataRecovered!AN:AN)</f>
        <v>0</v>
      </c>
      <c r="AL13">
        <f>SUMIF(RawDataRecovered!$B:$B,$A13,RawDataRecovered!AO:AO)</f>
        <v>0</v>
      </c>
      <c r="AM13">
        <f>SUMIF(RawDataRecovered!$B:$B,$A13,RawDataRecovered!AP:AP)</f>
        <v>0</v>
      </c>
      <c r="AN13">
        <f>SUMIF(RawDataRecovered!$B:$B,$A13,RawDataRecovered!AQ:AQ)</f>
        <v>0</v>
      </c>
      <c r="AO13">
        <f>SUMIF(RawDataRecovered!$B:$B,$A13,RawDataRecovered!AR:AR)</f>
        <v>0</v>
      </c>
      <c r="AP13">
        <f>SUMIF(RawDataRecovered!$B:$B,$A13,RawDataRecovered!AS:AS)</f>
        <v>0</v>
      </c>
      <c r="AQ13">
        <f>SUMIF(RawDataRecovered!$B:$B,$A13,RawDataRecovered!AT:AT)</f>
        <v>0</v>
      </c>
      <c r="AR13">
        <f>SUMIF(RawDataRecovered!$B:$B,$A13,RawDataRecovered!AU:AU)</f>
        <v>0</v>
      </c>
      <c r="AS13">
        <f>SUMIF(RawDataRecovered!$B:$B,$A13,RawDataRecovered!AV:AV)</f>
        <v>0</v>
      </c>
      <c r="AT13">
        <f>SUMIF(RawDataRecovered!$B:$B,$A13,RawDataRecovered!AW:AW)</f>
        <v>1</v>
      </c>
      <c r="AU13">
        <f>SUMIF(RawDataRecovered!$B:$B,$A13,RawDataRecovered!AX:AX)</f>
        <v>1</v>
      </c>
      <c r="AV13">
        <f>SUMIF(RawDataRecovered!$B:$B,$A13,RawDataRecovered!AY:AY)</f>
        <v>1</v>
      </c>
      <c r="AW13">
        <f>SUMIF(RawDataRecovered!$B:$B,$A13,RawDataRecovered!AZ:AZ)</f>
        <v>1</v>
      </c>
      <c r="AX13">
        <f>SUMIF(RawDataRecovered!$B:$B,$A13,RawDataRecovered!BA:BA)</f>
        <v>1</v>
      </c>
      <c r="AY13">
        <f>SUMIF(RawDataRecovered!$B:$B,$A13,RawDataRecovered!BB:BB)</f>
        <v>1</v>
      </c>
      <c r="AZ13">
        <f>SUMIF(RawDataRecovered!$B:$B,$A13,RawDataRecovered!BC:BC)</f>
        <v>1</v>
      </c>
      <c r="BA13">
        <f>SUMIF(RawDataRecovered!$B:$B,$A13,RawDataRecovered!BD:BD)</f>
        <v>1</v>
      </c>
      <c r="BB13">
        <f>SUMIF(RawDataRecovered!$B:$B,$A13,RawDataRecovered!BE:BE)</f>
        <v>1</v>
      </c>
      <c r="BC13">
        <f>SUMIF(RawDataRecovered!$B:$B,$A13,RawDataRecovered!BF:BF)</f>
        <v>1</v>
      </c>
      <c r="BD13">
        <f>SUMIF(RawDataRecovered!$B:$B,$A13,RawDataRecovered!BG:BG)</f>
        <v>1</v>
      </c>
      <c r="BE13">
        <f>SUMIF(RawDataRecovered!$B:$B,$A13,RawDataRecovered!BH:BH)</f>
        <v>1</v>
      </c>
      <c r="BF13">
        <f>SUMIF(RawDataRecovered!$B:$B,$A13,RawDataRecovered!BI:BI)</f>
        <v>0</v>
      </c>
      <c r="BG13">
        <f>SUMIF(RawDataRecovered!$B:$B,$A13,RawDataRecovered!BJ:BJ)</f>
        <v>0</v>
      </c>
      <c r="BH13">
        <f>SUMIF(RawDataRecovered!$B:$B,$A13,RawDataRecovered!BK:BK)</f>
        <v>0</v>
      </c>
      <c r="BI13">
        <f>SUMIF(RawDataRecovered!$B:$B,$A13,RawDataRecovered!BL:BL)</f>
        <v>0</v>
      </c>
      <c r="BJ13">
        <f>SUMIF(RawDataRecovered!$B:$B,$A13,RawDataRecovered!BM:BM)</f>
        <v>0</v>
      </c>
      <c r="BK13">
        <f>SUMIF(RawDataRecovered!$B:$B,$A13,RawDataRecovered!BN:BN)</f>
        <v>0</v>
      </c>
      <c r="BL13">
        <f>SUMIF(RawDataRecovered!$B:$B,$A13,RawDataRecovered!BO:BO)</f>
        <v>0</v>
      </c>
      <c r="BM13">
        <f>SUMIF(RawDataRecovered!$B:$B,$A13,RawDataRecovered!BP:BP)</f>
        <v>0</v>
      </c>
      <c r="BN13">
        <f>SUMIF(RawDataRecovered!$B:$B,$A13,RawDataRecovered!BQ:BQ)</f>
        <v>0</v>
      </c>
      <c r="BO13">
        <f>SUMIF(RawDataRecovered!$B:$B,$A13,RawDataRecovered!BR:BR)</f>
        <v>0</v>
      </c>
      <c r="BP13">
        <f>SUMIF(RawDataRecovered!$B:$B,$A13,RawDataRecovered!BS:BS)</f>
        <v>0</v>
      </c>
      <c r="BQ13">
        <f>SUMIF(RawDataRecovered!$B:$B,$A13,RawDataRecovered!BT:BT)</f>
        <v>0</v>
      </c>
      <c r="BR13">
        <f>SUMIF(RawDataRecovered!$B:$B,$A13,RawDataRecovered!BU:BU)</f>
        <v>0</v>
      </c>
      <c r="BS13">
        <f>SUMIF(RawDataRecovered!$B:$B,$A13,RawDataRecovered!BV:BV)</f>
        <v>0</v>
      </c>
      <c r="BT13">
        <f>SUMIF(RawDataRecovered!$B:$B,$A13,RawDataRecovered!BW:BW)</f>
        <v>0</v>
      </c>
    </row>
    <row r="14" spans="1:72" ht="15" thickBot="1" x14ac:dyDescent="0.35">
      <c r="A14" s="3" t="s">
        <v>116</v>
      </c>
      <c r="B14">
        <f>SUMIF(RawDataRecovered!$B:$B,$A14,RawDataRecovered!E:E)</f>
        <v>0</v>
      </c>
      <c r="C14">
        <f>SUMIF(RawDataRecovered!$B:$B,$A14,RawDataRecovered!F:F)</f>
        <v>0</v>
      </c>
      <c r="D14">
        <f>SUMIF(RawDataRecovered!$B:$B,$A14,RawDataRecovered!G:G)</f>
        <v>0</v>
      </c>
      <c r="E14">
        <f>SUMIF(RawDataRecovered!$B:$B,$A14,RawDataRecovered!H:H)</f>
        <v>0</v>
      </c>
      <c r="F14">
        <f>SUMIF(RawDataRecovered!$B:$B,$A14,RawDataRecovered!I:I)</f>
        <v>0</v>
      </c>
      <c r="G14">
        <f>SUMIF(RawDataRecovered!$B:$B,$A14,RawDataRecovered!J:J)</f>
        <v>0</v>
      </c>
      <c r="H14">
        <f>SUMIF(RawDataRecovered!$B:$B,$A14,RawDataRecovered!K:K)</f>
        <v>0</v>
      </c>
      <c r="I14">
        <f>SUMIF(RawDataRecovered!$B:$B,$A14,RawDataRecovered!L:L)</f>
        <v>0</v>
      </c>
      <c r="J14">
        <f>SUMIF(RawDataRecovered!$B:$B,$A14,RawDataRecovered!M:M)</f>
        <v>0</v>
      </c>
      <c r="K14">
        <f>SUMIF(RawDataRecovered!$B:$B,$A14,RawDataRecovered!N:N)</f>
        <v>0</v>
      </c>
      <c r="L14">
        <f>SUMIF(RawDataRecovered!$B:$B,$A14,RawDataRecovered!O:O)</f>
        <v>0</v>
      </c>
      <c r="M14">
        <f>SUMIF(RawDataRecovered!$B:$B,$A14,RawDataRecovered!P:P)</f>
        <v>0</v>
      </c>
      <c r="N14">
        <f>SUMIF(RawDataRecovered!$B:$B,$A14,RawDataRecovered!Q:Q)</f>
        <v>0</v>
      </c>
      <c r="O14">
        <f>SUMIF(RawDataRecovered!$B:$B,$A14,RawDataRecovered!R:R)</f>
        <v>0</v>
      </c>
      <c r="P14">
        <f>SUMIF(RawDataRecovered!$B:$B,$A14,RawDataRecovered!S:S)</f>
        <v>0</v>
      </c>
      <c r="Q14">
        <f>SUMIF(RawDataRecovered!$B:$B,$A14,RawDataRecovered!T:T)</f>
        <v>0</v>
      </c>
      <c r="R14">
        <f>SUMIF(RawDataRecovered!$B:$B,$A14,RawDataRecovered!U:U)</f>
        <v>0</v>
      </c>
      <c r="S14">
        <f>SUMIF(RawDataRecovered!$B:$B,$A14,RawDataRecovered!V:V)</f>
        <v>0</v>
      </c>
      <c r="T14">
        <f>SUMIF(RawDataRecovered!$B:$B,$A14,RawDataRecovered!W:W)</f>
        <v>0</v>
      </c>
      <c r="U14">
        <f>SUMIF(RawDataRecovered!$B:$B,$A14,RawDataRecovered!X:X)</f>
        <v>0</v>
      </c>
      <c r="V14">
        <f>SUMIF(RawDataRecovered!$B:$B,$A14,RawDataRecovered!Y:Y)</f>
        <v>0</v>
      </c>
      <c r="W14">
        <f>SUMIF(RawDataRecovered!$B:$B,$A14,RawDataRecovered!Z:Z)</f>
        <v>0</v>
      </c>
      <c r="X14">
        <f>SUMIF(RawDataRecovered!$B:$B,$A14,RawDataRecovered!AA:AA)</f>
        <v>0</v>
      </c>
      <c r="Y14">
        <f>SUMIF(RawDataRecovered!$B:$B,$A14,RawDataRecovered!AB:AB)</f>
        <v>0</v>
      </c>
      <c r="Z14">
        <f>SUMIF(RawDataRecovered!$B:$B,$A14,RawDataRecovered!AC:AC)</f>
        <v>0</v>
      </c>
      <c r="AA14">
        <f>SUMIF(RawDataRecovered!$B:$B,$A14,RawDataRecovered!AD:AD)</f>
        <v>0</v>
      </c>
      <c r="AB14">
        <f>SUMIF(RawDataRecovered!$B:$B,$A14,RawDataRecovered!AE:AE)</f>
        <v>0</v>
      </c>
      <c r="AC14">
        <f>SUMIF(RawDataRecovered!$B:$B,$A14,RawDataRecovered!AF:AF)</f>
        <v>0</v>
      </c>
      <c r="AD14">
        <f>SUMIF(RawDataRecovered!$B:$B,$A14,RawDataRecovered!AG:AG)</f>
        <v>0</v>
      </c>
      <c r="AE14">
        <f>SUMIF(RawDataRecovered!$B:$B,$A14,RawDataRecovered!AH:AH)</f>
        <v>0</v>
      </c>
      <c r="AF14">
        <f>SUMIF(RawDataRecovered!$B:$B,$A14,RawDataRecovered!AI:AI)</f>
        <v>0</v>
      </c>
      <c r="AG14">
        <f>SUMIF(RawDataRecovered!$B:$B,$A14,RawDataRecovered!AJ:AJ)</f>
        <v>0</v>
      </c>
      <c r="AH14">
        <f>SUMIF(RawDataRecovered!$B:$B,$A14,RawDataRecovered!AK:AK)</f>
        <v>0</v>
      </c>
      <c r="AI14">
        <f>SUMIF(RawDataRecovered!$B:$B,$A14,RawDataRecovered!AL:AL)</f>
        <v>0</v>
      </c>
      <c r="AJ14">
        <f>SUMIF(RawDataRecovered!$B:$B,$A14,RawDataRecovered!AM:AM)</f>
        <v>0</v>
      </c>
      <c r="AK14">
        <f>SUMIF(RawDataRecovered!$B:$B,$A14,RawDataRecovered!AN:AN)</f>
        <v>0</v>
      </c>
      <c r="AL14">
        <f>SUMIF(RawDataRecovered!$B:$B,$A14,RawDataRecovered!AO:AO)</f>
        <v>0</v>
      </c>
      <c r="AM14">
        <f>SUMIF(RawDataRecovered!$B:$B,$A14,RawDataRecovered!AP:AP)</f>
        <v>0</v>
      </c>
      <c r="AN14">
        <f>SUMIF(RawDataRecovered!$B:$B,$A14,RawDataRecovered!AQ:AQ)</f>
        <v>0</v>
      </c>
      <c r="AO14">
        <f>SUMIF(RawDataRecovered!$B:$B,$A14,RawDataRecovered!AR:AR)</f>
        <v>0</v>
      </c>
      <c r="AP14">
        <f>SUMIF(RawDataRecovered!$B:$B,$A14,RawDataRecovered!AS:AS)</f>
        <v>0</v>
      </c>
      <c r="AQ14">
        <f>SUMIF(RawDataRecovered!$B:$B,$A14,RawDataRecovered!AT:AT)</f>
        <v>0</v>
      </c>
      <c r="AR14">
        <f>SUMIF(RawDataRecovered!$B:$B,$A14,RawDataRecovered!AU:AU)</f>
        <v>0</v>
      </c>
      <c r="AS14">
        <f>SUMIF(RawDataRecovered!$B:$B,$A14,RawDataRecovered!AV:AV)</f>
        <v>0</v>
      </c>
      <c r="AT14">
        <f>SUMIF(RawDataRecovered!$B:$B,$A14,RawDataRecovered!AW:AW)</f>
        <v>0</v>
      </c>
      <c r="AU14">
        <f>SUMIF(RawDataRecovered!$B:$B,$A14,RawDataRecovered!AX:AX)</f>
        <v>0</v>
      </c>
      <c r="AV14">
        <f>SUMIF(RawDataRecovered!$B:$B,$A14,RawDataRecovered!AY:AY)</f>
        <v>0</v>
      </c>
      <c r="AW14">
        <f>SUMIF(RawDataRecovered!$B:$B,$A14,RawDataRecovered!AZ:AZ)</f>
        <v>0</v>
      </c>
      <c r="AX14">
        <f>SUMIF(RawDataRecovered!$B:$B,$A14,RawDataRecovered!BA:BA)</f>
        <v>0</v>
      </c>
      <c r="AY14">
        <f>SUMIF(RawDataRecovered!$B:$B,$A14,RawDataRecovered!BB:BB)</f>
        <v>0</v>
      </c>
      <c r="AZ14">
        <f>SUMIF(RawDataRecovered!$B:$B,$A14,RawDataRecovered!BC:BC)</f>
        <v>0</v>
      </c>
      <c r="BA14">
        <f>SUMIF(RawDataRecovered!$B:$B,$A14,RawDataRecovered!BD:BD)</f>
        <v>0</v>
      </c>
      <c r="BB14">
        <f>SUMIF(RawDataRecovered!$B:$B,$A14,RawDataRecovered!BE:BE)</f>
        <v>2</v>
      </c>
      <c r="BC14">
        <f>SUMIF(RawDataRecovered!$B:$B,$A14,RawDataRecovered!BF:BF)</f>
        <v>2</v>
      </c>
      <c r="BD14">
        <f>SUMIF(RawDataRecovered!$B:$B,$A14,RawDataRecovered!BG:BG)</f>
        <v>2</v>
      </c>
      <c r="BE14">
        <f>SUMIF(RawDataRecovered!$B:$B,$A14,RawDataRecovered!BH:BH)</f>
        <v>2</v>
      </c>
      <c r="BF14">
        <f>SUMIF(RawDataRecovered!$B:$B,$A14,RawDataRecovered!BI:BI)</f>
        <v>0</v>
      </c>
      <c r="BG14">
        <f>SUMIF(RawDataRecovered!$B:$B,$A14,RawDataRecovered!BJ:BJ)</f>
        <v>0</v>
      </c>
      <c r="BH14">
        <f>SUMIF(RawDataRecovered!$B:$B,$A14,RawDataRecovered!BK:BK)</f>
        <v>0</v>
      </c>
      <c r="BI14">
        <f>SUMIF(RawDataRecovered!$B:$B,$A14,RawDataRecovered!BL:BL)</f>
        <v>0</v>
      </c>
      <c r="BJ14">
        <f>SUMIF(RawDataRecovered!$B:$B,$A14,RawDataRecovered!BM:BM)</f>
        <v>0</v>
      </c>
      <c r="BK14">
        <f>SUMIF(RawDataRecovered!$B:$B,$A14,RawDataRecovered!BN:BN)</f>
        <v>0</v>
      </c>
      <c r="BL14">
        <f>SUMIF(RawDataRecovered!$B:$B,$A14,RawDataRecovered!BO:BO)</f>
        <v>0</v>
      </c>
      <c r="BM14">
        <f>SUMIF(RawDataRecovered!$B:$B,$A14,RawDataRecovered!BP:BP)</f>
        <v>0</v>
      </c>
      <c r="BN14">
        <f>SUMIF(RawDataRecovered!$B:$B,$A14,RawDataRecovered!BQ:BQ)</f>
        <v>0</v>
      </c>
      <c r="BO14">
        <f>SUMIF(RawDataRecovered!$B:$B,$A14,RawDataRecovered!BR:BR)</f>
        <v>0</v>
      </c>
      <c r="BP14">
        <f>SUMIF(RawDataRecovered!$B:$B,$A14,RawDataRecovered!BS:BS)</f>
        <v>0</v>
      </c>
      <c r="BQ14">
        <f>SUMIF(RawDataRecovered!$B:$B,$A14,RawDataRecovered!BT:BT)</f>
        <v>0</v>
      </c>
      <c r="BR14">
        <f>SUMIF(RawDataRecovered!$B:$B,$A14,RawDataRecovered!BU:BU)</f>
        <v>0</v>
      </c>
      <c r="BS14">
        <f>SUMIF(RawDataRecovered!$B:$B,$A14,RawDataRecovered!BV:BV)</f>
        <v>0</v>
      </c>
      <c r="BT14">
        <f>SUMIF(RawDataRecovered!$B:$B,$A14,RawDataRecovered!BW:BW)</f>
        <v>0</v>
      </c>
    </row>
    <row r="15" spans="1:72" ht="15" thickBot="1" x14ac:dyDescent="0.35">
      <c r="A15" s="3" t="s">
        <v>377</v>
      </c>
      <c r="B15">
        <f>SUMIF(RawDataRecovered!$B:$B,$A15,RawDataRecovered!E:E)</f>
        <v>0</v>
      </c>
      <c r="C15">
        <f>SUMIF(RawDataRecovered!$B:$B,$A15,RawDataRecovered!F:F)</f>
        <v>0</v>
      </c>
      <c r="D15">
        <f>SUMIF(RawDataRecovered!$B:$B,$A15,RawDataRecovered!G:G)</f>
        <v>0</v>
      </c>
      <c r="E15">
        <f>SUMIF(RawDataRecovered!$B:$B,$A15,RawDataRecovered!H:H)</f>
        <v>0</v>
      </c>
      <c r="F15">
        <f>SUMIF(RawDataRecovered!$B:$B,$A15,RawDataRecovered!I:I)</f>
        <v>0</v>
      </c>
      <c r="G15">
        <f>SUMIF(RawDataRecovered!$B:$B,$A15,RawDataRecovered!J:J)</f>
        <v>0</v>
      </c>
      <c r="H15">
        <f>SUMIF(RawDataRecovered!$B:$B,$A15,RawDataRecovered!K:K)</f>
        <v>0</v>
      </c>
      <c r="I15">
        <f>SUMIF(RawDataRecovered!$B:$B,$A15,RawDataRecovered!L:L)</f>
        <v>0</v>
      </c>
      <c r="J15">
        <f>SUMIF(RawDataRecovered!$B:$B,$A15,RawDataRecovered!M:M)</f>
        <v>0</v>
      </c>
      <c r="K15">
        <f>SUMIF(RawDataRecovered!$B:$B,$A15,RawDataRecovered!N:N)</f>
        <v>0</v>
      </c>
      <c r="L15">
        <f>SUMIF(RawDataRecovered!$B:$B,$A15,RawDataRecovered!O:O)</f>
        <v>0</v>
      </c>
      <c r="M15">
        <f>SUMIF(RawDataRecovered!$B:$B,$A15,RawDataRecovered!P:P)</f>
        <v>0</v>
      </c>
      <c r="N15">
        <f>SUMIF(RawDataRecovered!$B:$B,$A15,RawDataRecovered!Q:Q)</f>
        <v>0</v>
      </c>
      <c r="O15">
        <f>SUMIF(RawDataRecovered!$B:$B,$A15,RawDataRecovered!R:R)</f>
        <v>0</v>
      </c>
      <c r="P15">
        <f>SUMIF(RawDataRecovered!$B:$B,$A15,RawDataRecovered!S:S)</f>
        <v>0</v>
      </c>
      <c r="Q15">
        <f>SUMIF(RawDataRecovered!$B:$B,$A15,RawDataRecovered!T:T)</f>
        <v>0</v>
      </c>
      <c r="R15">
        <f>SUMIF(RawDataRecovered!$B:$B,$A15,RawDataRecovered!U:U)</f>
        <v>0</v>
      </c>
      <c r="S15">
        <f>SUMIF(RawDataRecovered!$B:$B,$A15,RawDataRecovered!V:V)</f>
        <v>0</v>
      </c>
      <c r="T15">
        <f>SUMIF(RawDataRecovered!$B:$B,$A15,RawDataRecovered!W:W)</f>
        <v>0</v>
      </c>
      <c r="U15">
        <f>SUMIF(RawDataRecovered!$B:$B,$A15,RawDataRecovered!X:X)</f>
        <v>0</v>
      </c>
      <c r="V15">
        <f>SUMIF(RawDataRecovered!$B:$B,$A15,RawDataRecovered!Y:Y)</f>
        <v>0</v>
      </c>
      <c r="W15">
        <f>SUMIF(RawDataRecovered!$B:$B,$A15,RawDataRecovered!Z:Z)</f>
        <v>1</v>
      </c>
      <c r="X15">
        <f>SUMIF(RawDataRecovered!$B:$B,$A15,RawDataRecovered!AA:AA)</f>
        <v>1</v>
      </c>
      <c r="Y15">
        <f>SUMIF(RawDataRecovered!$B:$B,$A15,RawDataRecovered!AB:AB)</f>
        <v>1</v>
      </c>
      <c r="Z15">
        <f>SUMIF(RawDataRecovered!$B:$B,$A15,RawDataRecovered!AC:AC)</f>
        <v>1</v>
      </c>
      <c r="AA15">
        <f>SUMIF(RawDataRecovered!$B:$B,$A15,RawDataRecovered!AD:AD)</f>
        <v>8</v>
      </c>
      <c r="AB15">
        <f>SUMIF(RawDataRecovered!$B:$B,$A15,RawDataRecovered!AE:AE)</f>
        <v>8</v>
      </c>
      <c r="AC15">
        <f>SUMIF(RawDataRecovered!$B:$B,$A15,RawDataRecovered!AF:AF)</f>
        <v>8</v>
      </c>
      <c r="AD15">
        <f>SUMIF(RawDataRecovered!$B:$B,$A15,RawDataRecovered!AG:AG)</f>
        <v>8</v>
      </c>
      <c r="AE15">
        <f>SUMIF(RawDataRecovered!$B:$B,$A15,RawDataRecovered!AH:AH)</f>
        <v>8</v>
      </c>
      <c r="AF15">
        <f>SUMIF(RawDataRecovered!$B:$B,$A15,RawDataRecovered!AI:AI)</f>
        <v>8</v>
      </c>
      <c r="AG15">
        <f>SUMIF(RawDataRecovered!$B:$B,$A15,RawDataRecovered!AJ:AJ)</f>
        <v>8</v>
      </c>
      <c r="AH15">
        <f>SUMIF(RawDataRecovered!$B:$B,$A15,RawDataRecovered!AK:AK)</f>
        <v>8</v>
      </c>
      <c r="AI15">
        <f>SUMIF(RawDataRecovered!$B:$B,$A15,RawDataRecovered!AL:AL)</f>
        <v>8</v>
      </c>
      <c r="AJ15">
        <f>SUMIF(RawDataRecovered!$B:$B,$A15,RawDataRecovered!AM:AM)</f>
        <v>8</v>
      </c>
      <c r="AK15">
        <f>SUMIF(RawDataRecovered!$B:$B,$A15,RawDataRecovered!AN:AN)</f>
        <v>8</v>
      </c>
      <c r="AL15">
        <f>SUMIF(RawDataRecovered!$B:$B,$A15,RawDataRecovered!AO:AO)</f>
        <v>8</v>
      </c>
      <c r="AM15">
        <f>SUMIF(RawDataRecovered!$B:$B,$A15,RawDataRecovered!AP:AP)</f>
        <v>8</v>
      </c>
      <c r="AN15">
        <f>SUMIF(RawDataRecovered!$B:$B,$A15,RawDataRecovered!AQ:AQ)</f>
        <v>8</v>
      </c>
      <c r="AO15">
        <f>SUMIF(RawDataRecovered!$B:$B,$A15,RawDataRecovered!AR:AR)</f>
        <v>8</v>
      </c>
      <c r="AP15">
        <f>SUMIF(RawDataRecovered!$B:$B,$A15,RawDataRecovered!AS:AS)</f>
        <v>8</v>
      </c>
      <c r="AQ15">
        <f>SUMIF(RawDataRecovered!$B:$B,$A15,RawDataRecovered!AT:AT)</f>
        <v>8</v>
      </c>
      <c r="AR15">
        <f>SUMIF(RawDataRecovered!$B:$B,$A15,RawDataRecovered!AU:AU)</f>
        <v>8</v>
      </c>
      <c r="AS15">
        <f>SUMIF(RawDataRecovered!$B:$B,$A15,RawDataRecovered!AV:AV)</f>
        <v>8</v>
      </c>
      <c r="AT15">
        <f>SUMIF(RawDataRecovered!$B:$B,$A15,RawDataRecovered!AW:AW)</f>
        <v>8</v>
      </c>
      <c r="AU15">
        <f>SUMIF(RawDataRecovered!$B:$B,$A15,RawDataRecovered!AX:AX)</f>
        <v>18</v>
      </c>
      <c r="AV15">
        <f>SUMIF(RawDataRecovered!$B:$B,$A15,RawDataRecovered!AY:AY)</f>
        <v>18</v>
      </c>
      <c r="AW15">
        <f>SUMIF(RawDataRecovered!$B:$B,$A15,RawDataRecovered!AZ:AZ)</f>
        <v>18</v>
      </c>
      <c r="AX15">
        <f>SUMIF(RawDataRecovered!$B:$B,$A15,RawDataRecovered!BA:BA)</f>
        <v>19</v>
      </c>
      <c r="AY15">
        <f>SUMIF(RawDataRecovered!$B:$B,$A15,RawDataRecovered!BB:BB)</f>
        <v>19</v>
      </c>
      <c r="AZ15">
        <f>SUMIF(RawDataRecovered!$B:$B,$A15,RawDataRecovered!BC:BC)</f>
        <v>19</v>
      </c>
      <c r="BA15">
        <f>SUMIF(RawDataRecovered!$B:$B,$A15,RawDataRecovered!BD:BD)</f>
        <v>19</v>
      </c>
      <c r="BB15">
        <f>SUMIF(RawDataRecovered!$B:$B,$A15,RawDataRecovered!BE:BE)</f>
        <v>19</v>
      </c>
      <c r="BC15">
        <f>SUMIF(RawDataRecovered!$B:$B,$A15,RawDataRecovered!BF:BF)</f>
        <v>19</v>
      </c>
      <c r="BD15">
        <f>SUMIF(RawDataRecovered!$B:$B,$A15,RawDataRecovered!BG:BG)</f>
        <v>21</v>
      </c>
      <c r="BE15">
        <f>SUMIF(RawDataRecovered!$B:$B,$A15,RawDataRecovered!BH:BH)</f>
        <v>53</v>
      </c>
      <c r="BF15">
        <f>SUMIF(RawDataRecovered!$B:$B,$A15,RawDataRecovered!BI:BI)</f>
        <v>65</v>
      </c>
      <c r="BG15">
        <f>SUMIF(RawDataRecovered!$B:$B,$A15,RawDataRecovered!BJ:BJ)</f>
        <v>0</v>
      </c>
      <c r="BH15">
        <f>SUMIF(RawDataRecovered!$B:$B,$A15,RawDataRecovered!BK:BK)</f>
        <v>0</v>
      </c>
      <c r="BI15">
        <f>SUMIF(RawDataRecovered!$B:$B,$A15,RawDataRecovered!BL:BL)</f>
        <v>0</v>
      </c>
      <c r="BJ15">
        <f>SUMIF(RawDataRecovered!$B:$B,$A15,RawDataRecovered!BM:BM)</f>
        <v>0</v>
      </c>
      <c r="BK15">
        <f>SUMIF(RawDataRecovered!$B:$B,$A15,RawDataRecovered!BN:BN)</f>
        <v>0</v>
      </c>
      <c r="BL15">
        <f>SUMIF(RawDataRecovered!$B:$B,$A15,RawDataRecovered!BO:BO)</f>
        <v>0</v>
      </c>
      <c r="BM15">
        <f>SUMIF(RawDataRecovered!$B:$B,$A15,RawDataRecovered!BP:BP)</f>
        <v>0</v>
      </c>
      <c r="BN15">
        <f>SUMIF(RawDataRecovered!$B:$B,$A15,RawDataRecovered!BQ:BQ)</f>
        <v>0</v>
      </c>
      <c r="BO15">
        <f>SUMIF(RawDataRecovered!$B:$B,$A15,RawDataRecovered!BR:BR)</f>
        <v>0</v>
      </c>
      <c r="BP15">
        <f>SUMIF(RawDataRecovered!$B:$B,$A15,RawDataRecovered!BS:BS)</f>
        <v>0</v>
      </c>
      <c r="BQ15">
        <f>SUMIF(RawDataRecovered!$B:$B,$A15,RawDataRecovered!BT:BT)</f>
        <v>0</v>
      </c>
      <c r="BR15">
        <f>SUMIF(RawDataRecovered!$B:$B,$A15,RawDataRecovered!BU:BU)</f>
        <v>0</v>
      </c>
      <c r="BS15">
        <f>SUMIF(RawDataRecovered!$B:$B,$A15,RawDataRecovered!BV:BV)</f>
        <v>0</v>
      </c>
      <c r="BT15">
        <f>SUMIF(RawDataRecovered!$B:$B,$A15,RawDataRecovered!BW:BW)</f>
        <v>0</v>
      </c>
    </row>
    <row r="16" spans="1:72" ht="15" thickBot="1" x14ac:dyDescent="0.35">
      <c r="A16" s="4" t="s">
        <v>63</v>
      </c>
      <c r="B16">
        <f>SUMIF(RawDataRecovered!$B:$B,$A16,RawDataRecovered!E:E)</f>
        <v>0</v>
      </c>
      <c r="C16">
        <f>SUMIF(RawDataRecovered!$B:$B,$A16,RawDataRecovered!F:F)</f>
        <v>0</v>
      </c>
      <c r="D16">
        <f>SUMIF(RawDataRecovered!$B:$B,$A16,RawDataRecovered!G:G)</f>
        <v>0</v>
      </c>
      <c r="E16">
        <f>SUMIF(RawDataRecovered!$B:$B,$A16,RawDataRecovered!H:H)</f>
        <v>0</v>
      </c>
      <c r="F16">
        <f>SUMIF(RawDataRecovered!$B:$B,$A16,RawDataRecovered!I:I)</f>
        <v>1</v>
      </c>
      <c r="G16">
        <f>SUMIF(RawDataRecovered!$B:$B,$A16,RawDataRecovered!J:J)</f>
        <v>1</v>
      </c>
      <c r="H16">
        <f>SUMIF(RawDataRecovered!$B:$B,$A16,RawDataRecovered!K:K)</f>
        <v>1</v>
      </c>
      <c r="I16">
        <f>SUMIF(RawDataRecovered!$B:$B,$A16,RawDataRecovered!L:L)</f>
        <v>1</v>
      </c>
      <c r="J16">
        <f>SUMIF(RawDataRecovered!$B:$B,$A16,RawDataRecovered!M:M)</f>
        <v>1</v>
      </c>
      <c r="K16">
        <f>SUMIF(RawDataRecovered!$B:$B,$A16,RawDataRecovered!N:N)</f>
        <v>1</v>
      </c>
      <c r="L16">
        <f>SUMIF(RawDataRecovered!$B:$B,$A16,RawDataRecovered!O:O)</f>
        <v>1</v>
      </c>
      <c r="M16">
        <f>SUMIF(RawDataRecovered!$B:$B,$A16,RawDataRecovered!P:P)</f>
        <v>1</v>
      </c>
      <c r="N16">
        <f>SUMIF(RawDataRecovered!$B:$B,$A16,RawDataRecovered!Q:Q)</f>
        <v>1</v>
      </c>
      <c r="O16">
        <f>SUMIF(RawDataRecovered!$B:$B,$A16,RawDataRecovered!R:R)</f>
        <v>1</v>
      </c>
      <c r="P16">
        <f>SUMIF(RawDataRecovered!$B:$B,$A16,RawDataRecovered!S:S)</f>
        <v>1</v>
      </c>
      <c r="Q16">
        <f>SUMIF(RawDataRecovered!$B:$B,$A16,RawDataRecovered!T:T)</f>
        <v>1</v>
      </c>
      <c r="R16">
        <f>SUMIF(RawDataRecovered!$B:$B,$A16,RawDataRecovered!U:U)</f>
        <v>1</v>
      </c>
      <c r="S16">
        <f>SUMIF(RawDataRecovered!$B:$B,$A16,RawDataRecovered!V:V)</f>
        <v>1</v>
      </c>
      <c r="T16">
        <f>SUMIF(RawDataRecovered!$B:$B,$A16,RawDataRecovered!W:W)</f>
        <v>1</v>
      </c>
      <c r="U16">
        <f>SUMIF(RawDataRecovered!$B:$B,$A16,RawDataRecovered!X:X)</f>
        <v>4</v>
      </c>
      <c r="V16">
        <f>SUMIF(RawDataRecovered!$B:$B,$A16,RawDataRecovered!Y:Y)</f>
        <v>9</v>
      </c>
      <c r="W16">
        <f>SUMIF(RawDataRecovered!$B:$B,$A16,RawDataRecovered!Z:Z)</f>
        <v>9</v>
      </c>
      <c r="X16">
        <f>SUMIF(RawDataRecovered!$B:$B,$A16,RawDataRecovered!AA:AA)</f>
        <v>9</v>
      </c>
      <c r="Y16">
        <f>SUMIF(RawDataRecovered!$B:$B,$A16,RawDataRecovered!AB:AB)</f>
        <v>9</v>
      </c>
      <c r="Z16">
        <f>SUMIF(RawDataRecovered!$B:$B,$A16,RawDataRecovered!AC:AC)</f>
        <v>12</v>
      </c>
      <c r="AA16">
        <f>SUMIF(RawDataRecovered!$B:$B,$A16,RawDataRecovered!AD:AD)</f>
        <v>12</v>
      </c>
      <c r="AB16">
        <f>SUMIF(RawDataRecovered!$B:$B,$A16,RawDataRecovered!AE:AE)</f>
        <v>12</v>
      </c>
      <c r="AC16">
        <f>SUMIF(RawDataRecovered!$B:$B,$A16,RawDataRecovered!AF:AF)</f>
        <v>13</v>
      </c>
      <c r="AD16">
        <f>SUMIF(RawDataRecovered!$B:$B,$A16,RawDataRecovered!AG:AG)</f>
        <v>18</v>
      </c>
      <c r="AE16">
        <f>SUMIF(RawDataRecovered!$B:$B,$A16,RawDataRecovered!AH:AH)</f>
        <v>18</v>
      </c>
      <c r="AF16">
        <f>SUMIF(RawDataRecovered!$B:$B,$A16,RawDataRecovered!AI:AI)</f>
        <v>22</v>
      </c>
      <c r="AG16">
        <f>SUMIF(RawDataRecovered!$B:$B,$A16,RawDataRecovered!AJ:AJ)</f>
        <v>22</v>
      </c>
      <c r="AH16">
        <f>SUMIF(RawDataRecovered!$B:$B,$A16,RawDataRecovered!AK:AK)</f>
        <v>22</v>
      </c>
      <c r="AI16">
        <f>SUMIF(RawDataRecovered!$B:$B,$A16,RawDataRecovered!AL:AL)</f>
        <v>22</v>
      </c>
      <c r="AJ16">
        <f>SUMIF(RawDataRecovered!$B:$B,$A16,RawDataRecovered!AM:AM)</f>
        <v>22</v>
      </c>
      <c r="AK16">
        <f>SUMIF(RawDataRecovered!$B:$B,$A16,RawDataRecovered!AN:AN)</f>
        <v>22</v>
      </c>
      <c r="AL16">
        <f>SUMIF(RawDataRecovered!$B:$B,$A16,RawDataRecovered!AO:AO)</f>
        <v>22</v>
      </c>
      <c r="AM16">
        <f>SUMIF(RawDataRecovered!$B:$B,$A16,RawDataRecovered!AP:AP)</f>
        <v>22</v>
      </c>
      <c r="AN16">
        <f>SUMIF(RawDataRecovered!$B:$B,$A16,RawDataRecovered!AQ:AQ)</f>
        <v>32</v>
      </c>
      <c r="AO16">
        <f>SUMIF(RawDataRecovered!$B:$B,$A16,RawDataRecovered!AR:AR)</f>
        <v>32</v>
      </c>
      <c r="AP16">
        <f>SUMIF(RawDataRecovered!$B:$B,$A16,RawDataRecovered!AS:AS)</f>
        <v>32</v>
      </c>
      <c r="AQ16">
        <f>SUMIF(RawDataRecovered!$B:$B,$A16,RawDataRecovered!AT:AT)</f>
        <v>43</v>
      </c>
      <c r="AR16">
        <f>SUMIF(RawDataRecovered!$B:$B,$A16,RawDataRecovered!AU:AU)</f>
        <v>43</v>
      </c>
      <c r="AS16">
        <f>SUMIF(RawDataRecovered!$B:$B,$A16,RawDataRecovered!AV:AV)</f>
        <v>43</v>
      </c>
      <c r="AT16">
        <f>SUMIF(RawDataRecovered!$B:$B,$A16,RawDataRecovered!AW:AW)</f>
        <v>46</v>
      </c>
      <c r="AU16">
        <f>SUMIF(RawDataRecovered!$B:$B,$A16,RawDataRecovered!AX:AX)</f>
        <v>76</v>
      </c>
      <c r="AV16">
        <f>SUMIF(RawDataRecovered!$B:$B,$A16,RawDataRecovered!AY:AY)</f>
        <v>76</v>
      </c>
      <c r="AW16">
        <f>SUMIF(RawDataRecovered!$B:$B,$A16,RawDataRecovered!AZ:AZ)</f>
        <v>76</v>
      </c>
      <c r="AX16">
        <f>SUMIF(RawDataRecovered!$B:$B,$A16,RawDataRecovered!BA:BA)</f>
        <v>101</v>
      </c>
      <c r="AY16">
        <f>SUMIF(RawDataRecovered!$B:$B,$A16,RawDataRecovered!BB:BB)</f>
        <v>118</v>
      </c>
      <c r="AZ16">
        <f>SUMIF(RawDataRecovered!$B:$B,$A16,RawDataRecovered!BC:BC)</f>
        <v>118</v>
      </c>
      <c r="BA16">
        <f>SUMIF(RawDataRecovered!$B:$B,$A16,RawDataRecovered!BD:BD)</f>
        <v>118</v>
      </c>
      <c r="BB16">
        <f>SUMIF(RawDataRecovered!$B:$B,$A16,RawDataRecovered!BE:BE)</f>
        <v>118</v>
      </c>
      <c r="BC16">
        <f>SUMIF(RawDataRecovered!$B:$B,$A16,RawDataRecovered!BF:BF)</f>
        <v>118</v>
      </c>
      <c r="BD16">
        <f>SUMIF(RawDataRecovered!$B:$B,$A16,RawDataRecovered!BG:BG)</f>
        <v>144</v>
      </c>
      <c r="BE16">
        <f>SUMIF(RawDataRecovered!$B:$B,$A16,RawDataRecovered!BH:BH)</f>
        <v>144</v>
      </c>
      <c r="BF16">
        <f>SUMIF(RawDataRecovered!$B:$B,$A16,RawDataRecovered!BI:BI)</f>
        <v>0</v>
      </c>
      <c r="BG16">
        <f>SUMIF(RawDataRecovered!$B:$B,$A16,RawDataRecovered!BJ:BJ)</f>
        <v>0</v>
      </c>
      <c r="BH16">
        <f>SUMIF(RawDataRecovered!$B:$B,$A16,RawDataRecovered!BK:BK)</f>
        <v>0</v>
      </c>
      <c r="BI16">
        <f>SUMIF(RawDataRecovered!$B:$B,$A16,RawDataRecovered!BL:BL)</f>
        <v>0</v>
      </c>
      <c r="BJ16">
        <f>SUMIF(RawDataRecovered!$B:$B,$A16,RawDataRecovered!BM:BM)</f>
        <v>0</v>
      </c>
      <c r="BK16">
        <f>SUMIF(RawDataRecovered!$B:$B,$A16,RawDataRecovered!BN:BN)</f>
        <v>0</v>
      </c>
      <c r="BL16">
        <f>SUMIF(RawDataRecovered!$B:$B,$A16,RawDataRecovered!BO:BO)</f>
        <v>0</v>
      </c>
      <c r="BM16">
        <f>SUMIF(RawDataRecovered!$B:$B,$A16,RawDataRecovered!BP:BP)</f>
        <v>0</v>
      </c>
      <c r="BN16">
        <f>SUMIF(RawDataRecovered!$B:$B,$A16,RawDataRecovered!BQ:BQ)</f>
        <v>0</v>
      </c>
      <c r="BO16">
        <f>SUMIF(RawDataRecovered!$B:$B,$A16,RawDataRecovered!BR:BR)</f>
        <v>0</v>
      </c>
      <c r="BP16">
        <f>SUMIF(RawDataRecovered!$B:$B,$A16,RawDataRecovered!BS:BS)</f>
        <v>0</v>
      </c>
      <c r="BQ16">
        <f>SUMIF(RawDataRecovered!$B:$B,$A16,RawDataRecovered!BT:BT)</f>
        <v>0</v>
      </c>
      <c r="BR16">
        <f>SUMIF(RawDataRecovered!$B:$B,$A16,RawDataRecovered!BU:BU)</f>
        <v>0</v>
      </c>
      <c r="BS16">
        <f>SUMIF(RawDataRecovered!$B:$B,$A16,RawDataRecovered!BV:BV)</f>
        <v>0</v>
      </c>
      <c r="BT16">
        <f>SUMIF(RawDataRecovered!$B:$B,$A16,RawDataRecovered!BW:BW)</f>
        <v>0</v>
      </c>
    </row>
    <row r="17" spans="1:72" ht="15" thickBot="1" x14ac:dyDescent="0.35">
      <c r="A17" s="4" t="s">
        <v>368</v>
      </c>
      <c r="B17">
        <f>SUMIF(RawDataRecovered!$B:$B,$A17,RawDataRecovered!E:E)</f>
        <v>0</v>
      </c>
      <c r="C17">
        <f>SUMIF(RawDataRecovered!$B:$B,$A17,RawDataRecovered!F:F)</f>
        <v>0</v>
      </c>
      <c r="D17">
        <f>SUMIF(RawDataRecovered!$B:$B,$A17,RawDataRecovered!G:G)</f>
        <v>0</v>
      </c>
      <c r="E17">
        <f>SUMIF(RawDataRecovered!$B:$B,$A17,RawDataRecovered!H:H)</f>
        <v>0</v>
      </c>
      <c r="F17">
        <f>SUMIF(RawDataRecovered!$B:$B,$A17,RawDataRecovered!I:I)</f>
        <v>0</v>
      </c>
      <c r="G17">
        <f>SUMIF(RawDataRecovered!$B:$B,$A17,RawDataRecovered!J:J)</f>
        <v>0</v>
      </c>
      <c r="H17">
        <f>SUMIF(RawDataRecovered!$B:$B,$A17,RawDataRecovered!K:K)</f>
        <v>0</v>
      </c>
      <c r="I17">
        <f>SUMIF(RawDataRecovered!$B:$B,$A17,RawDataRecovered!L:L)</f>
        <v>0</v>
      </c>
      <c r="J17">
        <f>SUMIF(RawDataRecovered!$B:$B,$A17,RawDataRecovered!M:M)</f>
        <v>0</v>
      </c>
      <c r="K17">
        <f>SUMIF(RawDataRecovered!$B:$B,$A17,RawDataRecovered!N:N)</f>
        <v>0</v>
      </c>
      <c r="L17">
        <f>SUMIF(RawDataRecovered!$B:$B,$A17,RawDataRecovered!O:O)</f>
        <v>0</v>
      </c>
      <c r="M17">
        <f>SUMIF(RawDataRecovered!$B:$B,$A17,RawDataRecovered!P:P)</f>
        <v>0</v>
      </c>
      <c r="N17">
        <f>SUMIF(RawDataRecovered!$B:$B,$A17,RawDataRecovered!Q:Q)</f>
        <v>0</v>
      </c>
      <c r="O17">
        <f>SUMIF(RawDataRecovered!$B:$B,$A17,RawDataRecovered!R:R)</f>
        <v>0</v>
      </c>
      <c r="P17">
        <f>SUMIF(RawDataRecovered!$B:$B,$A17,RawDataRecovered!S:S)</f>
        <v>0</v>
      </c>
      <c r="Q17">
        <f>SUMIF(RawDataRecovered!$B:$B,$A17,RawDataRecovered!T:T)</f>
        <v>0</v>
      </c>
      <c r="R17">
        <f>SUMIF(RawDataRecovered!$B:$B,$A17,RawDataRecovered!U:U)</f>
        <v>0</v>
      </c>
      <c r="S17">
        <f>SUMIF(RawDataRecovered!$B:$B,$A17,RawDataRecovered!V:V)</f>
        <v>0</v>
      </c>
      <c r="T17">
        <f>SUMIF(RawDataRecovered!$B:$B,$A17,RawDataRecovered!W:W)</f>
        <v>0</v>
      </c>
      <c r="U17">
        <f>SUMIF(RawDataRecovered!$B:$B,$A17,RawDataRecovered!X:X)</f>
        <v>0</v>
      </c>
      <c r="V17">
        <f>SUMIF(RawDataRecovered!$B:$B,$A17,RawDataRecovered!Y:Y)</f>
        <v>0</v>
      </c>
      <c r="W17">
        <f>SUMIF(RawDataRecovered!$B:$B,$A17,RawDataRecovered!Z:Z)</f>
        <v>0</v>
      </c>
      <c r="X17">
        <f>SUMIF(RawDataRecovered!$B:$B,$A17,RawDataRecovered!AA:AA)</f>
        <v>0</v>
      </c>
      <c r="Y17">
        <f>SUMIF(RawDataRecovered!$B:$B,$A17,RawDataRecovered!AB:AB)</f>
        <v>0</v>
      </c>
      <c r="Z17">
        <f>SUMIF(RawDataRecovered!$B:$B,$A17,RawDataRecovered!AC:AC)</f>
        <v>0</v>
      </c>
      <c r="AA17">
        <f>SUMIF(RawDataRecovered!$B:$B,$A17,RawDataRecovered!AD:AD)</f>
        <v>0</v>
      </c>
      <c r="AB17">
        <f>SUMIF(RawDataRecovered!$B:$B,$A17,RawDataRecovered!AE:AE)</f>
        <v>0</v>
      </c>
      <c r="AC17">
        <f>SUMIF(RawDataRecovered!$B:$B,$A17,RawDataRecovered!AF:AF)</f>
        <v>0</v>
      </c>
      <c r="AD17">
        <f>SUMIF(RawDataRecovered!$B:$B,$A17,RawDataRecovered!AG:AG)</f>
        <v>1</v>
      </c>
      <c r="AE17">
        <f>SUMIF(RawDataRecovered!$B:$B,$A17,RawDataRecovered!AH:AH)</f>
        <v>1</v>
      </c>
      <c r="AF17">
        <f>SUMIF(RawDataRecovered!$B:$B,$A17,RawDataRecovered!AI:AI)</f>
        <v>1</v>
      </c>
      <c r="AG17">
        <f>SUMIF(RawDataRecovered!$B:$B,$A17,RawDataRecovered!AJ:AJ)</f>
        <v>1</v>
      </c>
      <c r="AH17">
        <f>SUMIF(RawDataRecovered!$B:$B,$A17,RawDataRecovered!AK:AK)</f>
        <v>0</v>
      </c>
      <c r="AI17">
        <f>SUMIF(RawDataRecovered!$B:$B,$A17,RawDataRecovered!AL:AL)</f>
        <v>0</v>
      </c>
      <c r="AJ17">
        <f>SUMIF(RawDataRecovered!$B:$B,$A17,RawDataRecovered!AM:AM)</f>
        <v>0</v>
      </c>
      <c r="AK17">
        <f>SUMIF(RawDataRecovered!$B:$B,$A17,RawDataRecovered!AN:AN)</f>
        <v>10</v>
      </c>
      <c r="AL17">
        <f>SUMIF(RawDataRecovered!$B:$B,$A17,RawDataRecovered!AO:AO)</f>
        <v>10</v>
      </c>
      <c r="AM17">
        <f>SUMIF(RawDataRecovered!$B:$B,$A17,RawDataRecovered!AP:AP)</f>
        <v>10</v>
      </c>
      <c r="AN17">
        <f>SUMIF(RawDataRecovered!$B:$B,$A17,RawDataRecovered!AQ:AQ)</f>
        <v>10</v>
      </c>
      <c r="AO17">
        <f>SUMIF(RawDataRecovered!$B:$B,$A17,RawDataRecovered!AR:AR)</f>
        <v>10</v>
      </c>
      <c r="AP17">
        <f>SUMIF(RawDataRecovered!$B:$B,$A17,RawDataRecovered!AS:AS)</f>
        <v>10</v>
      </c>
      <c r="AQ17">
        <f>SUMIF(RawDataRecovered!$B:$B,$A17,RawDataRecovered!AT:AT)</f>
        <v>10</v>
      </c>
      <c r="AR17">
        <f>SUMIF(RawDataRecovered!$B:$B,$A17,RawDataRecovered!AU:AU)</f>
        <v>10</v>
      </c>
      <c r="AS17">
        <f>SUMIF(RawDataRecovered!$B:$B,$A17,RawDataRecovered!AV:AV)</f>
        <v>10</v>
      </c>
      <c r="AT17">
        <f>SUMIF(RawDataRecovered!$B:$B,$A17,RawDataRecovered!AW:AW)</f>
        <v>40</v>
      </c>
      <c r="AU17">
        <f>SUMIF(RawDataRecovered!$B:$B,$A17,RawDataRecovered!AX:AX)</f>
        <v>40</v>
      </c>
      <c r="AV17">
        <f>SUMIF(RawDataRecovered!$B:$B,$A17,RawDataRecovered!AY:AY)</f>
        <v>40</v>
      </c>
      <c r="AW17">
        <f>SUMIF(RawDataRecovered!$B:$B,$A17,RawDataRecovered!AZ:AZ)</f>
        <v>40</v>
      </c>
      <c r="AX17">
        <f>SUMIF(RawDataRecovered!$B:$B,$A17,RawDataRecovered!BA:BA)</f>
        <v>40</v>
      </c>
      <c r="AY17">
        <f>SUMIF(RawDataRecovered!$B:$B,$A17,RawDataRecovered!BB:BB)</f>
        <v>325</v>
      </c>
      <c r="AZ17">
        <f>SUMIF(RawDataRecovered!$B:$B,$A17,RawDataRecovered!BC:BC)</f>
        <v>325</v>
      </c>
      <c r="BA17">
        <f>SUMIF(RawDataRecovered!$B:$B,$A17,RawDataRecovered!BD:BD)</f>
        <v>325</v>
      </c>
      <c r="BB17">
        <f>SUMIF(RawDataRecovered!$B:$B,$A17,RawDataRecovered!BE:BE)</f>
        <v>325</v>
      </c>
      <c r="BC17">
        <f>SUMIF(RawDataRecovered!$B:$B,$A17,RawDataRecovered!BF:BF)</f>
        <v>325</v>
      </c>
      <c r="BD17">
        <f>SUMIF(RawDataRecovered!$B:$B,$A17,RawDataRecovered!BG:BG)</f>
        <v>325</v>
      </c>
      <c r="BE17">
        <f>SUMIF(RawDataRecovered!$B:$B,$A17,RawDataRecovered!BH:BH)</f>
        <v>325</v>
      </c>
      <c r="BF17">
        <f>SUMIF(RawDataRecovered!$B:$B,$A17,RawDataRecovered!BI:BI)</f>
        <v>0</v>
      </c>
      <c r="BG17">
        <f>SUMIF(RawDataRecovered!$B:$B,$A17,RawDataRecovered!BJ:BJ)</f>
        <v>0</v>
      </c>
      <c r="BH17">
        <f>SUMIF(RawDataRecovered!$B:$B,$A17,RawDataRecovered!BK:BK)</f>
        <v>0</v>
      </c>
      <c r="BI17">
        <f>SUMIF(RawDataRecovered!$B:$B,$A17,RawDataRecovered!BL:BL)</f>
        <v>0</v>
      </c>
      <c r="BJ17">
        <f>SUMIF(RawDataRecovered!$B:$B,$A17,RawDataRecovered!BM:BM)</f>
        <v>0</v>
      </c>
      <c r="BK17">
        <f>SUMIF(RawDataRecovered!$B:$B,$A17,RawDataRecovered!BN:BN)</f>
        <v>0</v>
      </c>
      <c r="BL17">
        <f>SUMIF(RawDataRecovered!$B:$B,$A17,RawDataRecovered!BO:BO)</f>
        <v>0</v>
      </c>
      <c r="BM17">
        <f>SUMIF(RawDataRecovered!$B:$B,$A17,RawDataRecovered!BP:BP)</f>
        <v>0</v>
      </c>
      <c r="BN17">
        <f>SUMIF(RawDataRecovered!$B:$B,$A17,RawDataRecovered!BQ:BQ)</f>
        <v>0</v>
      </c>
      <c r="BO17">
        <f>SUMIF(RawDataRecovered!$B:$B,$A17,RawDataRecovered!BR:BR)</f>
        <v>0</v>
      </c>
      <c r="BP17">
        <f>SUMIF(RawDataRecovered!$B:$B,$A17,RawDataRecovered!BS:BS)</f>
        <v>0</v>
      </c>
      <c r="BQ17">
        <f>SUMIF(RawDataRecovered!$B:$B,$A17,RawDataRecovered!BT:BT)</f>
        <v>0</v>
      </c>
      <c r="BR17">
        <f>SUMIF(RawDataRecovered!$B:$B,$A17,RawDataRecovered!BU:BU)</f>
        <v>0</v>
      </c>
      <c r="BS17">
        <f>SUMIF(RawDataRecovered!$B:$B,$A17,RawDataRecovered!BV:BV)</f>
        <v>0</v>
      </c>
      <c r="BT17">
        <f>SUMIF(RawDataRecovered!$B:$B,$A17,RawDataRecovered!BW:BW)</f>
        <v>0</v>
      </c>
    </row>
    <row r="18" spans="1:72" ht="15" thickBot="1" x14ac:dyDescent="0.35">
      <c r="A18" s="3" t="s">
        <v>90</v>
      </c>
      <c r="B18">
        <f>SUMIF(RawDataRecovered!$B:$B,$A18,RawDataRecovered!E:E)</f>
        <v>0</v>
      </c>
      <c r="C18">
        <f>SUMIF(RawDataRecovered!$B:$B,$A18,RawDataRecovered!F:F)</f>
        <v>0</v>
      </c>
      <c r="D18">
        <f>SUMIF(RawDataRecovered!$B:$B,$A18,RawDataRecovered!G:G)</f>
        <v>0</v>
      </c>
      <c r="E18">
        <f>SUMIF(RawDataRecovered!$B:$B,$A18,RawDataRecovered!H:H)</f>
        <v>0</v>
      </c>
      <c r="F18">
        <f>SUMIF(RawDataRecovered!$B:$B,$A18,RawDataRecovered!I:I)</f>
        <v>0</v>
      </c>
      <c r="G18">
        <f>SUMIF(RawDataRecovered!$B:$B,$A18,RawDataRecovered!J:J)</f>
        <v>0</v>
      </c>
      <c r="H18">
        <f>SUMIF(RawDataRecovered!$B:$B,$A18,RawDataRecovered!K:K)</f>
        <v>0</v>
      </c>
      <c r="I18">
        <f>SUMIF(RawDataRecovered!$B:$B,$A18,RawDataRecovered!L:L)</f>
        <v>0</v>
      </c>
      <c r="J18">
        <f>SUMIF(RawDataRecovered!$B:$B,$A18,RawDataRecovered!M:M)</f>
        <v>0</v>
      </c>
      <c r="K18">
        <f>SUMIF(RawDataRecovered!$B:$B,$A18,RawDataRecovered!N:N)</f>
        <v>0</v>
      </c>
      <c r="L18">
        <f>SUMIF(RawDataRecovered!$B:$B,$A18,RawDataRecovered!O:O)</f>
        <v>0</v>
      </c>
      <c r="M18">
        <f>SUMIF(RawDataRecovered!$B:$B,$A18,RawDataRecovered!P:P)</f>
        <v>0</v>
      </c>
      <c r="N18">
        <f>SUMIF(RawDataRecovered!$B:$B,$A18,RawDataRecovered!Q:Q)</f>
        <v>0</v>
      </c>
      <c r="O18">
        <f>SUMIF(RawDataRecovered!$B:$B,$A18,RawDataRecovered!R:R)</f>
        <v>0</v>
      </c>
      <c r="P18">
        <f>SUMIF(RawDataRecovered!$B:$B,$A18,RawDataRecovered!S:S)</f>
        <v>0</v>
      </c>
      <c r="Q18">
        <f>SUMIF(RawDataRecovered!$B:$B,$A18,RawDataRecovered!T:T)</f>
        <v>0</v>
      </c>
      <c r="R18">
        <f>SUMIF(RawDataRecovered!$B:$B,$A18,RawDataRecovered!U:U)</f>
        <v>0</v>
      </c>
      <c r="S18">
        <f>SUMIF(RawDataRecovered!$B:$B,$A18,RawDataRecovered!V:V)</f>
        <v>0</v>
      </c>
      <c r="T18">
        <f>SUMIF(RawDataRecovered!$B:$B,$A18,RawDataRecovered!W:W)</f>
        <v>0</v>
      </c>
      <c r="U18">
        <f>SUMIF(RawDataRecovered!$B:$B,$A18,RawDataRecovered!X:X)</f>
        <v>0</v>
      </c>
      <c r="V18">
        <f>SUMIF(RawDataRecovered!$B:$B,$A18,RawDataRecovered!Y:Y)</f>
        <v>0</v>
      </c>
      <c r="W18">
        <f>SUMIF(RawDataRecovered!$B:$B,$A18,RawDataRecovered!Z:Z)</f>
        <v>0</v>
      </c>
      <c r="X18">
        <f>SUMIF(RawDataRecovered!$B:$B,$A18,RawDataRecovered!AA:AA)</f>
        <v>0</v>
      </c>
      <c r="Y18">
        <f>SUMIF(RawDataRecovered!$B:$B,$A18,RawDataRecovered!AB:AB)</f>
        <v>0</v>
      </c>
      <c r="Z18">
        <f>SUMIF(RawDataRecovered!$B:$B,$A18,RawDataRecovered!AC:AC)</f>
        <v>0</v>
      </c>
      <c r="AA18">
        <f>SUMIF(RawDataRecovered!$B:$B,$A18,RawDataRecovered!AD:AD)</f>
        <v>0</v>
      </c>
      <c r="AB18">
        <f>SUMIF(RawDataRecovered!$B:$B,$A18,RawDataRecovered!AE:AE)</f>
        <v>1</v>
      </c>
      <c r="AC18">
        <f>SUMIF(RawDataRecovered!$B:$B,$A18,RawDataRecovered!AF:AF)</f>
        <v>1</v>
      </c>
      <c r="AD18">
        <f>SUMIF(RawDataRecovered!$B:$B,$A18,RawDataRecovered!AG:AG)</f>
        <v>1</v>
      </c>
      <c r="AE18">
        <f>SUMIF(RawDataRecovered!$B:$B,$A18,RawDataRecovered!AH:AH)</f>
        <v>1</v>
      </c>
      <c r="AF18">
        <f>SUMIF(RawDataRecovered!$B:$B,$A18,RawDataRecovered!AI:AI)</f>
        <v>1</v>
      </c>
      <c r="AG18">
        <f>SUMIF(RawDataRecovered!$B:$B,$A18,RawDataRecovered!AJ:AJ)</f>
        <v>1</v>
      </c>
      <c r="AH18">
        <f>SUMIF(RawDataRecovered!$B:$B,$A18,RawDataRecovered!AK:AK)</f>
        <v>1</v>
      </c>
      <c r="AI18">
        <f>SUMIF(RawDataRecovered!$B:$B,$A18,RawDataRecovered!AL:AL)</f>
        <v>1</v>
      </c>
      <c r="AJ18">
        <f>SUMIF(RawDataRecovered!$B:$B,$A18,RawDataRecovered!AM:AM)</f>
        <v>1</v>
      </c>
      <c r="AK18">
        <f>SUMIF(RawDataRecovered!$B:$B,$A18,RawDataRecovered!AN:AN)</f>
        <v>1</v>
      </c>
      <c r="AL18">
        <f>SUMIF(RawDataRecovered!$B:$B,$A18,RawDataRecovered!AO:AO)</f>
        <v>1</v>
      </c>
      <c r="AM18">
        <f>SUMIF(RawDataRecovered!$B:$B,$A18,RawDataRecovered!AP:AP)</f>
        <v>1</v>
      </c>
      <c r="AN18">
        <f>SUMIF(RawDataRecovered!$B:$B,$A18,RawDataRecovered!AQ:AQ)</f>
        <v>1</v>
      </c>
      <c r="AO18">
        <f>SUMIF(RawDataRecovered!$B:$B,$A18,RawDataRecovered!AR:AR)</f>
        <v>1</v>
      </c>
      <c r="AP18">
        <f>SUMIF(RawDataRecovered!$B:$B,$A18,RawDataRecovered!AS:AS)</f>
        <v>1</v>
      </c>
      <c r="AQ18">
        <f>SUMIF(RawDataRecovered!$B:$B,$A18,RawDataRecovered!AT:AT)</f>
        <v>1</v>
      </c>
      <c r="AR18">
        <f>SUMIF(RawDataRecovered!$B:$B,$A18,RawDataRecovered!AU:AU)</f>
        <v>1</v>
      </c>
      <c r="AS18">
        <f>SUMIF(RawDataRecovered!$B:$B,$A18,RawDataRecovered!AV:AV)</f>
        <v>1</v>
      </c>
      <c r="AT18">
        <f>SUMIF(RawDataRecovered!$B:$B,$A18,RawDataRecovered!AW:AW)</f>
        <v>1</v>
      </c>
      <c r="AU18">
        <f>SUMIF(RawDataRecovered!$B:$B,$A18,RawDataRecovered!AX:AX)</f>
        <v>1</v>
      </c>
      <c r="AV18">
        <f>SUMIF(RawDataRecovered!$B:$B,$A18,RawDataRecovered!AY:AY)</f>
        <v>1</v>
      </c>
      <c r="AW18">
        <f>SUMIF(RawDataRecovered!$B:$B,$A18,RawDataRecovered!AZ:AZ)</f>
        <v>1</v>
      </c>
      <c r="AX18">
        <f>SUMIF(RawDataRecovered!$B:$B,$A18,RawDataRecovered!BA:BA)</f>
        <v>1</v>
      </c>
      <c r="AY18">
        <f>SUMIF(RawDataRecovered!$B:$B,$A18,RawDataRecovered!BB:BB)</f>
        <v>1</v>
      </c>
      <c r="AZ18">
        <f>SUMIF(RawDataRecovered!$B:$B,$A18,RawDataRecovered!BC:BC)</f>
        <v>1</v>
      </c>
      <c r="BA18">
        <f>SUMIF(RawDataRecovered!$B:$B,$A18,RawDataRecovered!BD:BD)</f>
        <v>1</v>
      </c>
      <c r="BB18">
        <f>SUMIF(RawDataRecovered!$B:$B,$A18,RawDataRecovered!BE:BE)</f>
        <v>1</v>
      </c>
      <c r="BC18">
        <f>SUMIF(RawDataRecovered!$B:$B,$A18,RawDataRecovered!BF:BF)</f>
        <v>1</v>
      </c>
      <c r="BD18">
        <f>SUMIF(RawDataRecovered!$B:$B,$A18,RawDataRecovered!BG:BG)</f>
        <v>1</v>
      </c>
      <c r="BE18">
        <f>SUMIF(RawDataRecovered!$B:$B,$A18,RawDataRecovered!BH:BH)</f>
        <v>1</v>
      </c>
      <c r="BF18">
        <f>SUMIF(RawDataRecovered!$B:$B,$A18,RawDataRecovered!BI:BI)</f>
        <v>0</v>
      </c>
      <c r="BG18">
        <f>SUMIF(RawDataRecovered!$B:$B,$A18,RawDataRecovered!BJ:BJ)</f>
        <v>0</v>
      </c>
      <c r="BH18">
        <f>SUMIF(RawDataRecovered!$B:$B,$A18,RawDataRecovered!BK:BK)</f>
        <v>0</v>
      </c>
      <c r="BI18">
        <f>SUMIF(RawDataRecovered!$B:$B,$A18,RawDataRecovered!BL:BL)</f>
        <v>0</v>
      </c>
      <c r="BJ18">
        <f>SUMIF(RawDataRecovered!$B:$B,$A18,RawDataRecovered!BM:BM)</f>
        <v>0</v>
      </c>
      <c r="BK18">
        <f>SUMIF(RawDataRecovered!$B:$B,$A18,RawDataRecovered!BN:BN)</f>
        <v>0</v>
      </c>
      <c r="BL18">
        <f>SUMIF(RawDataRecovered!$B:$B,$A18,RawDataRecovered!BO:BO)</f>
        <v>0</v>
      </c>
      <c r="BM18">
        <f>SUMIF(RawDataRecovered!$B:$B,$A18,RawDataRecovered!BP:BP)</f>
        <v>0</v>
      </c>
      <c r="BN18">
        <f>SUMIF(RawDataRecovered!$B:$B,$A18,RawDataRecovered!BQ:BQ)</f>
        <v>0</v>
      </c>
      <c r="BO18">
        <f>SUMIF(RawDataRecovered!$B:$B,$A18,RawDataRecovered!BR:BR)</f>
        <v>0</v>
      </c>
      <c r="BP18">
        <f>SUMIF(RawDataRecovered!$B:$B,$A18,RawDataRecovered!BS:BS)</f>
        <v>0</v>
      </c>
      <c r="BQ18">
        <f>SUMIF(RawDataRecovered!$B:$B,$A18,RawDataRecovered!BT:BT)</f>
        <v>0</v>
      </c>
      <c r="BR18">
        <f>SUMIF(RawDataRecovered!$B:$B,$A18,RawDataRecovered!BU:BU)</f>
        <v>0</v>
      </c>
      <c r="BS18">
        <f>SUMIF(RawDataRecovered!$B:$B,$A18,RawDataRecovered!BV:BV)</f>
        <v>0</v>
      </c>
      <c r="BT18">
        <f>SUMIF(RawDataRecovered!$B:$B,$A18,RawDataRecovered!BW:BW)</f>
        <v>0</v>
      </c>
    </row>
    <row r="19" spans="1:72" ht="15" thickBot="1" x14ac:dyDescent="0.35">
      <c r="A19" s="3" t="s">
        <v>105</v>
      </c>
      <c r="B19">
        <f>SUMIF(RawDataRecovered!$B:$B,$A19,RawDataRecovered!E:E)</f>
        <v>0</v>
      </c>
      <c r="C19">
        <f>SUMIF(RawDataRecovered!$B:$B,$A19,RawDataRecovered!F:F)</f>
        <v>0</v>
      </c>
      <c r="D19">
        <f>SUMIF(RawDataRecovered!$B:$B,$A19,RawDataRecovered!G:G)</f>
        <v>0</v>
      </c>
      <c r="E19">
        <f>SUMIF(RawDataRecovered!$B:$B,$A19,RawDataRecovered!H:H)</f>
        <v>0</v>
      </c>
      <c r="F19">
        <f>SUMIF(RawDataRecovered!$B:$B,$A19,RawDataRecovered!I:I)</f>
        <v>0</v>
      </c>
      <c r="G19">
        <f>SUMIF(RawDataRecovered!$B:$B,$A19,RawDataRecovered!J:J)</f>
        <v>0</v>
      </c>
      <c r="H19">
        <f>SUMIF(RawDataRecovered!$B:$B,$A19,RawDataRecovered!K:K)</f>
        <v>0</v>
      </c>
      <c r="I19">
        <f>SUMIF(RawDataRecovered!$B:$B,$A19,RawDataRecovered!L:L)</f>
        <v>0</v>
      </c>
      <c r="J19">
        <f>SUMIF(RawDataRecovered!$B:$B,$A19,RawDataRecovered!M:M)</f>
        <v>0</v>
      </c>
      <c r="K19">
        <f>SUMIF(RawDataRecovered!$B:$B,$A19,RawDataRecovered!N:N)</f>
        <v>0</v>
      </c>
      <c r="L19">
        <f>SUMIF(RawDataRecovered!$B:$B,$A19,RawDataRecovered!O:O)</f>
        <v>0</v>
      </c>
      <c r="M19">
        <f>SUMIF(RawDataRecovered!$B:$B,$A19,RawDataRecovered!P:P)</f>
        <v>0</v>
      </c>
      <c r="N19">
        <f>SUMIF(RawDataRecovered!$B:$B,$A19,RawDataRecovered!Q:Q)</f>
        <v>0</v>
      </c>
      <c r="O19">
        <f>SUMIF(RawDataRecovered!$B:$B,$A19,RawDataRecovered!R:R)</f>
        <v>0</v>
      </c>
      <c r="P19">
        <f>SUMIF(RawDataRecovered!$B:$B,$A19,RawDataRecovered!S:S)</f>
        <v>0</v>
      </c>
      <c r="Q19">
        <f>SUMIF(RawDataRecovered!$B:$B,$A19,RawDataRecovered!T:T)</f>
        <v>0</v>
      </c>
      <c r="R19">
        <f>SUMIF(RawDataRecovered!$B:$B,$A19,RawDataRecovered!U:U)</f>
        <v>0</v>
      </c>
      <c r="S19">
        <f>SUMIF(RawDataRecovered!$B:$B,$A19,RawDataRecovered!V:V)</f>
        <v>0</v>
      </c>
      <c r="T19">
        <f>SUMIF(RawDataRecovered!$B:$B,$A19,RawDataRecovered!W:W)</f>
        <v>0</v>
      </c>
      <c r="U19">
        <f>SUMIF(RawDataRecovered!$B:$B,$A19,RawDataRecovered!X:X)</f>
        <v>0</v>
      </c>
      <c r="V19">
        <f>SUMIF(RawDataRecovered!$B:$B,$A19,RawDataRecovered!Y:Y)</f>
        <v>0</v>
      </c>
      <c r="W19">
        <f>SUMIF(RawDataRecovered!$B:$B,$A19,RawDataRecovered!Z:Z)</f>
        <v>0</v>
      </c>
      <c r="X19">
        <f>SUMIF(RawDataRecovered!$B:$B,$A19,RawDataRecovered!AA:AA)</f>
        <v>0</v>
      </c>
      <c r="Y19">
        <f>SUMIF(RawDataRecovered!$B:$B,$A19,RawDataRecovered!AB:AB)</f>
        <v>0</v>
      </c>
      <c r="Z19">
        <f>SUMIF(RawDataRecovered!$B:$B,$A19,RawDataRecovered!AC:AC)</f>
        <v>0</v>
      </c>
      <c r="AA19">
        <f>SUMIF(RawDataRecovered!$B:$B,$A19,RawDataRecovered!AD:AD)</f>
        <v>0</v>
      </c>
      <c r="AB19">
        <f>SUMIF(RawDataRecovered!$B:$B,$A19,RawDataRecovered!AE:AE)</f>
        <v>0</v>
      </c>
      <c r="AC19">
        <f>SUMIF(RawDataRecovered!$B:$B,$A19,RawDataRecovered!AF:AF)</f>
        <v>0</v>
      </c>
      <c r="AD19">
        <f>SUMIF(RawDataRecovered!$B:$B,$A19,RawDataRecovered!AG:AG)</f>
        <v>0</v>
      </c>
      <c r="AE19">
        <f>SUMIF(RawDataRecovered!$B:$B,$A19,RawDataRecovered!AH:AH)</f>
        <v>0</v>
      </c>
      <c r="AF19">
        <f>SUMIF(RawDataRecovered!$B:$B,$A19,RawDataRecovered!AI:AI)</f>
        <v>0</v>
      </c>
      <c r="AG19">
        <f>SUMIF(RawDataRecovered!$B:$B,$A19,RawDataRecovered!AJ:AJ)</f>
        <v>0</v>
      </c>
      <c r="AH19">
        <f>SUMIF(RawDataRecovered!$B:$B,$A19,RawDataRecovered!AK:AK)</f>
        <v>0</v>
      </c>
      <c r="AI19">
        <f>SUMIF(RawDataRecovered!$B:$B,$A19,RawDataRecovered!AL:AL)</f>
        <v>0</v>
      </c>
      <c r="AJ19">
        <f>SUMIF(RawDataRecovered!$B:$B,$A19,RawDataRecovered!AM:AM)</f>
        <v>0</v>
      </c>
      <c r="AK19">
        <f>SUMIF(RawDataRecovered!$B:$B,$A19,RawDataRecovered!AN:AN)</f>
        <v>0</v>
      </c>
      <c r="AL19">
        <f>SUMIF(RawDataRecovered!$B:$B,$A19,RawDataRecovered!AO:AO)</f>
        <v>0</v>
      </c>
      <c r="AM19">
        <f>SUMIF(RawDataRecovered!$B:$B,$A19,RawDataRecovered!AP:AP)</f>
        <v>0</v>
      </c>
      <c r="AN19">
        <f>SUMIF(RawDataRecovered!$B:$B,$A19,RawDataRecovered!AQ:AQ)</f>
        <v>0</v>
      </c>
      <c r="AO19">
        <f>SUMIF(RawDataRecovered!$B:$B,$A19,RawDataRecovered!AR:AR)</f>
        <v>0</v>
      </c>
      <c r="AP19">
        <f>SUMIF(RawDataRecovered!$B:$B,$A19,RawDataRecovered!AS:AS)</f>
        <v>0</v>
      </c>
      <c r="AQ19">
        <f>SUMIF(RawDataRecovered!$B:$B,$A19,RawDataRecovered!AT:AT)</f>
        <v>0</v>
      </c>
      <c r="AR19">
        <f>SUMIF(RawDataRecovered!$B:$B,$A19,RawDataRecovered!AU:AU)</f>
        <v>0</v>
      </c>
      <c r="AS19">
        <f>SUMIF(RawDataRecovered!$B:$B,$A19,RawDataRecovered!AV:AV)</f>
        <v>0</v>
      </c>
      <c r="AT19">
        <f>SUMIF(RawDataRecovered!$B:$B,$A19,RawDataRecovered!AW:AW)</f>
        <v>0</v>
      </c>
      <c r="AU19">
        <f>SUMIF(RawDataRecovered!$B:$B,$A19,RawDataRecovered!AX:AX)</f>
        <v>0</v>
      </c>
      <c r="AV19">
        <f>SUMIF(RawDataRecovered!$B:$B,$A19,RawDataRecovered!AY:AY)</f>
        <v>0</v>
      </c>
      <c r="AW19">
        <f>SUMIF(RawDataRecovered!$B:$B,$A19,RawDataRecovered!AZ:AZ)</f>
        <v>2</v>
      </c>
      <c r="AX19">
        <f>SUMIF(RawDataRecovered!$B:$B,$A19,RawDataRecovered!BA:BA)</f>
        <v>4</v>
      </c>
      <c r="AY19">
        <f>SUMIF(RawDataRecovered!$B:$B,$A19,RawDataRecovered!BB:BB)</f>
        <v>4</v>
      </c>
      <c r="AZ19">
        <f>SUMIF(RawDataRecovered!$B:$B,$A19,RawDataRecovered!BC:BC)</f>
        <v>4</v>
      </c>
      <c r="BA19">
        <f>SUMIF(RawDataRecovered!$B:$B,$A19,RawDataRecovered!BD:BD)</f>
        <v>6</v>
      </c>
      <c r="BB19">
        <f>SUMIF(RawDataRecovered!$B:$B,$A19,RawDataRecovered!BE:BE)</f>
        <v>6</v>
      </c>
      <c r="BC19">
        <f>SUMIF(RawDataRecovered!$B:$B,$A19,RawDataRecovered!BF:BF)</f>
        <v>6</v>
      </c>
      <c r="BD19">
        <f>SUMIF(RawDataRecovered!$B:$B,$A19,RawDataRecovered!BG:BG)</f>
        <v>6</v>
      </c>
      <c r="BE19">
        <f>SUMIF(RawDataRecovered!$B:$B,$A19,RawDataRecovered!BH:BH)</f>
        <v>1</v>
      </c>
      <c r="BF19">
        <f>SUMIF(RawDataRecovered!$B:$B,$A19,RawDataRecovered!BI:BI)</f>
        <v>0</v>
      </c>
      <c r="BG19">
        <f>SUMIF(RawDataRecovered!$B:$B,$A19,RawDataRecovered!BJ:BJ)</f>
        <v>0</v>
      </c>
      <c r="BH19">
        <f>SUMIF(RawDataRecovered!$B:$B,$A19,RawDataRecovered!BK:BK)</f>
        <v>0</v>
      </c>
      <c r="BI19">
        <f>SUMIF(RawDataRecovered!$B:$B,$A19,RawDataRecovered!BL:BL)</f>
        <v>0</v>
      </c>
      <c r="BJ19">
        <f>SUMIF(RawDataRecovered!$B:$B,$A19,RawDataRecovered!BM:BM)</f>
        <v>0</v>
      </c>
      <c r="BK19">
        <f>SUMIF(RawDataRecovered!$B:$B,$A19,RawDataRecovered!BN:BN)</f>
        <v>0</v>
      </c>
      <c r="BL19">
        <f>SUMIF(RawDataRecovered!$B:$B,$A19,RawDataRecovered!BO:BO)</f>
        <v>0</v>
      </c>
      <c r="BM19">
        <f>SUMIF(RawDataRecovered!$B:$B,$A19,RawDataRecovered!BP:BP)</f>
        <v>0</v>
      </c>
      <c r="BN19">
        <f>SUMIF(RawDataRecovered!$B:$B,$A19,RawDataRecovered!BQ:BQ)</f>
        <v>0</v>
      </c>
      <c r="BO19">
        <f>SUMIF(RawDataRecovered!$B:$B,$A19,RawDataRecovered!BR:BR)</f>
        <v>0</v>
      </c>
      <c r="BP19">
        <f>SUMIF(RawDataRecovered!$B:$B,$A19,RawDataRecovered!BS:BS)</f>
        <v>0</v>
      </c>
      <c r="BQ19">
        <f>SUMIF(RawDataRecovered!$B:$B,$A19,RawDataRecovered!BT:BT)</f>
        <v>0</v>
      </c>
      <c r="BR19">
        <f>SUMIF(RawDataRecovered!$B:$B,$A19,RawDataRecovered!BU:BU)</f>
        <v>0</v>
      </c>
      <c r="BS19">
        <f>SUMIF(RawDataRecovered!$B:$B,$A19,RawDataRecovered!BV:BV)</f>
        <v>0</v>
      </c>
      <c r="BT19">
        <f>SUMIF(RawDataRecovered!$B:$B,$A19,RawDataRecovered!BW:BW)</f>
        <v>0</v>
      </c>
    </row>
    <row r="20" spans="1:72" ht="15" thickBot="1" x14ac:dyDescent="0.35">
      <c r="A20" s="3" t="s">
        <v>128</v>
      </c>
      <c r="B20">
        <f>SUMIF(RawDataRecovered!$B:$B,$A20,RawDataRecovered!E:E)</f>
        <v>0</v>
      </c>
      <c r="C20">
        <f>SUMIF(RawDataRecovered!$B:$B,$A20,RawDataRecovered!F:F)</f>
        <v>0</v>
      </c>
      <c r="D20">
        <f>SUMIF(RawDataRecovered!$B:$B,$A20,RawDataRecovered!G:G)</f>
        <v>0</v>
      </c>
      <c r="E20">
        <f>SUMIF(RawDataRecovered!$B:$B,$A20,RawDataRecovered!H:H)</f>
        <v>0</v>
      </c>
      <c r="F20">
        <f>SUMIF(RawDataRecovered!$B:$B,$A20,RawDataRecovered!I:I)</f>
        <v>0</v>
      </c>
      <c r="G20">
        <f>SUMIF(RawDataRecovered!$B:$B,$A20,RawDataRecovered!J:J)</f>
        <v>0</v>
      </c>
      <c r="H20">
        <f>SUMIF(RawDataRecovered!$B:$B,$A20,RawDataRecovered!K:K)</f>
        <v>0</v>
      </c>
      <c r="I20">
        <f>SUMIF(RawDataRecovered!$B:$B,$A20,RawDataRecovered!L:L)</f>
        <v>0</v>
      </c>
      <c r="J20">
        <f>SUMIF(RawDataRecovered!$B:$B,$A20,RawDataRecovered!M:M)</f>
        <v>0</v>
      </c>
      <c r="K20">
        <f>SUMIF(RawDataRecovered!$B:$B,$A20,RawDataRecovered!N:N)</f>
        <v>0</v>
      </c>
      <c r="L20">
        <f>SUMIF(RawDataRecovered!$B:$B,$A20,RawDataRecovered!O:O)</f>
        <v>0</v>
      </c>
      <c r="M20">
        <f>SUMIF(RawDataRecovered!$B:$B,$A20,RawDataRecovered!P:P)</f>
        <v>0</v>
      </c>
      <c r="N20">
        <f>SUMIF(RawDataRecovered!$B:$B,$A20,RawDataRecovered!Q:Q)</f>
        <v>0</v>
      </c>
      <c r="O20">
        <f>SUMIF(RawDataRecovered!$B:$B,$A20,RawDataRecovered!R:R)</f>
        <v>0</v>
      </c>
      <c r="P20">
        <f>SUMIF(RawDataRecovered!$B:$B,$A20,RawDataRecovered!S:S)</f>
        <v>0</v>
      </c>
      <c r="Q20">
        <f>SUMIF(RawDataRecovered!$B:$B,$A20,RawDataRecovered!T:T)</f>
        <v>0</v>
      </c>
      <c r="R20">
        <f>SUMIF(RawDataRecovered!$B:$B,$A20,RawDataRecovered!U:U)</f>
        <v>0</v>
      </c>
      <c r="S20">
        <f>SUMIF(RawDataRecovered!$B:$B,$A20,RawDataRecovered!V:V)</f>
        <v>0</v>
      </c>
      <c r="T20">
        <f>SUMIF(RawDataRecovered!$B:$B,$A20,RawDataRecovered!W:W)</f>
        <v>0</v>
      </c>
      <c r="U20">
        <f>SUMIF(RawDataRecovered!$B:$B,$A20,RawDataRecovered!X:X)</f>
        <v>0</v>
      </c>
      <c r="V20">
        <f>SUMIF(RawDataRecovered!$B:$B,$A20,RawDataRecovered!Y:Y)</f>
        <v>0</v>
      </c>
      <c r="W20">
        <f>SUMIF(RawDataRecovered!$B:$B,$A20,RawDataRecovered!Z:Z)</f>
        <v>0</v>
      </c>
      <c r="X20">
        <f>SUMIF(RawDataRecovered!$B:$B,$A20,RawDataRecovered!AA:AA)</f>
        <v>0</v>
      </c>
      <c r="Y20">
        <f>SUMIF(RawDataRecovered!$B:$B,$A20,RawDataRecovered!AB:AB)</f>
        <v>0</v>
      </c>
      <c r="Z20">
        <f>SUMIF(RawDataRecovered!$B:$B,$A20,RawDataRecovered!AC:AC)</f>
        <v>0</v>
      </c>
      <c r="AA20">
        <f>SUMIF(RawDataRecovered!$B:$B,$A20,RawDataRecovered!AD:AD)</f>
        <v>0</v>
      </c>
      <c r="AB20">
        <f>SUMIF(RawDataRecovered!$B:$B,$A20,RawDataRecovered!AE:AE)</f>
        <v>0</v>
      </c>
      <c r="AC20">
        <f>SUMIF(RawDataRecovered!$B:$B,$A20,RawDataRecovered!AF:AF)</f>
        <v>0</v>
      </c>
      <c r="AD20">
        <f>SUMIF(RawDataRecovered!$B:$B,$A20,RawDataRecovered!AG:AG)</f>
        <v>0</v>
      </c>
      <c r="AE20">
        <f>SUMIF(RawDataRecovered!$B:$B,$A20,RawDataRecovered!AH:AH)</f>
        <v>0</v>
      </c>
      <c r="AF20">
        <f>SUMIF(RawDataRecovered!$B:$B,$A20,RawDataRecovered!AI:AI)</f>
        <v>0</v>
      </c>
      <c r="AG20">
        <f>SUMIF(RawDataRecovered!$B:$B,$A20,RawDataRecovered!AJ:AJ)</f>
        <v>0</v>
      </c>
      <c r="AH20">
        <f>SUMIF(RawDataRecovered!$B:$B,$A20,RawDataRecovered!AK:AK)</f>
        <v>0</v>
      </c>
      <c r="AI20">
        <f>SUMIF(RawDataRecovered!$B:$B,$A20,RawDataRecovered!AL:AL)</f>
        <v>0</v>
      </c>
      <c r="AJ20">
        <f>SUMIF(RawDataRecovered!$B:$B,$A20,RawDataRecovered!AM:AM)</f>
        <v>0</v>
      </c>
      <c r="AK20">
        <f>SUMIF(RawDataRecovered!$B:$B,$A20,RawDataRecovered!AN:AN)</f>
        <v>0</v>
      </c>
      <c r="AL20">
        <f>SUMIF(RawDataRecovered!$B:$B,$A20,RawDataRecovered!AO:AO)</f>
        <v>0</v>
      </c>
      <c r="AM20">
        <f>SUMIF(RawDataRecovered!$B:$B,$A20,RawDataRecovered!AP:AP)</f>
        <v>0</v>
      </c>
      <c r="AN20">
        <f>SUMIF(RawDataRecovered!$B:$B,$A20,RawDataRecovered!AQ:AQ)</f>
        <v>0</v>
      </c>
      <c r="AO20">
        <f>SUMIF(RawDataRecovered!$B:$B,$A20,RawDataRecovered!AR:AR)</f>
        <v>0</v>
      </c>
      <c r="AP20">
        <f>SUMIF(RawDataRecovered!$B:$B,$A20,RawDataRecovered!AS:AS)</f>
        <v>0</v>
      </c>
      <c r="AQ20">
        <f>SUMIF(RawDataRecovered!$B:$B,$A20,RawDataRecovered!AT:AT)</f>
        <v>0</v>
      </c>
      <c r="AR20">
        <f>SUMIF(RawDataRecovered!$B:$B,$A20,RawDataRecovered!AU:AU)</f>
        <v>0</v>
      </c>
      <c r="AS20">
        <f>SUMIF(RawDataRecovered!$B:$B,$A20,RawDataRecovered!AV:AV)</f>
        <v>0</v>
      </c>
      <c r="AT20">
        <f>SUMIF(RawDataRecovered!$B:$B,$A20,RawDataRecovered!AW:AW)</f>
        <v>0</v>
      </c>
      <c r="AU20">
        <f>SUMIF(RawDataRecovered!$B:$B,$A20,RawDataRecovered!AX:AX)</f>
        <v>0</v>
      </c>
      <c r="AV20">
        <f>SUMIF(RawDataRecovered!$B:$B,$A20,RawDataRecovered!AY:AY)</f>
        <v>0</v>
      </c>
      <c r="AW20">
        <f>SUMIF(RawDataRecovered!$B:$B,$A20,RawDataRecovered!AZ:AZ)</f>
        <v>0</v>
      </c>
      <c r="AX20">
        <f>SUMIF(RawDataRecovered!$B:$B,$A20,RawDataRecovered!BA:BA)</f>
        <v>0</v>
      </c>
      <c r="AY20">
        <f>SUMIF(RawDataRecovered!$B:$B,$A20,RawDataRecovered!BB:BB)</f>
        <v>0</v>
      </c>
      <c r="AZ20">
        <f>SUMIF(RawDataRecovered!$B:$B,$A20,RawDataRecovered!BC:BC)</f>
        <v>0</v>
      </c>
      <c r="BA20">
        <f>SUMIF(RawDataRecovered!$B:$B,$A20,RawDataRecovered!BD:BD)</f>
        <v>0</v>
      </c>
      <c r="BB20">
        <f>SUMIF(RawDataRecovered!$B:$B,$A20,RawDataRecovered!BE:BE)</f>
        <v>4</v>
      </c>
      <c r="BC20">
        <f>SUMIF(RawDataRecovered!$B:$B,$A20,RawDataRecovered!BF:BF)</f>
        <v>4</v>
      </c>
      <c r="BD20">
        <f>SUMIF(RawDataRecovered!$B:$B,$A20,RawDataRecovered!BG:BG)</f>
        <v>4</v>
      </c>
      <c r="BE20">
        <f>SUMIF(RawDataRecovered!$B:$B,$A20,RawDataRecovered!BH:BH)</f>
        <v>4</v>
      </c>
      <c r="BF20">
        <f>SUMIF(RawDataRecovered!$B:$B,$A20,RawDataRecovered!BI:BI)</f>
        <v>0</v>
      </c>
      <c r="BG20">
        <f>SUMIF(RawDataRecovered!$B:$B,$A20,RawDataRecovered!BJ:BJ)</f>
        <v>0</v>
      </c>
      <c r="BH20">
        <f>SUMIF(RawDataRecovered!$B:$B,$A20,RawDataRecovered!BK:BK)</f>
        <v>0</v>
      </c>
      <c r="BI20">
        <f>SUMIF(RawDataRecovered!$B:$B,$A20,RawDataRecovered!BL:BL)</f>
        <v>0</v>
      </c>
      <c r="BJ20">
        <f>SUMIF(RawDataRecovered!$B:$B,$A20,RawDataRecovered!BM:BM)</f>
        <v>0</v>
      </c>
      <c r="BK20">
        <f>SUMIF(RawDataRecovered!$B:$B,$A20,RawDataRecovered!BN:BN)</f>
        <v>0</v>
      </c>
      <c r="BL20">
        <f>SUMIF(RawDataRecovered!$B:$B,$A20,RawDataRecovered!BO:BO)</f>
        <v>0</v>
      </c>
      <c r="BM20">
        <f>SUMIF(RawDataRecovered!$B:$B,$A20,RawDataRecovered!BP:BP)</f>
        <v>0</v>
      </c>
      <c r="BN20">
        <f>SUMIF(RawDataRecovered!$B:$B,$A20,RawDataRecovered!BQ:BQ)</f>
        <v>0</v>
      </c>
      <c r="BO20">
        <f>SUMIF(RawDataRecovered!$B:$B,$A20,RawDataRecovered!BR:BR)</f>
        <v>0</v>
      </c>
      <c r="BP20">
        <f>SUMIF(RawDataRecovered!$B:$B,$A20,RawDataRecovered!BS:BS)</f>
        <v>0</v>
      </c>
      <c r="BQ20">
        <f>SUMIF(RawDataRecovered!$B:$B,$A20,RawDataRecovered!BT:BT)</f>
        <v>0</v>
      </c>
      <c r="BR20">
        <f>SUMIF(RawDataRecovered!$B:$B,$A20,RawDataRecovered!BU:BU)</f>
        <v>0</v>
      </c>
      <c r="BS20">
        <f>SUMIF(RawDataRecovered!$B:$B,$A20,RawDataRecovered!BV:BV)</f>
        <v>0</v>
      </c>
      <c r="BT20">
        <f>SUMIF(RawDataRecovered!$B:$B,$A20,RawDataRecovered!BW:BW)</f>
        <v>0</v>
      </c>
    </row>
    <row r="21" spans="1:72" ht="15" thickBot="1" x14ac:dyDescent="0.35">
      <c r="A21" s="3" t="s">
        <v>75</v>
      </c>
      <c r="B21">
        <f>SUMIF(RawDataRecovered!$B:$B,$A21,RawDataRecovered!E:E)</f>
        <v>0</v>
      </c>
      <c r="C21">
        <f>SUMIF(RawDataRecovered!$B:$B,$A21,RawDataRecovered!F:F)</f>
        <v>0</v>
      </c>
      <c r="D21">
        <f>SUMIF(RawDataRecovered!$B:$B,$A21,RawDataRecovered!G:G)</f>
        <v>0</v>
      </c>
      <c r="E21">
        <f>SUMIF(RawDataRecovered!$B:$B,$A21,RawDataRecovered!H:H)</f>
        <v>0</v>
      </c>
      <c r="F21">
        <f>SUMIF(RawDataRecovered!$B:$B,$A21,RawDataRecovered!I:I)</f>
        <v>0</v>
      </c>
      <c r="G21">
        <f>SUMIF(RawDataRecovered!$B:$B,$A21,RawDataRecovered!J:J)</f>
        <v>0</v>
      </c>
      <c r="H21">
        <f>SUMIF(RawDataRecovered!$B:$B,$A21,RawDataRecovered!K:K)</f>
        <v>0</v>
      </c>
      <c r="I21">
        <f>SUMIF(RawDataRecovered!$B:$B,$A21,RawDataRecovered!L:L)</f>
        <v>0</v>
      </c>
      <c r="J21">
        <f>SUMIF(RawDataRecovered!$B:$B,$A21,RawDataRecovered!M:M)</f>
        <v>2</v>
      </c>
      <c r="K21">
        <f>SUMIF(RawDataRecovered!$B:$B,$A21,RawDataRecovered!N:N)</f>
        <v>2</v>
      </c>
      <c r="L21">
        <f>SUMIF(RawDataRecovered!$B:$B,$A21,RawDataRecovered!O:O)</f>
        <v>2</v>
      </c>
      <c r="M21">
        <f>SUMIF(RawDataRecovered!$B:$B,$A21,RawDataRecovered!P:P)</f>
        <v>2</v>
      </c>
      <c r="N21">
        <f>SUMIF(RawDataRecovered!$B:$B,$A21,RawDataRecovered!Q:Q)</f>
        <v>2</v>
      </c>
      <c r="O21">
        <f>SUMIF(RawDataRecovered!$B:$B,$A21,RawDataRecovered!R:R)</f>
        <v>2</v>
      </c>
      <c r="P21">
        <f>SUMIF(RawDataRecovered!$B:$B,$A21,RawDataRecovered!S:S)</f>
        <v>2</v>
      </c>
      <c r="Q21">
        <f>SUMIF(RawDataRecovered!$B:$B,$A21,RawDataRecovered!T:T)</f>
        <v>2</v>
      </c>
      <c r="R21">
        <f>SUMIF(RawDataRecovered!$B:$B,$A21,RawDataRecovered!U:U)</f>
        <v>2</v>
      </c>
      <c r="S21">
        <f>SUMIF(RawDataRecovered!$B:$B,$A21,RawDataRecovered!V:V)</f>
        <v>2</v>
      </c>
      <c r="T21">
        <f>SUMIF(RawDataRecovered!$B:$B,$A21,RawDataRecovered!W:W)</f>
        <v>2</v>
      </c>
      <c r="U21">
        <f>SUMIF(RawDataRecovered!$B:$B,$A21,RawDataRecovered!X:X)</f>
        <v>2</v>
      </c>
      <c r="V21">
        <f>SUMIF(RawDataRecovered!$B:$B,$A21,RawDataRecovered!Y:Y)</f>
        <v>2</v>
      </c>
      <c r="W21">
        <f>SUMIF(RawDataRecovered!$B:$B,$A21,RawDataRecovered!Z:Z)</f>
        <v>2</v>
      </c>
      <c r="X21">
        <f>SUMIF(RawDataRecovered!$B:$B,$A21,RawDataRecovered!AA:AA)</f>
        <v>8</v>
      </c>
      <c r="Y21">
        <f>SUMIF(RawDataRecovered!$B:$B,$A21,RawDataRecovered!AB:AB)</f>
        <v>8</v>
      </c>
      <c r="Z21">
        <f>SUMIF(RawDataRecovered!$B:$B,$A21,RawDataRecovered!AC:AC)</f>
        <v>8</v>
      </c>
      <c r="AA21">
        <f>SUMIF(RawDataRecovered!$B:$B,$A21,RawDataRecovered!AD:AD)</f>
        <v>8</v>
      </c>
      <c r="AB21">
        <f>SUMIF(RawDataRecovered!$B:$B,$A21,RawDataRecovered!AE:AE)</f>
        <v>10</v>
      </c>
      <c r="AC21">
        <f>SUMIF(RawDataRecovered!$B:$B,$A21,RawDataRecovered!AF:AF)</f>
        <v>10</v>
      </c>
      <c r="AD21">
        <f>SUMIF(RawDataRecovered!$B:$B,$A21,RawDataRecovered!AG:AG)</f>
        <v>10</v>
      </c>
      <c r="AE21">
        <f>SUMIF(RawDataRecovered!$B:$B,$A21,RawDataRecovered!AH:AH)</f>
        <v>10</v>
      </c>
      <c r="AF21">
        <f>SUMIF(RawDataRecovered!$B:$B,$A21,RawDataRecovered!AI:AI)</f>
        <v>11</v>
      </c>
      <c r="AG21">
        <f>SUMIF(RawDataRecovered!$B:$B,$A21,RawDataRecovered!AJ:AJ)</f>
        <v>11</v>
      </c>
      <c r="AH21">
        <f>SUMIF(RawDataRecovered!$B:$B,$A21,RawDataRecovered!AK:AK)</f>
        <v>11</v>
      </c>
      <c r="AI21">
        <f>SUMIF(RawDataRecovered!$B:$B,$A21,RawDataRecovered!AL:AL)</f>
        <v>11</v>
      </c>
      <c r="AJ21">
        <f>SUMIF(RawDataRecovered!$B:$B,$A21,RawDataRecovered!AM:AM)</f>
        <v>11</v>
      </c>
      <c r="AK21">
        <f>SUMIF(RawDataRecovered!$B:$B,$A21,RawDataRecovered!AN:AN)</f>
        <v>11</v>
      </c>
      <c r="AL21">
        <f>SUMIF(RawDataRecovered!$B:$B,$A21,RawDataRecovered!AO:AO)</f>
        <v>11</v>
      </c>
      <c r="AM21">
        <f>SUMIF(RawDataRecovered!$B:$B,$A21,RawDataRecovered!AP:AP)</f>
        <v>11</v>
      </c>
      <c r="AN21">
        <f>SUMIF(RawDataRecovered!$B:$B,$A21,RawDataRecovered!AQ:AQ)</f>
        <v>11</v>
      </c>
      <c r="AO21">
        <f>SUMIF(RawDataRecovered!$B:$B,$A21,RawDataRecovered!AR:AR)</f>
        <v>11</v>
      </c>
      <c r="AP21">
        <f>SUMIF(RawDataRecovered!$B:$B,$A21,RawDataRecovered!AS:AS)</f>
        <v>11</v>
      </c>
      <c r="AQ21">
        <f>SUMIF(RawDataRecovered!$B:$B,$A21,RawDataRecovered!AT:AT)</f>
        <v>11</v>
      </c>
      <c r="AR21">
        <f>SUMIF(RawDataRecovered!$B:$B,$A21,RawDataRecovered!AU:AU)</f>
        <v>11</v>
      </c>
      <c r="AS21">
        <f>SUMIF(RawDataRecovered!$B:$B,$A21,RawDataRecovered!AV:AV)</f>
        <v>21</v>
      </c>
      <c r="AT21">
        <f>SUMIF(RawDataRecovered!$B:$B,$A21,RawDataRecovered!AW:AW)</f>
        <v>21</v>
      </c>
      <c r="AU21">
        <f>SUMIF(RawDataRecovered!$B:$B,$A21,RawDataRecovered!AX:AX)</f>
        <v>21</v>
      </c>
      <c r="AV21">
        <f>SUMIF(RawDataRecovered!$B:$B,$A21,RawDataRecovered!AY:AY)</f>
        <v>21</v>
      </c>
      <c r="AW21">
        <f>SUMIF(RawDataRecovered!$B:$B,$A21,RawDataRecovered!AZ:AZ)</f>
        <v>21</v>
      </c>
      <c r="AX21">
        <f>SUMIF(RawDataRecovered!$B:$B,$A21,RawDataRecovered!BA:BA)</f>
        <v>21</v>
      </c>
      <c r="AY21">
        <f>SUMIF(RawDataRecovered!$B:$B,$A21,RawDataRecovered!BB:BB)</f>
        <v>21</v>
      </c>
      <c r="AZ21">
        <f>SUMIF(RawDataRecovered!$B:$B,$A21,RawDataRecovered!BC:BC)</f>
        <v>21</v>
      </c>
      <c r="BA21">
        <f>SUMIF(RawDataRecovered!$B:$B,$A21,RawDataRecovered!BD:BD)</f>
        <v>23</v>
      </c>
      <c r="BB21">
        <f>SUMIF(RawDataRecovered!$B:$B,$A21,RawDataRecovered!BE:BE)</f>
        <v>23</v>
      </c>
      <c r="BC21">
        <f>SUMIF(RawDataRecovered!$B:$B,$A21,RawDataRecovered!BF:BF)</f>
        <v>23</v>
      </c>
      <c r="BD21">
        <f>SUMIF(RawDataRecovered!$B:$B,$A21,RawDataRecovered!BG:BG)</f>
        <v>23</v>
      </c>
      <c r="BE21">
        <f>SUMIF(RawDataRecovered!$B:$B,$A21,RawDataRecovered!BH:BH)</f>
        <v>23</v>
      </c>
      <c r="BF21">
        <f>SUMIF(RawDataRecovered!$B:$B,$A21,RawDataRecovered!BI:BI)</f>
        <v>0</v>
      </c>
      <c r="BG21">
        <f>SUMIF(RawDataRecovered!$B:$B,$A21,RawDataRecovered!BJ:BJ)</f>
        <v>0</v>
      </c>
      <c r="BH21">
        <f>SUMIF(RawDataRecovered!$B:$B,$A21,RawDataRecovered!BK:BK)</f>
        <v>0</v>
      </c>
      <c r="BI21">
        <f>SUMIF(RawDataRecovered!$B:$B,$A21,RawDataRecovered!BL:BL)</f>
        <v>0</v>
      </c>
      <c r="BJ21">
        <f>SUMIF(RawDataRecovered!$B:$B,$A21,RawDataRecovered!BM:BM)</f>
        <v>0</v>
      </c>
      <c r="BK21">
        <f>SUMIF(RawDataRecovered!$B:$B,$A21,RawDataRecovered!BN:BN)</f>
        <v>0</v>
      </c>
      <c r="BL21">
        <f>SUMIF(RawDataRecovered!$B:$B,$A21,RawDataRecovered!BO:BO)</f>
        <v>0</v>
      </c>
      <c r="BM21">
        <f>SUMIF(RawDataRecovered!$B:$B,$A21,RawDataRecovered!BP:BP)</f>
        <v>0</v>
      </c>
      <c r="BN21">
        <f>SUMIF(RawDataRecovered!$B:$B,$A21,RawDataRecovered!BQ:BQ)</f>
        <v>0</v>
      </c>
      <c r="BO21">
        <f>SUMIF(RawDataRecovered!$B:$B,$A21,RawDataRecovered!BR:BR)</f>
        <v>0</v>
      </c>
      <c r="BP21">
        <f>SUMIF(RawDataRecovered!$B:$B,$A21,RawDataRecovered!BS:BS)</f>
        <v>0</v>
      </c>
      <c r="BQ21">
        <f>SUMIF(RawDataRecovered!$B:$B,$A21,RawDataRecovered!BT:BT)</f>
        <v>0</v>
      </c>
      <c r="BR21">
        <f>SUMIF(RawDataRecovered!$B:$B,$A21,RawDataRecovered!BU:BU)</f>
        <v>0</v>
      </c>
      <c r="BS21">
        <f>SUMIF(RawDataRecovered!$B:$B,$A21,RawDataRecovered!BV:BV)</f>
        <v>0</v>
      </c>
      <c r="BT21">
        <f>SUMIF(RawDataRecovered!$B:$B,$A21,RawDataRecovered!BW:BW)</f>
        <v>0</v>
      </c>
    </row>
    <row r="22" spans="1:72" ht="15" thickBot="1" x14ac:dyDescent="0.35">
      <c r="A22" s="3" t="s">
        <v>67</v>
      </c>
      <c r="B22">
        <f>SUMIF(RawDataRecovered!$B:$B,$A22,RawDataRecovered!E:E)</f>
        <v>0</v>
      </c>
      <c r="C22">
        <f>SUMIF(RawDataRecovered!$B:$B,$A22,RawDataRecovered!F:F)</f>
        <v>0</v>
      </c>
      <c r="D22">
        <f>SUMIF(RawDataRecovered!$B:$B,$A22,RawDataRecovered!G:G)</f>
        <v>0</v>
      </c>
      <c r="E22">
        <f>SUMIF(RawDataRecovered!$B:$B,$A22,RawDataRecovered!H:H)</f>
        <v>0</v>
      </c>
      <c r="F22">
        <f>SUMIF(RawDataRecovered!$B:$B,$A22,RawDataRecovered!I:I)</f>
        <v>0</v>
      </c>
      <c r="G22">
        <f>SUMIF(RawDataRecovered!$B:$B,$A22,RawDataRecovered!J:J)</f>
        <v>0</v>
      </c>
      <c r="H22">
        <f>SUMIF(RawDataRecovered!$B:$B,$A22,RawDataRecovered!K:K)</f>
        <v>0</v>
      </c>
      <c r="I22">
        <f>SUMIF(RawDataRecovered!$B:$B,$A22,RawDataRecovered!L:L)</f>
        <v>0</v>
      </c>
      <c r="J22">
        <f>SUMIF(RawDataRecovered!$B:$B,$A22,RawDataRecovered!M:M)</f>
        <v>0</v>
      </c>
      <c r="K22">
        <f>SUMIF(RawDataRecovered!$B:$B,$A22,RawDataRecovered!N:N)</f>
        <v>0</v>
      </c>
      <c r="L22">
        <f>SUMIF(RawDataRecovered!$B:$B,$A22,RawDataRecovered!O:O)</f>
        <v>0</v>
      </c>
      <c r="M22">
        <f>SUMIF(RawDataRecovered!$B:$B,$A22,RawDataRecovered!P:P)</f>
        <v>0</v>
      </c>
      <c r="N22">
        <f>SUMIF(RawDataRecovered!$B:$B,$A22,RawDataRecovered!Q:Q)</f>
        <v>0</v>
      </c>
      <c r="O22">
        <f>SUMIF(RawDataRecovered!$B:$B,$A22,RawDataRecovered!R:R)</f>
        <v>0</v>
      </c>
      <c r="P22">
        <f>SUMIF(RawDataRecovered!$B:$B,$A22,RawDataRecovered!S:S)</f>
        <v>0</v>
      </c>
      <c r="Q22">
        <f>SUMIF(RawDataRecovered!$B:$B,$A22,RawDataRecovered!T:T)</f>
        <v>0</v>
      </c>
      <c r="R22">
        <f>SUMIF(RawDataRecovered!$B:$B,$A22,RawDataRecovered!U:U)</f>
        <v>0</v>
      </c>
      <c r="S22">
        <f>SUMIF(RawDataRecovered!$B:$B,$A22,RawDataRecovered!V:V)</f>
        <v>2</v>
      </c>
      <c r="T22">
        <f>SUMIF(RawDataRecovered!$B:$B,$A22,RawDataRecovered!W:W)</f>
        <v>2</v>
      </c>
      <c r="U22">
        <f>SUMIF(RawDataRecovered!$B:$B,$A22,RawDataRecovered!X:X)</f>
        <v>2</v>
      </c>
      <c r="V22">
        <f>SUMIF(RawDataRecovered!$B:$B,$A22,RawDataRecovered!Y:Y)</f>
        <v>9</v>
      </c>
      <c r="W22">
        <f>SUMIF(RawDataRecovered!$B:$B,$A22,RawDataRecovered!Z:Z)</f>
        <v>15</v>
      </c>
      <c r="X22">
        <f>SUMIF(RawDataRecovered!$B:$B,$A22,RawDataRecovered!AA:AA)</f>
        <v>15</v>
      </c>
      <c r="Y22">
        <f>SUMIF(RawDataRecovered!$B:$B,$A22,RawDataRecovered!AB:AB)</f>
        <v>17</v>
      </c>
      <c r="Z22">
        <f>SUMIF(RawDataRecovered!$B:$B,$A22,RawDataRecovered!AC:AC)</f>
        <v>18</v>
      </c>
      <c r="AA22">
        <f>SUMIF(RawDataRecovered!$B:$B,$A22,RawDataRecovered!AD:AD)</f>
        <v>18</v>
      </c>
      <c r="AB22">
        <f>SUMIF(RawDataRecovered!$B:$B,$A22,RawDataRecovered!AE:AE)</f>
        <v>24</v>
      </c>
      <c r="AC22">
        <f>SUMIF(RawDataRecovered!$B:$B,$A22,RawDataRecovered!AF:AF)</f>
        <v>29</v>
      </c>
      <c r="AD22">
        <f>SUMIF(RawDataRecovered!$B:$B,$A22,RawDataRecovered!AG:AG)</f>
        <v>34</v>
      </c>
      <c r="AE22">
        <f>SUMIF(RawDataRecovered!$B:$B,$A22,RawDataRecovered!AH:AH)</f>
        <v>34</v>
      </c>
      <c r="AF22">
        <f>SUMIF(RawDataRecovered!$B:$B,$A22,RawDataRecovered!AI:AI)</f>
        <v>37</v>
      </c>
      <c r="AG22">
        <f>SUMIF(RawDataRecovered!$B:$B,$A22,RawDataRecovered!AJ:AJ)</f>
        <v>37</v>
      </c>
      <c r="AH22">
        <f>SUMIF(RawDataRecovered!$B:$B,$A22,RawDataRecovered!AK:AK)</f>
        <v>51</v>
      </c>
      <c r="AI22">
        <f>SUMIF(RawDataRecovered!$B:$B,$A22,RawDataRecovered!AL:AL)</f>
        <v>51</v>
      </c>
      <c r="AJ22">
        <f>SUMIF(RawDataRecovered!$B:$B,$A22,RawDataRecovered!AM:AM)</f>
        <v>53</v>
      </c>
      <c r="AK22">
        <f>SUMIF(RawDataRecovered!$B:$B,$A22,RawDataRecovered!AN:AN)</f>
        <v>62</v>
      </c>
      <c r="AL22">
        <f>SUMIF(RawDataRecovered!$B:$B,$A22,RawDataRecovered!AO:AO)</f>
        <v>62</v>
      </c>
      <c r="AM22">
        <f>SUMIF(RawDataRecovered!$B:$B,$A22,RawDataRecovered!AP:AP)</f>
        <v>62</v>
      </c>
      <c r="AN22">
        <f>SUMIF(RawDataRecovered!$B:$B,$A22,RawDataRecovered!AQ:AQ)</f>
        <v>72</v>
      </c>
      <c r="AO22">
        <f>SUMIF(RawDataRecovered!$B:$B,$A22,RawDataRecovered!AR:AR)</f>
        <v>72</v>
      </c>
      <c r="AP22">
        <f>SUMIF(RawDataRecovered!$B:$B,$A22,RawDataRecovered!AS:AS)</f>
        <v>78</v>
      </c>
      <c r="AQ22">
        <f>SUMIF(RawDataRecovered!$B:$B,$A22,RawDataRecovered!AT:AT)</f>
        <v>78</v>
      </c>
      <c r="AR22">
        <f>SUMIF(RawDataRecovered!$B:$B,$A22,RawDataRecovered!AU:AU)</f>
        <v>78</v>
      </c>
      <c r="AS22">
        <f>SUMIF(RawDataRecovered!$B:$B,$A22,RawDataRecovered!AV:AV)</f>
        <v>78</v>
      </c>
      <c r="AT22">
        <f>SUMIF(RawDataRecovered!$B:$B,$A22,RawDataRecovered!AW:AW)</f>
        <v>78</v>
      </c>
      <c r="AU22">
        <f>SUMIF(RawDataRecovered!$B:$B,$A22,RawDataRecovered!AX:AX)</f>
        <v>78</v>
      </c>
      <c r="AV22">
        <f>SUMIF(RawDataRecovered!$B:$B,$A22,RawDataRecovered!AY:AY)</f>
        <v>78</v>
      </c>
      <c r="AW22">
        <f>SUMIF(RawDataRecovered!$B:$B,$A22,RawDataRecovered!AZ:AZ)</f>
        <v>78</v>
      </c>
      <c r="AX22">
        <f>SUMIF(RawDataRecovered!$B:$B,$A22,RawDataRecovered!BA:BA)</f>
        <v>78</v>
      </c>
      <c r="AY22">
        <f>SUMIF(RawDataRecovered!$B:$B,$A22,RawDataRecovered!BB:BB)</f>
        <v>96</v>
      </c>
      <c r="AZ22">
        <f>SUMIF(RawDataRecovered!$B:$B,$A22,RawDataRecovered!BC:BC)</f>
        <v>96</v>
      </c>
      <c r="BA22">
        <f>SUMIF(RawDataRecovered!$B:$B,$A22,RawDataRecovered!BD:BD)</f>
        <v>97</v>
      </c>
      <c r="BB22">
        <f>SUMIF(RawDataRecovered!$B:$B,$A22,RawDataRecovered!BE:BE)</f>
        <v>105</v>
      </c>
      <c r="BC22">
        <f>SUMIF(RawDataRecovered!$B:$B,$A22,RawDataRecovered!BF:BF)</f>
        <v>105</v>
      </c>
      <c r="BD22">
        <f>SUMIF(RawDataRecovered!$B:$B,$A22,RawDataRecovered!BG:BG)</f>
        <v>109</v>
      </c>
      <c r="BE22">
        <f>SUMIF(RawDataRecovered!$B:$B,$A22,RawDataRecovered!BH:BH)</f>
        <v>114</v>
      </c>
      <c r="BF22">
        <f>SUMIF(RawDataRecovered!$B:$B,$A22,RawDataRecovered!BI:BI)</f>
        <v>0</v>
      </c>
      <c r="BG22">
        <f>SUMIF(RawDataRecovered!$B:$B,$A22,RawDataRecovered!BJ:BJ)</f>
        <v>0</v>
      </c>
      <c r="BH22">
        <f>SUMIF(RawDataRecovered!$B:$B,$A22,RawDataRecovered!BK:BK)</f>
        <v>0</v>
      </c>
      <c r="BI22">
        <f>SUMIF(RawDataRecovered!$B:$B,$A22,RawDataRecovered!BL:BL)</f>
        <v>0</v>
      </c>
      <c r="BJ22">
        <f>SUMIF(RawDataRecovered!$B:$B,$A22,RawDataRecovered!BM:BM)</f>
        <v>0</v>
      </c>
      <c r="BK22">
        <f>SUMIF(RawDataRecovered!$B:$B,$A22,RawDataRecovered!BN:BN)</f>
        <v>0</v>
      </c>
      <c r="BL22">
        <f>SUMIF(RawDataRecovered!$B:$B,$A22,RawDataRecovered!BO:BO)</f>
        <v>0</v>
      </c>
      <c r="BM22">
        <f>SUMIF(RawDataRecovered!$B:$B,$A22,RawDataRecovered!BP:BP)</f>
        <v>0</v>
      </c>
      <c r="BN22">
        <f>SUMIF(RawDataRecovered!$B:$B,$A22,RawDataRecovered!BQ:BQ)</f>
        <v>0</v>
      </c>
      <c r="BO22">
        <f>SUMIF(RawDataRecovered!$B:$B,$A22,RawDataRecovered!BR:BR)</f>
        <v>0</v>
      </c>
      <c r="BP22">
        <f>SUMIF(RawDataRecovered!$B:$B,$A22,RawDataRecovered!BS:BS)</f>
        <v>0</v>
      </c>
      <c r="BQ22">
        <f>SUMIF(RawDataRecovered!$B:$B,$A22,RawDataRecovered!BT:BT)</f>
        <v>0</v>
      </c>
      <c r="BR22">
        <f>SUMIF(RawDataRecovered!$B:$B,$A22,RawDataRecovered!BU:BU)</f>
        <v>0</v>
      </c>
      <c r="BS22">
        <f>SUMIF(RawDataRecovered!$B:$B,$A22,RawDataRecovered!BV:BV)</f>
        <v>0</v>
      </c>
      <c r="BT22">
        <f>SUMIF(RawDataRecovered!$B:$B,$A22,RawDataRecovered!BW:BW)</f>
        <v>0</v>
      </c>
    </row>
    <row r="23" spans="1:72" ht="15" thickBot="1" x14ac:dyDescent="0.35">
      <c r="A23" s="3" t="s">
        <v>70</v>
      </c>
      <c r="B23">
        <f>SUMIF(RawDataRecovered!$B:$B,$A23,RawDataRecovered!E:E)</f>
        <v>0</v>
      </c>
      <c r="C23">
        <f>SUMIF(RawDataRecovered!$B:$B,$A23,RawDataRecovered!F:F)</f>
        <v>0</v>
      </c>
      <c r="D23">
        <f>SUMIF(RawDataRecovered!$B:$B,$A23,RawDataRecovered!G:G)</f>
        <v>0</v>
      </c>
      <c r="E23">
        <f>SUMIF(RawDataRecovered!$B:$B,$A23,RawDataRecovered!H:H)</f>
        <v>0</v>
      </c>
      <c r="F23">
        <f>SUMIF(RawDataRecovered!$B:$B,$A23,RawDataRecovered!I:I)</f>
        <v>0</v>
      </c>
      <c r="G23">
        <f>SUMIF(RawDataRecovered!$B:$B,$A23,RawDataRecovered!J:J)</f>
        <v>0</v>
      </c>
      <c r="H23">
        <f>SUMIF(RawDataRecovered!$B:$B,$A23,RawDataRecovered!K:K)</f>
        <v>0</v>
      </c>
      <c r="I23">
        <f>SUMIF(RawDataRecovered!$B:$B,$A23,RawDataRecovered!L:L)</f>
        <v>0</v>
      </c>
      <c r="J23">
        <f>SUMIF(RawDataRecovered!$B:$B,$A23,RawDataRecovered!M:M)</f>
        <v>0</v>
      </c>
      <c r="K23">
        <f>SUMIF(RawDataRecovered!$B:$B,$A23,RawDataRecovered!N:N)</f>
        <v>0</v>
      </c>
      <c r="L23">
        <f>SUMIF(RawDataRecovered!$B:$B,$A23,RawDataRecovered!O:O)</f>
        <v>0</v>
      </c>
      <c r="M23">
        <f>SUMIF(RawDataRecovered!$B:$B,$A23,RawDataRecovered!P:P)</f>
        <v>0</v>
      </c>
      <c r="N23">
        <f>SUMIF(RawDataRecovered!$B:$B,$A23,RawDataRecovered!Q:Q)</f>
        <v>0</v>
      </c>
      <c r="O23">
        <f>SUMIF(RawDataRecovered!$B:$B,$A23,RawDataRecovered!R:R)</f>
        <v>0</v>
      </c>
      <c r="P23">
        <f>SUMIF(RawDataRecovered!$B:$B,$A23,RawDataRecovered!S:S)</f>
        <v>0</v>
      </c>
      <c r="Q23">
        <f>SUMIF(RawDataRecovered!$B:$B,$A23,RawDataRecovered!T:T)</f>
        <v>0</v>
      </c>
      <c r="R23">
        <f>SUMIF(RawDataRecovered!$B:$B,$A23,RawDataRecovered!U:U)</f>
        <v>1</v>
      </c>
      <c r="S23">
        <f>SUMIF(RawDataRecovered!$B:$B,$A23,RawDataRecovered!V:V)</f>
        <v>1</v>
      </c>
      <c r="T23">
        <f>SUMIF(RawDataRecovered!$B:$B,$A23,RawDataRecovered!W:W)</f>
        <v>1</v>
      </c>
      <c r="U23">
        <f>SUMIF(RawDataRecovered!$B:$B,$A23,RawDataRecovered!X:X)</f>
        <v>1</v>
      </c>
      <c r="V23">
        <f>SUMIF(RawDataRecovered!$B:$B,$A23,RawDataRecovered!Y:Y)</f>
        <v>3</v>
      </c>
      <c r="W23">
        <f>SUMIF(RawDataRecovered!$B:$B,$A23,RawDataRecovered!Z:Z)</f>
        <v>3</v>
      </c>
      <c r="X23">
        <f>SUMIF(RawDataRecovered!$B:$B,$A23,RawDataRecovered!AA:AA)</f>
        <v>3</v>
      </c>
      <c r="Y23">
        <f>SUMIF(RawDataRecovered!$B:$B,$A23,RawDataRecovered!AB:AB)</f>
        <v>3</v>
      </c>
      <c r="Z23">
        <f>SUMIF(RawDataRecovered!$B:$B,$A23,RawDataRecovered!AC:AC)</f>
        <v>7</v>
      </c>
      <c r="AA23">
        <f>SUMIF(RawDataRecovered!$B:$B,$A23,RawDataRecovered!AD:AD)</f>
        <v>7</v>
      </c>
      <c r="AB23">
        <f>SUMIF(RawDataRecovered!$B:$B,$A23,RawDataRecovered!AE:AE)</f>
        <v>7</v>
      </c>
      <c r="AC23">
        <f>SUMIF(RawDataRecovered!$B:$B,$A23,RawDataRecovered!AF:AF)</f>
        <v>13</v>
      </c>
      <c r="AD23">
        <f>SUMIF(RawDataRecovered!$B:$B,$A23,RawDataRecovered!AG:AG)</f>
        <v>15</v>
      </c>
      <c r="AE23">
        <f>SUMIF(RawDataRecovered!$B:$B,$A23,RawDataRecovered!AH:AH)</f>
        <v>15</v>
      </c>
      <c r="AF23">
        <f>SUMIF(RawDataRecovered!$B:$B,$A23,RawDataRecovered!AI:AI)</f>
        <v>15</v>
      </c>
      <c r="AG23">
        <f>SUMIF(RawDataRecovered!$B:$B,$A23,RawDataRecovered!AJ:AJ)</f>
        <v>15</v>
      </c>
      <c r="AH23">
        <f>SUMIF(RawDataRecovered!$B:$B,$A23,RawDataRecovered!AK:AK)</f>
        <v>15</v>
      </c>
      <c r="AI23">
        <f>SUMIF(RawDataRecovered!$B:$B,$A23,RawDataRecovered!AL:AL)</f>
        <v>18</v>
      </c>
      <c r="AJ23">
        <f>SUMIF(RawDataRecovered!$B:$B,$A23,RawDataRecovered!AM:AM)</f>
        <v>18</v>
      </c>
      <c r="AK23">
        <f>SUMIF(RawDataRecovered!$B:$B,$A23,RawDataRecovered!AN:AN)</f>
        <v>18</v>
      </c>
      <c r="AL23">
        <f>SUMIF(RawDataRecovered!$B:$B,$A23,RawDataRecovered!AO:AO)</f>
        <v>18</v>
      </c>
      <c r="AM23">
        <f>SUMIF(RawDataRecovered!$B:$B,$A23,RawDataRecovered!AP:AP)</f>
        <v>18</v>
      </c>
      <c r="AN23">
        <f>SUMIF(RawDataRecovered!$B:$B,$A23,RawDataRecovered!AQ:AQ)</f>
        <v>18</v>
      </c>
      <c r="AO23">
        <f>SUMIF(RawDataRecovered!$B:$B,$A23,RawDataRecovered!AR:AR)</f>
        <v>18</v>
      </c>
      <c r="AP23">
        <f>SUMIF(RawDataRecovered!$B:$B,$A23,RawDataRecovered!AS:AS)</f>
        <v>18</v>
      </c>
      <c r="AQ23">
        <f>SUMIF(RawDataRecovered!$B:$B,$A23,RawDataRecovered!AT:AT)</f>
        <v>22</v>
      </c>
      <c r="AR23">
        <f>SUMIF(RawDataRecovered!$B:$B,$A23,RawDataRecovered!AU:AU)</f>
        <v>22</v>
      </c>
      <c r="AS23">
        <f>SUMIF(RawDataRecovered!$B:$B,$A23,RawDataRecovered!AV:AV)</f>
        <v>22</v>
      </c>
      <c r="AT23">
        <f>SUMIF(RawDataRecovered!$B:$B,$A23,RawDataRecovered!AW:AW)</f>
        <v>22</v>
      </c>
      <c r="AU23">
        <f>SUMIF(RawDataRecovered!$B:$B,$A23,RawDataRecovered!AX:AX)</f>
        <v>23</v>
      </c>
      <c r="AV23">
        <f>SUMIF(RawDataRecovered!$B:$B,$A23,RawDataRecovered!AY:AY)</f>
        <v>24</v>
      </c>
      <c r="AW23">
        <f>SUMIF(RawDataRecovered!$B:$B,$A23,RawDataRecovered!AZ:AZ)</f>
        <v>24</v>
      </c>
      <c r="AX23">
        <f>SUMIF(RawDataRecovered!$B:$B,$A23,RawDataRecovered!BA:BA)</f>
        <v>24</v>
      </c>
      <c r="AY23">
        <f>SUMIF(RawDataRecovered!$B:$B,$A23,RawDataRecovered!BB:BB)</f>
        <v>26</v>
      </c>
      <c r="AZ23">
        <f>SUMIF(RawDataRecovered!$B:$B,$A23,RawDataRecovered!BC:BC)</f>
        <v>26</v>
      </c>
      <c r="BA23">
        <f>SUMIF(RawDataRecovered!$B:$B,$A23,RawDataRecovered!BD:BD)</f>
        <v>26</v>
      </c>
      <c r="BB23">
        <f>SUMIF(RawDataRecovered!$B:$B,$A23,RawDataRecovered!BE:BE)</f>
        <v>35</v>
      </c>
      <c r="BC23">
        <f>SUMIF(RawDataRecovered!$B:$B,$A23,RawDataRecovered!BF:BF)</f>
        <v>42</v>
      </c>
      <c r="BD23">
        <f>SUMIF(RawDataRecovered!$B:$B,$A23,RawDataRecovered!BG:BG)</f>
        <v>42</v>
      </c>
      <c r="BE23">
        <f>SUMIF(RawDataRecovered!$B:$B,$A23,RawDataRecovered!BH:BH)</f>
        <v>49</v>
      </c>
      <c r="BF23">
        <f>SUMIF(RawDataRecovered!$B:$B,$A23,RawDataRecovered!BI:BI)</f>
        <v>0</v>
      </c>
      <c r="BG23">
        <f>SUMIF(RawDataRecovered!$B:$B,$A23,RawDataRecovered!BJ:BJ)</f>
        <v>0</v>
      </c>
      <c r="BH23">
        <f>SUMIF(RawDataRecovered!$B:$B,$A23,RawDataRecovered!BK:BK)</f>
        <v>0</v>
      </c>
      <c r="BI23">
        <f>SUMIF(RawDataRecovered!$B:$B,$A23,RawDataRecovered!BL:BL)</f>
        <v>0</v>
      </c>
      <c r="BJ23">
        <f>SUMIF(RawDataRecovered!$B:$B,$A23,RawDataRecovered!BM:BM)</f>
        <v>0</v>
      </c>
      <c r="BK23">
        <f>SUMIF(RawDataRecovered!$B:$B,$A23,RawDataRecovered!BN:BN)</f>
        <v>0</v>
      </c>
      <c r="BL23">
        <f>SUMIF(RawDataRecovered!$B:$B,$A23,RawDataRecovered!BO:BO)</f>
        <v>0</v>
      </c>
      <c r="BM23">
        <f>SUMIF(RawDataRecovered!$B:$B,$A23,RawDataRecovered!BP:BP)</f>
        <v>0</v>
      </c>
      <c r="BN23">
        <f>SUMIF(RawDataRecovered!$B:$B,$A23,RawDataRecovered!BQ:BQ)</f>
        <v>0</v>
      </c>
      <c r="BO23">
        <f>SUMIF(RawDataRecovered!$B:$B,$A23,RawDataRecovered!BR:BR)</f>
        <v>0</v>
      </c>
      <c r="BP23">
        <f>SUMIF(RawDataRecovered!$B:$B,$A23,RawDataRecovered!BS:BS)</f>
        <v>0</v>
      </c>
      <c r="BQ23">
        <f>SUMIF(RawDataRecovered!$B:$B,$A23,RawDataRecovered!BT:BT)</f>
        <v>0</v>
      </c>
      <c r="BR23">
        <f>SUMIF(RawDataRecovered!$B:$B,$A23,RawDataRecovered!BU:BU)</f>
        <v>0</v>
      </c>
      <c r="BS23">
        <f>SUMIF(RawDataRecovered!$B:$B,$A23,RawDataRecovered!BV:BV)</f>
        <v>0</v>
      </c>
      <c r="BT23">
        <f>SUMIF(RawDataRecovered!$B:$B,$A23,RawDataRecovered!BW:BW)</f>
        <v>0</v>
      </c>
    </row>
    <row r="24" spans="1:72" ht="15" thickBot="1" x14ac:dyDescent="0.35">
      <c r="A24" s="4" t="s">
        <v>72</v>
      </c>
      <c r="B24">
        <f>SUMIF(RawDataRecovered!$B:$B,$A24,RawDataRecovered!E:E)</f>
        <v>0</v>
      </c>
      <c r="C24">
        <f>SUMIF(RawDataRecovered!$B:$B,$A24,RawDataRecovered!F:F)</f>
        <v>0</v>
      </c>
      <c r="D24">
        <f>SUMIF(RawDataRecovered!$B:$B,$A24,RawDataRecovered!G:G)</f>
        <v>0</v>
      </c>
      <c r="E24">
        <f>SUMIF(RawDataRecovered!$B:$B,$A24,RawDataRecovered!H:H)</f>
        <v>0</v>
      </c>
      <c r="F24">
        <f>SUMIF(RawDataRecovered!$B:$B,$A24,RawDataRecovered!I:I)</f>
        <v>0</v>
      </c>
      <c r="G24">
        <f>SUMIF(RawDataRecovered!$B:$B,$A24,RawDataRecovered!J:J)</f>
        <v>0</v>
      </c>
      <c r="H24">
        <f>SUMIF(RawDataRecovered!$B:$B,$A24,RawDataRecovered!K:K)</f>
        <v>0</v>
      </c>
      <c r="I24">
        <f>SUMIF(RawDataRecovered!$B:$B,$A24,RawDataRecovered!L:L)</f>
        <v>0</v>
      </c>
      <c r="J24">
        <f>SUMIF(RawDataRecovered!$B:$B,$A24,RawDataRecovered!M:M)</f>
        <v>0</v>
      </c>
      <c r="K24">
        <f>SUMIF(RawDataRecovered!$B:$B,$A24,RawDataRecovered!N:N)</f>
        <v>0</v>
      </c>
      <c r="L24">
        <f>SUMIF(RawDataRecovered!$B:$B,$A24,RawDataRecovered!O:O)</f>
        <v>0</v>
      </c>
      <c r="M24">
        <f>SUMIF(RawDataRecovered!$B:$B,$A24,RawDataRecovered!P:P)</f>
        <v>0</v>
      </c>
      <c r="N24">
        <f>SUMIF(RawDataRecovered!$B:$B,$A24,RawDataRecovered!Q:Q)</f>
        <v>0</v>
      </c>
      <c r="O24">
        <f>SUMIF(RawDataRecovered!$B:$B,$A24,RawDataRecovered!R:R)</f>
        <v>0</v>
      </c>
      <c r="P24">
        <f>SUMIF(RawDataRecovered!$B:$B,$A24,RawDataRecovered!S:S)</f>
        <v>0</v>
      </c>
      <c r="Q24">
        <f>SUMIF(RawDataRecovered!$B:$B,$A24,RawDataRecovered!T:T)</f>
        <v>0</v>
      </c>
      <c r="R24">
        <f>SUMIF(RawDataRecovered!$B:$B,$A24,RawDataRecovered!U:U)</f>
        <v>0</v>
      </c>
      <c r="S24">
        <f>SUMIF(RawDataRecovered!$B:$B,$A24,RawDataRecovered!V:V)</f>
        <v>0</v>
      </c>
      <c r="T24">
        <f>SUMIF(RawDataRecovered!$B:$B,$A24,RawDataRecovered!W:W)</f>
        <v>0</v>
      </c>
      <c r="U24">
        <f>SUMIF(RawDataRecovered!$B:$B,$A24,RawDataRecovered!X:X)</f>
        <v>0</v>
      </c>
      <c r="V24">
        <f>SUMIF(RawDataRecovered!$B:$B,$A24,RawDataRecovered!Y:Y)</f>
        <v>0</v>
      </c>
      <c r="W24">
        <f>SUMIF(RawDataRecovered!$B:$B,$A24,RawDataRecovered!Z:Z)</f>
        <v>1</v>
      </c>
      <c r="X24">
        <f>SUMIF(RawDataRecovered!$B:$B,$A24,RawDataRecovered!AA:AA)</f>
        <v>1</v>
      </c>
      <c r="Y24">
        <f>SUMIF(RawDataRecovered!$B:$B,$A24,RawDataRecovered!AB:AB)</f>
        <v>1</v>
      </c>
      <c r="Z24">
        <f>SUMIF(RawDataRecovered!$B:$B,$A24,RawDataRecovered!AC:AC)</f>
        <v>1</v>
      </c>
      <c r="AA24">
        <f>SUMIF(RawDataRecovered!$B:$B,$A24,RawDataRecovered!AD:AD)</f>
        <v>1</v>
      </c>
      <c r="AB24">
        <f>SUMIF(RawDataRecovered!$B:$B,$A24,RawDataRecovered!AE:AE)</f>
        <v>1</v>
      </c>
      <c r="AC24">
        <f>SUMIF(RawDataRecovered!$B:$B,$A24,RawDataRecovered!AF:AF)</f>
        <v>1</v>
      </c>
      <c r="AD24">
        <f>SUMIF(RawDataRecovered!$B:$B,$A24,RawDataRecovered!AG:AG)</f>
        <v>1</v>
      </c>
      <c r="AE24">
        <f>SUMIF(RawDataRecovered!$B:$B,$A24,RawDataRecovered!AH:AH)</f>
        <v>1</v>
      </c>
      <c r="AF24">
        <f>SUMIF(RawDataRecovered!$B:$B,$A24,RawDataRecovered!AI:AI)</f>
        <v>3</v>
      </c>
      <c r="AG24">
        <f>SUMIF(RawDataRecovered!$B:$B,$A24,RawDataRecovered!AJ:AJ)</f>
        <v>3</v>
      </c>
      <c r="AH24">
        <f>SUMIF(RawDataRecovered!$B:$B,$A24,RawDataRecovered!AK:AK)</f>
        <v>3</v>
      </c>
      <c r="AI24">
        <f>SUMIF(RawDataRecovered!$B:$B,$A24,RawDataRecovered!AL:AL)</f>
        <v>3</v>
      </c>
      <c r="AJ24">
        <f>SUMIF(RawDataRecovered!$B:$B,$A24,RawDataRecovered!AM:AM)</f>
        <v>3</v>
      </c>
      <c r="AK24">
        <f>SUMIF(RawDataRecovered!$B:$B,$A24,RawDataRecovered!AN:AN)</f>
        <v>3</v>
      </c>
      <c r="AL24">
        <f>SUMIF(RawDataRecovered!$B:$B,$A24,RawDataRecovered!AO:AO)</f>
        <v>6</v>
      </c>
      <c r="AM24">
        <f>SUMIF(RawDataRecovered!$B:$B,$A24,RawDataRecovered!AP:AP)</f>
        <v>6</v>
      </c>
      <c r="AN24">
        <f>SUMIF(RawDataRecovered!$B:$B,$A24,RawDataRecovered!AQ:AQ)</f>
        <v>6</v>
      </c>
      <c r="AO24">
        <f>SUMIF(RawDataRecovered!$B:$B,$A24,RawDataRecovered!AR:AR)</f>
        <v>6</v>
      </c>
      <c r="AP24">
        <f>SUMIF(RawDataRecovered!$B:$B,$A24,RawDataRecovered!AS:AS)</f>
        <v>6</v>
      </c>
      <c r="AQ24">
        <f>SUMIF(RawDataRecovered!$B:$B,$A24,RawDataRecovered!AT:AT)</f>
        <v>6</v>
      </c>
      <c r="AR24">
        <f>SUMIF(RawDataRecovered!$B:$B,$A24,RawDataRecovered!AU:AU)</f>
        <v>6</v>
      </c>
      <c r="AS24">
        <f>SUMIF(RawDataRecovered!$B:$B,$A24,RawDataRecovered!AV:AV)</f>
        <v>6</v>
      </c>
      <c r="AT24">
        <f>SUMIF(RawDataRecovered!$B:$B,$A24,RawDataRecovered!AW:AW)</f>
        <v>6</v>
      </c>
      <c r="AU24">
        <f>SUMIF(RawDataRecovered!$B:$B,$A24,RawDataRecovered!AX:AX)</f>
        <v>8</v>
      </c>
      <c r="AV24">
        <f>SUMIF(RawDataRecovered!$B:$B,$A24,RawDataRecovered!AY:AY)</f>
        <v>8</v>
      </c>
      <c r="AW24">
        <f>SUMIF(RawDataRecovered!$B:$B,$A24,RawDataRecovered!AZ:AZ)</f>
        <v>8</v>
      </c>
      <c r="AX24">
        <f>SUMIF(RawDataRecovered!$B:$B,$A24,RawDataRecovered!BA:BA)</f>
        <v>8</v>
      </c>
      <c r="AY24">
        <f>SUMIF(RawDataRecovered!$B:$B,$A24,RawDataRecovered!BB:BB)</f>
        <v>8</v>
      </c>
      <c r="AZ24">
        <f>SUMIF(RawDataRecovered!$B:$B,$A24,RawDataRecovered!BC:BC)</f>
        <v>8</v>
      </c>
      <c r="BA24">
        <f>SUMIF(RawDataRecovered!$B:$B,$A24,RawDataRecovered!BD:BD)</f>
        <v>8</v>
      </c>
      <c r="BB24">
        <f>SUMIF(RawDataRecovered!$B:$B,$A24,RawDataRecovered!BE:BE)</f>
        <v>8</v>
      </c>
      <c r="BC24">
        <f>SUMIF(RawDataRecovered!$B:$B,$A24,RawDataRecovered!BF:BF)</f>
        <v>8</v>
      </c>
      <c r="BD24">
        <f>SUMIF(RawDataRecovered!$B:$B,$A24,RawDataRecovered!BG:BG)</f>
        <v>9</v>
      </c>
      <c r="BE24">
        <f>SUMIF(RawDataRecovered!$B:$B,$A24,RawDataRecovered!BH:BH)</f>
        <v>9</v>
      </c>
      <c r="BF24">
        <f>SUMIF(RawDataRecovered!$B:$B,$A24,RawDataRecovered!BI:BI)</f>
        <v>0</v>
      </c>
      <c r="BG24">
        <f>SUMIF(RawDataRecovered!$B:$B,$A24,RawDataRecovered!BJ:BJ)</f>
        <v>0</v>
      </c>
      <c r="BH24">
        <f>SUMIF(RawDataRecovered!$B:$B,$A24,RawDataRecovered!BK:BK)</f>
        <v>0</v>
      </c>
      <c r="BI24">
        <f>SUMIF(RawDataRecovered!$B:$B,$A24,RawDataRecovered!BL:BL)</f>
        <v>0</v>
      </c>
      <c r="BJ24">
        <f>SUMIF(RawDataRecovered!$B:$B,$A24,RawDataRecovered!BM:BM)</f>
        <v>0</v>
      </c>
      <c r="BK24">
        <f>SUMIF(RawDataRecovered!$B:$B,$A24,RawDataRecovered!BN:BN)</f>
        <v>0</v>
      </c>
      <c r="BL24">
        <f>SUMIF(RawDataRecovered!$B:$B,$A24,RawDataRecovered!BO:BO)</f>
        <v>0</v>
      </c>
      <c r="BM24">
        <f>SUMIF(RawDataRecovered!$B:$B,$A24,RawDataRecovered!BP:BP)</f>
        <v>0</v>
      </c>
      <c r="BN24">
        <f>SUMIF(RawDataRecovered!$B:$B,$A24,RawDataRecovered!BQ:BQ)</f>
        <v>0</v>
      </c>
      <c r="BO24">
        <f>SUMIF(RawDataRecovered!$B:$B,$A24,RawDataRecovered!BR:BR)</f>
        <v>0</v>
      </c>
      <c r="BP24">
        <f>SUMIF(RawDataRecovered!$B:$B,$A24,RawDataRecovered!BS:BS)</f>
        <v>0</v>
      </c>
      <c r="BQ24">
        <f>SUMIF(RawDataRecovered!$B:$B,$A24,RawDataRecovered!BT:BT)</f>
        <v>0</v>
      </c>
      <c r="BR24">
        <f>SUMIF(RawDataRecovered!$B:$B,$A24,RawDataRecovered!BU:BU)</f>
        <v>0</v>
      </c>
      <c r="BS24">
        <f>SUMIF(RawDataRecovered!$B:$B,$A24,RawDataRecovered!BV:BV)</f>
        <v>0</v>
      </c>
      <c r="BT24">
        <f>SUMIF(RawDataRecovered!$B:$B,$A24,RawDataRecovered!BW:BW)</f>
        <v>0</v>
      </c>
    </row>
    <row r="25" spans="1:72" ht="15" thickBot="1" x14ac:dyDescent="0.35">
      <c r="A25" s="4" t="s">
        <v>110</v>
      </c>
      <c r="B25">
        <f>SUMIF(RawDataRecovered!$B:$B,$A25,RawDataRecovered!E:E)</f>
        <v>0</v>
      </c>
      <c r="C25">
        <f>SUMIF(RawDataRecovered!$B:$B,$A25,RawDataRecovered!F:F)</f>
        <v>0</v>
      </c>
      <c r="D25">
        <f>SUMIF(RawDataRecovered!$B:$B,$A25,RawDataRecovered!G:G)</f>
        <v>0</v>
      </c>
      <c r="E25">
        <f>SUMIF(RawDataRecovered!$B:$B,$A25,RawDataRecovered!H:H)</f>
        <v>0</v>
      </c>
      <c r="F25">
        <f>SUMIF(RawDataRecovered!$B:$B,$A25,RawDataRecovered!I:I)</f>
        <v>0</v>
      </c>
      <c r="G25">
        <f>SUMIF(RawDataRecovered!$B:$B,$A25,RawDataRecovered!J:J)</f>
        <v>0</v>
      </c>
      <c r="H25">
        <f>SUMIF(RawDataRecovered!$B:$B,$A25,RawDataRecovered!K:K)</f>
        <v>0</v>
      </c>
      <c r="I25">
        <f>SUMIF(RawDataRecovered!$B:$B,$A25,RawDataRecovered!L:L)</f>
        <v>0</v>
      </c>
      <c r="J25">
        <f>SUMIF(RawDataRecovered!$B:$B,$A25,RawDataRecovered!M:M)</f>
        <v>0</v>
      </c>
      <c r="K25">
        <f>SUMIF(RawDataRecovered!$B:$B,$A25,RawDataRecovered!N:N)</f>
        <v>0</v>
      </c>
      <c r="L25">
        <f>SUMIF(RawDataRecovered!$B:$B,$A25,RawDataRecovered!O:O)</f>
        <v>0</v>
      </c>
      <c r="M25">
        <f>SUMIF(RawDataRecovered!$B:$B,$A25,RawDataRecovered!P:P)</f>
        <v>0</v>
      </c>
      <c r="N25">
        <f>SUMIF(RawDataRecovered!$B:$B,$A25,RawDataRecovered!Q:Q)</f>
        <v>0</v>
      </c>
      <c r="O25">
        <f>SUMIF(RawDataRecovered!$B:$B,$A25,RawDataRecovered!R:R)</f>
        <v>0</v>
      </c>
      <c r="P25">
        <f>SUMIF(RawDataRecovered!$B:$B,$A25,RawDataRecovered!S:S)</f>
        <v>0</v>
      </c>
      <c r="Q25">
        <f>SUMIF(RawDataRecovered!$B:$B,$A25,RawDataRecovered!T:T)</f>
        <v>0</v>
      </c>
      <c r="R25">
        <f>SUMIF(RawDataRecovered!$B:$B,$A25,RawDataRecovered!U:U)</f>
        <v>0</v>
      </c>
      <c r="S25">
        <f>SUMIF(RawDataRecovered!$B:$B,$A25,RawDataRecovered!V:V)</f>
        <v>0</v>
      </c>
      <c r="T25">
        <f>SUMIF(RawDataRecovered!$B:$B,$A25,RawDataRecovered!W:W)</f>
        <v>0</v>
      </c>
      <c r="U25">
        <f>SUMIF(RawDataRecovered!$B:$B,$A25,RawDataRecovered!X:X)</f>
        <v>0</v>
      </c>
      <c r="V25">
        <f>SUMIF(RawDataRecovered!$B:$B,$A25,RawDataRecovered!Y:Y)</f>
        <v>0</v>
      </c>
      <c r="W25">
        <f>SUMIF(RawDataRecovered!$B:$B,$A25,RawDataRecovered!Z:Z)</f>
        <v>0</v>
      </c>
      <c r="X25">
        <f>SUMIF(RawDataRecovered!$B:$B,$A25,RawDataRecovered!AA:AA)</f>
        <v>0</v>
      </c>
      <c r="Y25">
        <f>SUMIF(RawDataRecovered!$B:$B,$A25,RawDataRecovered!AB:AB)</f>
        <v>0</v>
      </c>
      <c r="Z25">
        <f>SUMIF(RawDataRecovered!$B:$B,$A25,RawDataRecovered!AC:AC)</f>
        <v>0</v>
      </c>
      <c r="AA25">
        <f>SUMIF(RawDataRecovered!$B:$B,$A25,RawDataRecovered!AD:AD)</f>
        <v>0</v>
      </c>
      <c r="AB25">
        <f>SUMIF(RawDataRecovered!$B:$B,$A25,RawDataRecovered!AE:AE)</f>
        <v>0</v>
      </c>
      <c r="AC25">
        <f>SUMIF(RawDataRecovered!$B:$B,$A25,RawDataRecovered!AF:AF)</f>
        <v>0</v>
      </c>
      <c r="AD25">
        <f>SUMIF(RawDataRecovered!$B:$B,$A25,RawDataRecovered!AG:AG)</f>
        <v>0</v>
      </c>
      <c r="AE25">
        <f>SUMIF(RawDataRecovered!$B:$B,$A25,RawDataRecovered!AH:AH)</f>
        <v>0</v>
      </c>
      <c r="AF25">
        <f>SUMIF(RawDataRecovered!$B:$B,$A25,RawDataRecovered!AI:AI)</f>
        <v>0</v>
      </c>
      <c r="AG25">
        <f>SUMIF(RawDataRecovered!$B:$B,$A25,RawDataRecovered!AJ:AJ)</f>
        <v>0</v>
      </c>
      <c r="AH25">
        <f>SUMIF(RawDataRecovered!$B:$B,$A25,RawDataRecovered!AK:AK)</f>
        <v>0</v>
      </c>
      <c r="AI25">
        <f>SUMIF(RawDataRecovered!$B:$B,$A25,RawDataRecovered!AL:AL)</f>
        <v>0</v>
      </c>
      <c r="AJ25">
        <f>SUMIF(RawDataRecovered!$B:$B,$A25,RawDataRecovered!AM:AM)</f>
        <v>0</v>
      </c>
      <c r="AK25">
        <f>SUMIF(RawDataRecovered!$B:$B,$A25,RawDataRecovered!AN:AN)</f>
        <v>0</v>
      </c>
      <c r="AL25">
        <f>SUMIF(RawDataRecovered!$B:$B,$A25,RawDataRecovered!AO:AO)</f>
        <v>0</v>
      </c>
      <c r="AM25">
        <f>SUMIF(RawDataRecovered!$B:$B,$A25,RawDataRecovered!AP:AP)</f>
        <v>0</v>
      </c>
      <c r="AN25">
        <f>SUMIF(RawDataRecovered!$B:$B,$A25,RawDataRecovered!AQ:AQ)</f>
        <v>0</v>
      </c>
      <c r="AO25">
        <f>SUMIF(RawDataRecovered!$B:$B,$A25,RawDataRecovered!AR:AR)</f>
        <v>0</v>
      </c>
      <c r="AP25">
        <f>SUMIF(RawDataRecovered!$B:$B,$A25,RawDataRecovered!AS:AS)</f>
        <v>0</v>
      </c>
      <c r="AQ25">
        <f>SUMIF(RawDataRecovered!$B:$B,$A25,RawDataRecovered!AT:AT)</f>
        <v>0</v>
      </c>
      <c r="AR25">
        <f>SUMIF(RawDataRecovered!$B:$B,$A25,RawDataRecovered!AU:AU)</f>
        <v>0</v>
      </c>
      <c r="AS25">
        <f>SUMIF(RawDataRecovered!$B:$B,$A25,RawDataRecovered!AV:AV)</f>
        <v>0</v>
      </c>
      <c r="AT25">
        <f>SUMIF(RawDataRecovered!$B:$B,$A25,RawDataRecovered!AW:AW)</f>
        <v>0</v>
      </c>
      <c r="AU25">
        <f>SUMIF(RawDataRecovered!$B:$B,$A25,RawDataRecovered!AX:AX)</f>
        <v>0</v>
      </c>
      <c r="AV25">
        <f>SUMIF(RawDataRecovered!$B:$B,$A25,RawDataRecovered!AY:AY)</f>
        <v>0</v>
      </c>
      <c r="AW25">
        <f>SUMIF(RawDataRecovered!$B:$B,$A25,RawDataRecovered!AZ:AZ)</f>
        <v>0</v>
      </c>
      <c r="AX25">
        <f>SUMIF(RawDataRecovered!$B:$B,$A25,RawDataRecovered!BA:BA)</f>
        <v>0</v>
      </c>
      <c r="AY25">
        <f>SUMIF(RawDataRecovered!$B:$B,$A25,RawDataRecovered!BB:BB)</f>
        <v>0</v>
      </c>
      <c r="AZ25">
        <f>SUMIF(RawDataRecovered!$B:$B,$A25,RawDataRecovered!BC:BC)</f>
        <v>0</v>
      </c>
      <c r="BA25">
        <f>SUMIF(RawDataRecovered!$B:$B,$A25,RawDataRecovered!BD:BD)</f>
        <v>0</v>
      </c>
      <c r="BB25">
        <f>SUMIF(RawDataRecovered!$B:$B,$A25,RawDataRecovered!BE:BE)</f>
        <v>8</v>
      </c>
      <c r="BC25">
        <f>SUMIF(RawDataRecovered!$B:$B,$A25,RawDataRecovered!BF:BF)</f>
        <v>8</v>
      </c>
      <c r="BD25">
        <f>SUMIF(RawDataRecovered!$B:$B,$A25,RawDataRecovered!BG:BG)</f>
        <v>8</v>
      </c>
      <c r="BE25">
        <f>SUMIF(RawDataRecovered!$B:$B,$A25,RawDataRecovered!BH:BH)</f>
        <v>8</v>
      </c>
      <c r="BF25">
        <f>SUMIF(RawDataRecovered!$B:$B,$A25,RawDataRecovered!BI:BI)</f>
        <v>0</v>
      </c>
      <c r="BG25">
        <f>SUMIF(RawDataRecovered!$B:$B,$A25,RawDataRecovered!BJ:BJ)</f>
        <v>0</v>
      </c>
      <c r="BH25">
        <f>SUMIF(RawDataRecovered!$B:$B,$A25,RawDataRecovered!BK:BK)</f>
        <v>0</v>
      </c>
      <c r="BI25">
        <f>SUMIF(RawDataRecovered!$B:$B,$A25,RawDataRecovered!BL:BL)</f>
        <v>0</v>
      </c>
      <c r="BJ25">
        <f>SUMIF(RawDataRecovered!$B:$B,$A25,RawDataRecovered!BM:BM)</f>
        <v>0</v>
      </c>
      <c r="BK25">
        <f>SUMIF(RawDataRecovered!$B:$B,$A25,RawDataRecovered!BN:BN)</f>
        <v>0</v>
      </c>
      <c r="BL25">
        <f>SUMIF(RawDataRecovered!$B:$B,$A25,RawDataRecovered!BO:BO)</f>
        <v>0</v>
      </c>
      <c r="BM25">
        <f>SUMIF(RawDataRecovered!$B:$B,$A25,RawDataRecovered!BP:BP)</f>
        <v>0</v>
      </c>
      <c r="BN25">
        <f>SUMIF(RawDataRecovered!$B:$B,$A25,RawDataRecovered!BQ:BQ)</f>
        <v>0</v>
      </c>
      <c r="BO25">
        <f>SUMIF(RawDataRecovered!$B:$B,$A25,RawDataRecovered!BR:BR)</f>
        <v>0</v>
      </c>
      <c r="BP25">
        <f>SUMIF(RawDataRecovered!$B:$B,$A25,RawDataRecovered!BS:BS)</f>
        <v>0</v>
      </c>
      <c r="BQ25">
        <f>SUMIF(RawDataRecovered!$B:$B,$A25,RawDataRecovered!BT:BT)</f>
        <v>0</v>
      </c>
      <c r="BR25">
        <f>SUMIF(RawDataRecovered!$B:$B,$A25,RawDataRecovered!BU:BU)</f>
        <v>0</v>
      </c>
      <c r="BS25">
        <f>SUMIF(RawDataRecovered!$B:$B,$A25,RawDataRecovered!BV:BV)</f>
        <v>0</v>
      </c>
      <c r="BT25">
        <f>SUMIF(RawDataRecovered!$B:$B,$A25,RawDataRecovered!BW:BW)</f>
        <v>0</v>
      </c>
    </row>
    <row r="26" spans="1:72" ht="15" thickBot="1" x14ac:dyDescent="0.35">
      <c r="A26" s="4" t="s">
        <v>100</v>
      </c>
      <c r="B26">
        <f>SUMIF(RawDataRecovered!$B:$B,$A26,RawDataRecovered!E:E)</f>
        <v>0</v>
      </c>
      <c r="C26">
        <f>SUMIF(RawDataRecovered!$B:$B,$A26,RawDataRecovered!F:F)</f>
        <v>0</v>
      </c>
      <c r="D26">
        <f>SUMIF(RawDataRecovered!$B:$B,$A26,RawDataRecovered!G:G)</f>
        <v>0</v>
      </c>
      <c r="E26">
        <f>SUMIF(RawDataRecovered!$B:$B,$A26,RawDataRecovered!H:H)</f>
        <v>0</v>
      </c>
      <c r="F26">
        <f>SUMIF(RawDataRecovered!$B:$B,$A26,RawDataRecovered!I:I)</f>
        <v>0</v>
      </c>
      <c r="G26">
        <f>SUMIF(RawDataRecovered!$B:$B,$A26,RawDataRecovered!J:J)</f>
        <v>0</v>
      </c>
      <c r="H26">
        <f>SUMIF(RawDataRecovered!$B:$B,$A26,RawDataRecovered!K:K)</f>
        <v>0</v>
      </c>
      <c r="I26">
        <f>SUMIF(RawDataRecovered!$B:$B,$A26,RawDataRecovered!L:L)</f>
        <v>0</v>
      </c>
      <c r="J26">
        <f>SUMIF(RawDataRecovered!$B:$B,$A26,RawDataRecovered!M:M)</f>
        <v>0</v>
      </c>
      <c r="K26">
        <f>SUMIF(RawDataRecovered!$B:$B,$A26,RawDataRecovered!N:N)</f>
        <v>0</v>
      </c>
      <c r="L26">
        <f>SUMIF(RawDataRecovered!$B:$B,$A26,RawDataRecovered!O:O)</f>
        <v>0</v>
      </c>
      <c r="M26">
        <f>SUMIF(RawDataRecovered!$B:$B,$A26,RawDataRecovered!P:P)</f>
        <v>0</v>
      </c>
      <c r="N26">
        <f>SUMIF(RawDataRecovered!$B:$B,$A26,RawDataRecovered!Q:Q)</f>
        <v>0</v>
      </c>
      <c r="O26">
        <f>SUMIF(RawDataRecovered!$B:$B,$A26,RawDataRecovered!R:R)</f>
        <v>0</v>
      </c>
      <c r="P26">
        <f>SUMIF(RawDataRecovered!$B:$B,$A26,RawDataRecovered!S:S)</f>
        <v>0</v>
      </c>
      <c r="Q26">
        <f>SUMIF(RawDataRecovered!$B:$B,$A26,RawDataRecovered!T:T)</f>
        <v>0</v>
      </c>
      <c r="R26">
        <f>SUMIF(RawDataRecovered!$B:$B,$A26,RawDataRecovered!U:U)</f>
        <v>0</v>
      </c>
      <c r="S26">
        <f>SUMIF(RawDataRecovered!$B:$B,$A26,RawDataRecovered!V:V)</f>
        <v>0</v>
      </c>
      <c r="T26">
        <f>SUMIF(RawDataRecovered!$B:$B,$A26,RawDataRecovered!W:W)</f>
        <v>0</v>
      </c>
      <c r="U26">
        <f>SUMIF(RawDataRecovered!$B:$B,$A26,RawDataRecovered!X:X)</f>
        <v>0</v>
      </c>
      <c r="V26">
        <f>SUMIF(RawDataRecovered!$B:$B,$A26,RawDataRecovered!Y:Y)</f>
        <v>0</v>
      </c>
      <c r="W26">
        <f>SUMIF(RawDataRecovered!$B:$B,$A26,RawDataRecovered!Z:Z)</f>
        <v>0</v>
      </c>
      <c r="X26">
        <f>SUMIF(RawDataRecovered!$B:$B,$A26,RawDataRecovered!AA:AA)</f>
        <v>0</v>
      </c>
      <c r="Y26">
        <f>SUMIF(RawDataRecovered!$B:$B,$A26,RawDataRecovered!AB:AB)</f>
        <v>0</v>
      </c>
      <c r="Z26">
        <f>SUMIF(RawDataRecovered!$B:$B,$A26,RawDataRecovered!AC:AC)</f>
        <v>0</v>
      </c>
      <c r="AA26">
        <f>SUMIF(RawDataRecovered!$B:$B,$A26,RawDataRecovered!AD:AD)</f>
        <v>0</v>
      </c>
      <c r="AB26">
        <f>SUMIF(RawDataRecovered!$B:$B,$A26,RawDataRecovered!AE:AE)</f>
        <v>0</v>
      </c>
      <c r="AC26">
        <f>SUMIF(RawDataRecovered!$B:$B,$A26,RawDataRecovered!AF:AF)</f>
        <v>0</v>
      </c>
      <c r="AD26">
        <f>SUMIF(RawDataRecovered!$B:$B,$A26,RawDataRecovered!AG:AG)</f>
        <v>0</v>
      </c>
      <c r="AE26">
        <f>SUMIF(RawDataRecovered!$B:$B,$A26,RawDataRecovered!AH:AH)</f>
        <v>0</v>
      </c>
      <c r="AF26">
        <f>SUMIF(RawDataRecovered!$B:$B,$A26,RawDataRecovered!AI:AI)</f>
        <v>0</v>
      </c>
      <c r="AG26">
        <f>SUMIF(RawDataRecovered!$B:$B,$A26,RawDataRecovered!AJ:AJ)</f>
        <v>0</v>
      </c>
      <c r="AH26">
        <f>SUMIF(RawDataRecovered!$B:$B,$A26,RawDataRecovered!AK:AK)</f>
        <v>0</v>
      </c>
      <c r="AI26">
        <f>SUMIF(RawDataRecovered!$B:$B,$A26,RawDataRecovered!AL:AL)</f>
        <v>0</v>
      </c>
      <c r="AJ26">
        <f>SUMIF(RawDataRecovered!$B:$B,$A26,RawDataRecovered!AM:AM)</f>
        <v>0</v>
      </c>
      <c r="AK26">
        <f>SUMIF(RawDataRecovered!$B:$B,$A26,RawDataRecovered!AN:AN)</f>
        <v>0</v>
      </c>
      <c r="AL26">
        <f>SUMIF(RawDataRecovered!$B:$B,$A26,RawDataRecovered!AO:AO)</f>
        <v>0</v>
      </c>
      <c r="AM26">
        <f>SUMIF(RawDataRecovered!$B:$B,$A26,RawDataRecovered!AP:AP)</f>
        <v>0</v>
      </c>
      <c r="AN26">
        <f>SUMIF(RawDataRecovered!$B:$B,$A26,RawDataRecovered!AQ:AQ)</f>
        <v>0</v>
      </c>
      <c r="AO26">
        <f>SUMIF(RawDataRecovered!$B:$B,$A26,RawDataRecovered!AR:AR)</f>
        <v>0</v>
      </c>
      <c r="AP26">
        <f>SUMIF(RawDataRecovered!$B:$B,$A26,RawDataRecovered!AS:AS)</f>
        <v>0</v>
      </c>
      <c r="AQ26">
        <f>SUMIF(RawDataRecovered!$B:$B,$A26,RawDataRecovered!AT:AT)</f>
        <v>0</v>
      </c>
      <c r="AR26">
        <f>SUMIF(RawDataRecovered!$B:$B,$A26,RawDataRecovered!AU:AU)</f>
        <v>0</v>
      </c>
      <c r="AS26">
        <f>SUMIF(RawDataRecovered!$B:$B,$A26,RawDataRecovered!AV:AV)</f>
        <v>0</v>
      </c>
      <c r="AT26">
        <f>SUMIF(RawDataRecovered!$B:$B,$A26,RawDataRecovered!AW:AW)</f>
        <v>4</v>
      </c>
      <c r="AU26">
        <f>SUMIF(RawDataRecovered!$B:$B,$A26,RawDataRecovered!AX:AX)</f>
        <v>4</v>
      </c>
      <c r="AV26">
        <f>SUMIF(RawDataRecovered!$B:$B,$A26,RawDataRecovered!AY:AY)</f>
        <v>4</v>
      </c>
      <c r="AW26">
        <f>SUMIF(RawDataRecovered!$B:$B,$A26,RawDataRecovered!AZ:AZ)</f>
        <v>14</v>
      </c>
      <c r="AX26">
        <f>SUMIF(RawDataRecovered!$B:$B,$A26,RawDataRecovered!BA:BA)</f>
        <v>22</v>
      </c>
      <c r="AY26">
        <f>SUMIF(RawDataRecovered!$B:$B,$A26,RawDataRecovered!BB:BB)</f>
        <v>35</v>
      </c>
      <c r="AZ26">
        <f>SUMIF(RawDataRecovered!$B:$B,$A26,RawDataRecovered!BC:BC)</f>
        <v>35</v>
      </c>
      <c r="BA26">
        <f>SUMIF(RawDataRecovered!$B:$B,$A26,RawDataRecovered!BD:BD)</f>
        <v>44</v>
      </c>
      <c r="BB26">
        <f>SUMIF(RawDataRecovered!$B:$B,$A26,RawDataRecovered!BE:BE)</f>
        <v>44</v>
      </c>
      <c r="BC26">
        <f>SUMIF(RawDataRecovered!$B:$B,$A26,RawDataRecovered!BF:BF)</f>
        <v>60</v>
      </c>
      <c r="BD26">
        <f>SUMIF(RawDataRecovered!$B:$B,$A26,RawDataRecovered!BG:BG)</f>
        <v>77</v>
      </c>
      <c r="BE26">
        <f>SUMIF(RawDataRecovered!$B:$B,$A26,RawDataRecovered!BH:BH)</f>
        <v>81</v>
      </c>
      <c r="BF26">
        <f>SUMIF(RawDataRecovered!$B:$B,$A26,RawDataRecovered!BI:BI)</f>
        <v>0</v>
      </c>
      <c r="BG26">
        <f>SUMIF(RawDataRecovered!$B:$B,$A26,RawDataRecovered!BJ:BJ)</f>
        <v>0</v>
      </c>
      <c r="BH26">
        <f>SUMIF(RawDataRecovered!$B:$B,$A26,RawDataRecovered!BK:BK)</f>
        <v>0</v>
      </c>
      <c r="BI26">
        <f>SUMIF(RawDataRecovered!$B:$B,$A26,RawDataRecovered!BL:BL)</f>
        <v>0</v>
      </c>
      <c r="BJ26">
        <f>SUMIF(RawDataRecovered!$B:$B,$A26,RawDataRecovered!BM:BM)</f>
        <v>0</v>
      </c>
      <c r="BK26">
        <f>SUMIF(RawDataRecovered!$B:$B,$A26,RawDataRecovered!BN:BN)</f>
        <v>0</v>
      </c>
      <c r="BL26">
        <f>SUMIF(RawDataRecovered!$B:$B,$A26,RawDataRecovered!BO:BO)</f>
        <v>0</v>
      </c>
      <c r="BM26">
        <f>SUMIF(RawDataRecovered!$B:$B,$A26,RawDataRecovered!BP:BP)</f>
        <v>0</v>
      </c>
      <c r="BN26">
        <f>SUMIF(RawDataRecovered!$B:$B,$A26,RawDataRecovered!BQ:BQ)</f>
        <v>0</v>
      </c>
      <c r="BO26">
        <f>SUMIF(RawDataRecovered!$B:$B,$A26,RawDataRecovered!BR:BR)</f>
        <v>0</v>
      </c>
      <c r="BP26">
        <f>SUMIF(RawDataRecovered!$B:$B,$A26,RawDataRecovered!BS:BS)</f>
        <v>0</v>
      </c>
      <c r="BQ26">
        <f>SUMIF(RawDataRecovered!$B:$B,$A26,RawDataRecovered!BT:BT)</f>
        <v>0</v>
      </c>
      <c r="BR26">
        <f>SUMIF(RawDataRecovered!$B:$B,$A26,RawDataRecovered!BU:BU)</f>
        <v>0</v>
      </c>
      <c r="BS26">
        <f>SUMIF(RawDataRecovered!$B:$B,$A26,RawDataRecovered!BV:BV)</f>
        <v>0</v>
      </c>
      <c r="BT26">
        <f>SUMIF(RawDataRecovered!$B:$B,$A26,RawDataRecovered!BW:BW)</f>
        <v>0</v>
      </c>
    </row>
    <row r="27" spans="1:72" ht="15" thickBot="1" x14ac:dyDescent="0.35">
      <c r="A27" s="4" t="s">
        <v>106</v>
      </c>
      <c r="B27">
        <f>SUMIF(RawDataRecovered!$B:$B,$A27,RawDataRecovered!E:E)</f>
        <v>0</v>
      </c>
      <c r="C27">
        <f>SUMIF(RawDataRecovered!$B:$B,$A27,RawDataRecovered!F:F)</f>
        <v>0</v>
      </c>
      <c r="D27">
        <f>SUMIF(RawDataRecovered!$B:$B,$A27,RawDataRecovered!G:G)</f>
        <v>0</v>
      </c>
      <c r="E27">
        <f>SUMIF(RawDataRecovered!$B:$B,$A27,RawDataRecovered!H:H)</f>
        <v>0</v>
      </c>
      <c r="F27">
        <f>SUMIF(RawDataRecovered!$B:$B,$A27,RawDataRecovered!I:I)</f>
        <v>0</v>
      </c>
      <c r="G27">
        <f>SUMIF(RawDataRecovered!$B:$B,$A27,RawDataRecovered!J:J)</f>
        <v>0</v>
      </c>
      <c r="H27">
        <f>SUMIF(RawDataRecovered!$B:$B,$A27,RawDataRecovered!K:K)</f>
        <v>0</v>
      </c>
      <c r="I27">
        <f>SUMIF(RawDataRecovered!$B:$B,$A27,RawDataRecovered!L:L)</f>
        <v>0</v>
      </c>
      <c r="J27">
        <f>SUMIF(RawDataRecovered!$B:$B,$A27,RawDataRecovered!M:M)</f>
        <v>0</v>
      </c>
      <c r="K27">
        <f>SUMIF(RawDataRecovered!$B:$B,$A27,RawDataRecovered!N:N)</f>
        <v>0</v>
      </c>
      <c r="L27">
        <f>SUMIF(RawDataRecovered!$B:$B,$A27,RawDataRecovered!O:O)</f>
        <v>0</v>
      </c>
      <c r="M27">
        <f>SUMIF(RawDataRecovered!$B:$B,$A27,RawDataRecovered!P:P)</f>
        <v>0</v>
      </c>
      <c r="N27">
        <f>SUMIF(RawDataRecovered!$B:$B,$A27,RawDataRecovered!Q:Q)</f>
        <v>0</v>
      </c>
      <c r="O27">
        <f>SUMIF(RawDataRecovered!$B:$B,$A27,RawDataRecovered!R:R)</f>
        <v>0</v>
      </c>
      <c r="P27">
        <f>SUMIF(RawDataRecovered!$B:$B,$A27,RawDataRecovered!S:S)</f>
        <v>0</v>
      </c>
      <c r="Q27">
        <f>SUMIF(RawDataRecovered!$B:$B,$A27,RawDataRecovered!T:T)</f>
        <v>0</v>
      </c>
      <c r="R27">
        <f>SUMIF(RawDataRecovered!$B:$B,$A27,RawDataRecovered!U:U)</f>
        <v>0</v>
      </c>
      <c r="S27">
        <f>SUMIF(RawDataRecovered!$B:$B,$A27,RawDataRecovered!V:V)</f>
        <v>0</v>
      </c>
      <c r="T27">
        <f>SUMIF(RawDataRecovered!$B:$B,$A27,RawDataRecovered!W:W)</f>
        <v>0</v>
      </c>
      <c r="U27">
        <f>SUMIF(RawDataRecovered!$B:$B,$A27,RawDataRecovered!X:X)</f>
        <v>0</v>
      </c>
      <c r="V27">
        <f>SUMIF(RawDataRecovered!$B:$B,$A27,RawDataRecovered!Y:Y)</f>
        <v>0</v>
      </c>
      <c r="W27">
        <f>SUMIF(RawDataRecovered!$B:$B,$A27,RawDataRecovered!Z:Z)</f>
        <v>0</v>
      </c>
      <c r="X27">
        <f>SUMIF(RawDataRecovered!$B:$B,$A27,RawDataRecovered!AA:AA)</f>
        <v>0</v>
      </c>
      <c r="Y27">
        <f>SUMIF(RawDataRecovered!$B:$B,$A27,RawDataRecovered!AB:AB)</f>
        <v>0</v>
      </c>
      <c r="Z27">
        <f>SUMIF(RawDataRecovered!$B:$B,$A27,RawDataRecovered!AC:AC)</f>
        <v>0</v>
      </c>
      <c r="AA27">
        <f>SUMIF(RawDataRecovered!$B:$B,$A27,RawDataRecovered!AD:AD)</f>
        <v>0</v>
      </c>
      <c r="AB27">
        <f>SUMIF(RawDataRecovered!$B:$B,$A27,RawDataRecovered!AE:AE)</f>
        <v>0</v>
      </c>
      <c r="AC27">
        <f>SUMIF(RawDataRecovered!$B:$B,$A27,RawDataRecovered!AF:AF)</f>
        <v>0</v>
      </c>
      <c r="AD27">
        <f>SUMIF(RawDataRecovered!$B:$B,$A27,RawDataRecovered!AG:AG)</f>
        <v>0</v>
      </c>
      <c r="AE27">
        <f>SUMIF(RawDataRecovered!$B:$B,$A27,RawDataRecovered!AH:AH)</f>
        <v>0</v>
      </c>
      <c r="AF27">
        <f>SUMIF(RawDataRecovered!$B:$B,$A27,RawDataRecovered!AI:AI)</f>
        <v>0</v>
      </c>
      <c r="AG27">
        <f>SUMIF(RawDataRecovered!$B:$B,$A27,RawDataRecovered!AJ:AJ)</f>
        <v>0</v>
      </c>
      <c r="AH27">
        <f>SUMIF(RawDataRecovered!$B:$B,$A27,RawDataRecovered!AK:AK)</f>
        <v>0</v>
      </c>
      <c r="AI27">
        <f>SUMIF(RawDataRecovered!$B:$B,$A27,RawDataRecovered!AL:AL)</f>
        <v>0</v>
      </c>
      <c r="AJ27">
        <f>SUMIF(RawDataRecovered!$B:$B,$A27,RawDataRecovered!AM:AM)</f>
        <v>0</v>
      </c>
      <c r="AK27">
        <f>SUMIF(RawDataRecovered!$B:$B,$A27,RawDataRecovered!AN:AN)</f>
        <v>0</v>
      </c>
      <c r="AL27">
        <f>SUMIF(RawDataRecovered!$B:$B,$A27,RawDataRecovered!AO:AO)</f>
        <v>1</v>
      </c>
      <c r="AM27">
        <f>SUMIF(RawDataRecovered!$B:$B,$A27,RawDataRecovered!AP:AP)</f>
        <v>1</v>
      </c>
      <c r="AN27">
        <f>SUMIF(RawDataRecovered!$B:$B,$A27,RawDataRecovered!AQ:AQ)</f>
        <v>1</v>
      </c>
      <c r="AO27">
        <f>SUMIF(RawDataRecovered!$B:$B,$A27,RawDataRecovered!AR:AR)</f>
        <v>1</v>
      </c>
      <c r="AP27">
        <f>SUMIF(RawDataRecovered!$B:$B,$A27,RawDataRecovered!AS:AS)</f>
        <v>1</v>
      </c>
      <c r="AQ27">
        <f>SUMIF(RawDataRecovered!$B:$B,$A27,RawDataRecovered!AT:AT)</f>
        <v>1</v>
      </c>
      <c r="AR27">
        <f>SUMIF(RawDataRecovered!$B:$B,$A27,RawDataRecovered!AU:AU)</f>
        <v>1</v>
      </c>
      <c r="AS27">
        <f>SUMIF(RawDataRecovered!$B:$B,$A27,RawDataRecovered!AV:AV)</f>
        <v>1</v>
      </c>
      <c r="AT27">
        <f>SUMIF(RawDataRecovered!$B:$B,$A27,RawDataRecovered!AW:AW)</f>
        <v>2</v>
      </c>
      <c r="AU27">
        <f>SUMIF(RawDataRecovered!$B:$B,$A27,RawDataRecovered!AX:AX)</f>
        <v>2</v>
      </c>
      <c r="AV27">
        <f>SUMIF(RawDataRecovered!$B:$B,$A27,RawDataRecovered!AY:AY)</f>
        <v>2</v>
      </c>
      <c r="AW27">
        <f>SUMIF(RawDataRecovered!$B:$B,$A27,RawDataRecovered!AZ:AZ)</f>
        <v>2</v>
      </c>
      <c r="AX27">
        <f>SUMIF(RawDataRecovered!$B:$B,$A27,RawDataRecovered!BA:BA)</f>
        <v>4</v>
      </c>
      <c r="AY27">
        <f>SUMIF(RawDataRecovered!$B:$B,$A27,RawDataRecovered!BB:BB)</f>
        <v>4</v>
      </c>
      <c r="AZ27">
        <f>SUMIF(RawDataRecovered!$B:$B,$A27,RawDataRecovered!BC:BC)</f>
        <v>4</v>
      </c>
      <c r="BA27">
        <f>SUMIF(RawDataRecovered!$B:$B,$A27,RawDataRecovered!BD:BD)</f>
        <v>4</v>
      </c>
      <c r="BB27">
        <f>SUMIF(RawDataRecovered!$B:$B,$A27,RawDataRecovered!BE:BE)</f>
        <v>4</v>
      </c>
      <c r="BC27">
        <f>SUMIF(RawDataRecovered!$B:$B,$A27,RawDataRecovered!BF:BF)</f>
        <v>4</v>
      </c>
      <c r="BD27">
        <f>SUMIF(RawDataRecovered!$B:$B,$A27,RawDataRecovered!BG:BG)</f>
        <v>4</v>
      </c>
      <c r="BE27">
        <f>SUMIF(RawDataRecovered!$B:$B,$A27,RawDataRecovered!BH:BH)</f>
        <v>11</v>
      </c>
      <c r="BF27">
        <f>SUMIF(RawDataRecovered!$B:$B,$A27,RawDataRecovered!BI:BI)</f>
        <v>0</v>
      </c>
      <c r="BG27">
        <f>SUMIF(RawDataRecovered!$B:$B,$A27,RawDataRecovered!BJ:BJ)</f>
        <v>0</v>
      </c>
      <c r="BH27">
        <f>SUMIF(RawDataRecovered!$B:$B,$A27,RawDataRecovered!BK:BK)</f>
        <v>0</v>
      </c>
      <c r="BI27">
        <f>SUMIF(RawDataRecovered!$B:$B,$A27,RawDataRecovered!BL:BL)</f>
        <v>0</v>
      </c>
      <c r="BJ27">
        <f>SUMIF(RawDataRecovered!$B:$B,$A27,RawDataRecovered!BM:BM)</f>
        <v>0</v>
      </c>
      <c r="BK27">
        <f>SUMIF(RawDataRecovered!$B:$B,$A27,RawDataRecovered!BN:BN)</f>
        <v>0</v>
      </c>
      <c r="BL27">
        <f>SUMIF(RawDataRecovered!$B:$B,$A27,RawDataRecovered!BO:BO)</f>
        <v>0</v>
      </c>
      <c r="BM27">
        <f>SUMIF(RawDataRecovered!$B:$B,$A27,RawDataRecovered!BP:BP)</f>
        <v>0</v>
      </c>
      <c r="BN27">
        <f>SUMIF(RawDataRecovered!$B:$B,$A27,RawDataRecovered!BQ:BQ)</f>
        <v>0</v>
      </c>
      <c r="BO27">
        <f>SUMIF(RawDataRecovered!$B:$B,$A27,RawDataRecovered!BR:BR)</f>
        <v>0</v>
      </c>
      <c r="BP27">
        <f>SUMIF(RawDataRecovered!$B:$B,$A27,RawDataRecovered!BS:BS)</f>
        <v>0</v>
      </c>
      <c r="BQ27">
        <f>SUMIF(RawDataRecovered!$B:$B,$A27,RawDataRecovered!BT:BT)</f>
        <v>0</v>
      </c>
      <c r="BR27">
        <f>SUMIF(RawDataRecovered!$B:$B,$A27,RawDataRecovered!BU:BU)</f>
        <v>0</v>
      </c>
      <c r="BS27">
        <f>SUMIF(RawDataRecovered!$B:$B,$A27,RawDataRecovered!BV:BV)</f>
        <v>0</v>
      </c>
      <c r="BT27">
        <f>SUMIF(RawDataRecovered!$B:$B,$A27,RawDataRecovered!BW:BW)</f>
        <v>0</v>
      </c>
    </row>
    <row r="28" spans="1:72" ht="15" thickBot="1" x14ac:dyDescent="0.35">
      <c r="A28" s="3" t="s">
        <v>81</v>
      </c>
      <c r="B28">
        <f>SUMIF(RawDataRecovered!$B:$B,$A28,RawDataRecovered!E:E)</f>
        <v>0</v>
      </c>
      <c r="C28">
        <f>SUMIF(RawDataRecovered!$B:$B,$A28,RawDataRecovered!F:F)</f>
        <v>0</v>
      </c>
      <c r="D28">
        <f>SUMIF(RawDataRecovered!$B:$B,$A28,RawDataRecovered!G:G)</f>
        <v>0</v>
      </c>
      <c r="E28">
        <f>SUMIF(RawDataRecovered!$B:$B,$A28,RawDataRecovered!H:H)</f>
        <v>0</v>
      </c>
      <c r="F28">
        <f>SUMIF(RawDataRecovered!$B:$B,$A28,RawDataRecovered!I:I)</f>
        <v>0</v>
      </c>
      <c r="G28">
        <f>SUMIF(RawDataRecovered!$B:$B,$A28,RawDataRecovered!J:J)</f>
        <v>0</v>
      </c>
      <c r="H28">
        <f>SUMIF(RawDataRecovered!$B:$B,$A28,RawDataRecovered!K:K)</f>
        <v>0</v>
      </c>
      <c r="I28">
        <f>SUMIF(RawDataRecovered!$B:$B,$A28,RawDataRecovered!L:L)</f>
        <v>0</v>
      </c>
      <c r="J28">
        <f>SUMIF(RawDataRecovered!$B:$B,$A28,RawDataRecovered!M:M)</f>
        <v>0</v>
      </c>
      <c r="K28">
        <f>SUMIF(RawDataRecovered!$B:$B,$A28,RawDataRecovered!N:N)</f>
        <v>0</v>
      </c>
      <c r="L28">
        <f>SUMIF(RawDataRecovered!$B:$B,$A28,RawDataRecovered!O:O)</f>
        <v>0</v>
      </c>
      <c r="M28">
        <f>SUMIF(RawDataRecovered!$B:$B,$A28,RawDataRecovered!P:P)</f>
        <v>0</v>
      </c>
      <c r="N28">
        <f>SUMIF(RawDataRecovered!$B:$B,$A28,RawDataRecovered!Q:Q)</f>
        <v>0</v>
      </c>
      <c r="O28">
        <f>SUMIF(RawDataRecovered!$B:$B,$A28,RawDataRecovered!R:R)</f>
        <v>0</v>
      </c>
      <c r="P28">
        <f>SUMIF(RawDataRecovered!$B:$B,$A28,RawDataRecovered!S:S)</f>
        <v>0</v>
      </c>
      <c r="Q28">
        <f>SUMIF(RawDataRecovered!$B:$B,$A28,RawDataRecovered!T:T)</f>
        <v>0</v>
      </c>
      <c r="R28">
        <f>SUMIF(RawDataRecovered!$B:$B,$A28,RawDataRecovered!U:U)</f>
        <v>0</v>
      </c>
      <c r="S28">
        <f>SUMIF(RawDataRecovered!$B:$B,$A28,RawDataRecovered!V:V)</f>
        <v>0</v>
      </c>
      <c r="T28">
        <f>SUMIF(RawDataRecovered!$B:$B,$A28,RawDataRecovered!W:W)</f>
        <v>0</v>
      </c>
      <c r="U28">
        <f>SUMIF(RawDataRecovered!$B:$B,$A28,RawDataRecovered!X:X)</f>
        <v>0</v>
      </c>
      <c r="V28">
        <f>SUMIF(RawDataRecovered!$B:$B,$A28,RawDataRecovered!Y:Y)</f>
        <v>0</v>
      </c>
      <c r="W28">
        <f>SUMIF(RawDataRecovered!$B:$B,$A28,RawDataRecovered!Z:Z)</f>
        <v>1</v>
      </c>
      <c r="X28">
        <f>SUMIF(RawDataRecovered!$B:$B,$A28,RawDataRecovered!AA:AA)</f>
        <v>1</v>
      </c>
      <c r="Y28">
        <f>SUMIF(RawDataRecovered!$B:$B,$A28,RawDataRecovered!AB:AB)</f>
        <v>1</v>
      </c>
      <c r="Z28">
        <f>SUMIF(RawDataRecovered!$B:$B,$A28,RawDataRecovered!AC:AC)</f>
        <v>1</v>
      </c>
      <c r="AA28">
        <f>SUMIF(RawDataRecovered!$B:$B,$A28,RawDataRecovered!AD:AD)</f>
        <v>1</v>
      </c>
      <c r="AB28">
        <f>SUMIF(RawDataRecovered!$B:$B,$A28,RawDataRecovered!AE:AE)</f>
        <v>1</v>
      </c>
      <c r="AC28">
        <f>SUMIF(RawDataRecovered!$B:$B,$A28,RawDataRecovered!AF:AF)</f>
        <v>1</v>
      </c>
      <c r="AD28">
        <f>SUMIF(RawDataRecovered!$B:$B,$A28,RawDataRecovered!AG:AG)</f>
        <v>1</v>
      </c>
      <c r="AE28">
        <f>SUMIF(RawDataRecovered!$B:$B,$A28,RawDataRecovered!AH:AH)</f>
        <v>1</v>
      </c>
      <c r="AF28">
        <f>SUMIF(RawDataRecovered!$B:$B,$A28,RawDataRecovered!AI:AI)</f>
        <v>1</v>
      </c>
      <c r="AG28">
        <f>SUMIF(RawDataRecovered!$B:$B,$A28,RawDataRecovered!AJ:AJ)</f>
        <v>1</v>
      </c>
      <c r="AH28">
        <f>SUMIF(RawDataRecovered!$B:$B,$A28,RawDataRecovered!AK:AK)</f>
        <v>1</v>
      </c>
      <c r="AI28">
        <f>SUMIF(RawDataRecovered!$B:$B,$A28,RawDataRecovered!AL:AL)</f>
        <v>1</v>
      </c>
      <c r="AJ28">
        <f>SUMIF(RawDataRecovered!$B:$B,$A28,RawDataRecovered!AM:AM)</f>
        <v>1</v>
      </c>
      <c r="AK28">
        <f>SUMIF(RawDataRecovered!$B:$B,$A28,RawDataRecovered!AN:AN)</f>
        <v>1</v>
      </c>
      <c r="AL28">
        <f>SUMIF(RawDataRecovered!$B:$B,$A28,RawDataRecovered!AO:AO)</f>
        <v>1</v>
      </c>
      <c r="AM28">
        <f>SUMIF(RawDataRecovered!$B:$B,$A28,RawDataRecovered!AP:AP)</f>
        <v>1</v>
      </c>
      <c r="AN28">
        <f>SUMIF(RawDataRecovered!$B:$B,$A28,RawDataRecovered!AQ:AQ)</f>
        <v>1</v>
      </c>
      <c r="AO28">
        <f>SUMIF(RawDataRecovered!$B:$B,$A28,RawDataRecovered!AR:AR)</f>
        <v>1</v>
      </c>
      <c r="AP28">
        <f>SUMIF(RawDataRecovered!$B:$B,$A28,RawDataRecovered!AS:AS)</f>
        <v>1</v>
      </c>
      <c r="AQ28">
        <f>SUMIF(RawDataRecovered!$B:$B,$A28,RawDataRecovered!AT:AT)</f>
        <v>1</v>
      </c>
      <c r="AR28">
        <f>SUMIF(RawDataRecovered!$B:$B,$A28,RawDataRecovered!AU:AU)</f>
        <v>1</v>
      </c>
      <c r="AS28">
        <f>SUMIF(RawDataRecovered!$B:$B,$A28,RawDataRecovered!AV:AV)</f>
        <v>1</v>
      </c>
      <c r="AT28">
        <f>SUMIF(RawDataRecovered!$B:$B,$A28,RawDataRecovered!AW:AW)</f>
        <v>1</v>
      </c>
      <c r="AU28">
        <f>SUMIF(RawDataRecovered!$B:$B,$A28,RawDataRecovered!AX:AX)</f>
        <v>1</v>
      </c>
      <c r="AV28">
        <f>SUMIF(RawDataRecovered!$B:$B,$A28,RawDataRecovered!AY:AY)</f>
        <v>1</v>
      </c>
      <c r="AW28">
        <f>SUMIF(RawDataRecovered!$B:$B,$A28,RawDataRecovered!AZ:AZ)</f>
        <v>1</v>
      </c>
      <c r="AX28">
        <f>SUMIF(RawDataRecovered!$B:$B,$A28,RawDataRecovered!BA:BA)</f>
        <v>1</v>
      </c>
      <c r="AY28">
        <f>SUMIF(RawDataRecovered!$B:$B,$A28,RawDataRecovered!BB:BB)</f>
        <v>1</v>
      </c>
      <c r="AZ28">
        <f>SUMIF(RawDataRecovered!$B:$B,$A28,RawDataRecovered!BC:BC)</f>
        <v>1</v>
      </c>
      <c r="BA28">
        <f>SUMIF(RawDataRecovered!$B:$B,$A28,RawDataRecovered!BD:BD)</f>
        <v>1</v>
      </c>
      <c r="BB28">
        <f>SUMIF(RawDataRecovered!$B:$B,$A28,RawDataRecovered!BE:BE)</f>
        <v>1</v>
      </c>
      <c r="BC28">
        <f>SUMIF(RawDataRecovered!$B:$B,$A28,RawDataRecovered!BF:BF)</f>
        <v>10</v>
      </c>
      <c r="BD28">
        <f>SUMIF(RawDataRecovered!$B:$B,$A28,RawDataRecovered!BG:BG)</f>
        <v>10</v>
      </c>
      <c r="BE28">
        <f>SUMIF(RawDataRecovered!$B:$B,$A28,RawDataRecovered!BH:BH)</f>
        <v>10</v>
      </c>
      <c r="BF28">
        <f>SUMIF(RawDataRecovered!$B:$B,$A28,RawDataRecovered!BI:BI)</f>
        <v>0</v>
      </c>
      <c r="BG28">
        <f>SUMIF(RawDataRecovered!$B:$B,$A28,RawDataRecovered!BJ:BJ)</f>
        <v>0</v>
      </c>
      <c r="BH28">
        <f>SUMIF(RawDataRecovered!$B:$B,$A28,RawDataRecovered!BK:BK)</f>
        <v>0</v>
      </c>
      <c r="BI28">
        <f>SUMIF(RawDataRecovered!$B:$B,$A28,RawDataRecovered!BL:BL)</f>
        <v>0</v>
      </c>
      <c r="BJ28">
        <f>SUMIF(RawDataRecovered!$B:$B,$A28,RawDataRecovered!BM:BM)</f>
        <v>0</v>
      </c>
      <c r="BK28">
        <f>SUMIF(RawDataRecovered!$B:$B,$A28,RawDataRecovered!BN:BN)</f>
        <v>0</v>
      </c>
      <c r="BL28">
        <f>SUMIF(RawDataRecovered!$B:$B,$A28,RawDataRecovered!BO:BO)</f>
        <v>0</v>
      </c>
      <c r="BM28">
        <f>SUMIF(RawDataRecovered!$B:$B,$A28,RawDataRecovered!BP:BP)</f>
        <v>0</v>
      </c>
      <c r="BN28">
        <f>SUMIF(RawDataRecovered!$B:$B,$A28,RawDataRecovered!BQ:BQ)</f>
        <v>0</v>
      </c>
      <c r="BO28">
        <f>SUMIF(RawDataRecovered!$B:$B,$A28,RawDataRecovered!BR:BR)</f>
        <v>0</v>
      </c>
      <c r="BP28">
        <f>SUMIF(RawDataRecovered!$B:$B,$A28,RawDataRecovered!BS:BS)</f>
        <v>0</v>
      </c>
      <c r="BQ28">
        <f>SUMIF(RawDataRecovered!$B:$B,$A28,RawDataRecovered!BT:BT)</f>
        <v>0</v>
      </c>
      <c r="BR28">
        <f>SUMIF(RawDataRecovered!$B:$B,$A28,RawDataRecovered!BU:BU)</f>
        <v>0</v>
      </c>
      <c r="BS28">
        <f>SUMIF(RawDataRecovered!$B:$B,$A28,RawDataRecovered!BV:BV)</f>
        <v>0</v>
      </c>
      <c r="BT28">
        <f>SUMIF(RawDataRecovered!$B:$B,$A28,RawDataRecovered!BW:BW)</f>
        <v>0</v>
      </c>
    </row>
    <row r="29" spans="1:72" ht="15" thickBot="1" x14ac:dyDescent="0.35">
      <c r="A29" s="4" t="s">
        <v>108</v>
      </c>
      <c r="B29">
        <f>SUMIF(RawDataRecovered!$B:$B,$A29,RawDataRecovered!E:E)</f>
        <v>0</v>
      </c>
      <c r="C29">
        <f>SUMIF(RawDataRecovered!$B:$B,$A29,RawDataRecovered!F:F)</f>
        <v>0</v>
      </c>
      <c r="D29">
        <f>SUMIF(RawDataRecovered!$B:$B,$A29,RawDataRecovered!G:G)</f>
        <v>0</v>
      </c>
      <c r="E29">
        <f>SUMIF(RawDataRecovered!$B:$B,$A29,RawDataRecovered!H:H)</f>
        <v>0</v>
      </c>
      <c r="F29">
        <f>SUMIF(RawDataRecovered!$B:$B,$A29,RawDataRecovered!I:I)</f>
        <v>0</v>
      </c>
      <c r="G29">
        <f>SUMIF(RawDataRecovered!$B:$B,$A29,RawDataRecovered!J:J)</f>
        <v>0</v>
      </c>
      <c r="H29">
        <f>SUMIF(RawDataRecovered!$B:$B,$A29,RawDataRecovered!K:K)</f>
        <v>0</v>
      </c>
      <c r="I29">
        <f>SUMIF(RawDataRecovered!$B:$B,$A29,RawDataRecovered!L:L)</f>
        <v>0</v>
      </c>
      <c r="J29">
        <f>SUMIF(RawDataRecovered!$B:$B,$A29,RawDataRecovered!M:M)</f>
        <v>0</v>
      </c>
      <c r="K29">
        <f>SUMIF(RawDataRecovered!$B:$B,$A29,RawDataRecovered!N:N)</f>
        <v>0</v>
      </c>
      <c r="L29">
        <f>SUMIF(RawDataRecovered!$B:$B,$A29,RawDataRecovered!O:O)</f>
        <v>0</v>
      </c>
      <c r="M29">
        <f>SUMIF(RawDataRecovered!$B:$B,$A29,RawDataRecovered!P:P)</f>
        <v>0</v>
      </c>
      <c r="N29">
        <f>SUMIF(RawDataRecovered!$B:$B,$A29,RawDataRecovered!Q:Q)</f>
        <v>0</v>
      </c>
      <c r="O29">
        <f>SUMIF(RawDataRecovered!$B:$B,$A29,RawDataRecovered!R:R)</f>
        <v>0</v>
      </c>
      <c r="P29">
        <f>SUMIF(RawDataRecovered!$B:$B,$A29,RawDataRecovered!S:S)</f>
        <v>0</v>
      </c>
      <c r="Q29">
        <f>SUMIF(RawDataRecovered!$B:$B,$A29,RawDataRecovered!T:T)</f>
        <v>0</v>
      </c>
      <c r="R29">
        <f>SUMIF(RawDataRecovered!$B:$B,$A29,RawDataRecovered!U:U)</f>
        <v>0</v>
      </c>
      <c r="S29">
        <f>SUMIF(RawDataRecovered!$B:$B,$A29,RawDataRecovered!V:V)</f>
        <v>0</v>
      </c>
      <c r="T29">
        <f>SUMIF(RawDataRecovered!$B:$B,$A29,RawDataRecovered!W:W)</f>
        <v>0</v>
      </c>
      <c r="U29">
        <f>SUMIF(RawDataRecovered!$B:$B,$A29,RawDataRecovered!X:X)</f>
        <v>0</v>
      </c>
      <c r="V29">
        <f>SUMIF(RawDataRecovered!$B:$B,$A29,RawDataRecovered!Y:Y)</f>
        <v>0</v>
      </c>
      <c r="W29">
        <f>SUMIF(RawDataRecovered!$B:$B,$A29,RawDataRecovered!Z:Z)</f>
        <v>0</v>
      </c>
      <c r="X29">
        <f>SUMIF(RawDataRecovered!$B:$B,$A29,RawDataRecovered!AA:AA)</f>
        <v>0</v>
      </c>
      <c r="Y29">
        <f>SUMIF(RawDataRecovered!$B:$B,$A29,RawDataRecovered!AB:AB)</f>
        <v>0</v>
      </c>
      <c r="Z29">
        <f>SUMIF(RawDataRecovered!$B:$B,$A29,RawDataRecovered!AC:AC)</f>
        <v>0</v>
      </c>
      <c r="AA29">
        <f>SUMIF(RawDataRecovered!$B:$B,$A29,RawDataRecovered!AD:AD)</f>
        <v>0</v>
      </c>
      <c r="AB29">
        <f>SUMIF(RawDataRecovered!$B:$B,$A29,RawDataRecovered!AE:AE)</f>
        <v>0</v>
      </c>
      <c r="AC29">
        <f>SUMIF(RawDataRecovered!$B:$B,$A29,RawDataRecovered!AF:AF)</f>
        <v>0</v>
      </c>
      <c r="AD29">
        <f>SUMIF(RawDataRecovered!$B:$B,$A29,RawDataRecovered!AG:AG)</f>
        <v>0</v>
      </c>
      <c r="AE29">
        <f>SUMIF(RawDataRecovered!$B:$B,$A29,RawDataRecovered!AH:AH)</f>
        <v>0</v>
      </c>
      <c r="AF29">
        <f>SUMIF(RawDataRecovered!$B:$B,$A29,RawDataRecovered!AI:AI)</f>
        <v>0</v>
      </c>
      <c r="AG29">
        <f>SUMIF(RawDataRecovered!$B:$B,$A29,RawDataRecovered!AJ:AJ)</f>
        <v>0</v>
      </c>
      <c r="AH29">
        <f>SUMIF(RawDataRecovered!$B:$B,$A29,RawDataRecovered!AK:AK)</f>
        <v>0</v>
      </c>
      <c r="AI29">
        <f>SUMIF(RawDataRecovered!$B:$B,$A29,RawDataRecovered!AL:AL)</f>
        <v>0</v>
      </c>
      <c r="AJ29">
        <f>SUMIF(RawDataRecovered!$B:$B,$A29,RawDataRecovered!AM:AM)</f>
        <v>0</v>
      </c>
      <c r="AK29">
        <f>SUMIF(RawDataRecovered!$B:$B,$A29,RawDataRecovered!AN:AN)</f>
        <v>0</v>
      </c>
      <c r="AL29">
        <f>SUMIF(RawDataRecovered!$B:$B,$A29,RawDataRecovered!AO:AO)</f>
        <v>0</v>
      </c>
      <c r="AM29">
        <f>SUMIF(RawDataRecovered!$B:$B,$A29,RawDataRecovered!AP:AP)</f>
        <v>0</v>
      </c>
      <c r="AN29">
        <f>SUMIF(RawDataRecovered!$B:$B,$A29,RawDataRecovered!AQ:AQ)</f>
        <v>0</v>
      </c>
      <c r="AO29">
        <f>SUMIF(RawDataRecovered!$B:$B,$A29,RawDataRecovered!AR:AR)</f>
        <v>0</v>
      </c>
      <c r="AP29">
        <f>SUMIF(RawDataRecovered!$B:$B,$A29,RawDataRecovered!AS:AS)</f>
        <v>0</v>
      </c>
      <c r="AQ29">
        <f>SUMIF(RawDataRecovered!$B:$B,$A29,RawDataRecovered!AT:AT)</f>
        <v>0</v>
      </c>
      <c r="AR29">
        <f>SUMIF(RawDataRecovered!$B:$B,$A29,RawDataRecovered!AU:AU)</f>
        <v>0</v>
      </c>
      <c r="AS29">
        <f>SUMIF(RawDataRecovered!$B:$B,$A29,RawDataRecovered!AV:AV)</f>
        <v>0</v>
      </c>
      <c r="AT29">
        <f>SUMIF(RawDataRecovered!$B:$B,$A29,RawDataRecovered!AW:AW)</f>
        <v>0</v>
      </c>
      <c r="AU29">
        <f>SUMIF(RawDataRecovered!$B:$B,$A29,RawDataRecovered!AX:AX)</f>
        <v>0</v>
      </c>
      <c r="AV29">
        <f>SUMIF(RawDataRecovered!$B:$B,$A29,RawDataRecovered!AY:AY)</f>
        <v>0</v>
      </c>
      <c r="AW29">
        <f>SUMIF(RawDataRecovered!$B:$B,$A29,RawDataRecovered!AZ:AZ)</f>
        <v>0</v>
      </c>
      <c r="AX29">
        <f>SUMIF(RawDataRecovered!$B:$B,$A29,RawDataRecovered!BA:BA)</f>
        <v>0</v>
      </c>
      <c r="AY29">
        <f>SUMIF(RawDataRecovered!$B:$B,$A29,RawDataRecovered!BB:BB)</f>
        <v>0</v>
      </c>
      <c r="AZ29">
        <f>SUMIF(RawDataRecovered!$B:$B,$A29,RawDataRecovered!BC:BC)</f>
        <v>0</v>
      </c>
      <c r="BA29">
        <f>SUMIF(RawDataRecovered!$B:$B,$A29,RawDataRecovered!BD:BD)</f>
        <v>0</v>
      </c>
      <c r="BB29">
        <f>SUMIF(RawDataRecovered!$B:$B,$A29,RawDataRecovered!BE:BE)</f>
        <v>0</v>
      </c>
      <c r="BC29">
        <f>SUMIF(RawDataRecovered!$B:$B,$A29,RawDataRecovered!BF:BF)</f>
        <v>0</v>
      </c>
      <c r="BD29">
        <f>SUMIF(RawDataRecovered!$B:$B,$A29,RawDataRecovered!BG:BG)</f>
        <v>1</v>
      </c>
      <c r="BE29">
        <f>SUMIF(RawDataRecovered!$B:$B,$A29,RawDataRecovered!BH:BH)</f>
        <v>2</v>
      </c>
      <c r="BF29">
        <f>SUMIF(RawDataRecovered!$B:$B,$A29,RawDataRecovered!BI:BI)</f>
        <v>0</v>
      </c>
      <c r="BG29">
        <f>SUMIF(RawDataRecovered!$B:$B,$A29,RawDataRecovered!BJ:BJ)</f>
        <v>0</v>
      </c>
      <c r="BH29">
        <f>SUMIF(RawDataRecovered!$B:$B,$A29,RawDataRecovered!BK:BK)</f>
        <v>0</v>
      </c>
      <c r="BI29">
        <f>SUMIF(RawDataRecovered!$B:$B,$A29,RawDataRecovered!BL:BL)</f>
        <v>0</v>
      </c>
      <c r="BJ29">
        <f>SUMIF(RawDataRecovered!$B:$B,$A29,RawDataRecovered!BM:BM)</f>
        <v>0</v>
      </c>
      <c r="BK29">
        <f>SUMIF(RawDataRecovered!$B:$B,$A29,RawDataRecovered!BN:BN)</f>
        <v>0</v>
      </c>
      <c r="BL29">
        <f>SUMIF(RawDataRecovered!$B:$B,$A29,RawDataRecovered!BO:BO)</f>
        <v>0</v>
      </c>
      <c r="BM29">
        <f>SUMIF(RawDataRecovered!$B:$B,$A29,RawDataRecovered!BP:BP)</f>
        <v>0</v>
      </c>
      <c r="BN29">
        <f>SUMIF(RawDataRecovered!$B:$B,$A29,RawDataRecovered!BQ:BQ)</f>
        <v>0</v>
      </c>
      <c r="BO29">
        <f>SUMIF(RawDataRecovered!$B:$B,$A29,RawDataRecovered!BR:BR)</f>
        <v>0</v>
      </c>
      <c r="BP29">
        <f>SUMIF(RawDataRecovered!$B:$B,$A29,RawDataRecovered!BS:BS)</f>
        <v>0</v>
      </c>
      <c r="BQ29">
        <f>SUMIF(RawDataRecovered!$B:$B,$A29,RawDataRecovered!BT:BT)</f>
        <v>0</v>
      </c>
      <c r="BR29">
        <f>SUMIF(RawDataRecovered!$B:$B,$A29,RawDataRecovered!BU:BU)</f>
        <v>0</v>
      </c>
      <c r="BS29">
        <f>SUMIF(RawDataRecovered!$B:$B,$A29,RawDataRecovered!BV:BV)</f>
        <v>0</v>
      </c>
      <c r="BT29">
        <f>SUMIF(RawDataRecovered!$B:$B,$A29,RawDataRecovered!BW:BW)</f>
        <v>0</v>
      </c>
    </row>
    <row r="30" spans="1:72" ht="15" thickBot="1" x14ac:dyDescent="0.35">
      <c r="A30" s="3" t="s">
        <v>369</v>
      </c>
      <c r="B30">
        <f>SUMIF(RawDataRecovered!$B:$B,$A30,RawDataRecovered!E:E)</f>
        <v>0</v>
      </c>
      <c r="C30">
        <f>SUMIF(RawDataRecovered!$B:$B,$A30,RawDataRecovered!F:F)</f>
        <v>0</v>
      </c>
      <c r="D30">
        <f>SUMIF(RawDataRecovered!$B:$B,$A30,RawDataRecovered!G:G)</f>
        <v>0</v>
      </c>
      <c r="E30">
        <f>SUMIF(RawDataRecovered!$B:$B,$A30,RawDataRecovered!H:H)</f>
        <v>0</v>
      </c>
      <c r="F30">
        <f>SUMIF(RawDataRecovered!$B:$B,$A30,RawDataRecovered!I:I)</f>
        <v>0</v>
      </c>
      <c r="G30">
        <f>SUMIF(RawDataRecovered!$B:$B,$A30,RawDataRecovered!J:J)</f>
        <v>0</v>
      </c>
      <c r="H30">
        <f>SUMIF(RawDataRecovered!$B:$B,$A30,RawDataRecovered!K:K)</f>
        <v>0</v>
      </c>
      <c r="I30">
        <f>SUMIF(RawDataRecovered!$B:$B,$A30,RawDataRecovered!L:L)</f>
        <v>0</v>
      </c>
      <c r="J30">
        <f>SUMIF(RawDataRecovered!$B:$B,$A30,RawDataRecovered!M:M)</f>
        <v>0</v>
      </c>
      <c r="K30">
        <f>SUMIF(RawDataRecovered!$B:$B,$A30,RawDataRecovered!N:N)</f>
        <v>0</v>
      </c>
      <c r="L30">
        <f>SUMIF(RawDataRecovered!$B:$B,$A30,RawDataRecovered!O:O)</f>
        <v>0</v>
      </c>
      <c r="M30">
        <f>SUMIF(RawDataRecovered!$B:$B,$A30,RawDataRecovered!P:P)</f>
        <v>0</v>
      </c>
      <c r="N30">
        <f>SUMIF(RawDataRecovered!$B:$B,$A30,RawDataRecovered!Q:Q)</f>
        <v>0</v>
      </c>
      <c r="O30">
        <f>SUMIF(RawDataRecovered!$B:$B,$A30,RawDataRecovered!R:R)</f>
        <v>0</v>
      </c>
      <c r="P30">
        <f>SUMIF(RawDataRecovered!$B:$B,$A30,RawDataRecovered!S:S)</f>
        <v>0</v>
      </c>
      <c r="Q30">
        <f>SUMIF(RawDataRecovered!$B:$B,$A30,RawDataRecovered!T:T)</f>
        <v>0</v>
      </c>
      <c r="R30">
        <f>SUMIF(RawDataRecovered!$B:$B,$A30,RawDataRecovered!U:U)</f>
        <v>0</v>
      </c>
      <c r="S30">
        <f>SUMIF(RawDataRecovered!$B:$B,$A30,RawDataRecovered!V:V)</f>
        <v>0</v>
      </c>
      <c r="T30">
        <f>SUMIF(RawDataRecovered!$B:$B,$A30,RawDataRecovered!W:W)</f>
        <v>0</v>
      </c>
      <c r="U30">
        <f>SUMIF(RawDataRecovered!$B:$B,$A30,RawDataRecovered!X:X)</f>
        <v>0</v>
      </c>
      <c r="V30">
        <f>SUMIF(RawDataRecovered!$B:$B,$A30,RawDataRecovered!Y:Y)</f>
        <v>0</v>
      </c>
      <c r="W30">
        <f>SUMIF(RawDataRecovered!$B:$B,$A30,RawDataRecovered!Z:Z)</f>
        <v>0</v>
      </c>
      <c r="X30">
        <f>SUMIF(RawDataRecovered!$B:$B,$A30,RawDataRecovered!AA:AA)</f>
        <v>0</v>
      </c>
      <c r="Y30">
        <f>SUMIF(RawDataRecovered!$B:$B,$A30,RawDataRecovered!AB:AB)</f>
        <v>0</v>
      </c>
      <c r="Z30">
        <f>SUMIF(RawDataRecovered!$B:$B,$A30,RawDataRecovered!AC:AC)</f>
        <v>0</v>
      </c>
      <c r="AA30">
        <f>SUMIF(RawDataRecovered!$B:$B,$A30,RawDataRecovered!AD:AD)</f>
        <v>0</v>
      </c>
      <c r="AB30">
        <f>SUMIF(RawDataRecovered!$B:$B,$A30,RawDataRecovered!AE:AE)</f>
        <v>0</v>
      </c>
      <c r="AC30">
        <f>SUMIF(RawDataRecovered!$B:$B,$A30,RawDataRecovered!AF:AF)</f>
        <v>0</v>
      </c>
      <c r="AD30">
        <f>SUMIF(RawDataRecovered!$B:$B,$A30,RawDataRecovered!AG:AG)</f>
        <v>0</v>
      </c>
      <c r="AE30">
        <f>SUMIF(RawDataRecovered!$B:$B,$A30,RawDataRecovered!AH:AH)</f>
        <v>0</v>
      </c>
      <c r="AF30">
        <f>SUMIF(RawDataRecovered!$B:$B,$A30,RawDataRecovered!AI:AI)</f>
        <v>0</v>
      </c>
      <c r="AG30">
        <f>SUMIF(RawDataRecovered!$B:$B,$A30,RawDataRecovered!AJ:AJ)</f>
        <v>0</v>
      </c>
      <c r="AH30">
        <f>SUMIF(RawDataRecovered!$B:$B,$A30,RawDataRecovered!AK:AK)</f>
        <v>0</v>
      </c>
      <c r="AI30">
        <f>SUMIF(RawDataRecovered!$B:$B,$A30,RawDataRecovered!AL:AL)</f>
        <v>0</v>
      </c>
      <c r="AJ30">
        <f>SUMIF(RawDataRecovered!$B:$B,$A30,RawDataRecovered!AM:AM)</f>
        <v>0</v>
      </c>
      <c r="AK30">
        <f>SUMIF(RawDataRecovered!$B:$B,$A30,RawDataRecovered!AN:AN)</f>
        <v>0</v>
      </c>
      <c r="AL30">
        <f>SUMIF(RawDataRecovered!$B:$B,$A30,RawDataRecovered!AO:AO)</f>
        <v>0</v>
      </c>
      <c r="AM30">
        <f>SUMIF(RawDataRecovered!$B:$B,$A30,RawDataRecovered!AP:AP)</f>
        <v>0</v>
      </c>
      <c r="AN30">
        <f>SUMIF(RawDataRecovered!$B:$B,$A30,RawDataRecovered!AQ:AQ)</f>
        <v>0</v>
      </c>
      <c r="AO30">
        <f>SUMIF(RawDataRecovered!$B:$B,$A30,RawDataRecovered!AR:AR)</f>
        <v>0</v>
      </c>
      <c r="AP30">
        <f>SUMIF(RawDataRecovered!$B:$B,$A30,RawDataRecovered!AS:AS)</f>
        <v>0</v>
      </c>
      <c r="AQ30">
        <f>SUMIF(RawDataRecovered!$B:$B,$A30,RawDataRecovered!AT:AT)</f>
        <v>0</v>
      </c>
      <c r="AR30">
        <f>SUMIF(RawDataRecovered!$B:$B,$A30,RawDataRecovered!AU:AU)</f>
        <v>0</v>
      </c>
      <c r="AS30">
        <f>SUMIF(RawDataRecovered!$B:$B,$A30,RawDataRecovered!AV:AV)</f>
        <v>0</v>
      </c>
      <c r="AT30">
        <f>SUMIF(RawDataRecovered!$B:$B,$A30,RawDataRecovered!AW:AW)</f>
        <v>0</v>
      </c>
      <c r="AU30">
        <f>SUMIF(RawDataRecovered!$B:$B,$A30,RawDataRecovered!AX:AX)</f>
        <v>0</v>
      </c>
      <c r="AV30">
        <f>SUMIF(RawDataRecovered!$B:$B,$A30,RawDataRecovered!AY:AY)</f>
        <v>0</v>
      </c>
      <c r="AW30">
        <f>SUMIF(RawDataRecovered!$B:$B,$A30,RawDataRecovered!AZ:AZ)</f>
        <v>0</v>
      </c>
      <c r="AX30">
        <f>SUMIF(RawDataRecovered!$B:$B,$A30,RawDataRecovered!BA:BA)</f>
        <v>0</v>
      </c>
      <c r="AY30">
        <f>SUMIF(RawDataRecovered!$B:$B,$A30,RawDataRecovered!BB:BB)</f>
        <v>0</v>
      </c>
      <c r="AZ30">
        <f>SUMIF(RawDataRecovered!$B:$B,$A30,RawDataRecovered!BC:BC)</f>
        <v>0</v>
      </c>
      <c r="BA30">
        <f>SUMIF(RawDataRecovered!$B:$B,$A30,RawDataRecovered!BD:BD)</f>
        <v>0</v>
      </c>
      <c r="BB30">
        <f>SUMIF(RawDataRecovered!$B:$B,$A30,RawDataRecovered!BE:BE)</f>
        <v>0</v>
      </c>
      <c r="BC30">
        <f>SUMIF(RawDataRecovered!$B:$B,$A30,RawDataRecovered!BF:BF)</f>
        <v>0</v>
      </c>
      <c r="BD30">
        <f>SUMIF(RawDataRecovered!$B:$B,$A30,RawDataRecovered!BG:BG)</f>
        <v>3</v>
      </c>
      <c r="BE30">
        <f>SUMIF(RawDataRecovered!$B:$B,$A30,RawDataRecovered!BH:BH)</f>
        <v>3</v>
      </c>
      <c r="BF30">
        <f>SUMIF(RawDataRecovered!$B:$B,$A30,RawDataRecovered!BI:BI)</f>
        <v>0</v>
      </c>
      <c r="BG30">
        <f>SUMIF(RawDataRecovered!$B:$B,$A30,RawDataRecovered!BJ:BJ)</f>
        <v>0</v>
      </c>
      <c r="BH30">
        <f>SUMIF(RawDataRecovered!$B:$B,$A30,RawDataRecovered!BK:BK)</f>
        <v>0</v>
      </c>
      <c r="BI30">
        <f>SUMIF(RawDataRecovered!$B:$B,$A30,RawDataRecovered!BL:BL)</f>
        <v>0</v>
      </c>
      <c r="BJ30">
        <f>SUMIF(RawDataRecovered!$B:$B,$A30,RawDataRecovered!BM:BM)</f>
        <v>0</v>
      </c>
      <c r="BK30">
        <f>SUMIF(RawDataRecovered!$B:$B,$A30,RawDataRecovered!BN:BN)</f>
        <v>0</v>
      </c>
      <c r="BL30">
        <f>SUMIF(RawDataRecovered!$B:$B,$A30,RawDataRecovered!BO:BO)</f>
        <v>0</v>
      </c>
      <c r="BM30">
        <f>SUMIF(RawDataRecovered!$B:$B,$A30,RawDataRecovered!BP:BP)</f>
        <v>0</v>
      </c>
      <c r="BN30">
        <f>SUMIF(RawDataRecovered!$B:$B,$A30,RawDataRecovered!BQ:BQ)</f>
        <v>0</v>
      </c>
      <c r="BO30">
        <f>SUMIF(RawDataRecovered!$B:$B,$A30,RawDataRecovered!BR:BR)</f>
        <v>0</v>
      </c>
      <c r="BP30">
        <f>SUMIF(RawDataRecovered!$B:$B,$A30,RawDataRecovered!BS:BS)</f>
        <v>0</v>
      </c>
      <c r="BQ30">
        <f>SUMIF(RawDataRecovered!$B:$B,$A30,RawDataRecovered!BT:BT)</f>
        <v>0</v>
      </c>
      <c r="BR30">
        <f>SUMIF(RawDataRecovered!$B:$B,$A30,RawDataRecovered!BU:BU)</f>
        <v>0</v>
      </c>
      <c r="BS30">
        <f>SUMIF(RawDataRecovered!$B:$B,$A30,RawDataRecovered!BV:BV)</f>
        <v>0</v>
      </c>
      <c r="BT30">
        <f>SUMIF(RawDataRecovered!$B:$B,$A30,RawDataRecovered!BW:BW)</f>
        <v>0</v>
      </c>
    </row>
    <row r="31" spans="1:72" ht="15" thickBot="1" x14ac:dyDescent="0.35">
      <c r="A31" s="4" t="s">
        <v>168</v>
      </c>
      <c r="B31">
        <f>SUMIF(RawDataRecovered!$B:$B,$A31,RawDataRecovered!E:E)</f>
        <v>0</v>
      </c>
      <c r="C31">
        <f>SUMIF(RawDataRecovered!$B:$B,$A31,RawDataRecovered!F:F)</f>
        <v>0</v>
      </c>
      <c r="D31">
        <f>SUMIF(RawDataRecovered!$B:$B,$A31,RawDataRecovered!G:G)</f>
        <v>0</v>
      </c>
      <c r="E31">
        <f>SUMIF(RawDataRecovered!$B:$B,$A31,RawDataRecovered!H:H)</f>
        <v>0</v>
      </c>
      <c r="F31">
        <f>SUMIF(RawDataRecovered!$B:$B,$A31,RawDataRecovered!I:I)</f>
        <v>0</v>
      </c>
      <c r="G31">
        <f>SUMIF(RawDataRecovered!$B:$B,$A31,RawDataRecovered!J:J)</f>
        <v>0</v>
      </c>
      <c r="H31">
        <f>SUMIF(RawDataRecovered!$B:$B,$A31,RawDataRecovered!K:K)</f>
        <v>0</v>
      </c>
      <c r="I31">
        <f>SUMIF(RawDataRecovered!$B:$B,$A31,RawDataRecovered!L:L)</f>
        <v>0</v>
      </c>
      <c r="J31">
        <f>SUMIF(RawDataRecovered!$B:$B,$A31,RawDataRecovered!M:M)</f>
        <v>0</v>
      </c>
      <c r="K31">
        <f>SUMIF(RawDataRecovered!$B:$B,$A31,RawDataRecovered!N:N)</f>
        <v>0</v>
      </c>
      <c r="L31">
        <f>SUMIF(RawDataRecovered!$B:$B,$A31,RawDataRecovered!O:O)</f>
        <v>0</v>
      </c>
      <c r="M31">
        <f>SUMIF(RawDataRecovered!$B:$B,$A31,RawDataRecovered!P:P)</f>
        <v>0</v>
      </c>
      <c r="N31">
        <f>SUMIF(RawDataRecovered!$B:$B,$A31,RawDataRecovered!Q:Q)</f>
        <v>0</v>
      </c>
      <c r="O31">
        <f>SUMIF(RawDataRecovered!$B:$B,$A31,RawDataRecovered!R:R)</f>
        <v>0</v>
      </c>
      <c r="P31">
        <f>SUMIF(RawDataRecovered!$B:$B,$A31,RawDataRecovered!S:S)</f>
        <v>0</v>
      </c>
      <c r="Q31">
        <f>SUMIF(RawDataRecovered!$B:$B,$A31,RawDataRecovered!T:T)</f>
        <v>0</v>
      </c>
      <c r="R31">
        <f>SUMIF(RawDataRecovered!$B:$B,$A31,RawDataRecovered!U:U)</f>
        <v>0</v>
      </c>
      <c r="S31">
        <f>SUMIF(RawDataRecovered!$B:$B,$A31,RawDataRecovered!V:V)</f>
        <v>0</v>
      </c>
      <c r="T31">
        <f>SUMIF(RawDataRecovered!$B:$B,$A31,RawDataRecovered!W:W)</f>
        <v>0</v>
      </c>
      <c r="U31">
        <f>SUMIF(RawDataRecovered!$B:$B,$A31,RawDataRecovered!X:X)</f>
        <v>0</v>
      </c>
      <c r="V31">
        <f>SUMIF(RawDataRecovered!$B:$B,$A31,RawDataRecovered!Y:Y)</f>
        <v>0</v>
      </c>
      <c r="W31">
        <f>SUMIF(RawDataRecovered!$B:$B,$A31,RawDataRecovered!Z:Z)</f>
        <v>0</v>
      </c>
      <c r="X31">
        <f>SUMIF(RawDataRecovered!$B:$B,$A31,RawDataRecovered!AA:AA)</f>
        <v>0</v>
      </c>
      <c r="Y31">
        <f>SUMIF(RawDataRecovered!$B:$B,$A31,RawDataRecovered!AB:AB)</f>
        <v>0</v>
      </c>
      <c r="Z31">
        <f>SUMIF(RawDataRecovered!$B:$B,$A31,RawDataRecovered!AC:AC)</f>
        <v>0</v>
      </c>
      <c r="AA31">
        <f>SUMIF(RawDataRecovered!$B:$B,$A31,RawDataRecovered!AD:AD)</f>
        <v>0</v>
      </c>
      <c r="AB31">
        <f>SUMIF(RawDataRecovered!$B:$B,$A31,RawDataRecovered!AE:AE)</f>
        <v>0</v>
      </c>
      <c r="AC31">
        <f>SUMIF(RawDataRecovered!$B:$B,$A31,RawDataRecovered!AF:AF)</f>
        <v>0</v>
      </c>
      <c r="AD31">
        <f>SUMIF(RawDataRecovered!$B:$B,$A31,RawDataRecovered!AG:AG)</f>
        <v>0</v>
      </c>
      <c r="AE31">
        <f>SUMIF(RawDataRecovered!$B:$B,$A31,RawDataRecovered!AH:AH)</f>
        <v>0</v>
      </c>
      <c r="AF31">
        <f>SUMIF(RawDataRecovered!$B:$B,$A31,RawDataRecovered!AI:AI)</f>
        <v>0</v>
      </c>
      <c r="AG31">
        <f>SUMIF(RawDataRecovered!$B:$B,$A31,RawDataRecovered!AJ:AJ)</f>
        <v>0</v>
      </c>
      <c r="AH31">
        <f>SUMIF(RawDataRecovered!$B:$B,$A31,RawDataRecovered!AK:AK)</f>
        <v>0</v>
      </c>
      <c r="AI31">
        <f>SUMIF(RawDataRecovered!$B:$B,$A31,RawDataRecovered!AL:AL)</f>
        <v>0</v>
      </c>
      <c r="AJ31">
        <f>SUMIF(RawDataRecovered!$B:$B,$A31,RawDataRecovered!AM:AM)</f>
        <v>0</v>
      </c>
      <c r="AK31">
        <f>SUMIF(RawDataRecovered!$B:$B,$A31,RawDataRecovered!AN:AN)</f>
        <v>0</v>
      </c>
      <c r="AL31">
        <f>SUMIF(RawDataRecovered!$B:$B,$A31,RawDataRecovered!AO:AO)</f>
        <v>0</v>
      </c>
      <c r="AM31">
        <f>SUMIF(RawDataRecovered!$B:$B,$A31,RawDataRecovered!AP:AP)</f>
        <v>0</v>
      </c>
      <c r="AN31">
        <f>SUMIF(RawDataRecovered!$B:$B,$A31,RawDataRecovered!AQ:AQ)</f>
        <v>0</v>
      </c>
      <c r="AO31">
        <f>SUMIF(RawDataRecovered!$B:$B,$A31,RawDataRecovered!AR:AR)</f>
        <v>0</v>
      </c>
      <c r="AP31">
        <f>SUMIF(RawDataRecovered!$B:$B,$A31,RawDataRecovered!AS:AS)</f>
        <v>0</v>
      </c>
      <c r="AQ31">
        <f>SUMIF(RawDataRecovered!$B:$B,$A31,RawDataRecovered!AT:AT)</f>
        <v>0</v>
      </c>
      <c r="AR31">
        <f>SUMIF(RawDataRecovered!$B:$B,$A31,RawDataRecovered!AU:AU)</f>
        <v>0</v>
      </c>
      <c r="AS31">
        <f>SUMIF(RawDataRecovered!$B:$B,$A31,RawDataRecovered!AV:AV)</f>
        <v>0</v>
      </c>
      <c r="AT31">
        <f>SUMIF(RawDataRecovered!$B:$B,$A31,RawDataRecovered!AW:AW)</f>
        <v>0</v>
      </c>
      <c r="AU31">
        <f>SUMIF(RawDataRecovered!$B:$B,$A31,RawDataRecovered!AX:AX)</f>
        <v>0</v>
      </c>
      <c r="AV31">
        <f>SUMIF(RawDataRecovered!$B:$B,$A31,RawDataRecovered!AY:AY)</f>
        <v>0</v>
      </c>
      <c r="AW31">
        <f>SUMIF(RawDataRecovered!$B:$B,$A31,RawDataRecovered!AZ:AZ)</f>
        <v>0</v>
      </c>
      <c r="AX31">
        <f>SUMIF(RawDataRecovered!$B:$B,$A31,RawDataRecovered!BA:BA)</f>
        <v>0</v>
      </c>
      <c r="AY31">
        <f>SUMIF(RawDataRecovered!$B:$B,$A31,RawDataRecovered!BB:BB)</f>
        <v>0</v>
      </c>
      <c r="AZ31">
        <f>SUMIF(RawDataRecovered!$B:$B,$A31,RawDataRecovered!BC:BC)</f>
        <v>0</v>
      </c>
      <c r="BA31">
        <f>SUMIF(RawDataRecovered!$B:$B,$A31,RawDataRecovered!BD:BD)</f>
        <v>0</v>
      </c>
      <c r="BB31">
        <f>SUMIF(RawDataRecovered!$B:$B,$A31,RawDataRecovered!BE:BE)</f>
        <v>0</v>
      </c>
      <c r="BC31">
        <f>SUMIF(RawDataRecovered!$B:$B,$A31,RawDataRecovered!BF:BF)</f>
        <v>0</v>
      </c>
      <c r="BD31">
        <f>SUMIF(RawDataRecovered!$B:$B,$A31,RawDataRecovered!BG:BG)</f>
        <v>0</v>
      </c>
      <c r="BE31">
        <f>SUMIF(RawDataRecovered!$B:$B,$A31,RawDataRecovered!BH:BH)</f>
        <v>0</v>
      </c>
      <c r="BF31">
        <f>SUMIF(RawDataRecovered!$B:$B,$A31,RawDataRecovered!BI:BI)</f>
        <v>0</v>
      </c>
      <c r="BG31">
        <f>SUMIF(RawDataRecovered!$B:$B,$A31,RawDataRecovered!BJ:BJ)</f>
        <v>0</v>
      </c>
      <c r="BH31">
        <f>SUMIF(RawDataRecovered!$B:$B,$A31,RawDataRecovered!BK:BK)</f>
        <v>0</v>
      </c>
      <c r="BI31">
        <f>SUMIF(RawDataRecovered!$B:$B,$A31,RawDataRecovered!BL:BL)</f>
        <v>0</v>
      </c>
      <c r="BJ31">
        <f>SUMIF(RawDataRecovered!$B:$B,$A31,RawDataRecovered!BM:BM)</f>
        <v>0</v>
      </c>
      <c r="BK31">
        <f>SUMIF(RawDataRecovered!$B:$B,$A31,RawDataRecovered!BN:BN)</f>
        <v>0</v>
      </c>
      <c r="BL31">
        <f>SUMIF(RawDataRecovered!$B:$B,$A31,RawDataRecovered!BO:BO)</f>
        <v>0</v>
      </c>
      <c r="BM31">
        <f>SUMIF(RawDataRecovered!$B:$B,$A31,RawDataRecovered!BP:BP)</f>
        <v>0</v>
      </c>
      <c r="BN31">
        <f>SUMIF(RawDataRecovered!$B:$B,$A31,RawDataRecovered!BQ:BQ)</f>
        <v>0</v>
      </c>
      <c r="BO31">
        <f>SUMIF(RawDataRecovered!$B:$B,$A31,RawDataRecovered!BR:BR)</f>
        <v>0</v>
      </c>
      <c r="BP31">
        <f>SUMIF(RawDataRecovered!$B:$B,$A31,RawDataRecovered!BS:BS)</f>
        <v>0</v>
      </c>
      <c r="BQ31">
        <f>SUMIF(RawDataRecovered!$B:$B,$A31,RawDataRecovered!BT:BT)</f>
        <v>0</v>
      </c>
      <c r="BR31">
        <f>SUMIF(RawDataRecovered!$B:$B,$A31,RawDataRecovered!BU:BU)</f>
        <v>0</v>
      </c>
      <c r="BS31">
        <f>SUMIF(RawDataRecovered!$B:$B,$A31,RawDataRecovered!BV:BV)</f>
        <v>0</v>
      </c>
      <c r="BT31">
        <f>SUMIF(RawDataRecovered!$B:$B,$A31,RawDataRecovered!BW:BW)</f>
        <v>0</v>
      </c>
    </row>
    <row r="32" spans="1:72" ht="15" thickBot="1" x14ac:dyDescent="0.35">
      <c r="A32" s="4" t="s">
        <v>119</v>
      </c>
      <c r="B32">
        <f>SUMIF(RawDataRecovered!$B:$B,$A32,RawDataRecovered!E:E)</f>
        <v>0</v>
      </c>
      <c r="C32">
        <f>SUMIF(RawDataRecovered!$B:$B,$A32,RawDataRecovered!F:F)</f>
        <v>0</v>
      </c>
      <c r="D32">
        <f>SUMIF(RawDataRecovered!$B:$B,$A32,RawDataRecovered!G:G)</f>
        <v>0</v>
      </c>
      <c r="E32">
        <f>SUMIF(RawDataRecovered!$B:$B,$A32,RawDataRecovered!H:H)</f>
        <v>0</v>
      </c>
      <c r="F32">
        <f>SUMIF(RawDataRecovered!$B:$B,$A32,RawDataRecovered!I:I)</f>
        <v>0</v>
      </c>
      <c r="G32">
        <f>SUMIF(RawDataRecovered!$B:$B,$A32,RawDataRecovered!J:J)</f>
        <v>0</v>
      </c>
      <c r="H32">
        <f>SUMIF(RawDataRecovered!$B:$B,$A32,RawDataRecovered!K:K)</f>
        <v>0</v>
      </c>
      <c r="I32">
        <f>SUMIF(RawDataRecovered!$B:$B,$A32,RawDataRecovered!L:L)</f>
        <v>0</v>
      </c>
      <c r="J32">
        <f>SUMIF(RawDataRecovered!$B:$B,$A32,RawDataRecovered!M:M)</f>
        <v>0</v>
      </c>
      <c r="K32">
        <f>SUMIF(RawDataRecovered!$B:$B,$A32,RawDataRecovered!N:N)</f>
        <v>0</v>
      </c>
      <c r="L32">
        <f>SUMIF(RawDataRecovered!$B:$B,$A32,RawDataRecovered!O:O)</f>
        <v>0</v>
      </c>
      <c r="M32">
        <f>SUMIF(RawDataRecovered!$B:$B,$A32,RawDataRecovered!P:P)</f>
        <v>0</v>
      </c>
      <c r="N32">
        <f>SUMIF(RawDataRecovered!$B:$B,$A32,RawDataRecovered!Q:Q)</f>
        <v>0</v>
      </c>
      <c r="O32">
        <f>SUMIF(RawDataRecovered!$B:$B,$A32,RawDataRecovered!R:R)</f>
        <v>0</v>
      </c>
      <c r="P32">
        <f>SUMIF(RawDataRecovered!$B:$B,$A32,RawDataRecovered!S:S)</f>
        <v>0</v>
      </c>
      <c r="Q32">
        <f>SUMIF(RawDataRecovered!$B:$B,$A32,RawDataRecovered!T:T)</f>
        <v>0</v>
      </c>
      <c r="R32">
        <f>SUMIF(RawDataRecovered!$B:$B,$A32,RawDataRecovered!U:U)</f>
        <v>0</v>
      </c>
      <c r="S32">
        <f>SUMIF(RawDataRecovered!$B:$B,$A32,RawDataRecovered!V:V)</f>
        <v>0</v>
      </c>
      <c r="T32">
        <f>SUMIF(RawDataRecovered!$B:$B,$A32,RawDataRecovered!W:W)</f>
        <v>0</v>
      </c>
      <c r="U32">
        <f>SUMIF(RawDataRecovered!$B:$B,$A32,RawDataRecovered!X:X)</f>
        <v>0</v>
      </c>
      <c r="V32">
        <f>SUMIF(RawDataRecovered!$B:$B,$A32,RawDataRecovered!Y:Y)</f>
        <v>0</v>
      </c>
      <c r="W32">
        <f>SUMIF(RawDataRecovered!$B:$B,$A32,RawDataRecovered!Z:Z)</f>
        <v>0</v>
      </c>
      <c r="X32">
        <f>SUMIF(RawDataRecovered!$B:$B,$A32,RawDataRecovered!AA:AA)</f>
        <v>0</v>
      </c>
      <c r="Y32">
        <f>SUMIF(RawDataRecovered!$B:$B,$A32,RawDataRecovered!AB:AB)</f>
        <v>0</v>
      </c>
      <c r="Z32">
        <f>SUMIF(RawDataRecovered!$B:$B,$A32,RawDataRecovered!AC:AC)</f>
        <v>0</v>
      </c>
      <c r="AA32">
        <f>SUMIF(RawDataRecovered!$B:$B,$A32,RawDataRecovered!AD:AD)</f>
        <v>0</v>
      </c>
      <c r="AB32">
        <f>SUMIF(RawDataRecovered!$B:$B,$A32,RawDataRecovered!AE:AE)</f>
        <v>0</v>
      </c>
      <c r="AC32">
        <f>SUMIF(RawDataRecovered!$B:$B,$A32,RawDataRecovered!AF:AF)</f>
        <v>0</v>
      </c>
      <c r="AD32">
        <f>SUMIF(RawDataRecovered!$B:$B,$A32,RawDataRecovered!AG:AG)</f>
        <v>0</v>
      </c>
      <c r="AE32">
        <f>SUMIF(RawDataRecovered!$B:$B,$A32,RawDataRecovered!AH:AH)</f>
        <v>0</v>
      </c>
      <c r="AF32">
        <f>SUMIF(RawDataRecovered!$B:$B,$A32,RawDataRecovered!AI:AI)</f>
        <v>0</v>
      </c>
      <c r="AG32">
        <f>SUMIF(RawDataRecovered!$B:$B,$A32,RawDataRecovered!AJ:AJ)</f>
        <v>0</v>
      </c>
      <c r="AH32">
        <f>SUMIF(RawDataRecovered!$B:$B,$A32,RawDataRecovered!AK:AK)</f>
        <v>0</v>
      </c>
      <c r="AI32">
        <f>SUMIF(RawDataRecovered!$B:$B,$A32,RawDataRecovered!AL:AL)</f>
        <v>0</v>
      </c>
      <c r="AJ32">
        <f>SUMIF(RawDataRecovered!$B:$B,$A32,RawDataRecovered!AM:AM)</f>
        <v>0</v>
      </c>
      <c r="AK32">
        <f>SUMIF(RawDataRecovered!$B:$B,$A32,RawDataRecovered!AN:AN)</f>
        <v>0</v>
      </c>
      <c r="AL32">
        <f>SUMIF(RawDataRecovered!$B:$B,$A32,RawDataRecovered!AO:AO)</f>
        <v>0</v>
      </c>
      <c r="AM32">
        <f>SUMIF(RawDataRecovered!$B:$B,$A32,RawDataRecovered!AP:AP)</f>
        <v>0</v>
      </c>
      <c r="AN32">
        <f>SUMIF(RawDataRecovered!$B:$B,$A32,RawDataRecovered!AQ:AQ)</f>
        <v>0</v>
      </c>
      <c r="AO32">
        <f>SUMIF(RawDataRecovered!$B:$B,$A32,RawDataRecovered!AR:AR)</f>
        <v>0</v>
      </c>
      <c r="AP32">
        <f>SUMIF(RawDataRecovered!$B:$B,$A32,RawDataRecovered!AS:AS)</f>
        <v>0</v>
      </c>
      <c r="AQ32">
        <f>SUMIF(RawDataRecovered!$B:$B,$A32,RawDataRecovered!AT:AT)</f>
        <v>0</v>
      </c>
      <c r="AR32">
        <f>SUMIF(RawDataRecovered!$B:$B,$A32,RawDataRecovered!AU:AU)</f>
        <v>0</v>
      </c>
      <c r="AS32">
        <f>SUMIF(RawDataRecovered!$B:$B,$A32,RawDataRecovered!AV:AV)</f>
        <v>0</v>
      </c>
      <c r="AT32">
        <f>SUMIF(RawDataRecovered!$B:$B,$A32,RawDataRecovered!AW:AW)</f>
        <v>0</v>
      </c>
      <c r="AU32">
        <f>SUMIF(RawDataRecovered!$B:$B,$A32,RawDataRecovered!AX:AX)</f>
        <v>0</v>
      </c>
      <c r="AV32">
        <f>SUMIF(RawDataRecovered!$B:$B,$A32,RawDataRecovered!AY:AY)</f>
        <v>0</v>
      </c>
      <c r="AW32">
        <f>SUMIF(RawDataRecovered!$B:$B,$A32,RawDataRecovered!AZ:AZ)</f>
        <v>0</v>
      </c>
      <c r="AX32">
        <f>SUMIF(RawDataRecovered!$B:$B,$A32,RawDataRecovered!BA:BA)</f>
        <v>1</v>
      </c>
      <c r="AY32">
        <f>SUMIF(RawDataRecovered!$B:$B,$A32,RawDataRecovered!BB:BB)</f>
        <v>1</v>
      </c>
      <c r="AZ32">
        <f>SUMIF(RawDataRecovered!$B:$B,$A32,RawDataRecovered!BC:BC)</f>
        <v>1</v>
      </c>
      <c r="BA32">
        <f>SUMIF(RawDataRecovered!$B:$B,$A32,RawDataRecovered!BD:BD)</f>
        <v>1</v>
      </c>
      <c r="BB32">
        <f>SUMIF(RawDataRecovered!$B:$B,$A32,RawDataRecovered!BE:BE)</f>
        <v>1</v>
      </c>
      <c r="BC32">
        <f>SUMIF(RawDataRecovered!$B:$B,$A32,RawDataRecovered!BF:BF)</f>
        <v>8</v>
      </c>
      <c r="BD32">
        <f>SUMIF(RawDataRecovered!$B:$B,$A32,RawDataRecovered!BG:BG)</f>
        <v>0</v>
      </c>
      <c r="BE32">
        <f>SUMIF(RawDataRecovered!$B:$B,$A32,RawDataRecovered!BH:BH)</f>
        <v>0</v>
      </c>
      <c r="BF32">
        <f>SUMIF(RawDataRecovered!$B:$B,$A32,RawDataRecovered!BI:BI)</f>
        <v>0</v>
      </c>
      <c r="BG32">
        <f>SUMIF(RawDataRecovered!$B:$B,$A32,RawDataRecovered!BJ:BJ)</f>
        <v>0</v>
      </c>
      <c r="BH32">
        <f>SUMIF(RawDataRecovered!$B:$B,$A32,RawDataRecovered!BK:BK)</f>
        <v>0</v>
      </c>
      <c r="BI32">
        <f>SUMIF(RawDataRecovered!$B:$B,$A32,RawDataRecovered!BL:BL)</f>
        <v>0</v>
      </c>
      <c r="BJ32">
        <f>SUMIF(RawDataRecovered!$B:$B,$A32,RawDataRecovered!BM:BM)</f>
        <v>0</v>
      </c>
      <c r="BK32">
        <f>SUMIF(RawDataRecovered!$B:$B,$A32,RawDataRecovered!BN:BN)</f>
        <v>0</v>
      </c>
      <c r="BL32">
        <f>SUMIF(RawDataRecovered!$B:$B,$A32,RawDataRecovered!BO:BO)</f>
        <v>0</v>
      </c>
      <c r="BM32">
        <f>SUMIF(RawDataRecovered!$B:$B,$A32,RawDataRecovered!BP:BP)</f>
        <v>0</v>
      </c>
      <c r="BN32">
        <f>SUMIF(RawDataRecovered!$B:$B,$A32,RawDataRecovered!BQ:BQ)</f>
        <v>0</v>
      </c>
      <c r="BO32">
        <f>SUMIF(RawDataRecovered!$B:$B,$A32,RawDataRecovered!BR:BR)</f>
        <v>0</v>
      </c>
      <c r="BP32">
        <f>SUMIF(RawDataRecovered!$B:$B,$A32,RawDataRecovered!BS:BS)</f>
        <v>0</v>
      </c>
      <c r="BQ32">
        <f>SUMIF(RawDataRecovered!$B:$B,$A32,RawDataRecovered!BT:BT)</f>
        <v>0</v>
      </c>
      <c r="BR32">
        <f>SUMIF(RawDataRecovered!$B:$B,$A32,RawDataRecovered!BU:BU)</f>
        <v>0</v>
      </c>
      <c r="BS32">
        <f>SUMIF(RawDataRecovered!$B:$B,$A32,RawDataRecovered!BV:BV)</f>
        <v>0</v>
      </c>
      <c r="BT32">
        <f>SUMIF(RawDataRecovered!$B:$B,$A32,RawDataRecovered!BW:BW)</f>
        <v>0</v>
      </c>
    </row>
    <row r="33" spans="1:72" ht="15" thickBot="1" x14ac:dyDescent="0.35">
      <c r="A33" s="3" t="s">
        <v>135</v>
      </c>
      <c r="B33">
        <f>SUMIF(RawDataRecovered!$B:$B,$A33,RawDataRecovered!E:E)</f>
        <v>0</v>
      </c>
      <c r="C33">
        <f>SUMIF(RawDataRecovered!$B:$B,$A33,RawDataRecovered!F:F)</f>
        <v>0</v>
      </c>
      <c r="D33">
        <f>SUMIF(RawDataRecovered!$B:$B,$A33,RawDataRecovered!G:G)</f>
        <v>0</v>
      </c>
      <c r="E33">
        <f>SUMIF(RawDataRecovered!$B:$B,$A33,RawDataRecovered!H:H)</f>
        <v>0</v>
      </c>
      <c r="F33">
        <f>SUMIF(RawDataRecovered!$B:$B,$A33,RawDataRecovered!I:I)</f>
        <v>0</v>
      </c>
      <c r="G33">
        <f>SUMIF(RawDataRecovered!$B:$B,$A33,RawDataRecovered!J:J)</f>
        <v>0</v>
      </c>
      <c r="H33">
        <f>SUMIF(RawDataRecovered!$B:$B,$A33,RawDataRecovered!K:K)</f>
        <v>0</v>
      </c>
      <c r="I33">
        <f>SUMIF(RawDataRecovered!$B:$B,$A33,RawDataRecovered!L:L)</f>
        <v>0</v>
      </c>
      <c r="J33">
        <f>SUMIF(RawDataRecovered!$B:$B,$A33,RawDataRecovered!M:M)</f>
        <v>0</v>
      </c>
      <c r="K33">
        <f>SUMIF(RawDataRecovered!$B:$B,$A33,RawDataRecovered!N:N)</f>
        <v>0</v>
      </c>
      <c r="L33">
        <f>SUMIF(RawDataRecovered!$B:$B,$A33,RawDataRecovered!O:O)</f>
        <v>0</v>
      </c>
      <c r="M33">
        <f>SUMIF(RawDataRecovered!$B:$B,$A33,RawDataRecovered!P:P)</f>
        <v>0</v>
      </c>
      <c r="N33">
        <f>SUMIF(RawDataRecovered!$B:$B,$A33,RawDataRecovered!Q:Q)</f>
        <v>0</v>
      </c>
      <c r="O33">
        <f>SUMIF(RawDataRecovered!$B:$B,$A33,RawDataRecovered!R:R)</f>
        <v>0</v>
      </c>
      <c r="P33">
        <f>SUMIF(RawDataRecovered!$B:$B,$A33,RawDataRecovered!S:S)</f>
        <v>0</v>
      </c>
      <c r="Q33">
        <f>SUMIF(RawDataRecovered!$B:$B,$A33,RawDataRecovered!T:T)</f>
        <v>0</v>
      </c>
      <c r="R33">
        <f>SUMIF(RawDataRecovered!$B:$B,$A33,RawDataRecovered!U:U)</f>
        <v>0</v>
      </c>
      <c r="S33">
        <f>SUMIF(RawDataRecovered!$B:$B,$A33,RawDataRecovered!V:V)</f>
        <v>0</v>
      </c>
      <c r="T33">
        <f>SUMIF(RawDataRecovered!$B:$B,$A33,RawDataRecovered!W:W)</f>
        <v>0</v>
      </c>
      <c r="U33">
        <f>SUMIF(RawDataRecovered!$B:$B,$A33,RawDataRecovered!X:X)</f>
        <v>0</v>
      </c>
      <c r="V33">
        <f>SUMIF(RawDataRecovered!$B:$B,$A33,RawDataRecovered!Y:Y)</f>
        <v>0</v>
      </c>
      <c r="W33">
        <f>SUMIF(RawDataRecovered!$B:$B,$A33,RawDataRecovered!Z:Z)</f>
        <v>0</v>
      </c>
      <c r="X33">
        <f>SUMIF(RawDataRecovered!$B:$B,$A33,RawDataRecovered!AA:AA)</f>
        <v>0</v>
      </c>
      <c r="Y33">
        <f>SUMIF(RawDataRecovered!$B:$B,$A33,RawDataRecovered!AB:AB)</f>
        <v>0</v>
      </c>
      <c r="Z33">
        <f>SUMIF(RawDataRecovered!$B:$B,$A33,RawDataRecovered!AC:AC)</f>
        <v>0</v>
      </c>
      <c r="AA33">
        <f>SUMIF(RawDataRecovered!$B:$B,$A33,RawDataRecovered!AD:AD)</f>
        <v>0</v>
      </c>
      <c r="AB33">
        <f>SUMIF(RawDataRecovered!$B:$B,$A33,RawDataRecovered!AE:AE)</f>
        <v>0</v>
      </c>
      <c r="AC33">
        <f>SUMIF(RawDataRecovered!$B:$B,$A33,RawDataRecovered!AF:AF)</f>
        <v>0</v>
      </c>
      <c r="AD33">
        <f>SUMIF(RawDataRecovered!$B:$B,$A33,RawDataRecovered!AG:AG)</f>
        <v>0</v>
      </c>
      <c r="AE33">
        <f>SUMIF(RawDataRecovered!$B:$B,$A33,RawDataRecovered!AH:AH)</f>
        <v>0</v>
      </c>
      <c r="AF33">
        <f>SUMIF(RawDataRecovered!$B:$B,$A33,RawDataRecovered!AI:AI)</f>
        <v>0</v>
      </c>
      <c r="AG33">
        <f>SUMIF(RawDataRecovered!$B:$B,$A33,RawDataRecovered!AJ:AJ)</f>
        <v>0</v>
      </c>
      <c r="AH33">
        <f>SUMIF(RawDataRecovered!$B:$B,$A33,RawDataRecovered!AK:AK)</f>
        <v>0</v>
      </c>
      <c r="AI33">
        <f>SUMIF(RawDataRecovered!$B:$B,$A33,RawDataRecovered!AL:AL)</f>
        <v>0</v>
      </c>
      <c r="AJ33">
        <f>SUMIF(RawDataRecovered!$B:$B,$A33,RawDataRecovered!AM:AM)</f>
        <v>0</v>
      </c>
      <c r="AK33">
        <f>SUMIF(RawDataRecovered!$B:$B,$A33,RawDataRecovered!AN:AN)</f>
        <v>0</v>
      </c>
      <c r="AL33">
        <f>SUMIF(RawDataRecovered!$B:$B,$A33,RawDataRecovered!AO:AO)</f>
        <v>0</v>
      </c>
      <c r="AM33">
        <f>SUMIF(RawDataRecovered!$B:$B,$A33,RawDataRecovered!AP:AP)</f>
        <v>0</v>
      </c>
      <c r="AN33">
        <f>SUMIF(RawDataRecovered!$B:$B,$A33,RawDataRecovered!AQ:AQ)</f>
        <v>0</v>
      </c>
      <c r="AO33">
        <f>SUMIF(RawDataRecovered!$B:$B,$A33,RawDataRecovered!AR:AR)</f>
        <v>0</v>
      </c>
      <c r="AP33">
        <f>SUMIF(RawDataRecovered!$B:$B,$A33,RawDataRecovered!AS:AS)</f>
        <v>0</v>
      </c>
      <c r="AQ33">
        <f>SUMIF(RawDataRecovered!$B:$B,$A33,RawDataRecovered!AT:AT)</f>
        <v>0</v>
      </c>
      <c r="AR33">
        <f>SUMIF(RawDataRecovered!$B:$B,$A33,RawDataRecovered!AU:AU)</f>
        <v>0</v>
      </c>
      <c r="AS33">
        <f>SUMIF(RawDataRecovered!$B:$B,$A33,RawDataRecovered!AV:AV)</f>
        <v>0</v>
      </c>
      <c r="AT33">
        <f>SUMIF(RawDataRecovered!$B:$B,$A33,RawDataRecovered!AW:AW)</f>
        <v>0</v>
      </c>
      <c r="AU33">
        <f>SUMIF(RawDataRecovered!$B:$B,$A33,RawDataRecovered!AX:AX)</f>
        <v>0</v>
      </c>
      <c r="AV33">
        <f>SUMIF(RawDataRecovered!$B:$B,$A33,RawDataRecovered!AY:AY)</f>
        <v>0</v>
      </c>
      <c r="AW33">
        <f>SUMIF(RawDataRecovered!$B:$B,$A33,RawDataRecovered!AZ:AZ)</f>
        <v>0</v>
      </c>
      <c r="AX33">
        <f>SUMIF(RawDataRecovered!$B:$B,$A33,RawDataRecovered!BA:BA)</f>
        <v>0</v>
      </c>
      <c r="AY33">
        <f>SUMIF(RawDataRecovered!$B:$B,$A33,RawDataRecovered!BB:BB)</f>
        <v>0</v>
      </c>
      <c r="AZ33">
        <f>SUMIF(RawDataRecovered!$B:$B,$A33,RawDataRecovered!BC:BC)</f>
        <v>0</v>
      </c>
      <c r="BA33">
        <f>SUMIF(RawDataRecovered!$B:$B,$A33,RawDataRecovered!BD:BD)</f>
        <v>1</v>
      </c>
      <c r="BB33">
        <f>SUMIF(RawDataRecovered!$B:$B,$A33,RawDataRecovered!BE:BE)</f>
        <v>2</v>
      </c>
      <c r="BC33">
        <f>SUMIF(RawDataRecovered!$B:$B,$A33,RawDataRecovered!BF:BF)</f>
        <v>2</v>
      </c>
      <c r="BD33">
        <f>SUMIF(RawDataRecovered!$B:$B,$A33,RawDataRecovered!BG:BG)</f>
        <v>3</v>
      </c>
      <c r="BE33">
        <f>SUMIF(RawDataRecovered!$B:$B,$A33,RawDataRecovered!BH:BH)</f>
        <v>3</v>
      </c>
      <c r="BF33">
        <f>SUMIF(RawDataRecovered!$B:$B,$A33,RawDataRecovered!BI:BI)</f>
        <v>0</v>
      </c>
      <c r="BG33">
        <f>SUMIF(RawDataRecovered!$B:$B,$A33,RawDataRecovered!BJ:BJ)</f>
        <v>0</v>
      </c>
      <c r="BH33">
        <f>SUMIF(RawDataRecovered!$B:$B,$A33,RawDataRecovered!BK:BK)</f>
        <v>0</v>
      </c>
      <c r="BI33">
        <f>SUMIF(RawDataRecovered!$B:$B,$A33,RawDataRecovered!BL:BL)</f>
        <v>0</v>
      </c>
      <c r="BJ33">
        <f>SUMIF(RawDataRecovered!$B:$B,$A33,RawDataRecovered!BM:BM)</f>
        <v>0</v>
      </c>
      <c r="BK33">
        <f>SUMIF(RawDataRecovered!$B:$B,$A33,RawDataRecovered!BN:BN)</f>
        <v>0</v>
      </c>
      <c r="BL33">
        <f>SUMIF(RawDataRecovered!$B:$B,$A33,RawDataRecovered!BO:BO)</f>
        <v>0</v>
      </c>
      <c r="BM33">
        <f>SUMIF(RawDataRecovered!$B:$B,$A33,RawDataRecovered!BP:BP)</f>
        <v>0</v>
      </c>
      <c r="BN33">
        <f>SUMIF(RawDataRecovered!$B:$B,$A33,RawDataRecovered!BQ:BQ)</f>
        <v>0</v>
      </c>
      <c r="BO33">
        <f>SUMIF(RawDataRecovered!$B:$B,$A33,RawDataRecovered!BR:BR)</f>
        <v>0</v>
      </c>
      <c r="BP33">
        <f>SUMIF(RawDataRecovered!$B:$B,$A33,RawDataRecovered!BS:BS)</f>
        <v>0</v>
      </c>
      <c r="BQ33">
        <f>SUMIF(RawDataRecovered!$B:$B,$A33,RawDataRecovered!BT:BT)</f>
        <v>0</v>
      </c>
      <c r="BR33">
        <f>SUMIF(RawDataRecovered!$B:$B,$A33,RawDataRecovered!BU:BU)</f>
        <v>0</v>
      </c>
      <c r="BS33">
        <f>SUMIF(RawDataRecovered!$B:$B,$A33,RawDataRecovered!BV:BV)</f>
        <v>0</v>
      </c>
      <c r="BT33">
        <f>SUMIF(RawDataRecovered!$B:$B,$A33,RawDataRecovered!BW:BW)</f>
        <v>0</v>
      </c>
    </row>
    <row r="34" spans="1:72" ht="15" thickBot="1" x14ac:dyDescent="0.35">
      <c r="A34" s="3" t="s">
        <v>97</v>
      </c>
      <c r="B34">
        <f>SUMIF(RawDataRecovered!$B:$B,$A34,RawDataRecovered!E:E)</f>
        <v>0</v>
      </c>
      <c r="C34">
        <f>SUMIF(RawDataRecovered!$B:$B,$A34,RawDataRecovered!F:F)</f>
        <v>0</v>
      </c>
      <c r="D34">
        <f>SUMIF(RawDataRecovered!$B:$B,$A34,RawDataRecovered!G:G)</f>
        <v>0</v>
      </c>
      <c r="E34">
        <f>SUMIF(RawDataRecovered!$B:$B,$A34,RawDataRecovered!H:H)</f>
        <v>0</v>
      </c>
      <c r="F34">
        <f>SUMIF(RawDataRecovered!$B:$B,$A34,RawDataRecovered!I:I)</f>
        <v>0</v>
      </c>
      <c r="G34">
        <f>SUMIF(RawDataRecovered!$B:$B,$A34,RawDataRecovered!J:J)</f>
        <v>0</v>
      </c>
      <c r="H34">
        <f>SUMIF(RawDataRecovered!$B:$B,$A34,RawDataRecovered!K:K)</f>
        <v>0</v>
      </c>
      <c r="I34">
        <f>SUMIF(RawDataRecovered!$B:$B,$A34,RawDataRecovered!L:L)</f>
        <v>0</v>
      </c>
      <c r="J34">
        <f>SUMIF(RawDataRecovered!$B:$B,$A34,RawDataRecovered!M:M)</f>
        <v>0</v>
      </c>
      <c r="K34">
        <f>SUMIF(RawDataRecovered!$B:$B,$A34,RawDataRecovered!N:N)</f>
        <v>0</v>
      </c>
      <c r="L34">
        <f>SUMIF(RawDataRecovered!$B:$B,$A34,RawDataRecovered!O:O)</f>
        <v>0</v>
      </c>
      <c r="M34">
        <f>SUMIF(RawDataRecovered!$B:$B,$A34,RawDataRecovered!P:P)</f>
        <v>0</v>
      </c>
      <c r="N34">
        <f>SUMIF(RawDataRecovered!$B:$B,$A34,RawDataRecovered!Q:Q)</f>
        <v>0</v>
      </c>
      <c r="O34">
        <f>SUMIF(RawDataRecovered!$B:$B,$A34,RawDataRecovered!R:R)</f>
        <v>0</v>
      </c>
      <c r="P34">
        <f>SUMIF(RawDataRecovered!$B:$B,$A34,RawDataRecovered!S:S)</f>
        <v>0</v>
      </c>
      <c r="Q34">
        <f>SUMIF(RawDataRecovered!$B:$B,$A34,RawDataRecovered!T:T)</f>
        <v>0</v>
      </c>
      <c r="R34">
        <f>SUMIF(RawDataRecovered!$B:$B,$A34,RawDataRecovered!U:U)</f>
        <v>0</v>
      </c>
      <c r="S34">
        <f>SUMIF(RawDataRecovered!$B:$B,$A34,RawDataRecovered!V:V)</f>
        <v>0</v>
      </c>
      <c r="T34">
        <f>SUMIF(RawDataRecovered!$B:$B,$A34,RawDataRecovered!W:W)</f>
        <v>0</v>
      </c>
      <c r="U34">
        <f>SUMIF(RawDataRecovered!$B:$B,$A34,RawDataRecovered!X:X)</f>
        <v>0</v>
      </c>
      <c r="V34">
        <f>SUMIF(RawDataRecovered!$B:$B,$A34,RawDataRecovered!Y:Y)</f>
        <v>0</v>
      </c>
      <c r="W34">
        <f>SUMIF(RawDataRecovered!$B:$B,$A34,RawDataRecovered!Z:Z)</f>
        <v>0</v>
      </c>
      <c r="X34">
        <f>SUMIF(RawDataRecovered!$B:$B,$A34,RawDataRecovered!AA:AA)</f>
        <v>0</v>
      </c>
      <c r="Y34">
        <f>SUMIF(RawDataRecovered!$B:$B,$A34,RawDataRecovered!AB:AB)</f>
        <v>0</v>
      </c>
      <c r="Z34">
        <f>SUMIF(RawDataRecovered!$B:$B,$A34,RawDataRecovered!AC:AC)</f>
        <v>0</v>
      </c>
      <c r="AA34">
        <f>SUMIF(RawDataRecovered!$B:$B,$A34,RawDataRecovered!AD:AD)</f>
        <v>0</v>
      </c>
      <c r="AB34">
        <f>SUMIF(RawDataRecovered!$B:$B,$A34,RawDataRecovered!AE:AE)</f>
        <v>0</v>
      </c>
      <c r="AC34">
        <f>SUMIF(RawDataRecovered!$B:$B,$A34,RawDataRecovered!AF:AF)</f>
        <v>0</v>
      </c>
      <c r="AD34">
        <f>SUMIF(RawDataRecovered!$B:$B,$A34,RawDataRecovered!AG:AG)</f>
        <v>0</v>
      </c>
      <c r="AE34">
        <f>SUMIF(RawDataRecovered!$B:$B,$A34,RawDataRecovered!AH:AH)</f>
        <v>0</v>
      </c>
      <c r="AF34">
        <f>SUMIF(RawDataRecovered!$B:$B,$A34,RawDataRecovered!AI:AI)</f>
        <v>0</v>
      </c>
      <c r="AG34">
        <f>SUMIF(RawDataRecovered!$B:$B,$A34,RawDataRecovered!AJ:AJ)</f>
        <v>0</v>
      </c>
      <c r="AH34">
        <f>SUMIF(RawDataRecovered!$B:$B,$A34,RawDataRecovered!AK:AK)</f>
        <v>0</v>
      </c>
      <c r="AI34">
        <f>SUMIF(RawDataRecovered!$B:$B,$A34,RawDataRecovered!AL:AL)</f>
        <v>0</v>
      </c>
      <c r="AJ34">
        <f>SUMIF(RawDataRecovered!$B:$B,$A34,RawDataRecovered!AM:AM)</f>
        <v>0</v>
      </c>
      <c r="AK34">
        <f>SUMIF(RawDataRecovered!$B:$B,$A34,RawDataRecovered!AN:AN)</f>
        <v>0</v>
      </c>
      <c r="AL34">
        <f>SUMIF(RawDataRecovered!$B:$B,$A34,RawDataRecovered!AO:AO)</f>
        <v>0</v>
      </c>
      <c r="AM34">
        <f>SUMIF(RawDataRecovered!$B:$B,$A34,RawDataRecovered!AP:AP)</f>
        <v>0</v>
      </c>
      <c r="AN34">
        <f>SUMIF(RawDataRecovered!$B:$B,$A34,RawDataRecovered!AQ:AQ)</f>
        <v>0</v>
      </c>
      <c r="AO34">
        <f>SUMIF(RawDataRecovered!$B:$B,$A34,RawDataRecovered!AR:AR)</f>
        <v>0</v>
      </c>
      <c r="AP34">
        <f>SUMIF(RawDataRecovered!$B:$B,$A34,RawDataRecovered!AS:AS)</f>
        <v>0</v>
      </c>
      <c r="AQ34">
        <f>SUMIF(RawDataRecovered!$B:$B,$A34,RawDataRecovered!AT:AT)</f>
        <v>0</v>
      </c>
      <c r="AR34">
        <f>SUMIF(RawDataRecovered!$B:$B,$A34,RawDataRecovered!AU:AU)</f>
        <v>0</v>
      </c>
      <c r="AS34">
        <f>SUMIF(RawDataRecovered!$B:$B,$A34,RawDataRecovered!AV:AV)</f>
        <v>0</v>
      </c>
      <c r="AT34">
        <f>SUMIF(RawDataRecovered!$B:$B,$A34,RawDataRecovered!AW:AW)</f>
        <v>0</v>
      </c>
      <c r="AU34">
        <f>SUMIF(RawDataRecovered!$B:$B,$A34,RawDataRecovered!AX:AX)</f>
        <v>0</v>
      </c>
      <c r="AV34">
        <f>SUMIF(RawDataRecovered!$B:$B,$A34,RawDataRecovered!AY:AY)</f>
        <v>0</v>
      </c>
      <c r="AW34">
        <f>SUMIF(RawDataRecovered!$B:$B,$A34,RawDataRecovered!AZ:AZ)</f>
        <v>3</v>
      </c>
      <c r="AX34">
        <f>SUMIF(RawDataRecovered!$B:$B,$A34,RawDataRecovered!BA:BA)</f>
        <v>3</v>
      </c>
      <c r="AY34">
        <f>SUMIF(RawDataRecovered!$B:$B,$A34,RawDataRecovered!BB:BB)</f>
        <v>15</v>
      </c>
      <c r="AZ34">
        <f>SUMIF(RawDataRecovered!$B:$B,$A34,RawDataRecovered!BC:BC)</f>
        <v>15</v>
      </c>
      <c r="BA34">
        <f>SUMIF(RawDataRecovered!$B:$B,$A34,RawDataRecovered!BD:BD)</f>
        <v>24</v>
      </c>
      <c r="BB34">
        <f>SUMIF(RawDataRecovered!$B:$B,$A34,RawDataRecovered!BE:BE)</f>
        <v>26</v>
      </c>
      <c r="BC34">
        <f>SUMIF(RawDataRecovered!$B:$B,$A34,RawDataRecovered!BF:BF)</f>
        <v>26</v>
      </c>
      <c r="BD34">
        <f>SUMIF(RawDataRecovered!$B:$B,$A34,RawDataRecovered!BG:BG)</f>
        <v>26</v>
      </c>
      <c r="BE34">
        <f>SUMIF(RawDataRecovered!$B:$B,$A34,RawDataRecovered!BH:BH)</f>
        <v>32</v>
      </c>
      <c r="BF34">
        <f>SUMIF(RawDataRecovered!$B:$B,$A34,RawDataRecovered!BI:BI)</f>
        <v>0</v>
      </c>
      <c r="BG34">
        <f>SUMIF(RawDataRecovered!$B:$B,$A34,RawDataRecovered!BJ:BJ)</f>
        <v>0</v>
      </c>
      <c r="BH34">
        <f>SUMIF(RawDataRecovered!$B:$B,$A34,RawDataRecovered!BK:BK)</f>
        <v>0</v>
      </c>
      <c r="BI34">
        <f>SUMIF(RawDataRecovered!$B:$B,$A34,RawDataRecovered!BL:BL)</f>
        <v>0</v>
      </c>
      <c r="BJ34">
        <f>SUMIF(RawDataRecovered!$B:$B,$A34,RawDataRecovered!BM:BM)</f>
        <v>0</v>
      </c>
      <c r="BK34">
        <f>SUMIF(RawDataRecovered!$B:$B,$A34,RawDataRecovered!BN:BN)</f>
        <v>0</v>
      </c>
      <c r="BL34">
        <f>SUMIF(RawDataRecovered!$B:$B,$A34,RawDataRecovered!BO:BO)</f>
        <v>0</v>
      </c>
      <c r="BM34">
        <f>SUMIF(RawDataRecovered!$B:$B,$A34,RawDataRecovered!BP:BP)</f>
        <v>0</v>
      </c>
      <c r="BN34">
        <f>SUMIF(RawDataRecovered!$B:$B,$A34,RawDataRecovered!BQ:BQ)</f>
        <v>0</v>
      </c>
      <c r="BO34">
        <f>SUMIF(RawDataRecovered!$B:$B,$A34,RawDataRecovered!BR:BR)</f>
        <v>0</v>
      </c>
      <c r="BP34">
        <f>SUMIF(RawDataRecovered!$B:$B,$A34,RawDataRecovered!BS:BS)</f>
        <v>0</v>
      </c>
      <c r="BQ34">
        <f>SUMIF(RawDataRecovered!$B:$B,$A34,RawDataRecovered!BT:BT)</f>
        <v>0</v>
      </c>
      <c r="BR34">
        <f>SUMIF(RawDataRecovered!$B:$B,$A34,RawDataRecovered!BU:BU)</f>
        <v>0</v>
      </c>
      <c r="BS34">
        <f>SUMIF(RawDataRecovered!$B:$B,$A34,RawDataRecovered!BV:BV)</f>
        <v>0</v>
      </c>
      <c r="BT34">
        <f>SUMIF(RawDataRecovered!$B:$B,$A34,RawDataRecovered!BW:BW)</f>
        <v>0</v>
      </c>
    </row>
    <row r="35" spans="1:72" ht="15" thickBot="1" x14ac:dyDescent="0.35">
      <c r="A35" s="4" t="s">
        <v>125</v>
      </c>
      <c r="B35">
        <f>SUMIF(RawDataRecovered!$B:$B,$A35,RawDataRecovered!E:E)</f>
        <v>0</v>
      </c>
      <c r="C35">
        <f>SUMIF(RawDataRecovered!$B:$B,$A35,RawDataRecovered!F:F)</f>
        <v>0</v>
      </c>
      <c r="D35">
        <f>SUMIF(RawDataRecovered!$B:$B,$A35,RawDataRecovered!G:G)</f>
        <v>0</v>
      </c>
      <c r="E35">
        <f>SUMIF(RawDataRecovered!$B:$B,$A35,RawDataRecovered!H:H)</f>
        <v>0</v>
      </c>
      <c r="F35">
        <f>SUMIF(RawDataRecovered!$B:$B,$A35,RawDataRecovered!I:I)</f>
        <v>0</v>
      </c>
      <c r="G35">
        <f>SUMIF(RawDataRecovered!$B:$B,$A35,RawDataRecovered!J:J)</f>
        <v>0</v>
      </c>
      <c r="H35">
        <f>SUMIF(RawDataRecovered!$B:$B,$A35,RawDataRecovered!K:K)</f>
        <v>0</v>
      </c>
      <c r="I35">
        <f>SUMIF(RawDataRecovered!$B:$B,$A35,RawDataRecovered!L:L)</f>
        <v>0</v>
      </c>
      <c r="J35">
        <f>SUMIF(RawDataRecovered!$B:$B,$A35,RawDataRecovered!M:M)</f>
        <v>0</v>
      </c>
      <c r="K35">
        <f>SUMIF(RawDataRecovered!$B:$B,$A35,RawDataRecovered!N:N)</f>
        <v>0</v>
      </c>
      <c r="L35">
        <f>SUMIF(RawDataRecovered!$B:$B,$A35,RawDataRecovered!O:O)</f>
        <v>0</v>
      </c>
      <c r="M35">
        <f>SUMIF(RawDataRecovered!$B:$B,$A35,RawDataRecovered!P:P)</f>
        <v>0</v>
      </c>
      <c r="N35">
        <f>SUMIF(RawDataRecovered!$B:$B,$A35,RawDataRecovered!Q:Q)</f>
        <v>0</v>
      </c>
      <c r="O35">
        <f>SUMIF(RawDataRecovered!$B:$B,$A35,RawDataRecovered!R:R)</f>
        <v>0</v>
      </c>
      <c r="P35">
        <f>SUMIF(RawDataRecovered!$B:$B,$A35,RawDataRecovered!S:S)</f>
        <v>0</v>
      </c>
      <c r="Q35">
        <f>SUMIF(RawDataRecovered!$B:$B,$A35,RawDataRecovered!T:T)</f>
        <v>0</v>
      </c>
      <c r="R35">
        <f>SUMIF(RawDataRecovered!$B:$B,$A35,RawDataRecovered!U:U)</f>
        <v>0</v>
      </c>
      <c r="S35">
        <f>SUMIF(RawDataRecovered!$B:$B,$A35,RawDataRecovered!V:V)</f>
        <v>0</v>
      </c>
      <c r="T35">
        <f>SUMIF(RawDataRecovered!$B:$B,$A35,RawDataRecovered!W:W)</f>
        <v>0</v>
      </c>
      <c r="U35">
        <f>SUMIF(RawDataRecovered!$B:$B,$A35,RawDataRecovered!X:X)</f>
        <v>0</v>
      </c>
      <c r="V35">
        <f>SUMIF(RawDataRecovered!$B:$B,$A35,RawDataRecovered!Y:Y)</f>
        <v>0</v>
      </c>
      <c r="W35">
        <f>SUMIF(RawDataRecovered!$B:$B,$A35,RawDataRecovered!Z:Z)</f>
        <v>0</v>
      </c>
      <c r="X35">
        <f>SUMIF(RawDataRecovered!$B:$B,$A35,RawDataRecovered!AA:AA)</f>
        <v>0</v>
      </c>
      <c r="Y35">
        <f>SUMIF(RawDataRecovered!$B:$B,$A35,RawDataRecovered!AB:AB)</f>
        <v>0</v>
      </c>
      <c r="Z35">
        <f>SUMIF(RawDataRecovered!$B:$B,$A35,RawDataRecovered!AC:AC)</f>
        <v>0</v>
      </c>
      <c r="AA35">
        <f>SUMIF(RawDataRecovered!$B:$B,$A35,RawDataRecovered!AD:AD)</f>
        <v>0</v>
      </c>
      <c r="AB35">
        <f>SUMIF(RawDataRecovered!$B:$B,$A35,RawDataRecovered!AE:AE)</f>
        <v>0</v>
      </c>
      <c r="AC35">
        <f>SUMIF(RawDataRecovered!$B:$B,$A35,RawDataRecovered!AF:AF)</f>
        <v>0</v>
      </c>
      <c r="AD35">
        <f>SUMIF(RawDataRecovered!$B:$B,$A35,RawDataRecovered!AG:AG)</f>
        <v>0</v>
      </c>
      <c r="AE35">
        <f>SUMIF(RawDataRecovered!$B:$B,$A35,RawDataRecovered!AH:AH)</f>
        <v>0</v>
      </c>
      <c r="AF35">
        <f>SUMIF(RawDataRecovered!$B:$B,$A35,RawDataRecovered!AI:AI)</f>
        <v>0</v>
      </c>
      <c r="AG35">
        <f>SUMIF(RawDataRecovered!$B:$B,$A35,RawDataRecovered!AJ:AJ)</f>
        <v>0</v>
      </c>
      <c r="AH35">
        <f>SUMIF(RawDataRecovered!$B:$B,$A35,RawDataRecovered!AK:AK)</f>
        <v>0</v>
      </c>
      <c r="AI35">
        <f>SUMIF(RawDataRecovered!$B:$B,$A35,RawDataRecovered!AL:AL)</f>
        <v>0</v>
      </c>
      <c r="AJ35">
        <f>SUMIF(RawDataRecovered!$B:$B,$A35,RawDataRecovered!AM:AM)</f>
        <v>0</v>
      </c>
      <c r="AK35">
        <f>SUMIF(RawDataRecovered!$B:$B,$A35,RawDataRecovered!AN:AN)</f>
        <v>0</v>
      </c>
      <c r="AL35">
        <f>SUMIF(RawDataRecovered!$B:$B,$A35,RawDataRecovered!AO:AO)</f>
        <v>0</v>
      </c>
      <c r="AM35">
        <f>SUMIF(RawDataRecovered!$B:$B,$A35,RawDataRecovered!AP:AP)</f>
        <v>0</v>
      </c>
      <c r="AN35">
        <f>SUMIF(RawDataRecovered!$B:$B,$A35,RawDataRecovered!AQ:AQ)</f>
        <v>0</v>
      </c>
      <c r="AO35">
        <f>SUMIF(RawDataRecovered!$B:$B,$A35,RawDataRecovered!AR:AR)</f>
        <v>0</v>
      </c>
      <c r="AP35">
        <f>SUMIF(RawDataRecovered!$B:$B,$A35,RawDataRecovered!AS:AS)</f>
        <v>0</v>
      </c>
      <c r="AQ35">
        <f>SUMIF(RawDataRecovered!$B:$B,$A35,RawDataRecovered!AT:AT)</f>
        <v>0</v>
      </c>
      <c r="AR35">
        <f>SUMIF(RawDataRecovered!$B:$B,$A35,RawDataRecovered!AU:AU)</f>
        <v>0</v>
      </c>
      <c r="AS35">
        <f>SUMIF(RawDataRecovered!$B:$B,$A35,RawDataRecovered!AV:AV)</f>
        <v>0</v>
      </c>
      <c r="AT35">
        <f>SUMIF(RawDataRecovered!$B:$B,$A35,RawDataRecovered!AW:AW)</f>
        <v>0</v>
      </c>
      <c r="AU35">
        <f>SUMIF(RawDataRecovered!$B:$B,$A35,RawDataRecovered!AX:AX)</f>
        <v>0</v>
      </c>
      <c r="AV35">
        <f>SUMIF(RawDataRecovered!$B:$B,$A35,RawDataRecovered!AY:AY)</f>
        <v>0</v>
      </c>
      <c r="AW35">
        <f>SUMIF(RawDataRecovered!$B:$B,$A35,RawDataRecovered!AZ:AZ)</f>
        <v>0</v>
      </c>
      <c r="AX35">
        <f>SUMIF(RawDataRecovered!$B:$B,$A35,RawDataRecovered!BA:BA)</f>
        <v>0</v>
      </c>
      <c r="AY35">
        <f>SUMIF(RawDataRecovered!$B:$B,$A35,RawDataRecovered!BB:BB)</f>
        <v>0</v>
      </c>
      <c r="AZ35">
        <f>SUMIF(RawDataRecovered!$B:$B,$A35,RawDataRecovered!BC:BC)</f>
        <v>0</v>
      </c>
      <c r="BA35">
        <f>SUMIF(RawDataRecovered!$B:$B,$A35,RawDataRecovered!BD:BD)</f>
        <v>0</v>
      </c>
      <c r="BB35">
        <f>SUMIF(RawDataRecovered!$B:$B,$A35,RawDataRecovered!BE:BE)</f>
        <v>0</v>
      </c>
      <c r="BC35">
        <f>SUMIF(RawDataRecovered!$B:$B,$A35,RawDataRecovered!BF:BF)</f>
        <v>0</v>
      </c>
      <c r="BD35">
        <f>SUMIF(RawDataRecovered!$B:$B,$A35,RawDataRecovered!BG:BG)</f>
        <v>0</v>
      </c>
      <c r="BE35">
        <f>SUMIF(RawDataRecovered!$B:$B,$A35,RawDataRecovered!BH:BH)</f>
        <v>5</v>
      </c>
      <c r="BF35">
        <f>SUMIF(RawDataRecovered!$B:$B,$A35,RawDataRecovered!BI:BI)</f>
        <v>0</v>
      </c>
      <c r="BG35">
        <f>SUMIF(RawDataRecovered!$B:$B,$A35,RawDataRecovered!BJ:BJ)</f>
        <v>0</v>
      </c>
      <c r="BH35">
        <f>SUMIF(RawDataRecovered!$B:$B,$A35,RawDataRecovered!BK:BK)</f>
        <v>0</v>
      </c>
      <c r="BI35">
        <f>SUMIF(RawDataRecovered!$B:$B,$A35,RawDataRecovered!BL:BL)</f>
        <v>0</v>
      </c>
      <c r="BJ35">
        <f>SUMIF(RawDataRecovered!$B:$B,$A35,RawDataRecovered!BM:BM)</f>
        <v>0</v>
      </c>
      <c r="BK35">
        <f>SUMIF(RawDataRecovered!$B:$B,$A35,RawDataRecovered!BN:BN)</f>
        <v>0</v>
      </c>
      <c r="BL35">
        <f>SUMIF(RawDataRecovered!$B:$B,$A35,RawDataRecovered!BO:BO)</f>
        <v>0</v>
      </c>
      <c r="BM35">
        <f>SUMIF(RawDataRecovered!$B:$B,$A35,RawDataRecovered!BP:BP)</f>
        <v>0</v>
      </c>
      <c r="BN35">
        <f>SUMIF(RawDataRecovered!$B:$B,$A35,RawDataRecovered!BQ:BQ)</f>
        <v>0</v>
      </c>
      <c r="BO35">
        <f>SUMIF(RawDataRecovered!$B:$B,$A35,RawDataRecovered!BR:BR)</f>
        <v>0</v>
      </c>
      <c r="BP35">
        <f>SUMIF(RawDataRecovered!$B:$B,$A35,RawDataRecovered!BS:BS)</f>
        <v>0</v>
      </c>
      <c r="BQ35">
        <f>SUMIF(RawDataRecovered!$B:$B,$A35,RawDataRecovered!BT:BT)</f>
        <v>0</v>
      </c>
      <c r="BR35">
        <f>SUMIF(RawDataRecovered!$B:$B,$A35,RawDataRecovered!BU:BU)</f>
        <v>0</v>
      </c>
      <c r="BS35">
        <f>SUMIF(RawDataRecovered!$B:$B,$A35,RawDataRecovered!BV:BV)</f>
        <v>0</v>
      </c>
      <c r="BT35">
        <f>SUMIF(RawDataRecovered!$B:$B,$A35,RawDataRecovered!BW:BW)</f>
        <v>0</v>
      </c>
    </row>
    <row r="36" spans="1:72" ht="15" thickBot="1" x14ac:dyDescent="0.35">
      <c r="A36" s="3" t="s">
        <v>113</v>
      </c>
      <c r="B36">
        <f>SUMIF(RawDataRecovered!$B:$B,$A36,RawDataRecovered!E:E)</f>
        <v>0</v>
      </c>
      <c r="C36">
        <f>SUMIF(RawDataRecovered!$B:$B,$A36,RawDataRecovered!F:F)</f>
        <v>0</v>
      </c>
      <c r="D36">
        <f>SUMIF(RawDataRecovered!$B:$B,$A36,RawDataRecovered!G:G)</f>
        <v>0</v>
      </c>
      <c r="E36">
        <f>SUMIF(RawDataRecovered!$B:$B,$A36,RawDataRecovered!H:H)</f>
        <v>0</v>
      </c>
      <c r="F36">
        <f>SUMIF(RawDataRecovered!$B:$B,$A36,RawDataRecovered!I:I)</f>
        <v>0</v>
      </c>
      <c r="G36">
        <f>SUMIF(RawDataRecovered!$B:$B,$A36,RawDataRecovered!J:J)</f>
        <v>0</v>
      </c>
      <c r="H36">
        <f>SUMIF(RawDataRecovered!$B:$B,$A36,RawDataRecovered!K:K)</f>
        <v>0</v>
      </c>
      <c r="I36">
        <f>SUMIF(RawDataRecovered!$B:$B,$A36,RawDataRecovered!L:L)</f>
        <v>0</v>
      </c>
      <c r="J36">
        <f>SUMIF(RawDataRecovered!$B:$B,$A36,RawDataRecovered!M:M)</f>
        <v>0</v>
      </c>
      <c r="K36">
        <f>SUMIF(RawDataRecovered!$B:$B,$A36,RawDataRecovered!N:N)</f>
        <v>0</v>
      </c>
      <c r="L36">
        <f>SUMIF(RawDataRecovered!$B:$B,$A36,RawDataRecovered!O:O)</f>
        <v>0</v>
      </c>
      <c r="M36">
        <f>SUMIF(RawDataRecovered!$B:$B,$A36,RawDataRecovered!P:P)</f>
        <v>0</v>
      </c>
      <c r="N36">
        <f>SUMIF(RawDataRecovered!$B:$B,$A36,RawDataRecovered!Q:Q)</f>
        <v>0</v>
      </c>
      <c r="O36">
        <f>SUMIF(RawDataRecovered!$B:$B,$A36,RawDataRecovered!R:R)</f>
        <v>0</v>
      </c>
      <c r="P36">
        <f>SUMIF(RawDataRecovered!$B:$B,$A36,RawDataRecovered!S:S)</f>
        <v>0</v>
      </c>
      <c r="Q36">
        <f>SUMIF(RawDataRecovered!$B:$B,$A36,RawDataRecovered!T:T)</f>
        <v>0</v>
      </c>
      <c r="R36">
        <f>SUMIF(RawDataRecovered!$B:$B,$A36,RawDataRecovered!U:U)</f>
        <v>0</v>
      </c>
      <c r="S36">
        <f>SUMIF(RawDataRecovered!$B:$B,$A36,RawDataRecovered!V:V)</f>
        <v>0</v>
      </c>
      <c r="T36">
        <f>SUMIF(RawDataRecovered!$B:$B,$A36,RawDataRecovered!W:W)</f>
        <v>0</v>
      </c>
      <c r="U36">
        <f>SUMIF(RawDataRecovered!$B:$B,$A36,RawDataRecovered!X:X)</f>
        <v>0</v>
      </c>
      <c r="V36">
        <f>SUMIF(RawDataRecovered!$B:$B,$A36,RawDataRecovered!Y:Y)</f>
        <v>0</v>
      </c>
      <c r="W36">
        <f>SUMIF(RawDataRecovered!$B:$B,$A36,RawDataRecovered!Z:Z)</f>
        <v>0</v>
      </c>
      <c r="X36">
        <f>SUMIF(RawDataRecovered!$B:$B,$A36,RawDataRecovered!AA:AA)</f>
        <v>0</v>
      </c>
      <c r="Y36">
        <f>SUMIF(RawDataRecovered!$B:$B,$A36,RawDataRecovered!AB:AB)</f>
        <v>0</v>
      </c>
      <c r="Z36">
        <f>SUMIF(RawDataRecovered!$B:$B,$A36,RawDataRecovered!AC:AC)</f>
        <v>0</v>
      </c>
      <c r="AA36">
        <f>SUMIF(RawDataRecovered!$B:$B,$A36,RawDataRecovered!AD:AD)</f>
        <v>0</v>
      </c>
      <c r="AB36">
        <f>SUMIF(RawDataRecovered!$B:$B,$A36,RawDataRecovered!AE:AE)</f>
        <v>0</v>
      </c>
      <c r="AC36">
        <f>SUMIF(RawDataRecovered!$B:$B,$A36,RawDataRecovered!AF:AF)</f>
        <v>0</v>
      </c>
      <c r="AD36">
        <f>SUMIF(RawDataRecovered!$B:$B,$A36,RawDataRecovered!AG:AG)</f>
        <v>0</v>
      </c>
      <c r="AE36">
        <f>SUMIF(RawDataRecovered!$B:$B,$A36,RawDataRecovered!AH:AH)</f>
        <v>0</v>
      </c>
      <c r="AF36">
        <f>SUMIF(RawDataRecovered!$B:$B,$A36,RawDataRecovered!AI:AI)</f>
        <v>0</v>
      </c>
      <c r="AG36">
        <f>SUMIF(RawDataRecovered!$B:$B,$A36,RawDataRecovered!AJ:AJ)</f>
        <v>0</v>
      </c>
      <c r="AH36">
        <f>SUMIF(RawDataRecovered!$B:$B,$A36,RawDataRecovered!AK:AK)</f>
        <v>0</v>
      </c>
      <c r="AI36">
        <f>SUMIF(RawDataRecovered!$B:$B,$A36,RawDataRecovered!AL:AL)</f>
        <v>0</v>
      </c>
      <c r="AJ36">
        <f>SUMIF(RawDataRecovered!$B:$B,$A36,RawDataRecovered!AM:AM)</f>
        <v>0</v>
      </c>
      <c r="AK36">
        <f>SUMIF(RawDataRecovered!$B:$B,$A36,RawDataRecovered!AN:AN)</f>
        <v>0</v>
      </c>
      <c r="AL36">
        <f>SUMIF(RawDataRecovered!$B:$B,$A36,RawDataRecovered!AO:AO)</f>
        <v>0</v>
      </c>
      <c r="AM36">
        <f>SUMIF(RawDataRecovered!$B:$B,$A36,RawDataRecovered!AP:AP)</f>
        <v>0</v>
      </c>
      <c r="AN36">
        <f>SUMIF(RawDataRecovered!$B:$B,$A36,RawDataRecovered!AQ:AQ)</f>
        <v>0</v>
      </c>
      <c r="AO36">
        <f>SUMIF(RawDataRecovered!$B:$B,$A36,RawDataRecovered!AR:AR)</f>
        <v>0</v>
      </c>
      <c r="AP36">
        <f>SUMIF(RawDataRecovered!$B:$B,$A36,RawDataRecovered!AS:AS)</f>
        <v>0</v>
      </c>
      <c r="AQ36">
        <f>SUMIF(RawDataRecovered!$B:$B,$A36,RawDataRecovered!AT:AT)</f>
        <v>0</v>
      </c>
      <c r="AR36">
        <f>SUMIF(RawDataRecovered!$B:$B,$A36,RawDataRecovered!AU:AU)</f>
        <v>1</v>
      </c>
      <c r="AS36">
        <f>SUMIF(RawDataRecovered!$B:$B,$A36,RawDataRecovered!AV:AV)</f>
        <v>1</v>
      </c>
      <c r="AT36">
        <f>SUMIF(RawDataRecovered!$B:$B,$A36,RawDataRecovered!AW:AW)</f>
        <v>1</v>
      </c>
      <c r="AU36">
        <f>SUMIF(RawDataRecovered!$B:$B,$A36,RawDataRecovered!AX:AX)</f>
        <v>3</v>
      </c>
      <c r="AV36">
        <f>SUMIF(RawDataRecovered!$B:$B,$A36,RawDataRecovered!AY:AY)</f>
        <v>3</v>
      </c>
      <c r="AW36">
        <f>SUMIF(RawDataRecovered!$B:$B,$A36,RawDataRecovered!AZ:AZ)</f>
        <v>3</v>
      </c>
      <c r="AX36">
        <f>SUMIF(RawDataRecovered!$B:$B,$A36,RawDataRecovered!BA:BA)</f>
        <v>3</v>
      </c>
      <c r="AY36">
        <f>SUMIF(RawDataRecovered!$B:$B,$A36,RawDataRecovered!BB:BB)</f>
        <v>6</v>
      </c>
      <c r="AZ36">
        <f>SUMIF(RawDataRecovered!$B:$B,$A36,RawDataRecovered!BC:BC)</f>
        <v>6</v>
      </c>
      <c r="BA36">
        <f>SUMIF(RawDataRecovered!$B:$B,$A36,RawDataRecovered!BD:BD)</f>
        <v>7</v>
      </c>
      <c r="BB36">
        <f>SUMIF(RawDataRecovered!$B:$B,$A36,RawDataRecovered!BE:BE)</f>
        <v>9</v>
      </c>
      <c r="BC36">
        <f>SUMIF(RawDataRecovered!$B:$B,$A36,RawDataRecovered!BF:BF)</f>
        <v>9</v>
      </c>
      <c r="BD36">
        <f>SUMIF(RawDataRecovered!$B:$B,$A36,RawDataRecovered!BG:BG)</f>
        <v>9</v>
      </c>
      <c r="BE36">
        <f>SUMIF(RawDataRecovered!$B:$B,$A36,RawDataRecovered!BH:BH)</f>
        <v>16</v>
      </c>
      <c r="BF36">
        <f>SUMIF(RawDataRecovered!$B:$B,$A36,RawDataRecovered!BI:BI)</f>
        <v>0</v>
      </c>
      <c r="BG36">
        <f>SUMIF(RawDataRecovered!$B:$B,$A36,RawDataRecovered!BJ:BJ)</f>
        <v>0</v>
      </c>
      <c r="BH36">
        <f>SUMIF(RawDataRecovered!$B:$B,$A36,RawDataRecovered!BK:BK)</f>
        <v>0</v>
      </c>
      <c r="BI36">
        <f>SUMIF(RawDataRecovered!$B:$B,$A36,RawDataRecovered!BL:BL)</f>
        <v>0</v>
      </c>
      <c r="BJ36">
        <f>SUMIF(RawDataRecovered!$B:$B,$A36,RawDataRecovered!BM:BM)</f>
        <v>0</v>
      </c>
      <c r="BK36">
        <f>SUMIF(RawDataRecovered!$B:$B,$A36,RawDataRecovered!BN:BN)</f>
        <v>0</v>
      </c>
      <c r="BL36">
        <f>SUMIF(RawDataRecovered!$B:$B,$A36,RawDataRecovered!BO:BO)</f>
        <v>0</v>
      </c>
      <c r="BM36">
        <f>SUMIF(RawDataRecovered!$B:$B,$A36,RawDataRecovered!BP:BP)</f>
        <v>0</v>
      </c>
      <c r="BN36">
        <f>SUMIF(RawDataRecovered!$B:$B,$A36,RawDataRecovered!BQ:BQ)</f>
        <v>0</v>
      </c>
      <c r="BO36">
        <f>SUMIF(RawDataRecovered!$B:$B,$A36,RawDataRecovered!BR:BR)</f>
        <v>0</v>
      </c>
      <c r="BP36">
        <f>SUMIF(RawDataRecovered!$B:$B,$A36,RawDataRecovered!BS:BS)</f>
        <v>0</v>
      </c>
      <c r="BQ36">
        <f>SUMIF(RawDataRecovered!$B:$B,$A36,RawDataRecovered!BT:BT)</f>
        <v>0</v>
      </c>
      <c r="BR36">
        <f>SUMIF(RawDataRecovered!$B:$B,$A36,RawDataRecovered!BU:BU)</f>
        <v>0</v>
      </c>
      <c r="BS36">
        <f>SUMIF(RawDataRecovered!$B:$B,$A36,RawDataRecovered!BV:BV)</f>
        <v>0</v>
      </c>
      <c r="BT36">
        <f>SUMIF(RawDataRecovered!$B:$B,$A36,RawDataRecovered!BW:BW)</f>
        <v>0</v>
      </c>
    </row>
    <row r="37" spans="1:72" ht="15" thickBot="1" x14ac:dyDescent="0.35">
      <c r="A37" s="4" t="s">
        <v>140</v>
      </c>
      <c r="B37">
        <f>SUMIF(RawDataRecovered!$B:$B,$A37,RawDataRecovered!E:E)</f>
        <v>0</v>
      </c>
      <c r="C37">
        <f>SUMIF(RawDataRecovered!$B:$B,$A37,RawDataRecovered!F:F)</f>
        <v>0</v>
      </c>
      <c r="D37">
        <f>SUMIF(RawDataRecovered!$B:$B,$A37,RawDataRecovered!G:G)</f>
        <v>0</v>
      </c>
      <c r="E37">
        <f>SUMIF(RawDataRecovered!$B:$B,$A37,RawDataRecovered!H:H)</f>
        <v>0</v>
      </c>
      <c r="F37">
        <f>SUMIF(RawDataRecovered!$B:$B,$A37,RawDataRecovered!I:I)</f>
        <v>0</v>
      </c>
      <c r="G37">
        <f>SUMIF(RawDataRecovered!$B:$B,$A37,RawDataRecovered!J:J)</f>
        <v>0</v>
      </c>
      <c r="H37">
        <f>SUMIF(RawDataRecovered!$B:$B,$A37,RawDataRecovered!K:K)</f>
        <v>0</v>
      </c>
      <c r="I37">
        <f>SUMIF(RawDataRecovered!$B:$B,$A37,RawDataRecovered!L:L)</f>
        <v>0</v>
      </c>
      <c r="J37">
        <f>SUMIF(RawDataRecovered!$B:$B,$A37,RawDataRecovered!M:M)</f>
        <v>0</v>
      </c>
      <c r="K37">
        <f>SUMIF(RawDataRecovered!$B:$B,$A37,RawDataRecovered!N:N)</f>
        <v>0</v>
      </c>
      <c r="L37">
        <f>SUMIF(RawDataRecovered!$B:$B,$A37,RawDataRecovered!O:O)</f>
        <v>0</v>
      </c>
      <c r="M37">
        <f>SUMIF(RawDataRecovered!$B:$B,$A37,RawDataRecovered!P:P)</f>
        <v>0</v>
      </c>
      <c r="N37">
        <f>SUMIF(RawDataRecovered!$B:$B,$A37,RawDataRecovered!Q:Q)</f>
        <v>0</v>
      </c>
      <c r="O37">
        <f>SUMIF(RawDataRecovered!$B:$B,$A37,RawDataRecovered!R:R)</f>
        <v>0</v>
      </c>
      <c r="P37">
        <f>SUMIF(RawDataRecovered!$B:$B,$A37,RawDataRecovered!S:S)</f>
        <v>0</v>
      </c>
      <c r="Q37">
        <f>SUMIF(RawDataRecovered!$B:$B,$A37,RawDataRecovered!T:T)</f>
        <v>0</v>
      </c>
      <c r="R37">
        <f>SUMIF(RawDataRecovered!$B:$B,$A37,RawDataRecovered!U:U)</f>
        <v>0</v>
      </c>
      <c r="S37">
        <f>SUMIF(RawDataRecovered!$B:$B,$A37,RawDataRecovered!V:V)</f>
        <v>0</v>
      </c>
      <c r="T37">
        <f>SUMIF(RawDataRecovered!$B:$B,$A37,RawDataRecovered!W:W)</f>
        <v>0</v>
      </c>
      <c r="U37">
        <f>SUMIF(RawDataRecovered!$B:$B,$A37,RawDataRecovered!X:X)</f>
        <v>0</v>
      </c>
      <c r="V37">
        <f>SUMIF(RawDataRecovered!$B:$B,$A37,RawDataRecovered!Y:Y)</f>
        <v>0</v>
      </c>
      <c r="W37">
        <f>SUMIF(RawDataRecovered!$B:$B,$A37,RawDataRecovered!Z:Z)</f>
        <v>0</v>
      </c>
      <c r="X37">
        <f>SUMIF(RawDataRecovered!$B:$B,$A37,RawDataRecovered!AA:AA)</f>
        <v>0</v>
      </c>
      <c r="Y37">
        <f>SUMIF(RawDataRecovered!$B:$B,$A37,RawDataRecovered!AB:AB)</f>
        <v>0</v>
      </c>
      <c r="Z37">
        <f>SUMIF(RawDataRecovered!$B:$B,$A37,RawDataRecovered!AC:AC)</f>
        <v>0</v>
      </c>
      <c r="AA37">
        <f>SUMIF(RawDataRecovered!$B:$B,$A37,RawDataRecovered!AD:AD)</f>
        <v>0</v>
      </c>
      <c r="AB37">
        <f>SUMIF(RawDataRecovered!$B:$B,$A37,RawDataRecovered!AE:AE)</f>
        <v>0</v>
      </c>
      <c r="AC37">
        <f>SUMIF(RawDataRecovered!$B:$B,$A37,RawDataRecovered!AF:AF)</f>
        <v>0</v>
      </c>
      <c r="AD37">
        <f>SUMIF(RawDataRecovered!$B:$B,$A37,RawDataRecovered!AG:AG)</f>
        <v>0</v>
      </c>
      <c r="AE37">
        <f>SUMIF(RawDataRecovered!$B:$B,$A37,RawDataRecovered!AH:AH)</f>
        <v>0</v>
      </c>
      <c r="AF37">
        <f>SUMIF(RawDataRecovered!$B:$B,$A37,RawDataRecovered!AI:AI)</f>
        <v>0</v>
      </c>
      <c r="AG37">
        <f>SUMIF(RawDataRecovered!$B:$B,$A37,RawDataRecovered!AJ:AJ)</f>
        <v>0</v>
      </c>
      <c r="AH37">
        <f>SUMIF(RawDataRecovered!$B:$B,$A37,RawDataRecovered!AK:AK)</f>
        <v>0</v>
      </c>
      <c r="AI37">
        <f>SUMIF(RawDataRecovered!$B:$B,$A37,RawDataRecovered!AL:AL)</f>
        <v>0</v>
      </c>
      <c r="AJ37">
        <f>SUMIF(RawDataRecovered!$B:$B,$A37,RawDataRecovered!AM:AM)</f>
        <v>0</v>
      </c>
      <c r="AK37">
        <f>SUMIF(RawDataRecovered!$B:$B,$A37,RawDataRecovered!AN:AN)</f>
        <v>0</v>
      </c>
      <c r="AL37">
        <f>SUMIF(RawDataRecovered!$B:$B,$A37,RawDataRecovered!AO:AO)</f>
        <v>0</v>
      </c>
      <c r="AM37">
        <f>SUMIF(RawDataRecovered!$B:$B,$A37,RawDataRecovered!AP:AP)</f>
        <v>0</v>
      </c>
      <c r="AN37">
        <f>SUMIF(RawDataRecovered!$B:$B,$A37,RawDataRecovered!AQ:AQ)</f>
        <v>0</v>
      </c>
      <c r="AO37">
        <f>SUMIF(RawDataRecovered!$B:$B,$A37,RawDataRecovered!AR:AR)</f>
        <v>0</v>
      </c>
      <c r="AP37">
        <f>SUMIF(RawDataRecovered!$B:$B,$A37,RawDataRecovered!AS:AS)</f>
        <v>0</v>
      </c>
      <c r="AQ37">
        <f>SUMIF(RawDataRecovered!$B:$B,$A37,RawDataRecovered!AT:AT)</f>
        <v>0</v>
      </c>
      <c r="AR37">
        <f>SUMIF(RawDataRecovered!$B:$B,$A37,RawDataRecovered!AU:AU)</f>
        <v>0</v>
      </c>
      <c r="AS37">
        <f>SUMIF(RawDataRecovered!$B:$B,$A37,RawDataRecovered!AV:AV)</f>
        <v>0</v>
      </c>
      <c r="AT37">
        <f>SUMIF(RawDataRecovered!$B:$B,$A37,RawDataRecovered!AW:AW)</f>
        <v>0</v>
      </c>
      <c r="AU37">
        <f>SUMIF(RawDataRecovered!$B:$B,$A37,RawDataRecovered!AX:AX)</f>
        <v>0</v>
      </c>
      <c r="AV37">
        <f>SUMIF(RawDataRecovered!$B:$B,$A37,RawDataRecovered!AY:AY)</f>
        <v>0</v>
      </c>
      <c r="AW37">
        <f>SUMIF(RawDataRecovered!$B:$B,$A37,RawDataRecovered!AZ:AZ)</f>
        <v>0</v>
      </c>
      <c r="AX37">
        <f>SUMIF(RawDataRecovered!$B:$B,$A37,RawDataRecovered!BA:BA)</f>
        <v>1</v>
      </c>
      <c r="AY37">
        <f>SUMIF(RawDataRecovered!$B:$B,$A37,RawDataRecovered!BB:BB)</f>
        <v>1</v>
      </c>
      <c r="AZ37">
        <f>SUMIF(RawDataRecovered!$B:$B,$A37,RawDataRecovered!BC:BC)</f>
        <v>1</v>
      </c>
      <c r="BA37">
        <f>SUMIF(RawDataRecovered!$B:$B,$A37,RawDataRecovered!BD:BD)</f>
        <v>1</v>
      </c>
      <c r="BB37">
        <f>SUMIF(RawDataRecovered!$B:$B,$A37,RawDataRecovered!BE:BE)</f>
        <v>1</v>
      </c>
      <c r="BC37">
        <f>SUMIF(RawDataRecovered!$B:$B,$A37,RawDataRecovered!BF:BF)</f>
        <v>1</v>
      </c>
      <c r="BD37">
        <f>SUMIF(RawDataRecovered!$B:$B,$A37,RawDataRecovered!BG:BG)</f>
        <v>2</v>
      </c>
      <c r="BE37">
        <f>SUMIF(RawDataRecovered!$B:$B,$A37,RawDataRecovered!BH:BH)</f>
        <v>6</v>
      </c>
      <c r="BF37">
        <f>SUMIF(RawDataRecovered!$B:$B,$A37,RawDataRecovered!BI:BI)</f>
        <v>0</v>
      </c>
      <c r="BG37">
        <f>SUMIF(RawDataRecovered!$B:$B,$A37,RawDataRecovered!BJ:BJ)</f>
        <v>0</v>
      </c>
      <c r="BH37">
        <f>SUMIF(RawDataRecovered!$B:$B,$A37,RawDataRecovered!BK:BK)</f>
        <v>0</v>
      </c>
      <c r="BI37">
        <f>SUMIF(RawDataRecovered!$B:$B,$A37,RawDataRecovered!BL:BL)</f>
        <v>0</v>
      </c>
      <c r="BJ37">
        <f>SUMIF(RawDataRecovered!$B:$B,$A37,RawDataRecovered!BM:BM)</f>
        <v>0</v>
      </c>
      <c r="BK37">
        <f>SUMIF(RawDataRecovered!$B:$B,$A37,RawDataRecovered!BN:BN)</f>
        <v>0</v>
      </c>
      <c r="BL37">
        <f>SUMIF(RawDataRecovered!$B:$B,$A37,RawDataRecovered!BO:BO)</f>
        <v>0</v>
      </c>
      <c r="BM37">
        <f>SUMIF(RawDataRecovered!$B:$B,$A37,RawDataRecovered!BP:BP)</f>
        <v>0</v>
      </c>
      <c r="BN37">
        <f>SUMIF(RawDataRecovered!$B:$B,$A37,RawDataRecovered!BQ:BQ)</f>
        <v>0</v>
      </c>
      <c r="BO37">
        <f>SUMIF(RawDataRecovered!$B:$B,$A37,RawDataRecovered!BR:BR)</f>
        <v>0</v>
      </c>
      <c r="BP37">
        <f>SUMIF(RawDataRecovered!$B:$B,$A37,RawDataRecovered!BS:BS)</f>
        <v>0</v>
      </c>
      <c r="BQ37">
        <f>SUMIF(RawDataRecovered!$B:$B,$A37,RawDataRecovered!BT:BT)</f>
        <v>0</v>
      </c>
      <c r="BR37">
        <f>SUMIF(RawDataRecovered!$B:$B,$A37,RawDataRecovered!BU:BU)</f>
        <v>0</v>
      </c>
      <c r="BS37">
        <f>SUMIF(RawDataRecovered!$B:$B,$A37,RawDataRecovered!BV:BV)</f>
        <v>0</v>
      </c>
      <c r="BT37">
        <f>SUMIF(RawDataRecovered!$B:$B,$A37,RawDataRecovered!BW:BW)</f>
        <v>0</v>
      </c>
    </row>
    <row r="38" spans="1:72" ht="15" thickBot="1" x14ac:dyDescent="0.35">
      <c r="A38" s="4" t="s">
        <v>82</v>
      </c>
      <c r="B38">
        <f>SUMIF(RawDataRecovered!$B:$B,$A38,RawDataRecovered!E:E)</f>
        <v>0</v>
      </c>
      <c r="C38">
        <f>SUMIF(RawDataRecovered!$B:$B,$A38,RawDataRecovered!F:F)</f>
        <v>0</v>
      </c>
      <c r="D38">
        <f>SUMIF(RawDataRecovered!$B:$B,$A38,RawDataRecovered!G:G)</f>
        <v>0</v>
      </c>
      <c r="E38">
        <f>SUMIF(RawDataRecovered!$B:$B,$A38,RawDataRecovered!H:H)</f>
        <v>0</v>
      </c>
      <c r="F38">
        <f>SUMIF(RawDataRecovered!$B:$B,$A38,RawDataRecovered!I:I)</f>
        <v>0</v>
      </c>
      <c r="G38">
        <f>SUMIF(RawDataRecovered!$B:$B,$A38,RawDataRecovered!J:J)</f>
        <v>0</v>
      </c>
      <c r="H38">
        <f>SUMIF(RawDataRecovered!$B:$B,$A38,RawDataRecovered!K:K)</f>
        <v>0</v>
      </c>
      <c r="I38">
        <f>SUMIF(RawDataRecovered!$B:$B,$A38,RawDataRecovered!L:L)</f>
        <v>0</v>
      </c>
      <c r="J38">
        <f>SUMIF(RawDataRecovered!$B:$B,$A38,RawDataRecovered!M:M)</f>
        <v>0</v>
      </c>
      <c r="K38">
        <f>SUMIF(RawDataRecovered!$B:$B,$A38,RawDataRecovered!N:N)</f>
        <v>0</v>
      </c>
      <c r="L38">
        <f>SUMIF(RawDataRecovered!$B:$B,$A38,RawDataRecovered!O:O)</f>
        <v>0</v>
      </c>
      <c r="M38">
        <f>SUMIF(RawDataRecovered!$B:$B,$A38,RawDataRecovered!P:P)</f>
        <v>0</v>
      </c>
      <c r="N38">
        <f>SUMIF(RawDataRecovered!$B:$B,$A38,RawDataRecovered!Q:Q)</f>
        <v>0</v>
      </c>
      <c r="O38">
        <f>SUMIF(RawDataRecovered!$B:$B,$A38,RawDataRecovered!R:R)</f>
        <v>0</v>
      </c>
      <c r="P38">
        <f>SUMIF(RawDataRecovered!$B:$B,$A38,RawDataRecovered!S:S)</f>
        <v>0</v>
      </c>
      <c r="Q38">
        <f>SUMIF(RawDataRecovered!$B:$B,$A38,RawDataRecovered!T:T)</f>
        <v>0</v>
      </c>
      <c r="R38">
        <f>SUMIF(RawDataRecovered!$B:$B,$A38,RawDataRecovered!U:U)</f>
        <v>0</v>
      </c>
      <c r="S38">
        <f>SUMIF(RawDataRecovered!$B:$B,$A38,RawDataRecovered!V:V)</f>
        <v>0</v>
      </c>
      <c r="T38">
        <f>SUMIF(RawDataRecovered!$B:$B,$A38,RawDataRecovered!W:W)</f>
        <v>0</v>
      </c>
      <c r="U38">
        <f>SUMIF(RawDataRecovered!$B:$B,$A38,RawDataRecovered!X:X)</f>
        <v>0</v>
      </c>
      <c r="V38">
        <f>SUMIF(RawDataRecovered!$B:$B,$A38,RawDataRecovered!Y:Y)</f>
        <v>0</v>
      </c>
      <c r="W38">
        <f>SUMIF(RawDataRecovered!$B:$B,$A38,RawDataRecovered!Z:Z)</f>
        <v>1</v>
      </c>
      <c r="X38">
        <f>SUMIF(RawDataRecovered!$B:$B,$A38,RawDataRecovered!AA:AA)</f>
        <v>1</v>
      </c>
      <c r="Y38">
        <f>SUMIF(RawDataRecovered!$B:$B,$A38,RawDataRecovered!AB:AB)</f>
        <v>1</v>
      </c>
      <c r="Z38">
        <f>SUMIF(RawDataRecovered!$B:$B,$A38,RawDataRecovered!AC:AC)</f>
        <v>3</v>
      </c>
      <c r="AA38">
        <f>SUMIF(RawDataRecovered!$B:$B,$A38,RawDataRecovered!AD:AD)</f>
        <v>4</v>
      </c>
      <c r="AB38">
        <f>SUMIF(RawDataRecovered!$B:$B,$A38,RawDataRecovered!AE:AE)</f>
        <v>4</v>
      </c>
      <c r="AC38">
        <f>SUMIF(RawDataRecovered!$B:$B,$A38,RawDataRecovered!AF:AF)</f>
        <v>4</v>
      </c>
      <c r="AD38">
        <f>SUMIF(RawDataRecovered!$B:$B,$A38,RawDataRecovered!AG:AG)</f>
        <v>4</v>
      </c>
      <c r="AE38">
        <f>SUMIF(RawDataRecovered!$B:$B,$A38,RawDataRecovered!AH:AH)</f>
        <v>4</v>
      </c>
      <c r="AF38">
        <f>SUMIF(RawDataRecovered!$B:$B,$A38,RawDataRecovered!AI:AI)</f>
        <v>4</v>
      </c>
      <c r="AG38">
        <f>SUMIF(RawDataRecovered!$B:$B,$A38,RawDataRecovered!AJ:AJ)</f>
        <v>4</v>
      </c>
      <c r="AH38">
        <f>SUMIF(RawDataRecovered!$B:$B,$A38,RawDataRecovered!AK:AK)</f>
        <v>4</v>
      </c>
      <c r="AI38">
        <f>SUMIF(RawDataRecovered!$B:$B,$A38,RawDataRecovered!AL:AL)</f>
        <v>4</v>
      </c>
      <c r="AJ38">
        <f>SUMIF(RawDataRecovered!$B:$B,$A38,RawDataRecovered!AM:AM)</f>
        <v>4</v>
      </c>
      <c r="AK38">
        <f>SUMIF(RawDataRecovered!$B:$B,$A38,RawDataRecovered!AN:AN)</f>
        <v>4</v>
      </c>
      <c r="AL38">
        <f>SUMIF(RawDataRecovered!$B:$B,$A38,RawDataRecovered!AO:AO)</f>
        <v>4</v>
      </c>
      <c r="AM38">
        <f>SUMIF(RawDataRecovered!$B:$B,$A38,RawDataRecovered!AP:AP)</f>
        <v>5</v>
      </c>
      <c r="AN38">
        <f>SUMIF(RawDataRecovered!$B:$B,$A38,RawDataRecovered!AQ:AQ)</f>
        <v>5</v>
      </c>
      <c r="AO38">
        <f>SUMIF(RawDataRecovered!$B:$B,$A38,RawDataRecovered!AR:AR)</f>
        <v>5</v>
      </c>
      <c r="AP38">
        <f>SUMIF(RawDataRecovered!$B:$B,$A38,RawDataRecovered!AS:AS)</f>
        <v>5</v>
      </c>
      <c r="AQ38">
        <f>SUMIF(RawDataRecovered!$B:$B,$A38,RawDataRecovered!AT:AT)</f>
        <v>5</v>
      </c>
      <c r="AR38">
        <f>SUMIF(RawDataRecovered!$B:$B,$A38,RawDataRecovered!AU:AU)</f>
        <v>5</v>
      </c>
      <c r="AS38">
        <f>SUMIF(RawDataRecovered!$B:$B,$A38,RawDataRecovered!AV:AV)</f>
        <v>5</v>
      </c>
      <c r="AT38">
        <f>SUMIF(RawDataRecovered!$B:$B,$A38,RawDataRecovered!AW:AW)</f>
        <v>5</v>
      </c>
      <c r="AU38">
        <f>SUMIF(RawDataRecovered!$B:$B,$A38,RawDataRecovered!AX:AX)</f>
        <v>7</v>
      </c>
      <c r="AV38">
        <f>SUMIF(RawDataRecovered!$B:$B,$A38,RawDataRecovered!AY:AY)</f>
        <v>7</v>
      </c>
      <c r="AW38">
        <f>SUMIF(RawDataRecovered!$B:$B,$A38,RawDataRecovered!AZ:AZ)</f>
        <v>7</v>
      </c>
      <c r="AX38">
        <f>SUMIF(RawDataRecovered!$B:$B,$A38,RawDataRecovered!BA:BA)</f>
        <v>12</v>
      </c>
      <c r="AY38">
        <f>SUMIF(RawDataRecovered!$B:$B,$A38,RawDataRecovered!BB:BB)</f>
        <v>17</v>
      </c>
      <c r="AZ38">
        <f>SUMIF(RawDataRecovered!$B:$B,$A38,RawDataRecovered!BC:BC)</f>
        <v>17</v>
      </c>
      <c r="BA38">
        <f>SUMIF(RawDataRecovered!$B:$B,$A38,RawDataRecovered!BD:BD)</f>
        <v>17</v>
      </c>
      <c r="BB38">
        <f>SUMIF(RawDataRecovered!$B:$B,$A38,RawDataRecovered!BE:BE)</f>
        <v>17</v>
      </c>
      <c r="BC38">
        <f>SUMIF(RawDataRecovered!$B:$B,$A38,RawDataRecovered!BF:BF)</f>
        <v>23</v>
      </c>
      <c r="BD38">
        <f>SUMIF(RawDataRecovered!$B:$B,$A38,RawDataRecovered!BG:BG)</f>
        <v>23</v>
      </c>
      <c r="BE38">
        <f>SUMIF(RawDataRecovered!$B:$B,$A38,RawDataRecovered!BH:BH)</f>
        <v>23</v>
      </c>
      <c r="BF38">
        <f>SUMIF(RawDataRecovered!$B:$B,$A38,RawDataRecovered!BI:BI)</f>
        <v>0</v>
      </c>
      <c r="BG38">
        <f>SUMIF(RawDataRecovered!$B:$B,$A38,RawDataRecovered!BJ:BJ)</f>
        <v>0</v>
      </c>
      <c r="BH38">
        <f>SUMIF(RawDataRecovered!$B:$B,$A38,RawDataRecovered!BK:BK)</f>
        <v>0</v>
      </c>
      <c r="BI38">
        <f>SUMIF(RawDataRecovered!$B:$B,$A38,RawDataRecovered!BL:BL)</f>
        <v>0</v>
      </c>
      <c r="BJ38">
        <f>SUMIF(RawDataRecovered!$B:$B,$A38,RawDataRecovered!BM:BM)</f>
        <v>0</v>
      </c>
      <c r="BK38">
        <f>SUMIF(RawDataRecovered!$B:$B,$A38,RawDataRecovered!BN:BN)</f>
        <v>0</v>
      </c>
      <c r="BL38">
        <f>SUMIF(RawDataRecovered!$B:$B,$A38,RawDataRecovered!BO:BO)</f>
        <v>0</v>
      </c>
      <c r="BM38">
        <f>SUMIF(RawDataRecovered!$B:$B,$A38,RawDataRecovered!BP:BP)</f>
        <v>0</v>
      </c>
      <c r="BN38">
        <f>SUMIF(RawDataRecovered!$B:$B,$A38,RawDataRecovered!BQ:BQ)</f>
        <v>0</v>
      </c>
      <c r="BO38">
        <f>SUMIF(RawDataRecovered!$B:$B,$A38,RawDataRecovered!BR:BR)</f>
        <v>0</v>
      </c>
      <c r="BP38">
        <f>SUMIF(RawDataRecovered!$B:$B,$A38,RawDataRecovered!BS:BS)</f>
        <v>0</v>
      </c>
      <c r="BQ38">
        <f>SUMIF(RawDataRecovered!$B:$B,$A38,RawDataRecovered!BT:BT)</f>
        <v>0</v>
      </c>
      <c r="BR38">
        <f>SUMIF(RawDataRecovered!$B:$B,$A38,RawDataRecovered!BU:BU)</f>
        <v>0</v>
      </c>
      <c r="BS38">
        <f>SUMIF(RawDataRecovered!$B:$B,$A38,RawDataRecovered!BV:BV)</f>
        <v>0</v>
      </c>
      <c r="BT38">
        <f>SUMIF(RawDataRecovered!$B:$B,$A38,RawDataRecovered!BW:BW)</f>
        <v>0</v>
      </c>
    </row>
    <row r="39" spans="1:72" ht="15" thickBot="1" x14ac:dyDescent="0.35">
      <c r="A39" s="4" t="s">
        <v>84</v>
      </c>
      <c r="B39">
        <f>SUMIF(RawDataRecovered!$B:$B,$A39,RawDataRecovered!E:E)</f>
        <v>0</v>
      </c>
      <c r="C39">
        <f>SUMIF(RawDataRecovered!$B:$B,$A39,RawDataRecovered!F:F)</f>
        <v>0</v>
      </c>
      <c r="D39">
        <f>SUMIF(RawDataRecovered!$B:$B,$A39,RawDataRecovered!G:G)</f>
        <v>0</v>
      </c>
      <c r="E39">
        <f>SUMIF(RawDataRecovered!$B:$B,$A39,RawDataRecovered!H:H)</f>
        <v>0</v>
      </c>
      <c r="F39">
        <f>SUMIF(RawDataRecovered!$B:$B,$A39,RawDataRecovered!I:I)</f>
        <v>0</v>
      </c>
      <c r="G39">
        <f>SUMIF(RawDataRecovered!$B:$B,$A39,RawDataRecovered!J:J)</f>
        <v>0</v>
      </c>
      <c r="H39">
        <f>SUMIF(RawDataRecovered!$B:$B,$A39,RawDataRecovered!K:K)</f>
        <v>0</v>
      </c>
      <c r="I39">
        <f>SUMIF(RawDataRecovered!$B:$B,$A39,RawDataRecovered!L:L)</f>
        <v>0</v>
      </c>
      <c r="J39">
        <f>SUMIF(RawDataRecovered!$B:$B,$A39,RawDataRecovered!M:M)</f>
        <v>0</v>
      </c>
      <c r="K39">
        <f>SUMIF(RawDataRecovered!$B:$B,$A39,RawDataRecovered!N:N)</f>
        <v>0</v>
      </c>
      <c r="L39">
        <f>SUMIF(RawDataRecovered!$B:$B,$A39,RawDataRecovered!O:O)</f>
        <v>0</v>
      </c>
      <c r="M39">
        <f>SUMIF(RawDataRecovered!$B:$B,$A39,RawDataRecovered!P:P)</f>
        <v>0</v>
      </c>
      <c r="N39">
        <f>SUMIF(RawDataRecovered!$B:$B,$A39,RawDataRecovered!Q:Q)</f>
        <v>0</v>
      </c>
      <c r="O39">
        <f>SUMIF(RawDataRecovered!$B:$B,$A39,RawDataRecovered!R:R)</f>
        <v>0</v>
      </c>
      <c r="P39">
        <f>SUMIF(RawDataRecovered!$B:$B,$A39,RawDataRecovered!S:S)</f>
        <v>0</v>
      </c>
      <c r="Q39">
        <f>SUMIF(RawDataRecovered!$B:$B,$A39,RawDataRecovered!T:T)</f>
        <v>0</v>
      </c>
      <c r="R39">
        <f>SUMIF(RawDataRecovered!$B:$B,$A39,RawDataRecovered!U:U)</f>
        <v>0</v>
      </c>
      <c r="S39">
        <f>SUMIF(RawDataRecovered!$B:$B,$A39,RawDataRecovered!V:V)</f>
        <v>0</v>
      </c>
      <c r="T39">
        <f>SUMIF(RawDataRecovered!$B:$B,$A39,RawDataRecovered!W:W)</f>
        <v>0</v>
      </c>
      <c r="U39">
        <f>SUMIF(RawDataRecovered!$B:$B,$A39,RawDataRecovered!X:X)</f>
        <v>0</v>
      </c>
      <c r="V39">
        <f>SUMIF(RawDataRecovered!$B:$B,$A39,RawDataRecovered!Y:Y)</f>
        <v>0</v>
      </c>
      <c r="W39">
        <f>SUMIF(RawDataRecovered!$B:$B,$A39,RawDataRecovered!Z:Z)</f>
        <v>0</v>
      </c>
      <c r="X39">
        <f>SUMIF(RawDataRecovered!$B:$B,$A39,RawDataRecovered!AA:AA)</f>
        <v>0</v>
      </c>
      <c r="Y39">
        <f>SUMIF(RawDataRecovered!$B:$B,$A39,RawDataRecovered!AB:AB)</f>
        <v>0</v>
      </c>
      <c r="Z39">
        <f>SUMIF(RawDataRecovered!$B:$B,$A39,RawDataRecovered!AC:AC)</f>
        <v>0</v>
      </c>
      <c r="AA39">
        <f>SUMIF(RawDataRecovered!$B:$B,$A39,RawDataRecovered!AD:AD)</f>
        <v>3</v>
      </c>
      <c r="AB39">
        <f>SUMIF(RawDataRecovered!$B:$B,$A39,RawDataRecovered!AE:AE)</f>
        <v>3</v>
      </c>
      <c r="AC39">
        <f>SUMIF(RawDataRecovered!$B:$B,$A39,RawDataRecovered!AF:AF)</f>
        <v>3</v>
      </c>
      <c r="AD39">
        <f>SUMIF(RawDataRecovered!$B:$B,$A39,RawDataRecovered!AG:AG)</f>
        <v>3</v>
      </c>
      <c r="AE39">
        <f>SUMIF(RawDataRecovered!$B:$B,$A39,RawDataRecovered!AH:AH)</f>
        <v>3</v>
      </c>
      <c r="AF39">
        <f>SUMIF(RawDataRecovered!$B:$B,$A39,RawDataRecovered!AI:AI)</f>
        <v>3</v>
      </c>
      <c r="AG39">
        <f>SUMIF(RawDataRecovered!$B:$B,$A39,RawDataRecovered!AJ:AJ)</f>
        <v>3</v>
      </c>
      <c r="AH39">
        <f>SUMIF(RawDataRecovered!$B:$B,$A39,RawDataRecovered!AK:AK)</f>
        <v>3</v>
      </c>
      <c r="AI39">
        <f>SUMIF(RawDataRecovered!$B:$B,$A39,RawDataRecovered!AL:AL)</f>
        <v>3</v>
      </c>
      <c r="AJ39">
        <f>SUMIF(RawDataRecovered!$B:$B,$A39,RawDataRecovered!AM:AM)</f>
        <v>3</v>
      </c>
      <c r="AK39">
        <f>SUMIF(RawDataRecovered!$B:$B,$A39,RawDataRecovered!AN:AN)</f>
        <v>3</v>
      </c>
      <c r="AL39">
        <f>SUMIF(RawDataRecovered!$B:$B,$A39,RawDataRecovered!AO:AO)</f>
        <v>3</v>
      </c>
      <c r="AM39">
        <f>SUMIF(RawDataRecovered!$B:$B,$A39,RawDataRecovered!AP:AP)</f>
        <v>3</v>
      </c>
      <c r="AN39">
        <f>SUMIF(RawDataRecovered!$B:$B,$A39,RawDataRecovered!AQ:AQ)</f>
        <v>3</v>
      </c>
      <c r="AO39">
        <f>SUMIF(RawDataRecovered!$B:$B,$A39,RawDataRecovered!AR:AR)</f>
        <v>3</v>
      </c>
      <c r="AP39">
        <f>SUMIF(RawDataRecovered!$B:$B,$A39,RawDataRecovered!AS:AS)</f>
        <v>3</v>
      </c>
      <c r="AQ39">
        <f>SUMIF(RawDataRecovered!$B:$B,$A39,RawDataRecovered!AT:AT)</f>
        <v>3</v>
      </c>
      <c r="AR39">
        <f>SUMIF(RawDataRecovered!$B:$B,$A39,RawDataRecovered!AU:AU)</f>
        <v>3</v>
      </c>
      <c r="AS39">
        <f>SUMIF(RawDataRecovered!$B:$B,$A39,RawDataRecovered!AV:AV)</f>
        <v>3</v>
      </c>
      <c r="AT39">
        <f>SUMIF(RawDataRecovered!$B:$B,$A39,RawDataRecovered!AW:AW)</f>
        <v>3</v>
      </c>
      <c r="AU39">
        <f>SUMIF(RawDataRecovered!$B:$B,$A39,RawDataRecovered!AX:AX)</f>
        <v>3</v>
      </c>
      <c r="AV39">
        <f>SUMIF(RawDataRecovered!$B:$B,$A39,RawDataRecovered!AY:AY)</f>
        <v>3</v>
      </c>
      <c r="AW39">
        <f>SUMIF(RawDataRecovered!$B:$B,$A39,RawDataRecovered!AZ:AZ)</f>
        <v>3</v>
      </c>
      <c r="AX39">
        <f>SUMIF(RawDataRecovered!$B:$B,$A39,RawDataRecovered!BA:BA)</f>
        <v>4</v>
      </c>
      <c r="AY39">
        <f>SUMIF(RawDataRecovered!$B:$B,$A39,RawDataRecovered!BB:BB)</f>
        <v>4</v>
      </c>
      <c r="AZ39">
        <f>SUMIF(RawDataRecovered!$B:$B,$A39,RawDataRecovered!BC:BC)</f>
        <v>4</v>
      </c>
      <c r="BA39">
        <f>SUMIF(RawDataRecovered!$B:$B,$A39,RawDataRecovered!BD:BD)</f>
        <v>4</v>
      </c>
      <c r="BB39">
        <f>SUMIF(RawDataRecovered!$B:$B,$A39,RawDataRecovered!BE:BE)</f>
        <v>4</v>
      </c>
      <c r="BC39">
        <f>SUMIF(RawDataRecovered!$B:$B,$A39,RawDataRecovered!BF:BF)</f>
        <v>13</v>
      </c>
      <c r="BD39">
        <f>SUMIF(RawDataRecovered!$B:$B,$A39,RawDataRecovered!BG:BG)</f>
        <v>13</v>
      </c>
      <c r="BE39">
        <f>SUMIF(RawDataRecovered!$B:$B,$A39,RawDataRecovered!BH:BH)</f>
        <v>14</v>
      </c>
      <c r="BF39">
        <f>SUMIF(RawDataRecovered!$B:$B,$A39,RawDataRecovered!BI:BI)</f>
        <v>0</v>
      </c>
      <c r="BG39">
        <f>SUMIF(RawDataRecovered!$B:$B,$A39,RawDataRecovered!BJ:BJ)</f>
        <v>0</v>
      </c>
      <c r="BH39">
        <f>SUMIF(RawDataRecovered!$B:$B,$A39,RawDataRecovered!BK:BK)</f>
        <v>0</v>
      </c>
      <c r="BI39">
        <f>SUMIF(RawDataRecovered!$B:$B,$A39,RawDataRecovered!BL:BL)</f>
        <v>0</v>
      </c>
      <c r="BJ39">
        <f>SUMIF(RawDataRecovered!$B:$B,$A39,RawDataRecovered!BM:BM)</f>
        <v>0</v>
      </c>
      <c r="BK39">
        <f>SUMIF(RawDataRecovered!$B:$B,$A39,RawDataRecovered!BN:BN)</f>
        <v>0</v>
      </c>
      <c r="BL39">
        <f>SUMIF(RawDataRecovered!$B:$B,$A39,RawDataRecovered!BO:BO)</f>
        <v>0</v>
      </c>
      <c r="BM39">
        <f>SUMIF(RawDataRecovered!$B:$B,$A39,RawDataRecovered!BP:BP)</f>
        <v>0</v>
      </c>
      <c r="BN39">
        <f>SUMIF(RawDataRecovered!$B:$B,$A39,RawDataRecovered!BQ:BQ)</f>
        <v>0</v>
      </c>
      <c r="BO39">
        <f>SUMIF(RawDataRecovered!$B:$B,$A39,RawDataRecovered!BR:BR)</f>
        <v>0</v>
      </c>
      <c r="BP39">
        <f>SUMIF(RawDataRecovered!$B:$B,$A39,RawDataRecovered!BS:BS)</f>
        <v>0</v>
      </c>
      <c r="BQ39">
        <f>SUMIF(RawDataRecovered!$B:$B,$A39,RawDataRecovered!BT:BT)</f>
        <v>0</v>
      </c>
      <c r="BR39">
        <f>SUMIF(RawDataRecovered!$B:$B,$A39,RawDataRecovered!BU:BU)</f>
        <v>0</v>
      </c>
      <c r="BS39">
        <f>SUMIF(RawDataRecovered!$B:$B,$A39,RawDataRecovered!BV:BV)</f>
        <v>0</v>
      </c>
      <c r="BT39">
        <f>SUMIF(RawDataRecovered!$B:$B,$A39,RawDataRecovered!BW:BW)</f>
        <v>0</v>
      </c>
    </row>
    <row r="40" spans="1:72" ht="15" thickBot="1" x14ac:dyDescent="0.35">
      <c r="A40" s="4" t="s">
        <v>92</v>
      </c>
      <c r="B40">
        <f>SUMIF(RawDataRecovered!$B:$B,$A40,RawDataRecovered!E:E)</f>
        <v>0</v>
      </c>
      <c r="C40">
        <f>SUMIF(RawDataRecovered!$B:$B,$A40,RawDataRecovered!F:F)</f>
        <v>0</v>
      </c>
      <c r="D40">
        <f>SUMIF(RawDataRecovered!$B:$B,$A40,RawDataRecovered!G:G)</f>
        <v>0</v>
      </c>
      <c r="E40">
        <f>SUMIF(RawDataRecovered!$B:$B,$A40,RawDataRecovered!H:H)</f>
        <v>0</v>
      </c>
      <c r="F40">
        <f>SUMIF(RawDataRecovered!$B:$B,$A40,RawDataRecovered!I:I)</f>
        <v>0</v>
      </c>
      <c r="G40">
        <f>SUMIF(RawDataRecovered!$B:$B,$A40,RawDataRecovered!J:J)</f>
        <v>0</v>
      </c>
      <c r="H40">
        <f>SUMIF(RawDataRecovered!$B:$B,$A40,RawDataRecovered!K:K)</f>
        <v>0</v>
      </c>
      <c r="I40">
        <f>SUMIF(RawDataRecovered!$B:$B,$A40,RawDataRecovered!L:L)</f>
        <v>0</v>
      </c>
      <c r="J40">
        <f>SUMIF(RawDataRecovered!$B:$B,$A40,RawDataRecovered!M:M)</f>
        <v>0</v>
      </c>
      <c r="K40">
        <f>SUMIF(RawDataRecovered!$B:$B,$A40,RawDataRecovered!N:N)</f>
        <v>0</v>
      </c>
      <c r="L40">
        <f>SUMIF(RawDataRecovered!$B:$B,$A40,RawDataRecovered!O:O)</f>
        <v>0</v>
      </c>
      <c r="M40">
        <f>SUMIF(RawDataRecovered!$B:$B,$A40,RawDataRecovered!P:P)</f>
        <v>0</v>
      </c>
      <c r="N40">
        <f>SUMIF(RawDataRecovered!$B:$B,$A40,RawDataRecovered!Q:Q)</f>
        <v>0</v>
      </c>
      <c r="O40">
        <f>SUMIF(RawDataRecovered!$B:$B,$A40,RawDataRecovered!R:R)</f>
        <v>0</v>
      </c>
      <c r="P40">
        <f>SUMIF(RawDataRecovered!$B:$B,$A40,RawDataRecovered!S:S)</f>
        <v>0</v>
      </c>
      <c r="Q40">
        <f>SUMIF(RawDataRecovered!$B:$B,$A40,RawDataRecovered!T:T)</f>
        <v>0</v>
      </c>
      <c r="R40">
        <f>SUMIF(RawDataRecovered!$B:$B,$A40,RawDataRecovered!U:U)</f>
        <v>0</v>
      </c>
      <c r="S40">
        <f>SUMIF(RawDataRecovered!$B:$B,$A40,RawDataRecovered!V:V)</f>
        <v>0</v>
      </c>
      <c r="T40">
        <f>SUMIF(RawDataRecovered!$B:$B,$A40,RawDataRecovered!W:W)</f>
        <v>0</v>
      </c>
      <c r="U40">
        <f>SUMIF(RawDataRecovered!$B:$B,$A40,RawDataRecovered!X:X)</f>
        <v>0</v>
      </c>
      <c r="V40">
        <f>SUMIF(RawDataRecovered!$B:$B,$A40,RawDataRecovered!Y:Y)</f>
        <v>0</v>
      </c>
      <c r="W40">
        <f>SUMIF(RawDataRecovered!$B:$B,$A40,RawDataRecovered!Z:Z)</f>
        <v>0</v>
      </c>
      <c r="X40">
        <f>SUMIF(RawDataRecovered!$B:$B,$A40,RawDataRecovered!AA:AA)</f>
        <v>0</v>
      </c>
      <c r="Y40">
        <f>SUMIF(RawDataRecovered!$B:$B,$A40,RawDataRecovered!AB:AB)</f>
        <v>0</v>
      </c>
      <c r="Z40">
        <f>SUMIF(RawDataRecovered!$B:$B,$A40,RawDataRecovered!AC:AC)</f>
        <v>0</v>
      </c>
      <c r="AA40">
        <f>SUMIF(RawDataRecovered!$B:$B,$A40,RawDataRecovered!AD:AD)</f>
        <v>0</v>
      </c>
      <c r="AB40">
        <f>SUMIF(RawDataRecovered!$B:$B,$A40,RawDataRecovered!AE:AE)</f>
        <v>0</v>
      </c>
      <c r="AC40">
        <f>SUMIF(RawDataRecovered!$B:$B,$A40,RawDataRecovered!AF:AF)</f>
        <v>0</v>
      </c>
      <c r="AD40">
        <f>SUMIF(RawDataRecovered!$B:$B,$A40,RawDataRecovered!AG:AG)</f>
        <v>0</v>
      </c>
      <c r="AE40">
        <f>SUMIF(RawDataRecovered!$B:$B,$A40,RawDataRecovered!AH:AH)</f>
        <v>0</v>
      </c>
      <c r="AF40">
        <f>SUMIF(RawDataRecovered!$B:$B,$A40,RawDataRecovered!AI:AI)</f>
        <v>0</v>
      </c>
      <c r="AG40">
        <f>SUMIF(RawDataRecovered!$B:$B,$A40,RawDataRecovered!AJ:AJ)</f>
        <v>0</v>
      </c>
      <c r="AH40">
        <f>SUMIF(RawDataRecovered!$B:$B,$A40,RawDataRecovered!AK:AK)</f>
        <v>0</v>
      </c>
      <c r="AI40">
        <f>SUMIF(RawDataRecovered!$B:$B,$A40,RawDataRecovered!AL:AL)</f>
        <v>0</v>
      </c>
      <c r="AJ40">
        <f>SUMIF(RawDataRecovered!$B:$B,$A40,RawDataRecovered!AM:AM)</f>
        <v>0</v>
      </c>
      <c r="AK40">
        <f>SUMIF(RawDataRecovered!$B:$B,$A40,RawDataRecovered!AN:AN)</f>
        <v>0</v>
      </c>
      <c r="AL40">
        <f>SUMIF(RawDataRecovered!$B:$B,$A40,RawDataRecovered!AO:AO)</f>
        <v>0</v>
      </c>
      <c r="AM40">
        <f>SUMIF(RawDataRecovered!$B:$B,$A40,RawDataRecovered!AP:AP)</f>
        <v>1</v>
      </c>
      <c r="AN40">
        <f>SUMIF(RawDataRecovered!$B:$B,$A40,RawDataRecovered!AQ:AQ)</f>
        <v>1</v>
      </c>
      <c r="AO40">
        <f>SUMIF(RawDataRecovered!$B:$B,$A40,RawDataRecovered!AR:AR)</f>
        <v>1</v>
      </c>
      <c r="AP40">
        <f>SUMIF(RawDataRecovered!$B:$B,$A40,RawDataRecovered!AS:AS)</f>
        <v>1</v>
      </c>
      <c r="AQ40">
        <f>SUMIF(RawDataRecovered!$B:$B,$A40,RawDataRecovered!AT:AT)</f>
        <v>1</v>
      </c>
      <c r="AR40">
        <f>SUMIF(RawDataRecovered!$B:$B,$A40,RawDataRecovered!AU:AU)</f>
        <v>1</v>
      </c>
      <c r="AS40">
        <f>SUMIF(RawDataRecovered!$B:$B,$A40,RawDataRecovered!AV:AV)</f>
        <v>1</v>
      </c>
      <c r="AT40">
        <f>SUMIF(RawDataRecovered!$B:$B,$A40,RawDataRecovered!AW:AW)</f>
        <v>1</v>
      </c>
      <c r="AU40">
        <f>SUMIF(RawDataRecovered!$B:$B,$A40,RawDataRecovered!AX:AX)</f>
        <v>1</v>
      </c>
      <c r="AV40">
        <f>SUMIF(RawDataRecovered!$B:$B,$A40,RawDataRecovered!AY:AY)</f>
        <v>1</v>
      </c>
      <c r="AW40">
        <f>SUMIF(RawDataRecovered!$B:$B,$A40,RawDataRecovered!AZ:AZ)</f>
        <v>1</v>
      </c>
      <c r="AX40">
        <f>SUMIF(RawDataRecovered!$B:$B,$A40,RawDataRecovered!BA:BA)</f>
        <v>1</v>
      </c>
      <c r="AY40">
        <f>SUMIF(RawDataRecovered!$B:$B,$A40,RawDataRecovered!BB:BB)</f>
        <v>27</v>
      </c>
      <c r="AZ40">
        <f>SUMIF(RawDataRecovered!$B:$B,$A40,RawDataRecovered!BC:BC)</f>
        <v>27</v>
      </c>
      <c r="BA40">
        <f>SUMIF(RawDataRecovered!$B:$B,$A40,RawDataRecovered!BD:BD)</f>
        <v>27</v>
      </c>
      <c r="BB40">
        <f>SUMIF(RawDataRecovered!$B:$B,$A40,RawDataRecovered!BE:BE)</f>
        <v>27</v>
      </c>
      <c r="BC40">
        <f>SUMIF(RawDataRecovered!$B:$B,$A40,RawDataRecovered!BF:BF)</f>
        <v>21</v>
      </c>
      <c r="BD40">
        <f>SUMIF(RawDataRecovered!$B:$B,$A40,RawDataRecovered!BG:BG)</f>
        <v>27</v>
      </c>
      <c r="BE40">
        <f>SUMIF(RawDataRecovered!$B:$B,$A40,RawDataRecovered!BH:BH)</f>
        <v>32</v>
      </c>
      <c r="BF40">
        <f>SUMIF(RawDataRecovered!$B:$B,$A40,RawDataRecovered!BI:BI)</f>
        <v>0</v>
      </c>
      <c r="BG40">
        <f>SUMIF(RawDataRecovered!$B:$B,$A40,RawDataRecovered!BJ:BJ)</f>
        <v>0</v>
      </c>
      <c r="BH40">
        <f>SUMIF(RawDataRecovered!$B:$B,$A40,RawDataRecovered!BK:BK)</f>
        <v>0</v>
      </c>
      <c r="BI40">
        <f>SUMIF(RawDataRecovered!$B:$B,$A40,RawDataRecovered!BL:BL)</f>
        <v>0</v>
      </c>
      <c r="BJ40">
        <f>SUMIF(RawDataRecovered!$B:$B,$A40,RawDataRecovered!BM:BM)</f>
        <v>0</v>
      </c>
      <c r="BK40">
        <f>SUMIF(RawDataRecovered!$B:$B,$A40,RawDataRecovered!BN:BN)</f>
        <v>0</v>
      </c>
      <c r="BL40">
        <f>SUMIF(RawDataRecovered!$B:$B,$A40,RawDataRecovered!BO:BO)</f>
        <v>0</v>
      </c>
      <c r="BM40">
        <f>SUMIF(RawDataRecovered!$B:$B,$A40,RawDataRecovered!BP:BP)</f>
        <v>0</v>
      </c>
      <c r="BN40">
        <f>SUMIF(RawDataRecovered!$B:$B,$A40,RawDataRecovered!BQ:BQ)</f>
        <v>0</v>
      </c>
      <c r="BO40">
        <f>SUMIF(RawDataRecovered!$B:$B,$A40,RawDataRecovered!BR:BR)</f>
        <v>0</v>
      </c>
      <c r="BP40">
        <f>SUMIF(RawDataRecovered!$B:$B,$A40,RawDataRecovered!BS:BS)</f>
        <v>0</v>
      </c>
      <c r="BQ40">
        <f>SUMIF(RawDataRecovered!$B:$B,$A40,RawDataRecovered!BT:BT)</f>
        <v>0</v>
      </c>
      <c r="BR40">
        <f>SUMIF(RawDataRecovered!$B:$B,$A40,RawDataRecovered!BU:BU)</f>
        <v>0</v>
      </c>
      <c r="BS40">
        <f>SUMIF(RawDataRecovered!$B:$B,$A40,RawDataRecovered!BV:BV)</f>
        <v>0</v>
      </c>
      <c r="BT40">
        <f>SUMIF(RawDataRecovered!$B:$B,$A40,RawDataRecovered!BW:BW)</f>
        <v>0</v>
      </c>
    </row>
    <row r="41" spans="1:72" ht="15" thickBot="1" x14ac:dyDescent="0.35">
      <c r="A41" s="3" t="s">
        <v>101</v>
      </c>
      <c r="B41">
        <f>SUMIF(RawDataRecovered!$B:$B,$A41,RawDataRecovered!E:E)</f>
        <v>0</v>
      </c>
      <c r="C41">
        <f>SUMIF(RawDataRecovered!$B:$B,$A41,RawDataRecovered!F:F)</f>
        <v>0</v>
      </c>
      <c r="D41">
        <f>SUMIF(RawDataRecovered!$B:$B,$A41,RawDataRecovered!G:G)</f>
        <v>0</v>
      </c>
      <c r="E41">
        <f>SUMIF(RawDataRecovered!$B:$B,$A41,RawDataRecovered!H:H)</f>
        <v>0</v>
      </c>
      <c r="F41">
        <f>SUMIF(RawDataRecovered!$B:$B,$A41,RawDataRecovered!I:I)</f>
        <v>0</v>
      </c>
      <c r="G41">
        <f>SUMIF(RawDataRecovered!$B:$B,$A41,RawDataRecovered!J:J)</f>
        <v>0</v>
      </c>
      <c r="H41">
        <f>SUMIF(RawDataRecovered!$B:$B,$A41,RawDataRecovered!K:K)</f>
        <v>0</v>
      </c>
      <c r="I41">
        <f>SUMIF(RawDataRecovered!$B:$B,$A41,RawDataRecovered!L:L)</f>
        <v>0</v>
      </c>
      <c r="J41">
        <f>SUMIF(RawDataRecovered!$B:$B,$A41,RawDataRecovered!M:M)</f>
        <v>0</v>
      </c>
      <c r="K41">
        <f>SUMIF(RawDataRecovered!$B:$B,$A41,RawDataRecovered!N:N)</f>
        <v>0</v>
      </c>
      <c r="L41">
        <f>SUMIF(RawDataRecovered!$B:$B,$A41,RawDataRecovered!O:O)</f>
        <v>0</v>
      </c>
      <c r="M41">
        <f>SUMIF(RawDataRecovered!$B:$B,$A41,RawDataRecovered!P:P)</f>
        <v>0</v>
      </c>
      <c r="N41">
        <f>SUMIF(RawDataRecovered!$B:$B,$A41,RawDataRecovered!Q:Q)</f>
        <v>0</v>
      </c>
      <c r="O41">
        <f>SUMIF(RawDataRecovered!$B:$B,$A41,RawDataRecovered!R:R)</f>
        <v>0</v>
      </c>
      <c r="P41">
        <f>SUMIF(RawDataRecovered!$B:$B,$A41,RawDataRecovered!S:S)</f>
        <v>0</v>
      </c>
      <c r="Q41">
        <f>SUMIF(RawDataRecovered!$B:$B,$A41,RawDataRecovered!T:T)</f>
        <v>0</v>
      </c>
      <c r="R41">
        <f>SUMIF(RawDataRecovered!$B:$B,$A41,RawDataRecovered!U:U)</f>
        <v>0</v>
      </c>
      <c r="S41">
        <f>SUMIF(RawDataRecovered!$B:$B,$A41,RawDataRecovered!V:V)</f>
        <v>0</v>
      </c>
      <c r="T41">
        <f>SUMIF(RawDataRecovered!$B:$B,$A41,RawDataRecovered!W:W)</f>
        <v>0</v>
      </c>
      <c r="U41">
        <f>SUMIF(RawDataRecovered!$B:$B,$A41,RawDataRecovered!X:X)</f>
        <v>0</v>
      </c>
      <c r="V41">
        <f>SUMIF(RawDataRecovered!$B:$B,$A41,RawDataRecovered!Y:Y)</f>
        <v>0</v>
      </c>
      <c r="W41">
        <f>SUMIF(RawDataRecovered!$B:$B,$A41,RawDataRecovered!Z:Z)</f>
        <v>0</v>
      </c>
      <c r="X41">
        <f>SUMIF(RawDataRecovered!$B:$B,$A41,RawDataRecovered!AA:AA)</f>
        <v>0</v>
      </c>
      <c r="Y41">
        <f>SUMIF(RawDataRecovered!$B:$B,$A41,RawDataRecovered!AB:AB)</f>
        <v>0</v>
      </c>
      <c r="Z41">
        <f>SUMIF(RawDataRecovered!$B:$B,$A41,RawDataRecovered!AC:AC)</f>
        <v>0</v>
      </c>
      <c r="AA41">
        <f>SUMIF(RawDataRecovered!$B:$B,$A41,RawDataRecovered!AD:AD)</f>
        <v>0</v>
      </c>
      <c r="AB41">
        <f>SUMIF(RawDataRecovered!$B:$B,$A41,RawDataRecovered!AE:AE)</f>
        <v>0</v>
      </c>
      <c r="AC41">
        <f>SUMIF(RawDataRecovered!$B:$B,$A41,RawDataRecovered!AF:AF)</f>
        <v>0</v>
      </c>
      <c r="AD41">
        <f>SUMIF(RawDataRecovered!$B:$B,$A41,RawDataRecovered!AG:AG)</f>
        <v>0</v>
      </c>
      <c r="AE41">
        <f>SUMIF(RawDataRecovered!$B:$B,$A41,RawDataRecovered!AH:AH)</f>
        <v>0</v>
      </c>
      <c r="AF41">
        <f>SUMIF(RawDataRecovered!$B:$B,$A41,RawDataRecovered!AI:AI)</f>
        <v>0</v>
      </c>
      <c r="AG41">
        <f>SUMIF(RawDataRecovered!$B:$B,$A41,RawDataRecovered!AJ:AJ)</f>
        <v>0</v>
      </c>
      <c r="AH41">
        <f>SUMIF(RawDataRecovered!$B:$B,$A41,RawDataRecovered!AK:AK)</f>
        <v>0</v>
      </c>
      <c r="AI41">
        <f>SUMIF(RawDataRecovered!$B:$B,$A41,RawDataRecovered!AL:AL)</f>
        <v>0</v>
      </c>
      <c r="AJ41">
        <f>SUMIF(RawDataRecovered!$B:$B,$A41,RawDataRecovered!AM:AM)</f>
        <v>0</v>
      </c>
      <c r="AK41">
        <f>SUMIF(RawDataRecovered!$B:$B,$A41,RawDataRecovered!AN:AN)</f>
        <v>0</v>
      </c>
      <c r="AL41">
        <f>SUMIF(RawDataRecovered!$B:$B,$A41,RawDataRecovered!AO:AO)</f>
        <v>0</v>
      </c>
      <c r="AM41">
        <f>SUMIF(RawDataRecovered!$B:$B,$A41,RawDataRecovered!AP:AP)</f>
        <v>0</v>
      </c>
      <c r="AN41">
        <f>SUMIF(RawDataRecovered!$B:$B,$A41,RawDataRecovered!AQ:AQ)</f>
        <v>0</v>
      </c>
      <c r="AO41">
        <f>SUMIF(RawDataRecovered!$B:$B,$A41,RawDataRecovered!AR:AR)</f>
        <v>0</v>
      </c>
      <c r="AP41">
        <f>SUMIF(RawDataRecovered!$B:$B,$A41,RawDataRecovered!AS:AS)</f>
        <v>0</v>
      </c>
      <c r="AQ41">
        <f>SUMIF(RawDataRecovered!$B:$B,$A41,RawDataRecovered!AT:AT)</f>
        <v>0</v>
      </c>
      <c r="AR41">
        <f>SUMIF(RawDataRecovered!$B:$B,$A41,RawDataRecovered!AU:AU)</f>
        <v>0</v>
      </c>
      <c r="AS41">
        <f>SUMIF(RawDataRecovered!$B:$B,$A41,RawDataRecovered!AV:AV)</f>
        <v>0</v>
      </c>
      <c r="AT41">
        <f>SUMIF(RawDataRecovered!$B:$B,$A41,RawDataRecovered!AW:AW)</f>
        <v>0</v>
      </c>
      <c r="AU41">
        <f>SUMIF(RawDataRecovered!$B:$B,$A41,RawDataRecovered!AX:AX)</f>
        <v>0</v>
      </c>
      <c r="AV41">
        <f>SUMIF(RawDataRecovered!$B:$B,$A41,RawDataRecovered!AY:AY)</f>
        <v>1</v>
      </c>
      <c r="AW41">
        <f>SUMIF(RawDataRecovered!$B:$B,$A41,RawDataRecovered!AZ:AZ)</f>
        <v>1</v>
      </c>
      <c r="AX41">
        <f>SUMIF(RawDataRecovered!$B:$B,$A41,RawDataRecovered!BA:BA)</f>
        <v>1</v>
      </c>
      <c r="AY41">
        <f>SUMIF(RawDataRecovered!$B:$B,$A41,RawDataRecovered!BB:BB)</f>
        <v>2</v>
      </c>
      <c r="AZ41">
        <f>SUMIF(RawDataRecovered!$B:$B,$A41,RawDataRecovered!BC:BC)</f>
        <v>5</v>
      </c>
      <c r="BA41">
        <f>SUMIF(RawDataRecovered!$B:$B,$A41,RawDataRecovered!BD:BD)</f>
        <v>5</v>
      </c>
      <c r="BB41">
        <f>SUMIF(RawDataRecovered!$B:$B,$A41,RawDataRecovered!BE:BE)</f>
        <v>5</v>
      </c>
      <c r="BC41">
        <f>SUMIF(RawDataRecovered!$B:$B,$A41,RawDataRecovered!BF:BF)</f>
        <v>5</v>
      </c>
      <c r="BD41">
        <f>SUMIF(RawDataRecovered!$B:$B,$A41,RawDataRecovered!BG:BG)</f>
        <v>9</v>
      </c>
      <c r="BE41">
        <f>SUMIF(RawDataRecovered!$B:$B,$A41,RawDataRecovered!BH:BH)</f>
        <v>9</v>
      </c>
      <c r="BF41">
        <f>SUMIF(RawDataRecovered!$B:$B,$A41,RawDataRecovered!BI:BI)</f>
        <v>0</v>
      </c>
      <c r="BG41">
        <f>SUMIF(RawDataRecovered!$B:$B,$A41,RawDataRecovered!BJ:BJ)</f>
        <v>0</v>
      </c>
      <c r="BH41">
        <f>SUMIF(RawDataRecovered!$B:$B,$A41,RawDataRecovered!BK:BK)</f>
        <v>0</v>
      </c>
      <c r="BI41">
        <f>SUMIF(RawDataRecovered!$B:$B,$A41,RawDataRecovered!BL:BL)</f>
        <v>0</v>
      </c>
      <c r="BJ41">
        <f>SUMIF(RawDataRecovered!$B:$B,$A41,RawDataRecovered!BM:BM)</f>
        <v>0</v>
      </c>
      <c r="BK41">
        <f>SUMIF(RawDataRecovered!$B:$B,$A41,RawDataRecovered!BN:BN)</f>
        <v>0</v>
      </c>
      <c r="BL41">
        <f>SUMIF(RawDataRecovered!$B:$B,$A41,RawDataRecovered!BO:BO)</f>
        <v>0</v>
      </c>
      <c r="BM41">
        <f>SUMIF(RawDataRecovered!$B:$B,$A41,RawDataRecovered!BP:BP)</f>
        <v>0</v>
      </c>
      <c r="BN41">
        <f>SUMIF(RawDataRecovered!$B:$B,$A41,RawDataRecovered!BQ:BQ)</f>
        <v>0</v>
      </c>
      <c r="BO41">
        <f>SUMIF(RawDataRecovered!$B:$B,$A41,RawDataRecovered!BR:BR)</f>
        <v>0</v>
      </c>
      <c r="BP41">
        <f>SUMIF(RawDataRecovered!$B:$B,$A41,RawDataRecovered!BS:BS)</f>
        <v>0</v>
      </c>
      <c r="BQ41">
        <f>SUMIF(RawDataRecovered!$B:$B,$A41,RawDataRecovered!BT:BT)</f>
        <v>0</v>
      </c>
      <c r="BR41">
        <f>SUMIF(RawDataRecovered!$B:$B,$A41,RawDataRecovered!BU:BU)</f>
        <v>0</v>
      </c>
      <c r="BS41">
        <f>SUMIF(RawDataRecovered!$B:$B,$A41,RawDataRecovered!BV:BV)</f>
        <v>0</v>
      </c>
      <c r="BT41">
        <f>SUMIF(RawDataRecovered!$B:$B,$A41,RawDataRecovered!BW:BW)</f>
        <v>0</v>
      </c>
    </row>
    <row r="42" spans="1:72" ht="15" thickBot="1" x14ac:dyDescent="0.35">
      <c r="A42" s="4" t="s">
        <v>117</v>
      </c>
      <c r="B42">
        <f>SUMIF(RawDataRecovered!$B:$B,$A42,RawDataRecovered!E:E)</f>
        <v>0</v>
      </c>
      <c r="C42">
        <f>SUMIF(RawDataRecovered!$B:$B,$A42,RawDataRecovered!F:F)</f>
        <v>0</v>
      </c>
      <c r="D42">
        <f>SUMIF(RawDataRecovered!$B:$B,$A42,RawDataRecovered!G:G)</f>
        <v>0</v>
      </c>
      <c r="E42">
        <f>SUMIF(RawDataRecovered!$B:$B,$A42,RawDataRecovered!H:H)</f>
        <v>0</v>
      </c>
      <c r="F42">
        <f>SUMIF(RawDataRecovered!$B:$B,$A42,RawDataRecovered!I:I)</f>
        <v>0</v>
      </c>
      <c r="G42">
        <f>SUMIF(RawDataRecovered!$B:$B,$A42,RawDataRecovered!J:J)</f>
        <v>0</v>
      </c>
      <c r="H42">
        <f>SUMIF(RawDataRecovered!$B:$B,$A42,RawDataRecovered!K:K)</f>
        <v>0</v>
      </c>
      <c r="I42">
        <f>SUMIF(RawDataRecovered!$B:$B,$A42,RawDataRecovered!L:L)</f>
        <v>0</v>
      </c>
      <c r="J42">
        <f>SUMIF(RawDataRecovered!$B:$B,$A42,RawDataRecovered!M:M)</f>
        <v>0</v>
      </c>
      <c r="K42">
        <f>SUMIF(RawDataRecovered!$B:$B,$A42,RawDataRecovered!N:N)</f>
        <v>0</v>
      </c>
      <c r="L42">
        <f>SUMIF(RawDataRecovered!$B:$B,$A42,RawDataRecovered!O:O)</f>
        <v>0</v>
      </c>
      <c r="M42">
        <f>SUMIF(RawDataRecovered!$B:$B,$A42,RawDataRecovered!P:P)</f>
        <v>0</v>
      </c>
      <c r="N42">
        <f>SUMIF(RawDataRecovered!$B:$B,$A42,RawDataRecovered!Q:Q)</f>
        <v>0</v>
      </c>
      <c r="O42">
        <f>SUMIF(RawDataRecovered!$B:$B,$A42,RawDataRecovered!R:R)</f>
        <v>0</v>
      </c>
      <c r="P42">
        <f>SUMIF(RawDataRecovered!$B:$B,$A42,RawDataRecovered!S:S)</f>
        <v>0</v>
      </c>
      <c r="Q42">
        <f>SUMIF(RawDataRecovered!$B:$B,$A42,RawDataRecovered!T:T)</f>
        <v>0</v>
      </c>
      <c r="R42">
        <f>SUMIF(RawDataRecovered!$B:$B,$A42,RawDataRecovered!U:U)</f>
        <v>0</v>
      </c>
      <c r="S42">
        <f>SUMIF(RawDataRecovered!$B:$B,$A42,RawDataRecovered!V:V)</f>
        <v>0</v>
      </c>
      <c r="T42">
        <f>SUMIF(RawDataRecovered!$B:$B,$A42,RawDataRecovered!W:W)</f>
        <v>0</v>
      </c>
      <c r="U42">
        <f>SUMIF(RawDataRecovered!$B:$B,$A42,RawDataRecovered!X:X)</f>
        <v>0</v>
      </c>
      <c r="V42">
        <f>SUMIF(RawDataRecovered!$B:$B,$A42,RawDataRecovered!Y:Y)</f>
        <v>0</v>
      </c>
      <c r="W42">
        <f>SUMIF(RawDataRecovered!$B:$B,$A42,RawDataRecovered!Z:Z)</f>
        <v>0</v>
      </c>
      <c r="X42">
        <f>SUMIF(RawDataRecovered!$B:$B,$A42,RawDataRecovered!AA:AA)</f>
        <v>0</v>
      </c>
      <c r="Y42">
        <f>SUMIF(RawDataRecovered!$B:$B,$A42,RawDataRecovered!AB:AB)</f>
        <v>0</v>
      </c>
      <c r="Z42">
        <f>SUMIF(RawDataRecovered!$B:$B,$A42,RawDataRecovered!AC:AC)</f>
        <v>0</v>
      </c>
      <c r="AA42">
        <f>SUMIF(RawDataRecovered!$B:$B,$A42,RawDataRecovered!AD:AD)</f>
        <v>0</v>
      </c>
      <c r="AB42">
        <f>SUMIF(RawDataRecovered!$B:$B,$A42,RawDataRecovered!AE:AE)</f>
        <v>0</v>
      </c>
      <c r="AC42">
        <f>SUMIF(RawDataRecovered!$B:$B,$A42,RawDataRecovered!AF:AF)</f>
        <v>0</v>
      </c>
      <c r="AD42">
        <f>SUMIF(RawDataRecovered!$B:$B,$A42,RawDataRecovered!AG:AG)</f>
        <v>0</v>
      </c>
      <c r="AE42">
        <f>SUMIF(RawDataRecovered!$B:$B,$A42,RawDataRecovered!AH:AH)</f>
        <v>0</v>
      </c>
      <c r="AF42">
        <f>SUMIF(RawDataRecovered!$B:$B,$A42,RawDataRecovered!AI:AI)</f>
        <v>0</v>
      </c>
      <c r="AG42">
        <f>SUMIF(RawDataRecovered!$B:$B,$A42,RawDataRecovered!AJ:AJ)</f>
        <v>0</v>
      </c>
      <c r="AH42">
        <f>SUMIF(RawDataRecovered!$B:$B,$A42,RawDataRecovered!AK:AK)</f>
        <v>0</v>
      </c>
      <c r="AI42">
        <f>SUMIF(RawDataRecovered!$B:$B,$A42,RawDataRecovered!AL:AL)</f>
        <v>0</v>
      </c>
      <c r="AJ42">
        <f>SUMIF(RawDataRecovered!$B:$B,$A42,RawDataRecovered!AM:AM)</f>
        <v>0</v>
      </c>
      <c r="AK42">
        <f>SUMIF(RawDataRecovered!$B:$B,$A42,RawDataRecovered!AN:AN)</f>
        <v>0</v>
      </c>
      <c r="AL42">
        <f>SUMIF(RawDataRecovered!$B:$B,$A42,RawDataRecovered!AO:AO)</f>
        <v>0</v>
      </c>
      <c r="AM42">
        <f>SUMIF(RawDataRecovered!$B:$B,$A42,RawDataRecovered!AP:AP)</f>
        <v>0</v>
      </c>
      <c r="AN42">
        <f>SUMIF(RawDataRecovered!$B:$B,$A42,RawDataRecovered!AQ:AQ)</f>
        <v>0</v>
      </c>
      <c r="AO42">
        <f>SUMIF(RawDataRecovered!$B:$B,$A42,RawDataRecovered!AR:AR)</f>
        <v>0</v>
      </c>
      <c r="AP42">
        <f>SUMIF(RawDataRecovered!$B:$B,$A42,RawDataRecovered!AS:AS)</f>
        <v>0</v>
      </c>
      <c r="AQ42">
        <f>SUMIF(RawDataRecovered!$B:$B,$A42,RawDataRecovered!AT:AT)</f>
        <v>0</v>
      </c>
      <c r="AR42">
        <f>SUMIF(RawDataRecovered!$B:$B,$A42,RawDataRecovered!AU:AU)</f>
        <v>0</v>
      </c>
      <c r="AS42">
        <f>SUMIF(RawDataRecovered!$B:$B,$A42,RawDataRecovered!AV:AV)</f>
        <v>0</v>
      </c>
      <c r="AT42">
        <f>SUMIF(RawDataRecovered!$B:$B,$A42,RawDataRecovered!AW:AW)</f>
        <v>0</v>
      </c>
      <c r="AU42">
        <f>SUMIF(RawDataRecovered!$B:$B,$A42,RawDataRecovered!AX:AX)</f>
        <v>0</v>
      </c>
      <c r="AV42">
        <f>SUMIF(RawDataRecovered!$B:$B,$A42,RawDataRecovered!AY:AY)</f>
        <v>0</v>
      </c>
      <c r="AW42">
        <f>SUMIF(RawDataRecovered!$B:$B,$A42,RawDataRecovered!AZ:AZ)</f>
        <v>0</v>
      </c>
      <c r="AX42">
        <f>SUMIF(RawDataRecovered!$B:$B,$A42,RawDataRecovered!BA:BA)</f>
        <v>0</v>
      </c>
      <c r="AY42">
        <f>SUMIF(RawDataRecovered!$B:$B,$A42,RawDataRecovered!BB:BB)</f>
        <v>0</v>
      </c>
      <c r="AZ42">
        <f>SUMIF(RawDataRecovered!$B:$B,$A42,RawDataRecovered!BC:BC)</f>
        <v>0</v>
      </c>
      <c r="BA42">
        <f>SUMIF(RawDataRecovered!$B:$B,$A42,RawDataRecovered!BD:BD)</f>
        <v>0</v>
      </c>
      <c r="BB42">
        <f>SUMIF(RawDataRecovered!$B:$B,$A42,RawDataRecovered!BE:BE)</f>
        <v>4</v>
      </c>
      <c r="BC42">
        <f>SUMIF(RawDataRecovered!$B:$B,$A42,RawDataRecovered!BF:BF)</f>
        <v>4</v>
      </c>
      <c r="BD42">
        <f>SUMIF(RawDataRecovered!$B:$B,$A42,RawDataRecovered!BG:BG)</f>
        <v>4</v>
      </c>
      <c r="BE42">
        <f>SUMIF(RawDataRecovered!$B:$B,$A42,RawDataRecovered!BH:BH)</f>
        <v>4</v>
      </c>
      <c r="BF42">
        <f>SUMIF(RawDataRecovered!$B:$B,$A42,RawDataRecovered!BI:BI)</f>
        <v>0</v>
      </c>
      <c r="BG42">
        <f>SUMIF(RawDataRecovered!$B:$B,$A42,RawDataRecovered!BJ:BJ)</f>
        <v>0</v>
      </c>
      <c r="BH42">
        <f>SUMIF(RawDataRecovered!$B:$B,$A42,RawDataRecovered!BK:BK)</f>
        <v>0</v>
      </c>
      <c r="BI42">
        <f>SUMIF(RawDataRecovered!$B:$B,$A42,RawDataRecovered!BL:BL)</f>
        <v>0</v>
      </c>
      <c r="BJ42">
        <f>SUMIF(RawDataRecovered!$B:$B,$A42,RawDataRecovered!BM:BM)</f>
        <v>0</v>
      </c>
      <c r="BK42">
        <f>SUMIF(RawDataRecovered!$B:$B,$A42,RawDataRecovered!BN:BN)</f>
        <v>0</v>
      </c>
      <c r="BL42">
        <f>SUMIF(RawDataRecovered!$B:$B,$A42,RawDataRecovered!BO:BO)</f>
        <v>0</v>
      </c>
      <c r="BM42">
        <f>SUMIF(RawDataRecovered!$B:$B,$A42,RawDataRecovered!BP:BP)</f>
        <v>0</v>
      </c>
      <c r="BN42">
        <f>SUMIF(RawDataRecovered!$B:$B,$A42,RawDataRecovered!BQ:BQ)</f>
        <v>0</v>
      </c>
      <c r="BO42">
        <f>SUMIF(RawDataRecovered!$B:$B,$A42,RawDataRecovered!BR:BR)</f>
        <v>0</v>
      </c>
      <c r="BP42">
        <f>SUMIF(RawDataRecovered!$B:$B,$A42,RawDataRecovered!BS:BS)</f>
        <v>0</v>
      </c>
      <c r="BQ42">
        <f>SUMIF(RawDataRecovered!$B:$B,$A42,RawDataRecovered!BT:BT)</f>
        <v>0</v>
      </c>
      <c r="BR42">
        <f>SUMIF(RawDataRecovered!$B:$B,$A42,RawDataRecovered!BU:BU)</f>
        <v>0</v>
      </c>
      <c r="BS42">
        <f>SUMIF(RawDataRecovered!$B:$B,$A42,RawDataRecovered!BV:BV)</f>
        <v>0</v>
      </c>
      <c r="BT42">
        <f>SUMIF(RawDataRecovered!$B:$B,$A42,RawDataRecovered!BW:BW)</f>
        <v>0</v>
      </c>
    </row>
    <row r="43" spans="1:72" ht="15" thickBot="1" x14ac:dyDescent="0.35">
      <c r="A43" s="4" t="s">
        <v>115</v>
      </c>
      <c r="B43">
        <f>SUMIF(RawDataRecovered!$B:$B,$A43,RawDataRecovered!E:E)</f>
        <v>0</v>
      </c>
      <c r="C43">
        <f>SUMIF(RawDataRecovered!$B:$B,$A43,RawDataRecovered!F:F)</f>
        <v>0</v>
      </c>
      <c r="D43">
        <f>SUMIF(RawDataRecovered!$B:$B,$A43,RawDataRecovered!G:G)</f>
        <v>0</v>
      </c>
      <c r="E43">
        <f>SUMIF(RawDataRecovered!$B:$B,$A43,RawDataRecovered!H:H)</f>
        <v>0</v>
      </c>
      <c r="F43">
        <f>SUMIF(RawDataRecovered!$B:$B,$A43,RawDataRecovered!I:I)</f>
        <v>0</v>
      </c>
      <c r="G43">
        <f>SUMIF(RawDataRecovered!$B:$B,$A43,RawDataRecovered!J:J)</f>
        <v>0</v>
      </c>
      <c r="H43">
        <f>SUMIF(RawDataRecovered!$B:$B,$A43,RawDataRecovered!K:K)</f>
        <v>0</v>
      </c>
      <c r="I43">
        <f>SUMIF(RawDataRecovered!$B:$B,$A43,RawDataRecovered!L:L)</f>
        <v>0</v>
      </c>
      <c r="J43">
        <f>SUMIF(RawDataRecovered!$B:$B,$A43,RawDataRecovered!M:M)</f>
        <v>0</v>
      </c>
      <c r="K43">
        <f>SUMIF(RawDataRecovered!$B:$B,$A43,RawDataRecovered!N:N)</f>
        <v>0</v>
      </c>
      <c r="L43">
        <f>SUMIF(RawDataRecovered!$B:$B,$A43,RawDataRecovered!O:O)</f>
        <v>0</v>
      </c>
      <c r="M43">
        <f>SUMIF(RawDataRecovered!$B:$B,$A43,RawDataRecovered!P:P)</f>
        <v>0</v>
      </c>
      <c r="N43">
        <f>SUMIF(RawDataRecovered!$B:$B,$A43,RawDataRecovered!Q:Q)</f>
        <v>0</v>
      </c>
      <c r="O43">
        <f>SUMIF(RawDataRecovered!$B:$B,$A43,RawDataRecovered!R:R)</f>
        <v>0</v>
      </c>
      <c r="P43">
        <f>SUMIF(RawDataRecovered!$B:$B,$A43,RawDataRecovered!S:S)</f>
        <v>0</v>
      </c>
      <c r="Q43">
        <f>SUMIF(RawDataRecovered!$B:$B,$A43,RawDataRecovered!T:T)</f>
        <v>0</v>
      </c>
      <c r="R43">
        <f>SUMIF(RawDataRecovered!$B:$B,$A43,RawDataRecovered!U:U)</f>
        <v>0</v>
      </c>
      <c r="S43">
        <f>SUMIF(RawDataRecovered!$B:$B,$A43,RawDataRecovered!V:V)</f>
        <v>0</v>
      </c>
      <c r="T43">
        <f>SUMIF(RawDataRecovered!$B:$B,$A43,RawDataRecovered!W:W)</f>
        <v>0</v>
      </c>
      <c r="U43">
        <f>SUMIF(RawDataRecovered!$B:$B,$A43,RawDataRecovered!X:X)</f>
        <v>0</v>
      </c>
      <c r="V43">
        <f>SUMIF(RawDataRecovered!$B:$B,$A43,RawDataRecovered!Y:Y)</f>
        <v>0</v>
      </c>
      <c r="W43">
        <f>SUMIF(RawDataRecovered!$B:$B,$A43,RawDataRecovered!Z:Z)</f>
        <v>0</v>
      </c>
      <c r="X43">
        <f>SUMIF(RawDataRecovered!$B:$B,$A43,RawDataRecovered!AA:AA)</f>
        <v>0</v>
      </c>
      <c r="Y43">
        <f>SUMIF(RawDataRecovered!$B:$B,$A43,RawDataRecovered!AB:AB)</f>
        <v>0</v>
      </c>
      <c r="Z43">
        <f>SUMIF(RawDataRecovered!$B:$B,$A43,RawDataRecovered!AC:AC)</f>
        <v>0</v>
      </c>
      <c r="AA43">
        <f>SUMIF(RawDataRecovered!$B:$B,$A43,RawDataRecovered!AD:AD)</f>
        <v>0</v>
      </c>
      <c r="AB43">
        <f>SUMIF(RawDataRecovered!$B:$B,$A43,RawDataRecovered!AE:AE)</f>
        <v>0</v>
      </c>
      <c r="AC43">
        <f>SUMIF(RawDataRecovered!$B:$B,$A43,RawDataRecovered!AF:AF)</f>
        <v>0</v>
      </c>
      <c r="AD43">
        <f>SUMIF(RawDataRecovered!$B:$B,$A43,RawDataRecovered!AG:AG)</f>
        <v>0</v>
      </c>
      <c r="AE43">
        <f>SUMIF(RawDataRecovered!$B:$B,$A43,RawDataRecovered!AH:AH)</f>
        <v>0</v>
      </c>
      <c r="AF43">
        <f>SUMIF(RawDataRecovered!$B:$B,$A43,RawDataRecovered!AI:AI)</f>
        <v>0</v>
      </c>
      <c r="AG43">
        <f>SUMIF(RawDataRecovered!$B:$B,$A43,RawDataRecovered!AJ:AJ)</f>
        <v>0</v>
      </c>
      <c r="AH43">
        <f>SUMIF(RawDataRecovered!$B:$B,$A43,RawDataRecovered!AK:AK)</f>
        <v>0</v>
      </c>
      <c r="AI43">
        <f>SUMIF(RawDataRecovered!$B:$B,$A43,RawDataRecovered!AL:AL)</f>
        <v>0</v>
      </c>
      <c r="AJ43">
        <f>SUMIF(RawDataRecovered!$B:$B,$A43,RawDataRecovered!AM:AM)</f>
        <v>0</v>
      </c>
      <c r="AK43">
        <f>SUMIF(RawDataRecovered!$B:$B,$A43,RawDataRecovered!AN:AN)</f>
        <v>0</v>
      </c>
      <c r="AL43">
        <f>SUMIF(RawDataRecovered!$B:$B,$A43,RawDataRecovered!AO:AO)</f>
        <v>0</v>
      </c>
      <c r="AM43">
        <f>SUMIF(RawDataRecovered!$B:$B,$A43,RawDataRecovered!AP:AP)</f>
        <v>0</v>
      </c>
      <c r="AN43">
        <f>SUMIF(RawDataRecovered!$B:$B,$A43,RawDataRecovered!AQ:AQ)</f>
        <v>0</v>
      </c>
      <c r="AO43">
        <f>SUMIF(RawDataRecovered!$B:$B,$A43,RawDataRecovered!AR:AR)</f>
        <v>0</v>
      </c>
      <c r="AP43">
        <f>SUMIF(RawDataRecovered!$B:$B,$A43,RawDataRecovered!AS:AS)</f>
        <v>0</v>
      </c>
      <c r="AQ43">
        <f>SUMIF(RawDataRecovered!$B:$B,$A43,RawDataRecovered!AT:AT)</f>
        <v>0</v>
      </c>
      <c r="AR43">
        <f>SUMIF(RawDataRecovered!$B:$B,$A43,RawDataRecovered!AU:AU)</f>
        <v>0</v>
      </c>
      <c r="AS43">
        <f>SUMIF(RawDataRecovered!$B:$B,$A43,RawDataRecovered!AV:AV)</f>
        <v>0</v>
      </c>
      <c r="AT43">
        <f>SUMIF(RawDataRecovered!$B:$B,$A43,RawDataRecovered!AW:AW)</f>
        <v>0</v>
      </c>
      <c r="AU43">
        <f>SUMIF(RawDataRecovered!$B:$B,$A43,RawDataRecovered!AX:AX)</f>
        <v>0</v>
      </c>
      <c r="AV43">
        <f>SUMIF(RawDataRecovered!$B:$B,$A43,RawDataRecovered!AY:AY)</f>
        <v>0</v>
      </c>
      <c r="AW43">
        <f>SUMIF(RawDataRecovered!$B:$B,$A43,RawDataRecovered!AZ:AZ)</f>
        <v>0</v>
      </c>
      <c r="AX43">
        <f>SUMIF(RawDataRecovered!$B:$B,$A43,RawDataRecovered!BA:BA)</f>
        <v>0</v>
      </c>
      <c r="AY43">
        <f>SUMIF(RawDataRecovered!$B:$B,$A43,RawDataRecovered!BB:BB)</f>
        <v>0</v>
      </c>
      <c r="AZ43">
        <f>SUMIF(RawDataRecovered!$B:$B,$A43,RawDataRecovered!BC:BC)</f>
        <v>0</v>
      </c>
      <c r="BA43">
        <f>SUMIF(RawDataRecovered!$B:$B,$A43,RawDataRecovered!BD:BD)</f>
        <v>0</v>
      </c>
      <c r="BB43">
        <f>SUMIF(RawDataRecovered!$B:$B,$A43,RawDataRecovered!BE:BE)</f>
        <v>0</v>
      </c>
      <c r="BC43">
        <f>SUMIF(RawDataRecovered!$B:$B,$A43,RawDataRecovered!BF:BF)</f>
        <v>1</v>
      </c>
      <c r="BD43">
        <f>SUMIF(RawDataRecovered!$B:$B,$A43,RawDataRecovered!BG:BG)</f>
        <v>1</v>
      </c>
      <c r="BE43">
        <f>SUMIF(RawDataRecovered!$B:$B,$A43,RawDataRecovered!BH:BH)</f>
        <v>1</v>
      </c>
      <c r="BF43">
        <f>SUMIF(RawDataRecovered!$B:$B,$A43,RawDataRecovered!BI:BI)</f>
        <v>0</v>
      </c>
      <c r="BG43">
        <f>SUMIF(RawDataRecovered!$B:$B,$A43,RawDataRecovered!BJ:BJ)</f>
        <v>0</v>
      </c>
      <c r="BH43">
        <f>SUMIF(RawDataRecovered!$B:$B,$A43,RawDataRecovered!BK:BK)</f>
        <v>0</v>
      </c>
      <c r="BI43">
        <f>SUMIF(RawDataRecovered!$B:$B,$A43,RawDataRecovered!BL:BL)</f>
        <v>0</v>
      </c>
      <c r="BJ43">
        <f>SUMIF(RawDataRecovered!$B:$B,$A43,RawDataRecovered!BM:BM)</f>
        <v>0</v>
      </c>
      <c r="BK43">
        <f>SUMIF(RawDataRecovered!$B:$B,$A43,RawDataRecovered!BN:BN)</f>
        <v>0</v>
      </c>
      <c r="BL43">
        <f>SUMIF(RawDataRecovered!$B:$B,$A43,RawDataRecovered!BO:BO)</f>
        <v>0</v>
      </c>
      <c r="BM43">
        <f>SUMIF(RawDataRecovered!$B:$B,$A43,RawDataRecovered!BP:BP)</f>
        <v>0</v>
      </c>
      <c r="BN43">
        <f>SUMIF(RawDataRecovered!$B:$B,$A43,RawDataRecovered!BQ:BQ)</f>
        <v>0</v>
      </c>
      <c r="BO43">
        <f>SUMIF(RawDataRecovered!$B:$B,$A43,RawDataRecovered!BR:BR)</f>
        <v>0</v>
      </c>
      <c r="BP43">
        <f>SUMIF(RawDataRecovered!$B:$B,$A43,RawDataRecovered!BS:BS)</f>
        <v>0</v>
      </c>
      <c r="BQ43">
        <f>SUMIF(RawDataRecovered!$B:$B,$A43,RawDataRecovered!BT:BT)</f>
        <v>0</v>
      </c>
      <c r="BR43">
        <f>SUMIF(RawDataRecovered!$B:$B,$A43,RawDataRecovered!BU:BU)</f>
        <v>0</v>
      </c>
      <c r="BS43">
        <f>SUMIF(RawDataRecovered!$B:$B,$A43,RawDataRecovered!BV:BV)</f>
        <v>0</v>
      </c>
      <c r="BT43">
        <f>SUMIF(RawDataRecovered!$B:$B,$A43,RawDataRecovered!BW:BW)</f>
        <v>0</v>
      </c>
    </row>
    <row r="44" spans="1:72" ht="15" thickBot="1" x14ac:dyDescent="0.35">
      <c r="A44" s="4" t="s">
        <v>94</v>
      </c>
      <c r="B44">
        <f>SUMIF(RawDataRecovered!$B:$B,$A44,RawDataRecovered!E:E)</f>
        <v>0</v>
      </c>
      <c r="C44">
        <f>SUMIF(RawDataRecovered!$B:$B,$A44,RawDataRecovered!F:F)</f>
        <v>0</v>
      </c>
      <c r="D44">
        <f>SUMIF(RawDataRecovered!$B:$B,$A44,RawDataRecovered!G:G)</f>
        <v>0</v>
      </c>
      <c r="E44">
        <f>SUMIF(RawDataRecovered!$B:$B,$A44,RawDataRecovered!H:H)</f>
        <v>0</v>
      </c>
      <c r="F44">
        <f>SUMIF(RawDataRecovered!$B:$B,$A44,RawDataRecovered!I:I)</f>
        <v>0</v>
      </c>
      <c r="G44">
        <f>SUMIF(RawDataRecovered!$B:$B,$A44,RawDataRecovered!J:J)</f>
        <v>0</v>
      </c>
      <c r="H44">
        <f>SUMIF(RawDataRecovered!$B:$B,$A44,RawDataRecovered!K:K)</f>
        <v>0</v>
      </c>
      <c r="I44">
        <f>SUMIF(RawDataRecovered!$B:$B,$A44,RawDataRecovered!L:L)</f>
        <v>0</v>
      </c>
      <c r="J44">
        <f>SUMIF(RawDataRecovered!$B:$B,$A44,RawDataRecovered!M:M)</f>
        <v>0</v>
      </c>
      <c r="K44">
        <f>SUMIF(RawDataRecovered!$B:$B,$A44,RawDataRecovered!N:N)</f>
        <v>0</v>
      </c>
      <c r="L44">
        <f>SUMIF(RawDataRecovered!$B:$B,$A44,RawDataRecovered!O:O)</f>
        <v>0</v>
      </c>
      <c r="M44">
        <f>SUMIF(RawDataRecovered!$B:$B,$A44,RawDataRecovered!P:P)</f>
        <v>0</v>
      </c>
      <c r="N44">
        <f>SUMIF(RawDataRecovered!$B:$B,$A44,RawDataRecovered!Q:Q)</f>
        <v>0</v>
      </c>
      <c r="O44">
        <f>SUMIF(RawDataRecovered!$B:$B,$A44,RawDataRecovered!R:R)</f>
        <v>0</v>
      </c>
      <c r="P44">
        <f>SUMIF(RawDataRecovered!$B:$B,$A44,RawDataRecovered!S:S)</f>
        <v>0</v>
      </c>
      <c r="Q44">
        <f>SUMIF(RawDataRecovered!$B:$B,$A44,RawDataRecovered!T:T)</f>
        <v>0</v>
      </c>
      <c r="R44">
        <f>SUMIF(RawDataRecovered!$B:$B,$A44,RawDataRecovered!U:U)</f>
        <v>0</v>
      </c>
      <c r="S44">
        <f>SUMIF(RawDataRecovered!$B:$B,$A44,RawDataRecovered!V:V)</f>
        <v>0</v>
      </c>
      <c r="T44">
        <f>SUMIF(RawDataRecovered!$B:$B,$A44,RawDataRecovered!W:W)</f>
        <v>0</v>
      </c>
      <c r="U44">
        <f>SUMIF(RawDataRecovered!$B:$B,$A44,RawDataRecovered!X:X)</f>
        <v>0</v>
      </c>
      <c r="V44">
        <f>SUMIF(RawDataRecovered!$B:$B,$A44,RawDataRecovered!Y:Y)</f>
        <v>0</v>
      </c>
      <c r="W44">
        <f>SUMIF(RawDataRecovered!$B:$B,$A44,RawDataRecovered!Z:Z)</f>
        <v>0</v>
      </c>
      <c r="X44">
        <f>SUMIF(RawDataRecovered!$B:$B,$A44,RawDataRecovered!AA:AA)</f>
        <v>0</v>
      </c>
      <c r="Y44">
        <f>SUMIF(RawDataRecovered!$B:$B,$A44,RawDataRecovered!AB:AB)</f>
        <v>0</v>
      </c>
      <c r="Z44">
        <f>SUMIF(RawDataRecovered!$B:$B,$A44,RawDataRecovered!AC:AC)</f>
        <v>0</v>
      </c>
      <c r="AA44">
        <f>SUMIF(RawDataRecovered!$B:$B,$A44,RawDataRecovered!AD:AD)</f>
        <v>0</v>
      </c>
      <c r="AB44">
        <f>SUMIF(RawDataRecovered!$B:$B,$A44,RawDataRecovered!AE:AE)</f>
        <v>0</v>
      </c>
      <c r="AC44">
        <f>SUMIF(RawDataRecovered!$B:$B,$A44,RawDataRecovered!AF:AF)</f>
        <v>0</v>
      </c>
      <c r="AD44">
        <f>SUMIF(RawDataRecovered!$B:$B,$A44,RawDataRecovered!AG:AG)</f>
        <v>0</v>
      </c>
      <c r="AE44">
        <f>SUMIF(RawDataRecovered!$B:$B,$A44,RawDataRecovered!AH:AH)</f>
        <v>0</v>
      </c>
      <c r="AF44">
        <f>SUMIF(RawDataRecovered!$B:$B,$A44,RawDataRecovered!AI:AI)</f>
        <v>0</v>
      </c>
      <c r="AG44">
        <f>SUMIF(RawDataRecovered!$B:$B,$A44,RawDataRecovered!AJ:AJ)</f>
        <v>0</v>
      </c>
      <c r="AH44">
        <f>SUMIF(RawDataRecovered!$B:$B,$A44,RawDataRecovered!AK:AK)</f>
        <v>0</v>
      </c>
      <c r="AI44">
        <f>SUMIF(RawDataRecovered!$B:$B,$A44,RawDataRecovered!AL:AL)</f>
        <v>0</v>
      </c>
      <c r="AJ44">
        <f>SUMIF(RawDataRecovered!$B:$B,$A44,RawDataRecovered!AM:AM)</f>
        <v>0</v>
      </c>
      <c r="AK44">
        <f>SUMIF(RawDataRecovered!$B:$B,$A44,RawDataRecovered!AN:AN)</f>
        <v>0</v>
      </c>
      <c r="AL44">
        <f>SUMIF(RawDataRecovered!$B:$B,$A44,RawDataRecovered!AO:AO)</f>
        <v>0</v>
      </c>
      <c r="AM44">
        <f>SUMIF(RawDataRecovered!$B:$B,$A44,RawDataRecovered!AP:AP)</f>
        <v>0</v>
      </c>
      <c r="AN44">
        <f>SUMIF(RawDataRecovered!$B:$B,$A44,RawDataRecovered!AQ:AQ)</f>
        <v>0</v>
      </c>
      <c r="AO44">
        <f>SUMIF(RawDataRecovered!$B:$B,$A44,RawDataRecovered!AR:AR)</f>
        <v>0</v>
      </c>
      <c r="AP44">
        <f>SUMIF(RawDataRecovered!$B:$B,$A44,RawDataRecovered!AS:AS)</f>
        <v>0</v>
      </c>
      <c r="AQ44">
        <f>SUMIF(RawDataRecovered!$B:$B,$A44,RawDataRecovered!AT:AT)</f>
        <v>0</v>
      </c>
      <c r="AR44">
        <f>SUMIF(RawDataRecovered!$B:$B,$A44,RawDataRecovered!AU:AU)</f>
        <v>1</v>
      </c>
      <c r="AS44">
        <f>SUMIF(RawDataRecovered!$B:$B,$A44,RawDataRecovered!AV:AV)</f>
        <v>1</v>
      </c>
      <c r="AT44">
        <f>SUMIF(RawDataRecovered!$B:$B,$A44,RawDataRecovered!AW:AW)</f>
        <v>1</v>
      </c>
      <c r="AU44">
        <f>SUMIF(RawDataRecovered!$B:$B,$A44,RawDataRecovered!AX:AX)</f>
        <v>1</v>
      </c>
      <c r="AV44">
        <f>SUMIF(RawDataRecovered!$B:$B,$A44,RawDataRecovered!AY:AY)</f>
        <v>1</v>
      </c>
      <c r="AW44">
        <f>SUMIF(RawDataRecovered!$B:$B,$A44,RawDataRecovered!AZ:AZ)</f>
        <v>1</v>
      </c>
      <c r="AX44">
        <f>SUMIF(RawDataRecovered!$B:$B,$A44,RawDataRecovered!BA:BA)</f>
        <v>1</v>
      </c>
      <c r="AY44">
        <f>SUMIF(RawDataRecovered!$B:$B,$A44,RawDataRecovered!BB:BB)</f>
        <v>1</v>
      </c>
      <c r="AZ44">
        <f>SUMIF(RawDataRecovered!$B:$B,$A44,RawDataRecovered!BC:BC)</f>
        <v>1</v>
      </c>
      <c r="BA44">
        <f>SUMIF(RawDataRecovered!$B:$B,$A44,RawDataRecovered!BD:BD)</f>
        <v>1</v>
      </c>
      <c r="BB44">
        <f>SUMIF(RawDataRecovered!$B:$B,$A44,RawDataRecovered!BE:BE)</f>
        <v>1</v>
      </c>
      <c r="BC44">
        <f>SUMIF(RawDataRecovered!$B:$B,$A44,RawDataRecovered!BF:BF)</f>
        <v>1</v>
      </c>
      <c r="BD44">
        <f>SUMIF(RawDataRecovered!$B:$B,$A44,RawDataRecovered!BG:BG)</f>
        <v>1</v>
      </c>
      <c r="BE44">
        <f>SUMIF(RawDataRecovered!$B:$B,$A44,RawDataRecovered!BH:BH)</f>
        <v>3</v>
      </c>
      <c r="BF44">
        <f>SUMIF(RawDataRecovered!$B:$B,$A44,RawDataRecovered!BI:BI)</f>
        <v>0</v>
      </c>
      <c r="BG44">
        <f>SUMIF(RawDataRecovered!$B:$B,$A44,RawDataRecovered!BJ:BJ)</f>
        <v>0</v>
      </c>
      <c r="BH44">
        <f>SUMIF(RawDataRecovered!$B:$B,$A44,RawDataRecovered!BK:BK)</f>
        <v>0</v>
      </c>
      <c r="BI44">
        <f>SUMIF(RawDataRecovered!$B:$B,$A44,RawDataRecovered!BL:BL)</f>
        <v>0</v>
      </c>
      <c r="BJ44">
        <f>SUMIF(RawDataRecovered!$B:$B,$A44,RawDataRecovered!BM:BM)</f>
        <v>0</v>
      </c>
      <c r="BK44">
        <f>SUMIF(RawDataRecovered!$B:$B,$A44,RawDataRecovered!BN:BN)</f>
        <v>0</v>
      </c>
      <c r="BL44">
        <f>SUMIF(RawDataRecovered!$B:$B,$A44,RawDataRecovered!BO:BO)</f>
        <v>0</v>
      </c>
      <c r="BM44">
        <f>SUMIF(RawDataRecovered!$B:$B,$A44,RawDataRecovered!BP:BP)</f>
        <v>0</v>
      </c>
      <c r="BN44">
        <f>SUMIF(RawDataRecovered!$B:$B,$A44,RawDataRecovered!BQ:BQ)</f>
        <v>0</v>
      </c>
      <c r="BO44">
        <f>SUMIF(RawDataRecovered!$B:$B,$A44,RawDataRecovered!BR:BR)</f>
        <v>0</v>
      </c>
      <c r="BP44">
        <f>SUMIF(RawDataRecovered!$B:$B,$A44,RawDataRecovered!BS:BS)</f>
        <v>0</v>
      </c>
      <c r="BQ44">
        <f>SUMIF(RawDataRecovered!$B:$B,$A44,RawDataRecovered!BT:BT)</f>
        <v>0</v>
      </c>
      <c r="BR44">
        <f>SUMIF(RawDataRecovered!$B:$B,$A44,RawDataRecovered!BU:BU)</f>
        <v>0</v>
      </c>
      <c r="BS44">
        <f>SUMIF(RawDataRecovered!$B:$B,$A44,RawDataRecovered!BV:BV)</f>
        <v>0</v>
      </c>
      <c r="BT44">
        <f>SUMIF(RawDataRecovered!$B:$B,$A44,RawDataRecovered!BW:BW)</f>
        <v>0</v>
      </c>
    </row>
    <row r="45" spans="1:72" ht="15" thickBot="1" x14ac:dyDescent="0.35">
      <c r="A45" s="3" t="s">
        <v>62</v>
      </c>
      <c r="B45">
        <f>SUMIF(RawDataRecovered!$B:$B,$A45,RawDataRecovered!E:E)</f>
        <v>0</v>
      </c>
      <c r="C45">
        <f>SUMIF(RawDataRecovered!$B:$B,$A45,RawDataRecovered!F:F)</f>
        <v>0</v>
      </c>
      <c r="D45">
        <f>SUMIF(RawDataRecovered!$B:$B,$A45,RawDataRecovered!G:G)</f>
        <v>0</v>
      </c>
      <c r="E45">
        <f>SUMIF(RawDataRecovered!$B:$B,$A45,RawDataRecovered!H:H)</f>
        <v>0</v>
      </c>
      <c r="F45">
        <f>SUMIF(RawDataRecovered!$B:$B,$A45,RawDataRecovered!I:I)</f>
        <v>2</v>
      </c>
      <c r="G45">
        <f>SUMIF(RawDataRecovered!$B:$B,$A45,RawDataRecovered!J:J)</f>
        <v>2</v>
      </c>
      <c r="H45">
        <f>SUMIF(RawDataRecovered!$B:$B,$A45,RawDataRecovered!K:K)</f>
        <v>5</v>
      </c>
      <c r="I45">
        <f>SUMIF(RawDataRecovered!$B:$B,$A45,RawDataRecovered!L:L)</f>
        <v>5</v>
      </c>
      <c r="J45">
        <f>SUMIF(RawDataRecovered!$B:$B,$A45,RawDataRecovered!M:M)</f>
        <v>5</v>
      </c>
      <c r="K45">
        <f>SUMIF(RawDataRecovered!$B:$B,$A45,RawDataRecovered!N:N)</f>
        <v>5</v>
      </c>
      <c r="L45">
        <f>SUMIF(RawDataRecovered!$B:$B,$A45,RawDataRecovered!O:O)</f>
        <v>5</v>
      </c>
      <c r="M45">
        <f>SUMIF(RawDataRecovered!$B:$B,$A45,RawDataRecovered!P:P)</f>
        <v>5</v>
      </c>
      <c r="N45">
        <f>SUMIF(RawDataRecovered!$B:$B,$A45,RawDataRecovered!Q:Q)</f>
        <v>5</v>
      </c>
      <c r="O45">
        <f>SUMIF(RawDataRecovered!$B:$B,$A45,RawDataRecovered!R:R)</f>
        <v>5</v>
      </c>
      <c r="P45">
        <f>SUMIF(RawDataRecovered!$B:$B,$A45,RawDataRecovered!S:S)</f>
        <v>5</v>
      </c>
      <c r="Q45">
        <f>SUMIF(RawDataRecovered!$B:$B,$A45,RawDataRecovered!T:T)</f>
        <v>5</v>
      </c>
      <c r="R45">
        <f>SUMIF(RawDataRecovered!$B:$B,$A45,RawDataRecovered!U:U)</f>
        <v>5</v>
      </c>
      <c r="S45">
        <f>SUMIF(RawDataRecovered!$B:$B,$A45,RawDataRecovered!V:V)</f>
        <v>10</v>
      </c>
      <c r="T45">
        <f>SUMIF(RawDataRecovered!$B:$B,$A45,RawDataRecovered!W:W)</f>
        <v>10</v>
      </c>
      <c r="U45">
        <f>SUMIF(RawDataRecovered!$B:$B,$A45,RawDataRecovered!X:X)</f>
        <v>10</v>
      </c>
      <c r="V45">
        <f>SUMIF(RawDataRecovered!$B:$B,$A45,RawDataRecovered!Y:Y)</f>
        <v>10</v>
      </c>
      <c r="W45">
        <f>SUMIF(RawDataRecovered!$B:$B,$A45,RawDataRecovered!Z:Z)</f>
        <v>10</v>
      </c>
      <c r="X45">
        <f>SUMIF(RawDataRecovered!$B:$B,$A45,RawDataRecovered!AA:AA)</f>
        <v>12</v>
      </c>
      <c r="Y45">
        <f>SUMIF(RawDataRecovered!$B:$B,$A45,RawDataRecovered!AB:AB)</f>
        <v>12</v>
      </c>
      <c r="Z45">
        <f>SUMIF(RawDataRecovered!$B:$B,$A45,RawDataRecovered!AC:AC)</f>
        <v>12</v>
      </c>
      <c r="AA45">
        <f>SUMIF(RawDataRecovered!$B:$B,$A45,RawDataRecovered!AD:AD)</f>
        <v>14</v>
      </c>
      <c r="AB45">
        <f>SUMIF(RawDataRecovered!$B:$B,$A45,RawDataRecovered!AE:AE)</f>
        <v>15</v>
      </c>
      <c r="AC45">
        <f>SUMIF(RawDataRecovered!$B:$B,$A45,RawDataRecovered!AF:AF)</f>
        <v>15</v>
      </c>
      <c r="AD45">
        <f>SUMIF(RawDataRecovered!$B:$B,$A45,RawDataRecovered!AG:AG)</f>
        <v>15</v>
      </c>
      <c r="AE45">
        <f>SUMIF(RawDataRecovered!$B:$B,$A45,RawDataRecovered!AH:AH)</f>
        <v>15</v>
      </c>
      <c r="AF45">
        <f>SUMIF(RawDataRecovered!$B:$B,$A45,RawDataRecovered!AI:AI)</f>
        <v>17</v>
      </c>
      <c r="AG45">
        <f>SUMIF(RawDataRecovered!$B:$B,$A45,RawDataRecovered!AJ:AJ)</f>
        <v>17</v>
      </c>
      <c r="AH45">
        <f>SUMIF(RawDataRecovered!$B:$B,$A45,RawDataRecovered!AK:AK)</f>
        <v>21</v>
      </c>
      <c r="AI45">
        <f>SUMIF(RawDataRecovered!$B:$B,$A45,RawDataRecovered!AL:AL)</f>
        <v>21</v>
      </c>
      <c r="AJ45">
        <f>SUMIF(RawDataRecovered!$B:$B,$A45,RawDataRecovered!AM:AM)</f>
        <v>22</v>
      </c>
      <c r="AK45">
        <f>SUMIF(RawDataRecovered!$B:$B,$A45,RawDataRecovered!AN:AN)</f>
        <v>22</v>
      </c>
      <c r="AL45">
        <f>SUMIF(RawDataRecovered!$B:$B,$A45,RawDataRecovered!AO:AO)</f>
        <v>22</v>
      </c>
      <c r="AM45">
        <f>SUMIF(RawDataRecovered!$B:$B,$A45,RawDataRecovered!AP:AP)</f>
        <v>28</v>
      </c>
      <c r="AN45">
        <f>SUMIF(RawDataRecovered!$B:$B,$A45,RawDataRecovered!AQ:AQ)</f>
        <v>28</v>
      </c>
      <c r="AO45">
        <f>SUMIF(RawDataRecovered!$B:$B,$A45,RawDataRecovered!AR:AR)</f>
        <v>28</v>
      </c>
      <c r="AP45">
        <f>SUMIF(RawDataRecovered!$B:$B,$A45,RawDataRecovered!AS:AS)</f>
        <v>31</v>
      </c>
      <c r="AQ45">
        <f>SUMIF(RawDataRecovered!$B:$B,$A45,RawDataRecovered!AT:AT)</f>
        <v>31</v>
      </c>
      <c r="AR45">
        <f>SUMIF(RawDataRecovered!$B:$B,$A45,RawDataRecovered!AU:AU)</f>
        <v>31</v>
      </c>
      <c r="AS45">
        <f>SUMIF(RawDataRecovered!$B:$B,$A45,RawDataRecovered!AV:AV)</f>
        <v>31</v>
      </c>
      <c r="AT45">
        <f>SUMIF(RawDataRecovered!$B:$B,$A45,RawDataRecovered!AW:AW)</f>
        <v>31</v>
      </c>
      <c r="AU45">
        <f>SUMIF(RawDataRecovered!$B:$B,$A45,RawDataRecovered!AX:AX)</f>
        <v>31</v>
      </c>
      <c r="AV45">
        <f>SUMIF(RawDataRecovered!$B:$B,$A45,RawDataRecovered!AY:AY)</f>
        <v>31</v>
      </c>
      <c r="AW45">
        <f>SUMIF(RawDataRecovered!$B:$B,$A45,RawDataRecovered!AZ:AZ)</f>
        <v>31</v>
      </c>
      <c r="AX45">
        <f>SUMIF(RawDataRecovered!$B:$B,$A45,RawDataRecovered!BA:BA)</f>
        <v>33</v>
      </c>
      <c r="AY45">
        <f>SUMIF(RawDataRecovered!$B:$B,$A45,RawDataRecovered!BB:BB)</f>
        <v>34</v>
      </c>
      <c r="AZ45">
        <f>SUMIF(RawDataRecovered!$B:$B,$A45,RawDataRecovered!BC:BC)</f>
        <v>34</v>
      </c>
      <c r="BA45">
        <f>SUMIF(RawDataRecovered!$B:$B,$A45,RawDataRecovered!BD:BD)</f>
        <v>35</v>
      </c>
      <c r="BB45">
        <f>SUMIF(RawDataRecovered!$B:$B,$A45,RawDataRecovered!BE:BE)</f>
        <v>35</v>
      </c>
      <c r="BC45">
        <f>SUMIF(RawDataRecovered!$B:$B,$A45,RawDataRecovered!BF:BF)</f>
        <v>35</v>
      </c>
      <c r="BD45">
        <f>SUMIF(RawDataRecovered!$B:$B,$A45,RawDataRecovered!BG:BG)</f>
        <v>35</v>
      </c>
      <c r="BE45">
        <f>SUMIF(RawDataRecovered!$B:$B,$A45,RawDataRecovered!BH:BH)</f>
        <v>41</v>
      </c>
      <c r="BF45">
        <f>SUMIF(RawDataRecovered!$B:$B,$A45,RawDataRecovered!BI:BI)</f>
        <v>0</v>
      </c>
      <c r="BG45">
        <f>SUMIF(RawDataRecovered!$B:$B,$A45,RawDataRecovered!BJ:BJ)</f>
        <v>0</v>
      </c>
      <c r="BH45">
        <f>SUMIF(RawDataRecovered!$B:$B,$A45,RawDataRecovered!BK:BK)</f>
        <v>0</v>
      </c>
      <c r="BI45">
        <f>SUMIF(RawDataRecovered!$B:$B,$A45,RawDataRecovered!BL:BL)</f>
        <v>0</v>
      </c>
      <c r="BJ45">
        <f>SUMIF(RawDataRecovered!$B:$B,$A45,RawDataRecovered!BM:BM)</f>
        <v>0</v>
      </c>
      <c r="BK45">
        <f>SUMIF(RawDataRecovered!$B:$B,$A45,RawDataRecovered!BN:BN)</f>
        <v>0</v>
      </c>
      <c r="BL45">
        <f>SUMIF(RawDataRecovered!$B:$B,$A45,RawDataRecovered!BO:BO)</f>
        <v>0</v>
      </c>
      <c r="BM45">
        <f>SUMIF(RawDataRecovered!$B:$B,$A45,RawDataRecovered!BP:BP)</f>
        <v>0</v>
      </c>
      <c r="BN45">
        <f>SUMIF(RawDataRecovered!$B:$B,$A45,RawDataRecovered!BQ:BQ)</f>
        <v>0</v>
      </c>
      <c r="BO45">
        <f>SUMIF(RawDataRecovered!$B:$B,$A45,RawDataRecovered!BR:BR)</f>
        <v>0</v>
      </c>
      <c r="BP45">
        <f>SUMIF(RawDataRecovered!$B:$B,$A45,RawDataRecovered!BS:BS)</f>
        <v>0</v>
      </c>
      <c r="BQ45">
        <f>SUMIF(RawDataRecovered!$B:$B,$A45,RawDataRecovered!BT:BT)</f>
        <v>0</v>
      </c>
      <c r="BR45">
        <f>SUMIF(RawDataRecovered!$B:$B,$A45,RawDataRecovered!BU:BU)</f>
        <v>0</v>
      </c>
      <c r="BS45">
        <f>SUMIF(RawDataRecovered!$B:$B,$A45,RawDataRecovered!BV:BV)</f>
        <v>0</v>
      </c>
      <c r="BT45">
        <f>SUMIF(RawDataRecovered!$B:$B,$A45,RawDataRecovered!BW:BW)</f>
        <v>0</v>
      </c>
    </row>
    <row r="46" spans="1:72" ht="15" thickBot="1" x14ac:dyDescent="0.35">
      <c r="A46" s="4" t="s">
        <v>134</v>
      </c>
      <c r="B46">
        <f>SUMIF(RawDataRecovered!$B:$B,$A46,RawDataRecovered!E:E)</f>
        <v>0</v>
      </c>
      <c r="C46">
        <f>SUMIF(RawDataRecovered!$B:$B,$A46,RawDataRecovered!F:F)</f>
        <v>0</v>
      </c>
      <c r="D46">
        <f>SUMIF(RawDataRecovered!$B:$B,$A46,RawDataRecovered!G:G)</f>
        <v>0</v>
      </c>
      <c r="E46">
        <f>SUMIF(RawDataRecovered!$B:$B,$A46,RawDataRecovered!H:H)</f>
        <v>0</v>
      </c>
      <c r="F46">
        <f>SUMIF(RawDataRecovered!$B:$B,$A46,RawDataRecovered!I:I)</f>
        <v>0</v>
      </c>
      <c r="G46">
        <f>SUMIF(RawDataRecovered!$B:$B,$A46,RawDataRecovered!J:J)</f>
        <v>0</v>
      </c>
      <c r="H46">
        <f>SUMIF(RawDataRecovered!$B:$B,$A46,RawDataRecovered!K:K)</f>
        <v>0</v>
      </c>
      <c r="I46">
        <f>SUMIF(RawDataRecovered!$B:$B,$A46,RawDataRecovered!L:L)</f>
        <v>0</v>
      </c>
      <c r="J46">
        <f>SUMIF(RawDataRecovered!$B:$B,$A46,RawDataRecovered!M:M)</f>
        <v>0</v>
      </c>
      <c r="K46">
        <f>SUMIF(RawDataRecovered!$B:$B,$A46,RawDataRecovered!N:N)</f>
        <v>0</v>
      </c>
      <c r="L46">
        <f>SUMIF(RawDataRecovered!$B:$B,$A46,RawDataRecovered!O:O)</f>
        <v>0</v>
      </c>
      <c r="M46">
        <f>SUMIF(RawDataRecovered!$B:$B,$A46,RawDataRecovered!P:P)</f>
        <v>0</v>
      </c>
      <c r="N46">
        <f>SUMIF(RawDataRecovered!$B:$B,$A46,RawDataRecovered!Q:Q)</f>
        <v>0</v>
      </c>
      <c r="O46">
        <f>SUMIF(RawDataRecovered!$B:$B,$A46,RawDataRecovered!R:R)</f>
        <v>0</v>
      </c>
      <c r="P46">
        <f>SUMIF(RawDataRecovered!$B:$B,$A46,RawDataRecovered!S:S)</f>
        <v>0</v>
      </c>
      <c r="Q46">
        <f>SUMIF(RawDataRecovered!$B:$B,$A46,RawDataRecovered!T:T)</f>
        <v>0</v>
      </c>
      <c r="R46">
        <f>SUMIF(RawDataRecovered!$B:$B,$A46,RawDataRecovered!U:U)</f>
        <v>0</v>
      </c>
      <c r="S46">
        <f>SUMIF(RawDataRecovered!$B:$B,$A46,RawDataRecovered!V:V)</f>
        <v>0</v>
      </c>
      <c r="T46">
        <f>SUMIF(RawDataRecovered!$B:$B,$A46,RawDataRecovered!W:W)</f>
        <v>0</v>
      </c>
      <c r="U46">
        <f>SUMIF(RawDataRecovered!$B:$B,$A46,RawDataRecovered!X:X)</f>
        <v>0</v>
      </c>
      <c r="V46">
        <f>SUMIF(RawDataRecovered!$B:$B,$A46,RawDataRecovered!Y:Y)</f>
        <v>0</v>
      </c>
      <c r="W46">
        <f>SUMIF(RawDataRecovered!$B:$B,$A46,RawDataRecovered!Z:Z)</f>
        <v>0</v>
      </c>
      <c r="X46">
        <f>SUMIF(RawDataRecovered!$B:$B,$A46,RawDataRecovered!AA:AA)</f>
        <v>0</v>
      </c>
      <c r="Y46">
        <f>SUMIF(RawDataRecovered!$B:$B,$A46,RawDataRecovered!AB:AB)</f>
        <v>0</v>
      </c>
      <c r="Z46">
        <f>SUMIF(RawDataRecovered!$B:$B,$A46,RawDataRecovered!AC:AC)</f>
        <v>0</v>
      </c>
      <c r="AA46">
        <f>SUMIF(RawDataRecovered!$B:$B,$A46,RawDataRecovered!AD:AD)</f>
        <v>0</v>
      </c>
      <c r="AB46">
        <f>SUMIF(RawDataRecovered!$B:$B,$A46,RawDataRecovered!AE:AE)</f>
        <v>0</v>
      </c>
      <c r="AC46">
        <f>SUMIF(RawDataRecovered!$B:$B,$A46,RawDataRecovered!AF:AF)</f>
        <v>0</v>
      </c>
      <c r="AD46">
        <f>SUMIF(RawDataRecovered!$B:$B,$A46,RawDataRecovered!AG:AG)</f>
        <v>0</v>
      </c>
      <c r="AE46">
        <f>SUMIF(RawDataRecovered!$B:$B,$A46,RawDataRecovered!AH:AH)</f>
        <v>0</v>
      </c>
      <c r="AF46">
        <f>SUMIF(RawDataRecovered!$B:$B,$A46,RawDataRecovered!AI:AI)</f>
        <v>0</v>
      </c>
      <c r="AG46">
        <f>SUMIF(RawDataRecovered!$B:$B,$A46,RawDataRecovered!AJ:AJ)</f>
        <v>0</v>
      </c>
      <c r="AH46">
        <f>SUMIF(RawDataRecovered!$B:$B,$A46,RawDataRecovered!AK:AK)</f>
        <v>0</v>
      </c>
      <c r="AI46">
        <f>SUMIF(RawDataRecovered!$B:$B,$A46,RawDataRecovered!AL:AL)</f>
        <v>0</v>
      </c>
      <c r="AJ46">
        <f>SUMIF(RawDataRecovered!$B:$B,$A46,RawDataRecovered!AM:AM)</f>
        <v>0</v>
      </c>
      <c r="AK46">
        <f>SUMIF(RawDataRecovered!$B:$B,$A46,RawDataRecovered!AN:AN)</f>
        <v>0</v>
      </c>
      <c r="AL46">
        <f>SUMIF(RawDataRecovered!$B:$B,$A46,RawDataRecovered!AO:AO)</f>
        <v>0</v>
      </c>
      <c r="AM46">
        <f>SUMIF(RawDataRecovered!$B:$B,$A46,RawDataRecovered!AP:AP)</f>
        <v>0</v>
      </c>
      <c r="AN46">
        <f>SUMIF(RawDataRecovered!$B:$B,$A46,RawDataRecovered!AQ:AQ)</f>
        <v>0</v>
      </c>
      <c r="AO46">
        <f>SUMIF(RawDataRecovered!$B:$B,$A46,RawDataRecovered!AR:AR)</f>
        <v>0</v>
      </c>
      <c r="AP46">
        <f>SUMIF(RawDataRecovered!$B:$B,$A46,RawDataRecovered!AS:AS)</f>
        <v>0</v>
      </c>
      <c r="AQ46">
        <f>SUMIF(RawDataRecovered!$B:$B,$A46,RawDataRecovered!AT:AT)</f>
        <v>0</v>
      </c>
      <c r="AR46">
        <f>SUMIF(RawDataRecovered!$B:$B,$A46,RawDataRecovered!AU:AU)</f>
        <v>0</v>
      </c>
      <c r="AS46">
        <f>SUMIF(RawDataRecovered!$B:$B,$A46,RawDataRecovered!AV:AV)</f>
        <v>0</v>
      </c>
      <c r="AT46">
        <f>SUMIF(RawDataRecovered!$B:$B,$A46,RawDataRecovered!AW:AW)</f>
        <v>0</v>
      </c>
      <c r="AU46">
        <f>SUMIF(RawDataRecovered!$B:$B,$A46,RawDataRecovered!AX:AX)</f>
        <v>0</v>
      </c>
      <c r="AV46">
        <f>SUMIF(RawDataRecovered!$B:$B,$A46,RawDataRecovered!AY:AY)</f>
        <v>0</v>
      </c>
      <c r="AW46">
        <f>SUMIF(RawDataRecovered!$B:$B,$A46,RawDataRecovered!AZ:AZ)</f>
        <v>0</v>
      </c>
      <c r="AX46">
        <f>SUMIF(RawDataRecovered!$B:$B,$A46,RawDataRecovered!BA:BA)</f>
        <v>2</v>
      </c>
      <c r="AY46">
        <f>SUMIF(RawDataRecovered!$B:$B,$A46,RawDataRecovered!BB:BB)</f>
        <v>2</v>
      </c>
      <c r="AZ46">
        <f>SUMIF(RawDataRecovered!$B:$B,$A46,RawDataRecovered!BC:BC)</f>
        <v>2</v>
      </c>
      <c r="BA46">
        <f>SUMIF(RawDataRecovered!$B:$B,$A46,RawDataRecovered!BD:BD)</f>
        <v>2</v>
      </c>
      <c r="BB46">
        <f>SUMIF(RawDataRecovered!$B:$B,$A46,RawDataRecovered!BE:BE)</f>
        <v>8</v>
      </c>
      <c r="BC46">
        <f>SUMIF(RawDataRecovered!$B:$B,$A46,RawDataRecovered!BF:BF)</f>
        <v>8</v>
      </c>
      <c r="BD46">
        <f>SUMIF(RawDataRecovered!$B:$B,$A46,RawDataRecovered!BG:BG)</f>
        <v>8</v>
      </c>
      <c r="BE46">
        <f>SUMIF(RawDataRecovered!$B:$B,$A46,RawDataRecovered!BH:BH)</f>
        <v>8</v>
      </c>
      <c r="BF46">
        <f>SUMIF(RawDataRecovered!$B:$B,$A46,RawDataRecovered!BI:BI)</f>
        <v>0</v>
      </c>
      <c r="BG46">
        <f>SUMIF(RawDataRecovered!$B:$B,$A46,RawDataRecovered!BJ:BJ)</f>
        <v>0</v>
      </c>
      <c r="BH46">
        <f>SUMIF(RawDataRecovered!$B:$B,$A46,RawDataRecovered!BK:BK)</f>
        <v>0</v>
      </c>
      <c r="BI46">
        <f>SUMIF(RawDataRecovered!$B:$B,$A46,RawDataRecovered!BL:BL)</f>
        <v>0</v>
      </c>
      <c r="BJ46">
        <f>SUMIF(RawDataRecovered!$B:$B,$A46,RawDataRecovered!BM:BM)</f>
        <v>0</v>
      </c>
      <c r="BK46">
        <f>SUMIF(RawDataRecovered!$B:$B,$A46,RawDataRecovered!BN:BN)</f>
        <v>0</v>
      </c>
      <c r="BL46">
        <f>SUMIF(RawDataRecovered!$B:$B,$A46,RawDataRecovered!BO:BO)</f>
        <v>0</v>
      </c>
      <c r="BM46">
        <f>SUMIF(RawDataRecovered!$B:$B,$A46,RawDataRecovered!BP:BP)</f>
        <v>0</v>
      </c>
      <c r="BN46">
        <f>SUMIF(RawDataRecovered!$B:$B,$A46,RawDataRecovered!BQ:BQ)</f>
        <v>0</v>
      </c>
      <c r="BO46">
        <f>SUMIF(RawDataRecovered!$B:$B,$A46,RawDataRecovered!BR:BR)</f>
        <v>0</v>
      </c>
      <c r="BP46">
        <f>SUMIF(RawDataRecovered!$B:$B,$A46,RawDataRecovered!BS:BS)</f>
        <v>0</v>
      </c>
      <c r="BQ46">
        <f>SUMIF(RawDataRecovered!$B:$B,$A46,RawDataRecovered!BT:BT)</f>
        <v>0</v>
      </c>
      <c r="BR46">
        <f>SUMIF(RawDataRecovered!$B:$B,$A46,RawDataRecovered!BU:BU)</f>
        <v>0</v>
      </c>
      <c r="BS46">
        <f>SUMIF(RawDataRecovered!$B:$B,$A46,RawDataRecovered!BV:BV)</f>
        <v>0</v>
      </c>
      <c r="BT46">
        <f>SUMIF(RawDataRecovered!$B:$B,$A46,RawDataRecovered!BW:BW)</f>
        <v>0</v>
      </c>
    </row>
    <row r="47" spans="1:72" ht="15" thickBot="1" x14ac:dyDescent="0.35">
      <c r="A47" s="3" t="s">
        <v>164</v>
      </c>
      <c r="B47">
        <f>SUMIF(RawDataRecovered!$B:$B,$A47,RawDataRecovered!E:E)</f>
        <v>0</v>
      </c>
      <c r="C47">
        <f>SUMIF(RawDataRecovered!$B:$B,$A47,RawDataRecovered!F:F)</f>
        <v>0</v>
      </c>
      <c r="D47">
        <f>SUMIF(RawDataRecovered!$B:$B,$A47,RawDataRecovered!G:G)</f>
        <v>0</v>
      </c>
      <c r="E47">
        <f>SUMIF(RawDataRecovered!$B:$B,$A47,RawDataRecovered!H:H)</f>
        <v>0</v>
      </c>
      <c r="F47">
        <f>SUMIF(RawDataRecovered!$B:$B,$A47,RawDataRecovered!I:I)</f>
        <v>0</v>
      </c>
      <c r="G47">
        <f>SUMIF(RawDataRecovered!$B:$B,$A47,RawDataRecovered!J:J)</f>
        <v>0</v>
      </c>
      <c r="H47">
        <f>SUMIF(RawDataRecovered!$B:$B,$A47,RawDataRecovered!K:K)</f>
        <v>0</v>
      </c>
      <c r="I47">
        <f>SUMIF(RawDataRecovered!$B:$B,$A47,RawDataRecovered!L:L)</f>
        <v>0</v>
      </c>
      <c r="J47">
        <f>SUMIF(RawDataRecovered!$B:$B,$A47,RawDataRecovered!M:M)</f>
        <v>0</v>
      </c>
      <c r="K47">
        <f>SUMIF(RawDataRecovered!$B:$B,$A47,RawDataRecovered!N:N)</f>
        <v>0</v>
      </c>
      <c r="L47">
        <f>SUMIF(RawDataRecovered!$B:$B,$A47,RawDataRecovered!O:O)</f>
        <v>0</v>
      </c>
      <c r="M47">
        <f>SUMIF(RawDataRecovered!$B:$B,$A47,RawDataRecovered!P:P)</f>
        <v>0</v>
      </c>
      <c r="N47">
        <f>SUMIF(RawDataRecovered!$B:$B,$A47,RawDataRecovered!Q:Q)</f>
        <v>0</v>
      </c>
      <c r="O47">
        <f>SUMIF(RawDataRecovered!$B:$B,$A47,RawDataRecovered!R:R)</f>
        <v>0</v>
      </c>
      <c r="P47">
        <f>SUMIF(RawDataRecovered!$B:$B,$A47,RawDataRecovered!S:S)</f>
        <v>0</v>
      </c>
      <c r="Q47">
        <f>SUMIF(RawDataRecovered!$B:$B,$A47,RawDataRecovered!T:T)</f>
        <v>0</v>
      </c>
      <c r="R47">
        <f>SUMIF(RawDataRecovered!$B:$B,$A47,RawDataRecovered!U:U)</f>
        <v>0</v>
      </c>
      <c r="S47">
        <f>SUMIF(RawDataRecovered!$B:$B,$A47,RawDataRecovered!V:V)</f>
        <v>0</v>
      </c>
      <c r="T47">
        <f>SUMIF(RawDataRecovered!$B:$B,$A47,RawDataRecovered!W:W)</f>
        <v>0</v>
      </c>
      <c r="U47">
        <f>SUMIF(RawDataRecovered!$B:$B,$A47,RawDataRecovered!X:X)</f>
        <v>0</v>
      </c>
      <c r="V47">
        <f>SUMIF(RawDataRecovered!$B:$B,$A47,RawDataRecovered!Y:Y)</f>
        <v>0</v>
      </c>
      <c r="W47">
        <f>SUMIF(RawDataRecovered!$B:$B,$A47,RawDataRecovered!Z:Z)</f>
        <v>0</v>
      </c>
      <c r="X47">
        <f>SUMIF(RawDataRecovered!$B:$B,$A47,RawDataRecovered!AA:AA)</f>
        <v>0</v>
      </c>
      <c r="Y47">
        <f>SUMIF(RawDataRecovered!$B:$B,$A47,RawDataRecovered!AB:AB)</f>
        <v>0</v>
      </c>
      <c r="Z47">
        <f>SUMIF(RawDataRecovered!$B:$B,$A47,RawDataRecovered!AC:AC)</f>
        <v>0</v>
      </c>
      <c r="AA47">
        <f>SUMIF(RawDataRecovered!$B:$B,$A47,RawDataRecovered!AD:AD)</f>
        <v>0</v>
      </c>
      <c r="AB47">
        <f>SUMIF(RawDataRecovered!$B:$B,$A47,RawDataRecovered!AE:AE)</f>
        <v>0</v>
      </c>
      <c r="AC47">
        <f>SUMIF(RawDataRecovered!$B:$B,$A47,RawDataRecovered!AF:AF)</f>
        <v>0</v>
      </c>
      <c r="AD47">
        <f>SUMIF(RawDataRecovered!$B:$B,$A47,RawDataRecovered!AG:AG)</f>
        <v>0</v>
      </c>
      <c r="AE47">
        <f>SUMIF(RawDataRecovered!$B:$B,$A47,RawDataRecovered!AH:AH)</f>
        <v>0</v>
      </c>
      <c r="AF47">
        <f>SUMIF(RawDataRecovered!$B:$B,$A47,RawDataRecovered!AI:AI)</f>
        <v>0</v>
      </c>
      <c r="AG47">
        <f>SUMIF(RawDataRecovered!$B:$B,$A47,RawDataRecovered!AJ:AJ)</f>
        <v>0</v>
      </c>
      <c r="AH47">
        <f>SUMIF(RawDataRecovered!$B:$B,$A47,RawDataRecovered!AK:AK)</f>
        <v>0</v>
      </c>
      <c r="AI47">
        <f>SUMIF(RawDataRecovered!$B:$B,$A47,RawDataRecovered!AL:AL)</f>
        <v>0</v>
      </c>
      <c r="AJ47">
        <f>SUMIF(RawDataRecovered!$B:$B,$A47,RawDataRecovered!AM:AM)</f>
        <v>0</v>
      </c>
      <c r="AK47">
        <f>SUMIF(RawDataRecovered!$B:$B,$A47,RawDataRecovered!AN:AN)</f>
        <v>0</v>
      </c>
      <c r="AL47">
        <f>SUMIF(RawDataRecovered!$B:$B,$A47,RawDataRecovered!AO:AO)</f>
        <v>0</v>
      </c>
      <c r="AM47">
        <f>SUMIF(RawDataRecovered!$B:$B,$A47,RawDataRecovered!AP:AP)</f>
        <v>0</v>
      </c>
      <c r="AN47">
        <f>SUMIF(RawDataRecovered!$B:$B,$A47,RawDataRecovered!AQ:AQ)</f>
        <v>0</v>
      </c>
      <c r="AO47">
        <f>SUMIF(RawDataRecovered!$B:$B,$A47,RawDataRecovered!AR:AR)</f>
        <v>0</v>
      </c>
      <c r="AP47">
        <f>SUMIF(RawDataRecovered!$B:$B,$A47,RawDataRecovered!AS:AS)</f>
        <v>0</v>
      </c>
      <c r="AQ47">
        <f>SUMIF(RawDataRecovered!$B:$B,$A47,RawDataRecovered!AT:AT)</f>
        <v>0</v>
      </c>
      <c r="AR47">
        <f>SUMIF(RawDataRecovered!$B:$B,$A47,RawDataRecovered!AU:AU)</f>
        <v>0</v>
      </c>
      <c r="AS47">
        <f>SUMIF(RawDataRecovered!$B:$B,$A47,RawDataRecovered!AV:AV)</f>
        <v>0</v>
      </c>
      <c r="AT47">
        <f>SUMIF(RawDataRecovered!$B:$B,$A47,RawDataRecovered!AW:AW)</f>
        <v>0</v>
      </c>
      <c r="AU47">
        <f>SUMIF(RawDataRecovered!$B:$B,$A47,RawDataRecovered!AX:AX)</f>
        <v>0</v>
      </c>
      <c r="AV47">
        <f>SUMIF(RawDataRecovered!$B:$B,$A47,RawDataRecovered!AY:AY)</f>
        <v>0</v>
      </c>
      <c r="AW47">
        <f>SUMIF(RawDataRecovered!$B:$B,$A47,RawDataRecovered!AZ:AZ)</f>
        <v>0</v>
      </c>
      <c r="AX47">
        <f>SUMIF(RawDataRecovered!$B:$B,$A47,RawDataRecovered!BA:BA)</f>
        <v>0</v>
      </c>
      <c r="AY47">
        <f>SUMIF(RawDataRecovered!$B:$B,$A47,RawDataRecovered!BB:BB)</f>
        <v>0</v>
      </c>
      <c r="AZ47">
        <f>SUMIF(RawDataRecovered!$B:$B,$A47,RawDataRecovered!BC:BC)</f>
        <v>0</v>
      </c>
      <c r="BA47">
        <f>SUMIF(RawDataRecovered!$B:$B,$A47,RawDataRecovered!BD:BD)</f>
        <v>0</v>
      </c>
      <c r="BB47">
        <f>SUMIF(RawDataRecovered!$B:$B,$A47,RawDataRecovered!BE:BE)</f>
        <v>0</v>
      </c>
      <c r="BC47">
        <f>SUMIF(RawDataRecovered!$B:$B,$A47,RawDataRecovered!BF:BF)</f>
        <v>0</v>
      </c>
      <c r="BD47">
        <f>SUMIF(RawDataRecovered!$B:$B,$A47,RawDataRecovered!BG:BG)</f>
        <v>13</v>
      </c>
      <c r="BE47">
        <f>SUMIF(RawDataRecovered!$B:$B,$A47,RawDataRecovered!BH:BH)</f>
        <v>13</v>
      </c>
      <c r="BF47">
        <f>SUMIF(RawDataRecovered!$B:$B,$A47,RawDataRecovered!BI:BI)</f>
        <v>0</v>
      </c>
      <c r="BG47">
        <f>SUMIF(RawDataRecovered!$B:$B,$A47,RawDataRecovered!BJ:BJ)</f>
        <v>0</v>
      </c>
      <c r="BH47">
        <f>SUMIF(RawDataRecovered!$B:$B,$A47,RawDataRecovered!BK:BK)</f>
        <v>0</v>
      </c>
      <c r="BI47">
        <f>SUMIF(RawDataRecovered!$B:$B,$A47,RawDataRecovered!BL:BL)</f>
        <v>0</v>
      </c>
      <c r="BJ47">
        <f>SUMIF(RawDataRecovered!$B:$B,$A47,RawDataRecovered!BM:BM)</f>
        <v>0</v>
      </c>
      <c r="BK47">
        <f>SUMIF(RawDataRecovered!$B:$B,$A47,RawDataRecovered!BN:BN)</f>
        <v>0</v>
      </c>
      <c r="BL47">
        <f>SUMIF(RawDataRecovered!$B:$B,$A47,RawDataRecovered!BO:BO)</f>
        <v>0</v>
      </c>
      <c r="BM47">
        <f>SUMIF(RawDataRecovered!$B:$B,$A47,RawDataRecovered!BP:BP)</f>
        <v>0</v>
      </c>
      <c r="BN47">
        <f>SUMIF(RawDataRecovered!$B:$B,$A47,RawDataRecovered!BQ:BQ)</f>
        <v>0</v>
      </c>
      <c r="BO47">
        <f>SUMIF(RawDataRecovered!$B:$B,$A47,RawDataRecovered!BR:BR)</f>
        <v>0</v>
      </c>
      <c r="BP47">
        <f>SUMIF(RawDataRecovered!$B:$B,$A47,RawDataRecovered!BS:BS)</f>
        <v>0</v>
      </c>
      <c r="BQ47">
        <f>SUMIF(RawDataRecovered!$B:$B,$A47,RawDataRecovered!BT:BT)</f>
        <v>0</v>
      </c>
      <c r="BR47">
        <f>SUMIF(RawDataRecovered!$B:$B,$A47,RawDataRecovered!BU:BU)</f>
        <v>0</v>
      </c>
      <c r="BS47">
        <f>SUMIF(RawDataRecovered!$B:$B,$A47,RawDataRecovered!BV:BV)</f>
        <v>0</v>
      </c>
      <c r="BT47">
        <f>SUMIF(RawDataRecovered!$B:$B,$A47,RawDataRecovered!BW:BW)</f>
        <v>0</v>
      </c>
    </row>
    <row r="48" spans="1:72" ht="15" thickBot="1" x14ac:dyDescent="0.35">
      <c r="A48" s="3" t="s">
        <v>83</v>
      </c>
      <c r="B48">
        <f>SUMIF(RawDataRecovered!$B:$B,$A48,RawDataRecovered!E:E)</f>
        <v>0</v>
      </c>
      <c r="C48">
        <f>SUMIF(RawDataRecovered!$B:$B,$A48,RawDataRecovered!F:F)</f>
        <v>0</v>
      </c>
      <c r="D48">
        <f>SUMIF(RawDataRecovered!$B:$B,$A48,RawDataRecovered!G:G)</f>
        <v>0</v>
      </c>
      <c r="E48">
        <f>SUMIF(RawDataRecovered!$B:$B,$A48,RawDataRecovered!H:H)</f>
        <v>0</v>
      </c>
      <c r="F48">
        <f>SUMIF(RawDataRecovered!$B:$B,$A48,RawDataRecovered!I:I)</f>
        <v>0</v>
      </c>
      <c r="G48">
        <f>SUMIF(RawDataRecovered!$B:$B,$A48,RawDataRecovered!J:J)</f>
        <v>0</v>
      </c>
      <c r="H48">
        <f>SUMIF(RawDataRecovered!$B:$B,$A48,RawDataRecovered!K:K)</f>
        <v>0</v>
      </c>
      <c r="I48">
        <f>SUMIF(RawDataRecovered!$B:$B,$A48,RawDataRecovered!L:L)</f>
        <v>0</v>
      </c>
      <c r="J48">
        <f>SUMIF(RawDataRecovered!$B:$B,$A48,RawDataRecovered!M:M)</f>
        <v>0</v>
      </c>
      <c r="K48">
        <f>SUMIF(RawDataRecovered!$B:$B,$A48,RawDataRecovered!N:N)</f>
        <v>0</v>
      </c>
      <c r="L48">
        <f>SUMIF(RawDataRecovered!$B:$B,$A48,RawDataRecovered!O:O)</f>
        <v>0</v>
      </c>
      <c r="M48">
        <f>SUMIF(RawDataRecovered!$B:$B,$A48,RawDataRecovered!P:P)</f>
        <v>0</v>
      </c>
      <c r="N48">
        <f>SUMIF(RawDataRecovered!$B:$B,$A48,RawDataRecovered!Q:Q)</f>
        <v>0</v>
      </c>
      <c r="O48">
        <f>SUMIF(RawDataRecovered!$B:$B,$A48,RawDataRecovered!R:R)</f>
        <v>0</v>
      </c>
      <c r="P48">
        <f>SUMIF(RawDataRecovered!$B:$B,$A48,RawDataRecovered!S:S)</f>
        <v>0</v>
      </c>
      <c r="Q48">
        <f>SUMIF(RawDataRecovered!$B:$B,$A48,RawDataRecovered!T:T)</f>
        <v>0</v>
      </c>
      <c r="R48">
        <f>SUMIF(RawDataRecovered!$B:$B,$A48,RawDataRecovered!U:U)</f>
        <v>0</v>
      </c>
      <c r="S48">
        <f>SUMIF(RawDataRecovered!$B:$B,$A48,RawDataRecovered!V:V)</f>
        <v>0</v>
      </c>
      <c r="T48">
        <f>SUMIF(RawDataRecovered!$B:$B,$A48,RawDataRecovered!W:W)</f>
        <v>0</v>
      </c>
      <c r="U48">
        <f>SUMIF(RawDataRecovered!$B:$B,$A48,RawDataRecovered!X:X)</f>
        <v>0</v>
      </c>
      <c r="V48">
        <f>SUMIF(RawDataRecovered!$B:$B,$A48,RawDataRecovered!Y:Y)</f>
        <v>0</v>
      </c>
      <c r="W48">
        <f>SUMIF(RawDataRecovered!$B:$B,$A48,RawDataRecovered!Z:Z)</f>
        <v>1</v>
      </c>
      <c r="X48">
        <f>SUMIF(RawDataRecovered!$B:$B,$A48,RawDataRecovered!AA:AA)</f>
        <v>1</v>
      </c>
      <c r="Y48">
        <f>SUMIF(RawDataRecovered!$B:$B,$A48,RawDataRecovered!AB:AB)</f>
        <v>1</v>
      </c>
      <c r="Z48">
        <f>SUMIF(RawDataRecovered!$B:$B,$A48,RawDataRecovered!AC:AC)</f>
        <v>1</v>
      </c>
      <c r="AA48">
        <f>SUMIF(RawDataRecovered!$B:$B,$A48,RawDataRecovered!AD:AD)</f>
        <v>1</v>
      </c>
      <c r="AB48">
        <f>SUMIF(RawDataRecovered!$B:$B,$A48,RawDataRecovered!AE:AE)</f>
        <v>1</v>
      </c>
      <c r="AC48">
        <f>SUMIF(RawDataRecovered!$B:$B,$A48,RawDataRecovered!AF:AF)</f>
        <v>1</v>
      </c>
      <c r="AD48">
        <f>SUMIF(RawDataRecovered!$B:$B,$A48,RawDataRecovered!AG:AG)</f>
        <v>1</v>
      </c>
      <c r="AE48">
        <f>SUMIF(RawDataRecovered!$B:$B,$A48,RawDataRecovered!AH:AH)</f>
        <v>1</v>
      </c>
      <c r="AF48">
        <f>SUMIF(RawDataRecovered!$B:$B,$A48,RawDataRecovered!AI:AI)</f>
        <v>1</v>
      </c>
      <c r="AG48">
        <f>SUMIF(RawDataRecovered!$B:$B,$A48,RawDataRecovered!AJ:AJ)</f>
        <v>1</v>
      </c>
      <c r="AH48">
        <f>SUMIF(RawDataRecovered!$B:$B,$A48,RawDataRecovered!AK:AK)</f>
        <v>1</v>
      </c>
      <c r="AI48">
        <f>SUMIF(RawDataRecovered!$B:$B,$A48,RawDataRecovered!AL:AL)</f>
        <v>1</v>
      </c>
      <c r="AJ48">
        <f>SUMIF(RawDataRecovered!$B:$B,$A48,RawDataRecovered!AM:AM)</f>
        <v>1</v>
      </c>
      <c r="AK48">
        <f>SUMIF(RawDataRecovered!$B:$B,$A48,RawDataRecovered!AN:AN)</f>
        <v>1</v>
      </c>
      <c r="AL48">
        <f>SUMIF(RawDataRecovered!$B:$B,$A48,RawDataRecovered!AO:AO)</f>
        <v>1</v>
      </c>
      <c r="AM48">
        <f>SUMIF(RawDataRecovered!$B:$B,$A48,RawDataRecovered!AP:AP)</f>
        <v>1</v>
      </c>
      <c r="AN48">
        <f>SUMIF(RawDataRecovered!$B:$B,$A48,RawDataRecovered!AQ:AQ)</f>
        <v>1</v>
      </c>
      <c r="AO48">
        <f>SUMIF(RawDataRecovered!$B:$B,$A48,RawDataRecovered!AR:AR)</f>
        <v>1</v>
      </c>
      <c r="AP48">
        <f>SUMIF(RawDataRecovered!$B:$B,$A48,RawDataRecovered!AS:AS)</f>
        <v>1</v>
      </c>
      <c r="AQ48">
        <f>SUMIF(RawDataRecovered!$B:$B,$A48,RawDataRecovered!AT:AT)</f>
        <v>1</v>
      </c>
      <c r="AR48">
        <f>SUMIF(RawDataRecovered!$B:$B,$A48,RawDataRecovered!AU:AU)</f>
        <v>1</v>
      </c>
      <c r="AS48">
        <f>SUMIF(RawDataRecovered!$B:$B,$A48,RawDataRecovered!AV:AV)</f>
        <v>1</v>
      </c>
      <c r="AT48">
        <f>SUMIF(RawDataRecovered!$B:$B,$A48,RawDataRecovered!AW:AW)</f>
        <v>1</v>
      </c>
      <c r="AU48">
        <f>SUMIF(RawDataRecovered!$B:$B,$A48,RawDataRecovered!AX:AX)</f>
        <v>1</v>
      </c>
      <c r="AV48">
        <f>SUMIF(RawDataRecovered!$B:$B,$A48,RawDataRecovered!AY:AY)</f>
        <v>1</v>
      </c>
      <c r="AW48">
        <f>SUMIF(RawDataRecovered!$B:$B,$A48,RawDataRecovered!AZ:AZ)</f>
        <v>1</v>
      </c>
      <c r="AX48">
        <f>SUMIF(RawDataRecovered!$B:$B,$A48,RawDataRecovered!BA:BA)</f>
        <v>2</v>
      </c>
      <c r="AY48">
        <f>SUMIF(RawDataRecovered!$B:$B,$A48,RawDataRecovered!BB:BB)</f>
        <v>2</v>
      </c>
      <c r="AZ48">
        <f>SUMIF(RawDataRecovered!$B:$B,$A48,RawDataRecovered!BC:BC)</f>
        <v>2</v>
      </c>
      <c r="BA48">
        <f>SUMIF(RawDataRecovered!$B:$B,$A48,RawDataRecovered!BD:BD)</f>
        <v>2</v>
      </c>
      <c r="BB48">
        <f>SUMIF(RawDataRecovered!$B:$B,$A48,RawDataRecovered!BE:BE)</f>
        <v>2</v>
      </c>
      <c r="BC48">
        <f>SUMIF(RawDataRecovered!$B:$B,$A48,RawDataRecovered!BF:BF)</f>
        <v>2</v>
      </c>
      <c r="BD48">
        <f>SUMIF(RawDataRecovered!$B:$B,$A48,RawDataRecovered!BG:BG)</f>
        <v>2</v>
      </c>
      <c r="BE48">
        <f>SUMIF(RawDataRecovered!$B:$B,$A48,RawDataRecovered!BH:BH)</f>
        <v>5</v>
      </c>
      <c r="BF48">
        <f>SUMIF(RawDataRecovered!$B:$B,$A48,RawDataRecovered!BI:BI)</f>
        <v>0</v>
      </c>
      <c r="BG48">
        <f>SUMIF(RawDataRecovered!$B:$B,$A48,RawDataRecovered!BJ:BJ)</f>
        <v>0</v>
      </c>
      <c r="BH48">
        <f>SUMIF(RawDataRecovered!$B:$B,$A48,RawDataRecovered!BK:BK)</f>
        <v>0</v>
      </c>
      <c r="BI48">
        <f>SUMIF(RawDataRecovered!$B:$B,$A48,RawDataRecovered!BL:BL)</f>
        <v>0</v>
      </c>
      <c r="BJ48">
        <f>SUMIF(RawDataRecovered!$B:$B,$A48,RawDataRecovered!BM:BM)</f>
        <v>0</v>
      </c>
      <c r="BK48">
        <f>SUMIF(RawDataRecovered!$B:$B,$A48,RawDataRecovered!BN:BN)</f>
        <v>0</v>
      </c>
      <c r="BL48">
        <f>SUMIF(RawDataRecovered!$B:$B,$A48,RawDataRecovered!BO:BO)</f>
        <v>0</v>
      </c>
      <c r="BM48">
        <f>SUMIF(RawDataRecovered!$B:$B,$A48,RawDataRecovered!BP:BP)</f>
        <v>0</v>
      </c>
      <c r="BN48">
        <f>SUMIF(RawDataRecovered!$B:$B,$A48,RawDataRecovered!BQ:BQ)</f>
        <v>0</v>
      </c>
      <c r="BO48">
        <f>SUMIF(RawDataRecovered!$B:$B,$A48,RawDataRecovered!BR:BR)</f>
        <v>0</v>
      </c>
      <c r="BP48">
        <f>SUMIF(RawDataRecovered!$B:$B,$A48,RawDataRecovered!BS:BS)</f>
        <v>0</v>
      </c>
      <c r="BQ48">
        <f>SUMIF(RawDataRecovered!$B:$B,$A48,RawDataRecovered!BT:BT)</f>
        <v>0</v>
      </c>
      <c r="BR48">
        <f>SUMIF(RawDataRecovered!$B:$B,$A48,RawDataRecovered!BU:BU)</f>
        <v>0</v>
      </c>
      <c r="BS48">
        <f>SUMIF(RawDataRecovered!$B:$B,$A48,RawDataRecovered!BV:BV)</f>
        <v>0</v>
      </c>
      <c r="BT48">
        <f>SUMIF(RawDataRecovered!$B:$B,$A48,RawDataRecovered!BW:BW)</f>
        <v>0</v>
      </c>
    </row>
    <row r="49" spans="1:72" ht="15" thickBot="1" x14ac:dyDescent="0.35">
      <c r="A49" s="3" t="s">
        <v>370</v>
      </c>
      <c r="B49">
        <f>SUMIF(RawDataRecovered!$B:$B,$A49,RawDataRecovered!E:E)</f>
        <v>0</v>
      </c>
      <c r="C49">
        <f>SUMIF(RawDataRecovered!$B:$B,$A49,RawDataRecovered!F:F)</f>
        <v>0</v>
      </c>
      <c r="D49">
        <f>SUMIF(RawDataRecovered!$B:$B,$A49,RawDataRecovered!G:G)</f>
        <v>0</v>
      </c>
      <c r="E49">
        <f>SUMIF(RawDataRecovered!$B:$B,$A49,RawDataRecovered!H:H)</f>
        <v>0</v>
      </c>
      <c r="F49">
        <f>SUMIF(RawDataRecovered!$B:$B,$A49,RawDataRecovered!I:I)</f>
        <v>0</v>
      </c>
      <c r="G49">
        <f>SUMIF(RawDataRecovered!$B:$B,$A49,RawDataRecovered!J:J)</f>
        <v>0</v>
      </c>
      <c r="H49">
        <f>SUMIF(RawDataRecovered!$B:$B,$A49,RawDataRecovered!K:K)</f>
        <v>0</v>
      </c>
      <c r="I49">
        <f>SUMIF(RawDataRecovered!$B:$B,$A49,RawDataRecovered!L:L)</f>
        <v>0</v>
      </c>
      <c r="J49">
        <f>SUMIF(RawDataRecovered!$B:$B,$A49,RawDataRecovered!M:M)</f>
        <v>0</v>
      </c>
      <c r="K49">
        <f>SUMIF(RawDataRecovered!$B:$B,$A49,RawDataRecovered!N:N)</f>
        <v>0</v>
      </c>
      <c r="L49">
        <f>SUMIF(RawDataRecovered!$B:$B,$A49,RawDataRecovered!O:O)</f>
        <v>0</v>
      </c>
      <c r="M49">
        <f>SUMIF(RawDataRecovered!$B:$B,$A49,RawDataRecovered!P:P)</f>
        <v>0</v>
      </c>
      <c r="N49">
        <f>SUMIF(RawDataRecovered!$B:$B,$A49,RawDataRecovered!Q:Q)</f>
        <v>0</v>
      </c>
      <c r="O49">
        <f>SUMIF(RawDataRecovered!$B:$B,$A49,RawDataRecovered!R:R)</f>
        <v>0</v>
      </c>
      <c r="P49">
        <f>SUMIF(RawDataRecovered!$B:$B,$A49,RawDataRecovered!S:S)</f>
        <v>0</v>
      </c>
      <c r="Q49">
        <f>SUMIF(RawDataRecovered!$B:$B,$A49,RawDataRecovered!T:T)</f>
        <v>1</v>
      </c>
      <c r="R49">
        <f>SUMIF(RawDataRecovered!$B:$B,$A49,RawDataRecovered!U:U)</f>
        <v>1</v>
      </c>
      <c r="S49">
        <f>SUMIF(RawDataRecovered!$B:$B,$A49,RawDataRecovered!V:V)</f>
        <v>1</v>
      </c>
      <c r="T49">
        <f>SUMIF(RawDataRecovered!$B:$B,$A49,RawDataRecovered!W:W)</f>
        <v>1</v>
      </c>
      <c r="U49">
        <f>SUMIF(RawDataRecovered!$B:$B,$A49,RawDataRecovered!X:X)</f>
        <v>1</v>
      </c>
      <c r="V49">
        <f>SUMIF(RawDataRecovered!$B:$B,$A49,RawDataRecovered!Y:Y)</f>
        <v>1</v>
      </c>
      <c r="W49">
        <f>SUMIF(RawDataRecovered!$B:$B,$A49,RawDataRecovered!Z:Z)</f>
        <v>1</v>
      </c>
      <c r="X49">
        <f>SUMIF(RawDataRecovered!$B:$B,$A49,RawDataRecovered!AA:AA)</f>
        <v>1</v>
      </c>
      <c r="Y49">
        <f>SUMIF(RawDataRecovered!$B:$B,$A49,RawDataRecovered!AB:AB)</f>
        <v>2</v>
      </c>
      <c r="Z49">
        <f>SUMIF(RawDataRecovered!$B:$B,$A49,RawDataRecovered!AC:AC)</f>
        <v>2</v>
      </c>
      <c r="AA49">
        <f>SUMIF(RawDataRecovered!$B:$B,$A49,RawDataRecovered!AD:AD)</f>
        <v>2</v>
      </c>
      <c r="AB49">
        <f>SUMIF(RawDataRecovered!$B:$B,$A49,RawDataRecovered!AE:AE)</f>
        <v>2</v>
      </c>
      <c r="AC49">
        <f>SUMIF(RawDataRecovered!$B:$B,$A49,RawDataRecovered!AF:AF)</f>
        <v>2</v>
      </c>
      <c r="AD49">
        <f>SUMIF(RawDataRecovered!$B:$B,$A49,RawDataRecovered!AG:AG)</f>
        <v>2</v>
      </c>
      <c r="AE49">
        <f>SUMIF(RawDataRecovered!$B:$B,$A49,RawDataRecovered!AH:AH)</f>
        <v>2</v>
      </c>
      <c r="AF49">
        <f>SUMIF(RawDataRecovered!$B:$B,$A49,RawDataRecovered!AI:AI)</f>
        <v>2</v>
      </c>
      <c r="AG49">
        <f>SUMIF(RawDataRecovered!$B:$B,$A49,RawDataRecovered!AJ:AJ)</f>
        <v>2</v>
      </c>
      <c r="AH49">
        <f>SUMIF(RawDataRecovered!$B:$B,$A49,RawDataRecovered!AK:AK)</f>
        <v>2</v>
      </c>
      <c r="AI49">
        <f>SUMIF(RawDataRecovered!$B:$B,$A49,RawDataRecovered!AL:AL)</f>
        <v>5</v>
      </c>
      <c r="AJ49">
        <f>SUMIF(RawDataRecovered!$B:$B,$A49,RawDataRecovered!AM:AM)</f>
        <v>5</v>
      </c>
      <c r="AK49">
        <f>SUMIF(RawDataRecovered!$B:$B,$A49,RawDataRecovered!AN:AN)</f>
        <v>5</v>
      </c>
      <c r="AL49">
        <f>SUMIF(RawDataRecovered!$B:$B,$A49,RawDataRecovered!AO:AO)</f>
        <v>5</v>
      </c>
      <c r="AM49">
        <f>SUMIF(RawDataRecovered!$B:$B,$A49,RawDataRecovered!AP:AP)</f>
        <v>6</v>
      </c>
      <c r="AN49">
        <f>SUMIF(RawDataRecovered!$B:$B,$A49,RawDataRecovered!AQ:AQ)</f>
        <v>9</v>
      </c>
      <c r="AO49">
        <f>SUMIF(RawDataRecovered!$B:$B,$A49,RawDataRecovered!AR:AR)</f>
        <v>9</v>
      </c>
      <c r="AP49">
        <f>SUMIF(RawDataRecovered!$B:$B,$A49,RawDataRecovered!AS:AS)</f>
        <v>12</v>
      </c>
      <c r="AQ49">
        <f>SUMIF(RawDataRecovered!$B:$B,$A49,RawDataRecovered!AT:AT)</f>
        <v>12</v>
      </c>
      <c r="AR49">
        <f>SUMIF(RawDataRecovered!$B:$B,$A49,RawDataRecovered!AU:AU)</f>
        <v>12</v>
      </c>
      <c r="AS49">
        <f>SUMIF(RawDataRecovered!$B:$B,$A49,RawDataRecovered!AV:AV)</f>
        <v>12</v>
      </c>
      <c r="AT49">
        <f>SUMIF(RawDataRecovered!$B:$B,$A49,RawDataRecovered!AW:AW)</f>
        <v>12</v>
      </c>
      <c r="AU49">
        <f>SUMIF(RawDataRecovered!$B:$B,$A49,RawDataRecovered!AX:AX)</f>
        <v>12</v>
      </c>
      <c r="AV49">
        <f>SUMIF(RawDataRecovered!$B:$B,$A49,RawDataRecovered!AY:AY)</f>
        <v>13</v>
      </c>
      <c r="AW49">
        <f>SUMIF(RawDataRecovered!$B:$B,$A49,RawDataRecovered!AZ:AZ)</f>
        <v>15</v>
      </c>
      <c r="AX49">
        <f>SUMIF(RawDataRecovered!$B:$B,$A49,RawDataRecovered!BA:BA)</f>
        <v>17</v>
      </c>
      <c r="AY49">
        <f>SUMIF(RawDataRecovered!$B:$B,$A49,RawDataRecovered!BB:BB)</f>
        <v>17</v>
      </c>
      <c r="AZ49">
        <f>SUMIF(RawDataRecovered!$B:$B,$A49,RawDataRecovered!BC:BC)</f>
        <v>20</v>
      </c>
      <c r="BA49">
        <f>SUMIF(RawDataRecovered!$B:$B,$A49,RawDataRecovered!BD:BD)</f>
        <v>20</v>
      </c>
      <c r="BB49">
        <f>SUMIF(RawDataRecovered!$B:$B,$A49,RawDataRecovered!BE:BE)</f>
        <v>20</v>
      </c>
      <c r="BC49">
        <f>SUMIF(RawDataRecovered!$B:$B,$A49,RawDataRecovered!BF:BF)</f>
        <v>20</v>
      </c>
      <c r="BD49">
        <f>SUMIF(RawDataRecovered!$B:$B,$A49,RawDataRecovered!BG:BG)</f>
        <v>20</v>
      </c>
      <c r="BE49">
        <f>SUMIF(RawDataRecovered!$B:$B,$A49,RawDataRecovered!BH:BH)</f>
        <v>22</v>
      </c>
      <c r="BF49">
        <f>SUMIF(RawDataRecovered!$B:$B,$A49,RawDataRecovered!BI:BI)</f>
        <v>0</v>
      </c>
      <c r="BG49">
        <f>SUMIF(RawDataRecovered!$B:$B,$A49,RawDataRecovered!BJ:BJ)</f>
        <v>0</v>
      </c>
      <c r="BH49">
        <f>SUMIF(RawDataRecovered!$B:$B,$A49,RawDataRecovered!BK:BK)</f>
        <v>0</v>
      </c>
      <c r="BI49">
        <f>SUMIF(RawDataRecovered!$B:$B,$A49,RawDataRecovered!BL:BL)</f>
        <v>0</v>
      </c>
      <c r="BJ49">
        <f>SUMIF(RawDataRecovered!$B:$B,$A49,RawDataRecovered!BM:BM)</f>
        <v>0</v>
      </c>
      <c r="BK49">
        <f>SUMIF(RawDataRecovered!$B:$B,$A49,RawDataRecovered!BN:BN)</f>
        <v>0</v>
      </c>
      <c r="BL49">
        <f>SUMIF(RawDataRecovered!$B:$B,$A49,RawDataRecovered!BO:BO)</f>
        <v>0</v>
      </c>
      <c r="BM49">
        <f>SUMIF(RawDataRecovered!$B:$B,$A49,RawDataRecovered!BP:BP)</f>
        <v>0</v>
      </c>
      <c r="BN49">
        <f>SUMIF(RawDataRecovered!$B:$B,$A49,RawDataRecovered!BQ:BQ)</f>
        <v>0</v>
      </c>
      <c r="BO49">
        <f>SUMIF(RawDataRecovered!$B:$B,$A49,RawDataRecovered!BR:BR)</f>
        <v>0</v>
      </c>
      <c r="BP49">
        <f>SUMIF(RawDataRecovered!$B:$B,$A49,RawDataRecovered!BS:BS)</f>
        <v>0</v>
      </c>
      <c r="BQ49">
        <f>SUMIF(RawDataRecovered!$B:$B,$A49,RawDataRecovered!BT:BT)</f>
        <v>0</v>
      </c>
      <c r="BR49">
        <f>SUMIF(RawDataRecovered!$B:$B,$A49,RawDataRecovered!BU:BU)</f>
        <v>0</v>
      </c>
      <c r="BS49">
        <f>SUMIF(RawDataRecovered!$B:$B,$A49,RawDataRecovered!BV:BV)</f>
        <v>0</v>
      </c>
      <c r="BT49">
        <f>SUMIF(RawDataRecovered!$B:$B,$A49,RawDataRecovered!BW:BW)</f>
        <v>0</v>
      </c>
    </row>
    <row r="50" spans="1:72" ht="15" thickBot="1" x14ac:dyDescent="0.35">
      <c r="A50" s="4" t="s">
        <v>371</v>
      </c>
      <c r="B50">
        <f>SUMIF(RawDataRecovered!$B:$B,$A50,RawDataRecovered!E:E)</f>
        <v>0</v>
      </c>
      <c r="C50">
        <f>SUMIF(RawDataRecovered!$B:$B,$A50,RawDataRecovered!F:F)</f>
        <v>0</v>
      </c>
      <c r="D50">
        <f>SUMIF(RawDataRecovered!$B:$B,$A50,RawDataRecovered!G:G)</f>
        <v>0</v>
      </c>
      <c r="E50">
        <f>SUMIF(RawDataRecovered!$B:$B,$A50,RawDataRecovered!H:H)</f>
        <v>0</v>
      </c>
      <c r="F50">
        <f>SUMIF(RawDataRecovered!$B:$B,$A50,RawDataRecovered!I:I)</f>
        <v>0</v>
      </c>
      <c r="G50">
        <f>SUMIF(RawDataRecovered!$B:$B,$A50,RawDataRecovered!J:J)</f>
        <v>0</v>
      </c>
      <c r="H50">
        <f>SUMIF(RawDataRecovered!$B:$B,$A50,RawDataRecovered!K:K)</f>
        <v>0</v>
      </c>
      <c r="I50">
        <f>SUMIF(RawDataRecovered!$B:$B,$A50,RawDataRecovered!L:L)</f>
        <v>0</v>
      </c>
      <c r="J50">
        <f>SUMIF(RawDataRecovered!$B:$B,$A50,RawDataRecovered!M:M)</f>
        <v>0</v>
      </c>
      <c r="K50">
        <f>SUMIF(RawDataRecovered!$B:$B,$A50,RawDataRecovered!N:N)</f>
        <v>0</v>
      </c>
      <c r="L50">
        <f>SUMIF(RawDataRecovered!$B:$B,$A50,RawDataRecovered!O:O)</f>
        <v>1</v>
      </c>
      <c r="M50">
        <f>SUMIF(RawDataRecovered!$B:$B,$A50,RawDataRecovered!P:P)</f>
        <v>1</v>
      </c>
      <c r="N50">
        <f>SUMIF(RawDataRecovered!$B:$B,$A50,RawDataRecovered!Q:Q)</f>
        <v>1</v>
      </c>
      <c r="O50">
        <f>SUMIF(RawDataRecovered!$B:$B,$A50,RawDataRecovered!R:R)</f>
        <v>1</v>
      </c>
      <c r="P50">
        <f>SUMIF(RawDataRecovered!$B:$B,$A50,RawDataRecovered!S:S)</f>
        <v>1</v>
      </c>
      <c r="Q50">
        <f>SUMIF(RawDataRecovered!$B:$B,$A50,RawDataRecovered!T:T)</f>
        <v>1</v>
      </c>
      <c r="R50">
        <f>SUMIF(RawDataRecovered!$B:$B,$A50,RawDataRecovered!U:U)</f>
        <v>1</v>
      </c>
      <c r="S50">
        <f>SUMIF(RawDataRecovered!$B:$B,$A50,RawDataRecovered!V:V)</f>
        <v>1</v>
      </c>
      <c r="T50">
        <f>SUMIF(RawDataRecovered!$B:$B,$A50,RawDataRecovered!W:W)</f>
        <v>1</v>
      </c>
      <c r="U50">
        <f>SUMIF(RawDataRecovered!$B:$B,$A50,RawDataRecovered!X:X)</f>
        <v>1</v>
      </c>
      <c r="V50">
        <f>SUMIF(RawDataRecovered!$B:$B,$A50,RawDataRecovered!Y:Y)</f>
        <v>6</v>
      </c>
      <c r="W50">
        <f>SUMIF(RawDataRecovered!$B:$B,$A50,RawDataRecovered!Z:Z)</f>
        <v>6</v>
      </c>
      <c r="X50">
        <f>SUMIF(RawDataRecovered!$B:$B,$A50,RawDataRecovered!AA:AA)</f>
        <v>7</v>
      </c>
      <c r="Y50">
        <f>SUMIF(RawDataRecovered!$B:$B,$A50,RawDataRecovered!AB:AB)</f>
        <v>7</v>
      </c>
      <c r="Z50">
        <f>SUMIF(RawDataRecovered!$B:$B,$A50,RawDataRecovered!AC:AC)</f>
        <v>7</v>
      </c>
      <c r="AA50">
        <f>SUMIF(RawDataRecovered!$B:$B,$A50,RawDataRecovered!AD:AD)</f>
        <v>7</v>
      </c>
      <c r="AB50">
        <f>SUMIF(RawDataRecovered!$B:$B,$A50,RawDataRecovered!AE:AE)</f>
        <v>7</v>
      </c>
      <c r="AC50">
        <f>SUMIF(RawDataRecovered!$B:$B,$A50,RawDataRecovered!AF:AF)</f>
        <v>7</v>
      </c>
      <c r="AD50">
        <f>SUMIF(RawDataRecovered!$B:$B,$A50,RawDataRecovered!AG:AG)</f>
        <v>7</v>
      </c>
      <c r="AE50">
        <f>SUMIF(RawDataRecovered!$B:$B,$A50,RawDataRecovered!AH:AH)</f>
        <v>7</v>
      </c>
      <c r="AF50">
        <f>SUMIF(RawDataRecovered!$B:$B,$A50,RawDataRecovered!AI:AI)</f>
        <v>14</v>
      </c>
      <c r="AG50">
        <f>SUMIF(RawDataRecovered!$B:$B,$A50,RawDataRecovered!AJ:AJ)</f>
        <v>14</v>
      </c>
      <c r="AH50">
        <f>SUMIF(RawDataRecovered!$B:$B,$A50,RawDataRecovered!AK:AK)</f>
        <v>14</v>
      </c>
      <c r="AI50">
        <f>SUMIF(RawDataRecovered!$B:$B,$A50,RawDataRecovered!AL:AL)</f>
        <v>14</v>
      </c>
      <c r="AJ50">
        <f>SUMIF(RawDataRecovered!$B:$B,$A50,RawDataRecovered!AM:AM)</f>
        <v>16</v>
      </c>
      <c r="AK50">
        <f>SUMIF(RawDataRecovered!$B:$B,$A50,RawDataRecovered!AN:AN)</f>
        <v>16</v>
      </c>
      <c r="AL50">
        <f>SUMIF(RawDataRecovered!$B:$B,$A50,RawDataRecovered!AO:AO)</f>
        <v>16</v>
      </c>
      <c r="AM50">
        <f>SUMIF(RawDataRecovered!$B:$B,$A50,RawDataRecovered!AP:AP)</f>
        <v>16</v>
      </c>
      <c r="AN50">
        <f>SUMIF(RawDataRecovered!$B:$B,$A50,RawDataRecovered!AQ:AQ)</f>
        <v>16</v>
      </c>
      <c r="AO50">
        <f>SUMIF(RawDataRecovered!$B:$B,$A50,RawDataRecovered!AR:AR)</f>
        <v>16</v>
      </c>
      <c r="AP50">
        <f>SUMIF(RawDataRecovered!$B:$B,$A50,RawDataRecovered!AS:AS)</f>
        <v>16</v>
      </c>
      <c r="AQ50">
        <f>SUMIF(RawDataRecovered!$B:$B,$A50,RawDataRecovered!AT:AT)</f>
        <v>16</v>
      </c>
      <c r="AR50">
        <f>SUMIF(RawDataRecovered!$B:$B,$A50,RawDataRecovered!AU:AU)</f>
        <v>16</v>
      </c>
      <c r="AS50">
        <f>SUMIF(RawDataRecovered!$B:$B,$A50,RawDataRecovered!AV:AV)</f>
        <v>16</v>
      </c>
      <c r="AT50">
        <f>SUMIF(RawDataRecovered!$B:$B,$A50,RawDataRecovered!AW:AW)</f>
        <v>16</v>
      </c>
      <c r="AU50">
        <f>SUMIF(RawDataRecovered!$B:$B,$A50,RawDataRecovered!AX:AX)</f>
        <v>16</v>
      </c>
      <c r="AV50">
        <f>SUMIF(RawDataRecovered!$B:$B,$A50,RawDataRecovered!AY:AY)</f>
        <v>16</v>
      </c>
      <c r="AW50">
        <f>SUMIF(RawDataRecovered!$B:$B,$A50,RawDataRecovered!AZ:AZ)</f>
        <v>16</v>
      </c>
      <c r="AX50">
        <f>SUMIF(RawDataRecovered!$B:$B,$A50,RawDataRecovered!BA:BA)</f>
        <v>16</v>
      </c>
      <c r="AY50">
        <f>SUMIF(RawDataRecovered!$B:$B,$A50,RawDataRecovered!BB:BB)</f>
        <v>16</v>
      </c>
      <c r="AZ50">
        <f>SUMIF(RawDataRecovered!$B:$B,$A50,RawDataRecovered!BC:BC)</f>
        <v>16</v>
      </c>
      <c r="BA50">
        <f>SUMIF(RawDataRecovered!$B:$B,$A50,RawDataRecovered!BD:BD)</f>
        <v>16</v>
      </c>
      <c r="BB50">
        <f>SUMIF(RawDataRecovered!$B:$B,$A50,RawDataRecovered!BE:BE)</f>
        <v>16</v>
      </c>
      <c r="BC50">
        <f>SUMIF(RawDataRecovered!$B:$B,$A50,RawDataRecovered!BF:BF)</f>
        <v>16</v>
      </c>
      <c r="BD50">
        <f>SUMIF(RawDataRecovered!$B:$B,$A50,RawDataRecovered!BG:BG)</f>
        <v>16</v>
      </c>
      <c r="BE50">
        <f>SUMIF(RawDataRecovered!$B:$B,$A50,RawDataRecovered!BH:BH)</f>
        <v>16</v>
      </c>
      <c r="BF50">
        <f>SUMIF(RawDataRecovered!$B:$B,$A50,RawDataRecovered!BI:BI)</f>
        <v>0</v>
      </c>
      <c r="BG50">
        <f>SUMIF(RawDataRecovered!$B:$B,$A50,RawDataRecovered!BJ:BJ)</f>
        <v>0</v>
      </c>
      <c r="BH50">
        <f>SUMIF(RawDataRecovered!$B:$B,$A50,RawDataRecovered!BK:BK)</f>
        <v>0</v>
      </c>
      <c r="BI50">
        <f>SUMIF(RawDataRecovered!$B:$B,$A50,RawDataRecovered!BL:BL)</f>
        <v>0</v>
      </c>
      <c r="BJ50">
        <f>SUMIF(RawDataRecovered!$B:$B,$A50,RawDataRecovered!BM:BM)</f>
        <v>0</v>
      </c>
      <c r="BK50">
        <f>SUMIF(RawDataRecovered!$B:$B,$A50,RawDataRecovered!BN:BN)</f>
        <v>0</v>
      </c>
      <c r="BL50">
        <f>SUMIF(RawDataRecovered!$B:$B,$A50,RawDataRecovered!BO:BO)</f>
        <v>0</v>
      </c>
      <c r="BM50">
        <f>SUMIF(RawDataRecovered!$B:$B,$A50,RawDataRecovered!BP:BP)</f>
        <v>0</v>
      </c>
      <c r="BN50">
        <f>SUMIF(RawDataRecovered!$B:$B,$A50,RawDataRecovered!BQ:BQ)</f>
        <v>0</v>
      </c>
      <c r="BO50">
        <f>SUMIF(RawDataRecovered!$B:$B,$A50,RawDataRecovered!BR:BR)</f>
        <v>0</v>
      </c>
      <c r="BP50">
        <f>SUMIF(RawDataRecovered!$B:$B,$A50,RawDataRecovered!BS:BS)</f>
        <v>0</v>
      </c>
      <c r="BQ50">
        <f>SUMIF(RawDataRecovered!$B:$B,$A50,RawDataRecovered!BT:BT)</f>
        <v>0</v>
      </c>
      <c r="BR50">
        <f>SUMIF(RawDataRecovered!$B:$B,$A50,RawDataRecovered!BU:BU)</f>
        <v>0</v>
      </c>
      <c r="BS50">
        <f>SUMIF(RawDataRecovered!$B:$B,$A50,RawDataRecovered!BV:BV)</f>
        <v>0</v>
      </c>
      <c r="BT50">
        <f>SUMIF(RawDataRecovered!$B:$B,$A50,RawDataRecovered!BW:BW)</f>
        <v>0</v>
      </c>
    </row>
    <row r="51" spans="1:72" ht="15" thickBot="1" x14ac:dyDescent="0.35">
      <c r="A51" s="3" t="s">
        <v>372</v>
      </c>
      <c r="B51">
        <f>SUMIF(RawDataRecovered!$B:$B,$A51,RawDataRecovered!E:E)</f>
        <v>0</v>
      </c>
      <c r="C51">
        <f>SUMIF(RawDataRecovered!$B:$B,$A51,RawDataRecovered!F:F)</f>
        <v>0</v>
      </c>
      <c r="D51">
        <f>SUMIF(RawDataRecovered!$B:$B,$A51,RawDataRecovered!G:G)</f>
        <v>0</v>
      </c>
      <c r="E51">
        <f>SUMIF(RawDataRecovered!$B:$B,$A51,RawDataRecovered!H:H)</f>
        <v>0</v>
      </c>
      <c r="F51">
        <f>SUMIF(RawDataRecovered!$B:$B,$A51,RawDataRecovered!I:I)</f>
        <v>0</v>
      </c>
      <c r="G51">
        <f>SUMIF(RawDataRecovered!$B:$B,$A51,RawDataRecovered!J:J)</f>
        <v>0</v>
      </c>
      <c r="H51">
        <f>SUMIF(RawDataRecovered!$B:$B,$A51,RawDataRecovered!K:K)</f>
        <v>0</v>
      </c>
      <c r="I51">
        <f>SUMIF(RawDataRecovered!$B:$B,$A51,RawDataRecovered!L:L)</f>
        <v>0</v>
      </c>
      <c r="J51">
        <f>SUMIF(RawDataRecovered!$B:$B,$A51,RawDataRecovered!M:M)</f>
        <v>0</v>
      </c>
      <c r="K51">
        <f>SUMIF(RawDataRecovered!$B:$B,$A51,RawDataRecovered!N:N)</f>
        <v>0</v>
      </c>
      <c r="L51">
        <f>SUMIF(RawDataRecovered!$B:$B,$A51,RawDataRecovered!O:O)</f>
        <v>0</v>
      </c>
      <c r="M51">
        <f>SUMIF(RawDataRecovered!$B:$B,$A51,RawDataRecovered!P:P)</f>
        <v>0</v>
      </c>
      <c r="N51">
        <f>SUMIF(RawDataRecovered!$B:$B,$A51,RawDataRecovered!Q:Q)</f>
        <v>0</v>
      </c>
      <c r="O51">
        <f>SUMIF(RawDataRecovered!$B:$B,$A51,RawDataRecovered!R:R)</f>
        <v>0</v>
      </c>
      <c r="P51">
        <f>SUMIF(RawDataRecovered!$B:$B,$A51,RawDataRecovered!S:S)</f>
        <v>0</v>
      </c>
      <c r="Q51">
        <f>SUMIF(RawDataRecovered!$B:$B,$A51,RawDataRecovered!T:T)</f>
        <v>0</v>
      </c>
      <c r="R51">
        <f>SUMIF(RawDataRecovered!$B:$B,$A51,RawDataRecovered!U:U)</f>
        <v>0</v>
      </c>
      <c r="S51">
        <f>SUMIF(RawDataRecovered!$B:$B,$A51,RawDataRecovered!V:V)</f>
        <v>0</v>
      </c>
      <c r="T51">
        <f>SUMIF(RawDataRecovered!$B:$B,$A51,RawDataRecovered!W:W)</f>
        <v>0</v>
      </c>
      <c r="U51">
        <f>SUMIF(RawDataRecovered!$B:$B,$A51,RawDataRecovered!X:X)</f>
        <v>0</v>
      </c>
      <c r="V51">
        <f>SUMIF(RawDataRecovered!$B:$B,$A51,RawDataRecovered!Y:Y)</f>
        <v>0</v>
      </c>
      <c r="W51">
        <f>SUMIF(RawDataRecovered!$B:$B,$A51,RawDataRecovered!Z:Z)</f>
        <v>2</v>
      </c>
      <c r="X51">
        <f>SUMIF(RawDataRecovered!$B:$B,$A51,RawDataRecovered!AA:AA)</f>
        <v>2</v>
      </c>
      <c r="Y51">
        <f>SUMIF(RawDataRecovered!$B:$B,$A51,RawDataRecovered!AB:AB)</f>
        <v>2</v>
      </c>
      <c r="Z51">
        <f>SUMIF(RawDataRecovered!$B:$B,$A51,RawDataRecovered!AC:AC)</f>
        <v>2</v>
      </c>
      <c r="AA51">
        <f>SUMIF(RawDataRecovered!$B:$B,$A51,RawDataRecovered!AD:AD)</f>
        <v>2</v>
      </c>
      <c r="AB51">
        <f>SUMIF(RawDataRecovered!$B:$B,$A51,RawDataRecovered!AE:AE)</f>
        <v>2</v>
      </c>
      <c r="AC51">
        <f>SUMIF(RawDataRecovered!$B:$B,$A51,RawDataRecovered!AF:AF)</f>
        <v>2</v>
      </c>
      <c r="AD51">
        <f>SUMIF(RawDataRecovered!$B:$B,$A51,RawDataRecovered!AG:AG)</f>
        <v>2</v>
      </c>
      <c r="AE51">
        <f>SUMIF(RawDataRecovered!$B:$B,$A51,RawDataRecovered!AH:AH)</f>
        <v>2</v>
      </c>
      <c r="AF51">
        <f>SUMIF(RawDataRecovered!$B:$B,$A51,RawDataRecovered!AI:AI)</f>
        <v>2</v>
      </c>
      <c r="AG51">
        <f>SUMIF(RawDataRecovered!$B:$B,$A51,RawDataRecovered!AJ:AJ)</f>
        <v>2</v>
      </c>
      <c r="AH51">
        <f>SUMIF(RawDataRecovered!$B:$B,$A51,RawDataRecovered!AK:AK)</f>
        <v>2</v>
      </c>
      <c r="AI51">
        <f>SUMIF(RawDataRecovered!$B:$B,$A51,RawDataRecovered!AL:AL)</f>
        <v>2</v>
      </c>
      <c r="AJ51">
        <f>SUMIF(RawDataRecovered!$B:$B,$A51,RawDataRecovered!AM:AM)</f>
        <v>2</v>
      </c>
      <c r="AK51">
        <f>SUMIF(RawDataRecovered!$B:$B,$A51,RawDataRecovered!AN:AN)</f>
        <v>2</v>
      </c>
      <c r="AL51">
        <f>SUMIF(RawDataRecovered!$B:$B,$A51,RawDataRecovered!AO:AO)</f>
        <v>2</v>
      </c>
      <c r="AM51">
        <f>SUMIF(RawDataRecovered!$B:$B,$A51,RawDataRecovered!AP:AP)</f>
        <v>2</v>
      </c>
      <c r="AN51">
        <f>SUMIF(RawDataRecovered!$B:$B,$A51,RawDataRecovered!AQ:AQ)</f>
        <v>2</v>
      </c>
      <c r="AO51">
        <f>SUMIF(RawDataRecovered!$B:$B,$A51,RawDataRecovered!AR:AR)</f>
        <v>2</v>
      </c>
      <c r="AP51">
        <f>SUMIF(RawDataRecovered!$B:$B,$A51,RawDataRecovered!AS:AS)</f>
        <v>2</v>
      </c>
      <c r="AQ51">
        <f>SUMIF(RawDataRecovered!$B:$B,$A51,RawDataRecovered!AT:AT)</f>
        <v>2</v>
      </c>
      <c r="AR51">
        <f>SUMIF(RawDataRecovered!$B:$B,$A51,RawDataRecovered!AU:AU)</f>
        <v>2</v>
      </c>
      <c r="AS51">
        <f>SUMIF(RawDataRecovered!$B:$B,$A51,RawDataRecovered!AV:AV)</f>
        <v>2</v>
      </c>
      <c r="AT51">
        <f>SUMIF(RawDataRecovered!$B:$B,$A51,RawDataRecovered!AW:AW)</f>
        <v>2</v>
      </c>
      <c r="AU51">
        <f>SUMIF(RawDataRecovered!$B:$B,$A51,RawDataRecovered!AX:AX)</f>
        <v>2</v>
      </c>
      <c r="AV51">
        <f>SUMIF(RawDataRecovered!$B:$B,$A51,RawDataRecovered!AY:AY)</f>
        <v>3</v>
      </c>
      <c r="AW51">
        <f>SUMIF(RawDataRecovered!$B:$B,$A51,RawDataRecovered!AZ:AZ)</f>
        <v>3</v>
      </c>
      <c r="AX51">
        <f>SUMIF(RawDataRecovered!$B:$B,$A51,RawDataRecovered!BA:BA)</f>
        <v>3</v>
      </c>
      <c r="AY51">
        <f>SUMIF(RawDataRecovered!$B:$B,$A51,RawDataRecovered!BB:BB)</f>
        <v>3</v>
      </c>
      <c r="AZ51">
        <f>SUMIF(RawDataRecovered!$B:$B,$A51,RawDataRecovered!BC:BC)</f>
        <v>3</v>
      </c>
      <c r="BA51">
        <f>SUMIF(RawDataRecovered!$B:$B,$A51,RawDataRecovered!BD:BD)</f>
        <v>3</v>
      </c>
      <c r="BB51">
        <f>SUMIF(RawDataRecovered!$B:$B,$A51,RawDataRecovered!BE:BE)</f>
        <v>8</v>
      </c>
      <c r="BC51">
        <f>SUMIF(RawDataRecovered!$B:$B,$A51,RawDataRecovered!BF:BF)</f>
        <v>8</v>
      </c>
      <c r="BD51">
        <f>SUMIF(RawDataRecovered!$B:$B,$A51,RawDataRecovered!BG:BG)</f>
        <v>8</v>
      </c>
      <c r="BE51">
        <f>SUMIF(RawDataRecovered!$B:$B,$A51,RawDataRecovered!BH:BH)</f>
        <v>8</v>
      </c>
      <c r="BF51">
        <f>SUMIF(RawDataRecovered!$B:$B,$A51,RawDataRecovered!BI:BI)</f>
        <v>0</v>
      </c>
      <c r="BG51">
        <f>SUMIF(RawDataRecovered!$B:$B,$A51,RawDataRecovered!BJ:BJ)</f>
        <v>0</v>
      </c>
      <c r="BH51">
        <f>SUMIF(RawDataRecovered!$B:$B,$A51,RawDataRecovered!BK:BK)</f>
        <v>0</v>
      </c>
      <c r="BI51">
        <f>SUMIF(RawDataRecovered!$B:$B,$A51,RawDataRecovered!BL:BL)</f>
        <v>0</v>
      </c>
      <c r="BJ51">
        <f>SUMIF(RawDataRecovered!$B:$B,$A51,RawDataRecovered!BM:BM)</f>
        <v>0</v>
      </c>
      <c r="BK51">
        <f>SUMIF(RawDataRecovered!$B:$B,$A51,RawDataRecovered!BN:BN)</f>
        <v>0</v>
      </c>
      <c r="BL51">
        <f>SUMIF(RawDataRecovered!$B:$B,$A51,RawDataRecovered!BO:BO)</f>
        <v>0</v>
      </c>
      <c r="BM51">
        <f>SUMIF(RawDataRecovered!$B:$B,$A51,RawDataRecovered!BP:BP)</f>
        <v>0</v>
      </c>
      <c r="BN51">
        <f>SUMIF(RawDataRecovered!$B:$B,$A51,RawDataRecovered!BQ:BQ)</f>
        <v>0</v>
      </c>
      <c r="BO51">
        <f>SUMIF(RawDataRecovered!$B:$B,$A51,RawDataRecovered!BR:BR)</f>
        <v>0</v>
      </c>
      <c r="BP51">
        <f>SUMIF(RawDataRecovered!$B:$B,$A51,RawDataRecovered!BS:BS)</f>
        <v>0</v>
      </c>
      <c r="BQ51">
        <f>SUMIF(RawDataRecovered!$B:$B,$A51,RawDataRecovered!BT:BT)</f>
        <v>0</v>
      </c>
      <c r="BR51">
        <f>SUMIF(RawDataRecovered!$B:$B,$A51,RawDataRecovered!BU:BU)</f>
        <v>0</v>
      </c>
      <c r="BS51">
        <f>SUMIF(RawDataRecovered!$B:$B,$A51,RawDataRecovered!BV:BV)</f>
        <v>0</v>
      </c>
      <c r="BT51">
        <f>SUMIF(RawDataRecovered!$B:$B,$A51,RawDataRecovered!BW:BW)</f>
        <v>0</v>
      </c>
    </row>
    <row r="52" spans="1:72" ht="15" thickBot="1" x14ac:dyDescent="0.35">
      <c r="A52" s="3" t="s">
        <v>151</v>
      </c>
      <c r="B52">
        <f>SUMIF(RawDataRecovered!$B:$B,$A52,RawDataRecovered!E:E)</f>
        <v>0</v>
      </c>
      <c r="C52">
        <f>SUMIF(RawDataRecovered!$B:$B,$A52,RawDataRecovered!F:F)</f>
        <v>0</v>
      </c>
      <c r="D52">
        <f>SUMIF(RawDataRecovered!$B:$B,$A52,RawDataRecovered!G:G)</f>
        <v>0</v>
      </c>
      <c r="E52">
        <f>SUMIF(RawDataRecovered!$B:$B,$A52,RawDataRecovered!H:H)</f>
        <v>0</v>
      </c>
      <c r="F52">
        <f>SUMIF(RawDataRecovered!$B:$B,$A52,RawDataRecovered!I:I)</f>
        <v>0</v>
      </c>
      <c r="G52">
        <f>SUMIF(RawDataRecovered!$B:$B,$A52,RawDataRecovered!J:J)</f>
        <v>0</v>
      </c>
      <c r="H52">
        <f>SUMIF(RawDataRecovered!$B:$B,$A52,RawDataRecovered!K:K)</f>
        <v>0</v>
      </c>
      <c r="I52">
        <f>SUMIF(RawDataRecovered!$B:$B,$A52,RawDataRecovered!L:L)</f>
        <v>0</v>
      </c>
      <c r="J52">
        <f>SUMIF(RawDataRecovered!$B:$B,$A52,RawDataRecovered!M:M)</f>
        <v>0</v>
      </c>
      <c r="K52">
        <f>SUMIF(RawDataRecovered!$B:$B,$A52,RawDataRecovered!N:N)</f>
        <v>0</v>
      </c>
      <c r="L52">
        <f>SUMIF(RawDataRecovered!$B:$B,$A52,RawDataRecovered!O:O)</f>
        <v>0</v>
      </c>
      <c r="M52">
        <f>SUMIF(RawDataRecovered!$B:$B,$A52,RawDataRecovered!P:P)</f>
        <v>0</v>
      </c>
      <c r="N52">
        <f>SUMIF(RawDataRecovered!$B:$B,$A52,RawDataRecovered!Q:Q)</f>
        <v>0</v>
      </c>
      <c r="O52">
        <f>SUMIF(RawDataRecovered!$B:$B,$A52,RawDataRecovered!R:R)</f>
        <v>0</v>
      </c>
      <c r="P52">
        <f>SUMIF(RawDataRecovered!$B:$B,$A52,RawDataRecovered!S:S)</f>
        <v>0</v>
      </c>
      <c r="Q52">
        <f>SUMIF(RawDataRecovered!$B:$B,$A52,RawDataRecovered!T:T)</f>
        <v>0</v>
      </c>
      <c r="R52">
        <f>SUMIF(RawDataRecovered!$B:$B,$A52,RawDataRecovered!U:U)</f>
        <v>0</v>
      </c>
      <c r="S52">
        <f>SUMIF(RawDataRecovered!$B:$B,$A52,RawDataRecovered!V:V)</f>
        <v>0</v>
      </c>
      <c r="T52">
        <f>SUMIF(RawDataRecovered!$B:$B,$A52,RawDataRecovered!W:W)</f>
        <v>0</v>
      </c>
      <c r="U52">
        <f>SUMIF(RawDataRecovered!$B:$B,$A52,RawDataRecovered!X:X)</f>
        <v>0</v>
      </c>
      <c r="V52">
        <f>SUMIF(RawDataRecovered!$B:$B,$A52,RawDataRecovered!Y:Y)</f>
        <v>0</v>
      </c>
      <c r="W52">
        <f>SUMIF(RawDataRecovered!$B:$B,$A52,RawDataRecovered!Z:Z)</f>
        <v>0</v>
      </c>
      <c r="X52">
        <f>SUMIF(RawDataRecovered!$B:$B,$A52,RawDataRecovered!AA:AA)</f>
        <v>0</v>
      </c>
      <c r="Y52">
        <f>SUMIF(RawDataRecovered!$B:$B,$A52,RawDataRecovered!AB:AB)</f>
        <v>0</v>
      </c>
      <c r="Z52">
        <f>SUMIF(RawDataRecovered!$B:$B,$A52,RawDataRecovered!AC:AC)</f>
        <v>0</v>
      </c>
      <c r="AA52">
        <f>SUMIF(RawDataRecovered!$B:$B,$A52,RawDataRecovered!AD:AD)</f>
        <v>0</v>
      </c>
      <c r="AB52">
        <f>SUMIF(RawDataRecovered!$B:$B,$A52,RawDataRecovered!AE:AE)</f>
        <v>0</v>
      </c>
      <c r="AC52">
        <f>SUMIF(RawDataRecovered!$B:$B,$A52,RawDataRecovered!AF:AF)</f>
        <v>0</v>
      </c>
      <c r="AD52">
        <f>SUMIF(RawDataRecovered!$B:$B,$A52,RawDataRecovered!AG:AG)</f>
        <v>0</v>
      </c>
      <c r="AE52">
        <f>SUMIF(RawDataRecovered!$B:$B,$A52,RawDataRecovered!AH:AH)</f>
        <v>0</v>
      </c>
      <c r="AF52">
        <f>SUMIF(RawDataRecovered!$B:$B,$A52,RawDataRecovered!AI:AI)</f>
        <v>0</v>
      </c>
      <c r="AG52">
        <f>SUMIF(RawDataRecovered!$B:$B,$A52,RawDataRecovered!AJ:AJ)</f>
        <v>0</v>
      </c>
      <c r="AH52">
        <f>SUMIF(RawDataRecovered!$B:$B,$A52,RawDataRecovered!AK:AK)</f>
        <v>0</v>
      </c>
      <c r="AI52">
        <f>SUMIF(RawDataRecovered!$B:$B,$A52,RawDataRecovered!AL:AL)</f>
        <v>0</v>
      </c>
      <c r="AJ52">
        <f>SUMIF(RawDataRecovered!$B:$B,$A52,RawDataRecovered!AM:AM)</f>
        <v>0</v>
      </c>
      <c r="AK52">
        <f>SUMIF(RawDataRecovered!$B:$B,$A52,RawDataRecovered!AN:AN)</f>
        <v>0</v>
      </c>
      <c r="AL52">
        <f>SUMIF(RawDataRecovered!$B:$B,$A52,RawDataRecovered!AO:AO)</f>
        <v>0</v>
      </c>
      <c r="AM52">
        <f>SUMIF(RawDataRecovered!$B:$B,$A52,RawDataRecovered!AP:AP)</f>
        <v>0</v>
      </c>
      <c r="AN52">
        <f>SUMIF(RawDataRecovered!$B:$B,$A52,RawDataRecovered!AQ:AQ)</f>
        <v>0</v>
      </c>
      <c r="AO52">
        <f>SUMIF(RawDataRecovered!$B:$B,$A52,RawDataRecovered!AR:AR)</f>
        <v>0</v>
      </c>
      <c r="AP52">
        <f>SUMIF(RawDataRecovered!$B:$B,$A52,RawDataRecovered!AS:AS)</f>
        <v>0</v>
      </c>
      <c r="AQ52">
        <f>SUMIF(RawDataRecovered!$B:$B,$A52,RawDataRecovered!AT:AT)</f>
        <v>0</v>
      </c>
      <c r="AR52">
        <f>SUMIF(RawDataRecovered!$B:$B,$A52,RawDataRecovered!AU:AU)</f>
        <v>0</v>
      </c>
      <c r="AS52">
        <f>SUMIF(RawDataRecovered!$B:$B,$A52,RawDataRecovered!AV:AV)</f>
        <v>0</v>
      </c>
      <c r="AT52">
        <f>SUMIF(RawDataRecovered!$B:$B,$A52,RawDataRecovered!AW:AW)</f>
        <v>0</v>
      </c>
      <c r="AU52">
        <f>SUMIF(RawDataRecovered!$B:$B,$A52,RawDataRecovered!AX:AX)</f>
        <v>0</v>
      </c>
      <c r="AV52">
        <f>SUMIF(RawDataRecovered!$B:$B,$A52,RawDataRecovered!AY:AY)</f>
        <v>0</v>
      </c>
      <c r="AW52">
        <f>SUMIF(RawDataRecovered!$B:$B,$A52,RawDataRecovered!AZ:AZ)</f>
        <v>0</v>
      </c>
      <c r="AX52">
        <f>SUMIF(RawDataRecovered!$B:$B,$A52,RawDataRecovered!BA:BA)</f>
        <v>0</v>
      </c>
      <c r="AY52">
        <f>SUMIF(RawDataRecovered!$B:$B,$A52,RawDataRecovered!BB:BB)</f>
        <v>0</v>
      </c>
      <c r="AZ52">
        <f>SUMIF(RawDataRecovered!$B:$B,$A52,RawDataRecovered!BC:BC)</f>
        <v>0</v>
      </c>
      <c r="BA52">
        <f>SUMIF(RawDataRecovered!$B:$B,$A52,RawDataRecovered!BD:BD)</f>
        <v>0</v>
      </c>
      <c r="BB52">
        <f>SUMIF(RawDataRecovered!$B:$B,$A52,RawDataRecovered!BE:BE)</f>
        <v>0</v>
      </c>
      <c r="BC52">
        <f>SUMIF(RawDataRecovered!$B:$B,$A52,RawDataRecovered!BF:BF)</f>
        <v>0</v>
      </c>
      <c r="BD52">
        <f>SUMIF(RawDataRecovered!$B:$B,$A52,RawDataRecovered!BG:BG)</f>
        <v>0</v>
      </c>
      <c r="BE52">
        <f>SUMIF(RawDataRecovered!$B:$B,$A52,RawDataRecovered!BH:BH)</f>
        <v>0</v>
      </c>
      <c r="BF52">
        <f>SUMIF(RawDataRecovered!$B:$B,$A52,RawDataRecovered!BI:BI)</f>
        <v>0</v>
      </c>
      <c r="BG52">
        <f>SUMIF(RawDataRecovered!$B:$B,$A52,RawDataRecovered!BJ:BJ)</f>
        <v>0</v>
      </c>
      <c r="BH52">
        <f>SUMIF(RawDataRecovered!$B:$B,$A52,RawDataRecovered!BK:BK)</f>
        <v>0</v>
      </c>
      <c r="BI52">
        <f>SUMIF(RawDataRecovered!$B:$B,$A52,RawDataRecovered!BL:BL)</f>
        <v>0</v>
      </c>
      <c r="BJ52">
        <f>SUMIF(RawDataRecovered!$B:$B,$A52,RawDataRecovered!BM:BM)</f>
        <v>0</v>
      </c>
      <c r="BK52">
        <f>SUMIF(RawDataRecovered!$B:$B,$A52,RawDataRecovered!BN:BN)</f>
        <v>0</v>
      </c>
      <c r="BL52">
        <f>SUMIF(RawDataRecovered!$B:$B,$A52,RawDataRecovered!BO:BO)</f>
        <v>0</v>
      </c>
      <c r="BM52">
        <f>SUMIF(RawDataRecovered!$B:$B,$A52,RawDataRecovered!BP:BP)</f>
        <v>0</v>
      </c>
      <c r="BN52">
        <f>SUMIF(RawDataRecovered!$B:$B,$A52,RawDataRecovered!BQ:BQ)</f>
        <v>0</v>
      </c>
      <c r="BO52">
        <f>SUMIF(RawDataRecovered!$B:$B,$A52,RawDataRecovered!BR:BR)</f>
        <v>0</v>
      </c>
      <c r="BP52">
        <f>SUMIF(RawDataRecovered!$B:$B,$A52,RawDataRecovered!BS:BS)</f>
        <v>0</v>
      </c>
      <c r="BQ52">
        <f>SUMIF(RawDataRecovered!$B:$B,$A52,RawDataRecovered!BT:BT)</f>
        <v>0</v>
      </c>
      <c r="BR52">
        <f>SUMIF(RawDataRecovered!$B:$B,$A52,RawDataRecovered!BU:BU)</f>
        <v>0</v>
      </c>
      <c r="BS52">
        <f>SUMIF(RawDataRecovered!$B:$B,$A52,RawDataRecovered!BV:BV)</f>
        <v>0</v>
      </c>
      <c r="BT52">
        <f>SUMIF(RawDataRecovered!$B:$B,$A52,RawDataRecovered!BW:BW)</f>
        <v>0</v>
      </c>
    </row>
    <row r="53" spans="1:72" ht="15" thickBot="1" x14ac:dyDescent="0.35">
      <c r="A53" s="4" t="s">
        <v>260</v>
      </c>
      <c r="B53">
        <f>SUMIF(RawDataRecovered!$B:$B,$A53,RawDataRecovered!E:E)</f>
        <v>0</v>
      </c>
      <c r="C53">
        <f>SUMIF(RawDataRecovered!$B:$B,$A53,RawDataRecovered!F:F)</f>
        <v>0</v>
      </c>
      <c r="D53">
        <f>SUMIF(RawDataRecovered!$B:$B,$A53,RawDataRecovered!G:G)</f>
        <v>0</v>
      </c>
      <c r="E53">
        <f>SUMIF(RawDataRecovered!$B:$B,$A53,RawDataRecovered!H:H)</f>
        <v>0</v>
      </c>
      <c r="F53">
        <f>SUMIF(RawDataRecovered!$B:$B,$A53,RawDataRecovered!I:I)</f>
        <v>0</v>
      </c>
      <c r="G53">
        <f>SUMIF(RawDataRecovered!$B:$B,$A53,RawDataRecovered!J:J)</f>
        <v>0</v>
      </c>
      <c r="H53">
        <f>SUMIF(RawDataRecovered!$B:$B,$A53,RawDataRecovered!K:K)</f>
        <v>0</v>
      </c>
      <c r="I53">
        <f>SUMIF(RawDataRecovered!$B:$B,$A53,RawDataRecovered!L:L)</f>
        <v>0</v>
      </c>
      <c r="J53">
        <f>SUMIF(RawDataRecovered!$B:$B,$A53,RawDataRecovered!M:M)</f>
        <v>0</v>
      </c>
      <c r="K53">
        <f>SUMIF(RawDataRecovered!$B:$B,$A53,RawDataRecovered!N:N)</f>
        <v>0</v>
      </c>
      <c r="L53">
        <f>SUMIF(RawDataRecovered!$B:$B,$A53,RawDataRecovered!O:O)</f>
        <v>0</v>
      </c>
      <c r="M53">
        <f>SUMIF(RawDataRecovered!$B:$B,$A53,RawDataRecovered!P:P)</f>
        <v>0</v>
      </c>
      <c r="N53">
        <f>SUMIF(RawDataRecovered!$B:$B,$A53,RawDataRecovered!Q:Q)</f>
        <v>0</v>
      </c>
      <c r="O53">
        <f>SUMIF(RawDataRecovered!$B:$B,$A53,RawDataRecovered!R:R)</f>
        <v>0</v>
      </c>
      <c r="P53">
        <f>SUMIF(RawDataRecovered!$B:$B,$A53,RawDataRecovered!S:S)</f>
        <v>0</v>
      </c>
      <c r="Q53">
        <f>SUMIF(RawDataRecovered!$B:$B,$A53,RawDataRecovered!T:T)</f>
        <v>0</v>
      </c>
      <c r="R53">
        <f>SUMIF(RawDataRecovered!$B:$B,$A53,RawDataRecovered!U:U)</f>
        <v>0</v>
      </c>
      <c r="S53">
        <f>SUMIF(RawDataRecovered!$B:$B,$A53,RawDataRecovered!V:V)</f>
        <v>0</v>
      </c>
      <c r="T53">
        <f>SUMIF(RawDataRecovered!$B:$B,$A53,RawDataRecovered!W:W)</f>
        <v>0</v>
      </c>
      <c r="U53">
        <f>SUMIF(RawDataRecovered!$B:$B,$A53,RawDataRecovered!X:X)</f>
        <v>0</v>
      </c>
      <c r="V53">
        <f>SUMIF(RawDataRecovered!$B:$B,$A53,RawDataRecovered!Y:Y)</f>
        <v>0</v>
      </c>
      <c r="W53">
        <f>SUMIF(RawDataRecovered!$B:$B,$A53,RawDataRecovered!Z:Z)</f>
        <v>0</v>
      </c>
      <c r="X53">
        <f>SUMIF(RawDataRecovered!$B:$B,$A53,RawDataRecovered!AA:AA)</f>
        <v>0</v>
      </c>
      <c r="Y53">
        <f>SUMIF(RawDataRecovered!$B:$B,$A53,RawDataRecovered!AB:AB)</f>
        <v>0</v>
      </c>
      <c r="Z53">
        <f>SUMIF(RawDataRecovered!$B:$B,$A53,RawDataRecovered!AC:AC)</f>
        <v>0</v>
      </c>
      <c r="AA53">
        <f>SUMIF(RawDataRecovered!$B:$B,$A53,RawDataRecovered!AD:AD)</f>
        <v>0</v>
      </c>
      <c r="AB53">
        <f>SUMIF(RawDataRecovered!$B:$B,$A53,RawDataRecovered!AE:AE)</f>
        <v>0</v>
      </c>
      <c r="AC53">
        <f>SUMIF(RawDataRecovered!$B:$B,$A53,RawDataRecovered!AF:AF)</f>
        <v>0</v>
      </c>
      <c r="AD53">
        <f>SUMIF(RawDataRecovered!$B:$B,$A53,RawDataRecovered!AG:AG)</f>
        <v>0</v>
      </c>
      <c r="AE53">
        <f>SUMIF(RawDataRecovered!$B:$B,$A53,RawDataRecovered!AH:AH)</f>
        <v>0</v>
      </c>
      <c r="AF53">
        <f>SUMIF(RawDataRecovered!$B:$B,$A53,RawDataRecovered!AI:AI)</f>
        <v>0</v>
      </c>
      <c r="AG53">
        <f>SUMIF(RawDataRecovered!$B:$B,$A53,RawDataRecovered!AJ:AJ)</f>
        <v>0</v>
      </c>
      <c r="AH53">
        <f>SUMIF(RawDataRecovered!$B:$B,$A53,RawDataRecovered!AK:AK)</f>
        <v>0</v>
      </c>
      <c r="AI53">
        <f>SUMIF(RawDataRecovered!$B:$B,$A53,RawDataRecovered!AL:AL)</f>
        <v>0</v>
      </c>
      <c r="AJ53">
        <f>SUMIF(RawDataRecovered!$B:$B,$A53,RawDataRecovered!AM:AM)</f>
        <v>0</v>
      </c>
      <c r="AK53">
        <f>SUMIF(RawDataRecovered!$B:$B,$A53,RawDataRecovered!AN:AN)</f>
        <v>0</v>
      </c>
      <c r="AL53">
        <f>SUMIF(RawDataRecovered!$B:$B,$A53,RawDataRecovered!AO:AO)</f>
        <v>0</v>
      </c>
      <c r="AM53">
        <f>SUMIF(RawDataRecovered!$B:$B,$A53,RawDataRecovered!AP:AP)</f>
        <v>0</v>
      </c>
      <c r="AN53">
        <f>SUMIF(RawDataRecovered!$B:$B,$A53,RawDataRecovered!AQ:AQ)</f>
        <v>0</v>
      </c>
      <c r="AO53">
        <f>SUMIF(RawDataRecovered!$B:$B,$A53,RawDataRecovered!AR:AR)</f>
        <v>0</v>
      </c>
      <c r="AP53">
        <f>SUMIF(RawDataRecovered!$B:$B,$A53,RawDataRecovered!AS:AS)</f>
        <v>0</v>
      </c>
      <c r="AQ53">
        <f>SUMIF(RawDataRecovered!$B:$B,$A53,RawDataRecovered!AT:AT)</f>
        <v>0</v>
      </c>
      <c r="AR53">
        <f>SUMIF(RawDataRecovered!$B:$B,$A53,RawDataRecovered!AU:AU)</f>
        <v>0</v>
      </c>
      <c r="AS53">
        <f>SUMIF(RawDataRecovered!$B:$B,$A53,RawDataRecovered!AV:AV)</f>
        <v>0</v>
      </c>
      <c r="AT53">
        <f>SUMIF(RawDataRecovered!$B:$B,$A53,RawDataRecovered!AW:AW)</f>
        <v>0</v>
      </c>
      <c r="AU53">
        <f>SUMIF(RawDataRecovered!$B:$B,$A53,RawDataRecovered!AX:AX)</f>
        <v>0</v>
      </c>
      <c r="AV53">
        <f>SUMIF(RawDataRecovered!$B:$B,$A53,RawDataRecovered!AY:AY)</f>
        <v>0</v>
      </c>
      <c r="AW53">
        <f>SUMIF(RawDataRecovered!$B:$B,$A53,RawDataRecovered!AZ:AZ)</f>
        <v>0</v>
      </c>
      <c r="AX53">
        <f>SUMIF(RawDataRecovered!$B:$B,$A53,RawDataRecovered!BA:BA)</f>
        <v>0</v>
      </c>
      <c r="AY53">
        <f>SUMIF(RawDataRecovered!$B:$B,$A53,RawDataRecovered!BB:BB)</f>
        <v>0</v>
      </c>
      <c r="AZ53">
        <f>SUMIF(RawDataRecovered!$B:$B,$A53,RawDataRecovered!BC:BC)</f>
        <v>0</v>
      </c>
      <c r="BA53">
        <f>SUMIF(RawDataRecovered!$B:$B,$A53,RawDataRecovered!BD:BD)</f>
        <v>0</v>
      </c>
      <c r="BB53">
        <f>SUMIF(RawDataRecovered!$B:$B,$A53,RawDataRecovered!BE:BE)</f>
        <v>0</v>
      </c>
      <c r="BC53">
        <f>SUMIF(RawDataRecovered!$B:$B,$A53,RawDataRecovered!BF:BF)</f>
        <v>0</v>
      </c>
      <c r="BD53">
        <f>SUMIF(RawDataRecovered!$B:$B,$A53,RawDataRecovered!BG:BG)</f>
        <v>0</v>
      </c>
      <c r="BE53">
        <f>SUMIF(RawDataRecovered!$B:$B,$A53,RawDataRecovered!BH:BH)</f>
        <v>0</v>
      </c>
      <c r="BF53">
        <f>SUMIF(RawDataRecovered!$B:$B,$A53,RawDataRecovered!BI:BI)</f>
        <v>0</v>
      </c>
      <c r="BG53">
        <f>SUMIF(RawDataRecovered!$B:$B,$A53,RawDataRecovered!BJ:BJ)</f>
        <v>0</v>
      </c>
      <c r="BH53">
        <f>SUMIF(RawDataRecovered!$B:$B,$A53,RawDataRecovered!BK:BK)</f>
        <v>0</v>
      </c>
      <c r="BI53">
        <f>SUMIF(RawDataRecovered!$B:$B,$A53,RawDataRecovered!BL:BL)</f>
        <v>0</v>
      </c>
      <c r="BJ53">
        <f>SUMIF(RawDataRecovered!$B:$B,$A53,RawDataRecovered!BM:BM)</f>
        <v>0</v>
      </c>
      <c r="BK53">
        <f>SUMIF(RawDataRecovered!$B:$B,$A53,RawDataRecovered!BN:BN)</f>
        <v>0</v>
      </c>
      <c r="BL53">
        <f>SUMIF(RawDataRecovered!$B:$B,$A53,RawDataRecovered!BO:BO)</f>
        <v>0</v>
      </c>
      <c r="BM53">
        <f>SUMIF(RawDataRecovered!$B:$B,$A53,RawDataRecovered!BP:BP)</f>
        <v>0</v>
      </c>
      <c r="BN53">
        <f>SUMIF(RawDataRecovered!$B:$B,$A53,RawDataRecovered!BQ:BQ)</f>
        <v>0</v>
      </c>
      <c r="BO53">
        <f>SUMIF(RawDataRecovered!$B:$B,$A53,RawDataRecovered!BR:BR)</f>
        <v>0</v>
      </c>
      <c r="BP53">
        <f>SUMIF(RawDataRecovered!$B:$B,$A53,RawDataRecovered!BS:BS)</f>
        <v>0</v>
      </c>
      <c r="BQ53">
        <f>SUMIF(RawDataRecovered!$B:$B,$A53,RawDataRecovered!BT:BT)</f>
        <v>0</v>
      </c>
      <c r="BR53">
        <f>SUMIF(RawDataRecovered!$B:$B,$A53,RawDataRecovered!BU:BU)</f>
        <v>0</v>
      </c>
      <c r="BS53">
        <f>SUMIF(RawDataRecovered!$B:$B,$A53,RawDataRecovered!BV:BV)</f>
        <v>0</v>
      </c>
      <c r="BT53">
        <f>SUMIF(RawDataRecovered!$B:$B,$A53,RawDataRecovered!BW:BW)</f>
        <v>0</v>
      </c>
    </row>
    <row r="54" spans="1:72" ht="15" thickBot="1" x14ac:dyDescent="0.35">
      <c r="A54" s="3" t="s">
        <v>188</v>
      </c>
      <c r="B54">
        <f>SUMIF(RawDataRecovered!$B:$B,$A54,RawDataRecovered!E:E)</f>
        <v>0</v>
      </c>
      <c r="C54">
        <f>SUMIF(RawDataRecovered!$B:$B,$A54,RawDataRecovered!F:F)</f>
        <v>0</v>
      </c>
      <c r="D54">
        <f>SUMIF(RawDataRecovered!$B:$B,$A54,RawDataRecovered!G:G)</f>
        <v>0</v>
      </c>
      <c r="E54">
        <f>SUMIF(RawDataRecovered!$B:$B,$A54,RawDataRecovered!H:H)</f>
        <v>0</v>
      </c>
      <c r="F54">
        <f>SUMIF(RawDataRecovered!$B:$B,$A54,RawDataRecovered!I:I)</f>
        <v>0</v>
      </c>
      <c r="G54">
        <f>SUMIF(RawDataRecovered!$B:$B,$A54,RawDataRecovered!J:J)</f>
        <v>0</v>
      </c>
      <c r="H54">
        <f>SUMIF(RawDataRecovered!$B:$B,$A54,RawDataRecovered!K:K)</f>
        <v>0</v>
      </c>
      <c r="I54">
        <f>SUMIF(RawDataRecovered!$B:$B,$A54,RawDataRecovered!L:L)</f>
        <v>0</v>
      </c>
      <c r="J54">
        <f>SUMIF(RawDataRecovered!$B:$B,$A54,RawDataRecovered!M:M)</f>
        <v>0</v>
      </c>
      <c r="K54">
        <f>SUMIF(RawDataRecovered!$B:$B,$A54,RawDataRecovered!N:N)</f>
        <v>0</v>
      </c>
      <c r="L54">
        <f>SUMIF(RawDataRecovered!$B:$B,$A54,RawDataRecovered!O:O)</f>
        <v>0</v>
      </c>
      <c r="M54">
        <f>SUMIF(RawDataRecovered!$B:$B,$A54,RawDataRecovered!P:P)</f>
        <v>0</v>
      </c>
      <c r="N54">
        <f>SUMIF(RawDataRecovered!$B:$B,$A54,RawDataRecovered!Q:Q)</f>
        <v>0</v>
      </c>
      <c r="O54">
        <f>SUMIF(RawDataRecovered!$B:$B,$A54,RawDataRecovered!R:R)</f>
        <v>0</v>
      </c>
      <c r="P54">
        <f>SUMIF(RawDataRecovered!$B:$B,$A54,RawDataRecovered!S:S)</f>
        <v>0</v>
      </c>
      <c r="Q54">
        <f>SUMIF(RawDataRecovered!$B:$B,$A54,RawDataRecovered!T:T)</f>
        <v>0</v>
      </c>
      <c r="R54">
        <f>SUMIF(RawDataRecovered!$B:$B,$A54,RawDataRecovered!U:U)</f>
        <v>0</v>
      </c>
      <c r="S54">
        <f>SUMIF(RawDataRecovered!$B:$B,$A54,RawDataRecovered!V:V)</f>
        <v>0</v>
      </c>
      <c r="T54">
        <f>SUMIF(RawDataRecovered!$B:$B,$A54,RawDataRecovered!W:W)</f>
        <v>0</v>
      </c>
      <c r="U54">
        <f>SUMIF(RawDataRecovered!$B:$B,$A54,RawDataRecovered!X:X)</f>
        <v>0</v>
      </c>
      <c r="V54">
        <f>SUMIF(RawDataRecovered!$B:$B,$A54,RawDataRecovered!Y:Y)</f>
        <v>0</v>
      </c>
      <c r="W54">
        <f>SUMIF(RawDataRecovered!$B:$B,$A54,RawDataRecovered!Z:Z)</f>
        <v>0</v>
      </c>
      <c r="X54">
        <f>SUMIF(RawDataRecovered!$B:$B,$A54,RawDataRecovered!AA:AA)</f>
        <v>0</v>
      </c>
      <c r="Y54">
        <f>SUMIF(RawDataRecovered!$B:$B,$A54,RawDataRecovered!AB:AB)</f>
        <v>0</v>
      </c>
      <c r="Z54">
        <f>SUMIF(RawDataRecovered!$B:$B,$A54,RawDataRecovered!AC:AC)</f>
        <v>0</v>
      </c>
      <c r="AA54">
        <f>SUMIF(RawDataRecovered!$B:$B,$A54,RawDataRecovered!AD:AD)</f>
        <v>0</v>
      </c>
      <c r="AB54">
        <f>SUMIF(RawDataRecovered!$B:$B,$A54,RawDataRecovered!AE:AE)</f>
        <v>0</v>
      </c>
      <c r="AC54">
        <f>SUMIF(RawDataRecovered!$B:$B,$A54,RawDataRecovered!AF:AF)</f>
        <v>0</v>
      </c>
      <c r="AD54">
        <f>SUMIF(RawDataRecovered!$B:$B,$A54,RawDataRecovered!AG:AG)</f>
        <v>0</v>
      </c>
      <c r="AE54">
        <f>SUMIF(RawDataRecovered!$B:$B,$A54,RawDataRecovered!AH:AH)</f>
        <v>0</v>
      </c>
      <c r="AF54">
        <f>SUMIF(RawDataRecovered!$B:$B,$A54,RawDataRecovered!AI:AI)</f>
        <v>0</v>
      </c>
      <c r="AG54">
        <f>SUMIF(RawDataRecovered!$B:$B,$A54,RawDataRecovered!AJ:AJ)</f>
        <v>0</v>
      </c>
      <c r="AH54">
        <f>SUMIF(RawDataRecovered!$B:$B,$A54,RawDataRecovered!AK:AK)</f>
        <v>0</v>
      </c>
      <c r="AI54">
        <f>SUMIF(RawDataRecovered!$B:$B,$A54,RawDataRecovered!AL:AL)</f>
        <v>0</v>
      </c>
      <c r="AJ54">
        <f>SUMIF(RawDataRecovered!$B:$B,$A54,RawDataRecovered!AM:AM)</f>
        <v>0</v>
      </c>
      <c r="AK54">
        <f>SUMIF(RawDataRecovered!$B:$B,$A54,RawDataRecovered!AN:AN)</f>
        <v>0</v>
      </c>
      <c r="AL54">
        <f>SUMIF(RawDataRecovered!$B:$B,$A54,RawDataRecovered!AO:AO)</f>
        <v>0</v>
      </c>
      <c r="AM54">
        <f>SUMIF(RawDataRecovered!$B:$B,$A54,RawDataRecovered!AP:AP)</f>
        <v>0</v>
      </c>
      <c r="AN54">
        <f>SUMIF(RawDataRecovered!$B:$B,$A54,RawDataRecovered!AQ:AQ)</f>
        <v>0</v>
      </c>
      <c r="AO54">
        <f>SUMIF(RawDataRecovered!$B:$B,$A54,RawDataRecovered!AR:AR)</f>
        <v>0</v>
      </c>
      <c r="AP54">
        <f>SUMIF(RawDataRecovered!$B:$B,$A54,RawDataRecovered!AS:AS)</f>
        <v>0</v>
      </c>
      <c r="AQ54">
        <f>SUMIF(RawDataRecovered!$B:$B,$A54,RawDataRecovered!AT:AT)</f>
        <v>0</v>
      </c>
      <c r="AR54">
        <f>SUMIF(RawDataRecovered!$B:$B,$A54,RawDataRecovered!AU:AU)</f>
        <v>0</v>
      </c>
      <c r="AS54">
        <f>SUMIF(RawDataRecovered!$B:$B,$A54,RawDataRecovered!AV:AV)</f>
        <v>0</v>
      </c>
      <c r="AT54">
        <f>SUMIF(RawDataRecovered!$B:$B,$A54,RawDataRecovered!AW:AW)</f>
        <v>0</v>
      </c>
      <c r="AU54">
        <f>SUMIF(RawDataRecovered!$B:$B,$A54,RawDataRecovered!AX:AX)</f>
        <v>0</v>
      </c>
      <c r="AV54">
        <f>SUMIF(RawDataRecovered!$B:$B,$A54,RawDataRecovered!AY:AY)</f>
        <v>0</v>
      </c>
      <c r="AW54">
        <f>SUMIF(RawDataRecovered!$B:$B,$A54,RawDataRecovered!AZ:AZ)</f>
        <v>0</v>
      </c>
      <c r="AX54">
        <f>SUMIF(RawDataRecovered!$B:$B,$A54,RawDataRecovered!BA:BA)</f>
        <v>0</v>
      </c>
      <c r="AY54">
        <f>SUMIF(RawDataRecovered!$B:$B,$A54,RawDataRecovered!BB:BB)</f>
        <v>0</v>
      </c>
      <c r="AZ54">
        <f>SUMIF(RawDataRecovered!$B:$B,$A54,RawDataRecovered!BC:BC)</f>
        <v>0</v>
      </c>
      <c r="BA54">
        <f>SUMIF(RawDataRecovered!$B:$B,$A54,RawDataRecovered!BD:BD)</f>
        <v>0</v>
      </c>
      <c r="BB54">
        <f>SUMIF(RawDataRecovered!$B:$B,$A54,RawDataRecovered!BE:BE)</f>
        <v>0</v>
      </c>
      <c r="BC54">
        <f>SUMIF(RawDataRecovered!$B:$B,$A54,RawDataRecovered!BF:BF)</f>
        <v>0</v>
      </c>
      <c r="BD54">
        <f>SUMIF(RawDataRecovered!$B:$B,$A54,RawDataRecovered!BG:BG)</f>
        <v>1</v>
      </c>
      <c r="BE54">
        <f>SUMIF(RawDataRecovered!$B:$B,$A54,RawDataRecovered!BH:BH)</f>
        <v>1</v>
      </c>
      <c r="BF54">
        <f>SUMIF(RawDataRecovered!$B:$B,$A54,RawDataRecovered!BI:BI)</f>
        <v>0</v>
      </c>
      <c r="BG54">
        <f>SUMIF(RawDataRecovered!$B:$B,$A54,RawDataRecovered!BJ:BJ)</f>
        <v>0</v>
      </c>
      <c r="BH54">
        <f>SUMIF(RawDataRecovered!$B:$B,$A54,RawDataRecovered!BK:BK)</f>
        <v>0</v>
      </c>
      <c r="BI54">
        <f>SUMIF(RawDataRecovered!$B:$B,$A54,RawDataRecovered!BL:BL)</f>
        <v>0</v>
      </c>
      <c r="BJ54">
        <f>SUMIF(RawDataRecovered!$B:$B,$A54,RawDataRecovered!BM:BM)</f>
        <v>0</v>
      </c>
      <c r="BK54">
        <f>SUMIF(RawDataRecovered!$B:$B,$A54,RawDataRecovered!BN:BN)</f>
        <v>0</v>
      </c>
      <c r="BL54">
        <f>SUMIF(RawDataRecovered!$B:$B,$A54,RawDataRecovered!BO:BO)</f>
        <v>0</v>
      </c>
      <c r="BM54">
        <f>SUMIF(RawDataRecovered!$B:$B,$A54,RawDataRecovered!BP:BP)</f>
        <v>0</v>
      </c>
      <c r="BN54">
        <f>SUMIF(RawDataRecovered!$B:$B,$A54,RawDataRecovered!BQ:BQ)</f>
        <v>0</v>
      </c>
      <c r="BO54">
        <f>SUMIF(RawDataRecovered!$B:$B,$A54,RawDataRecovered!BR:BR)</f>
        <v>0</v>
      </c>
      <c r="BP54">
        <f>SUMIF(RawDataRecovered!$B:$B,$A54,RawDataRecovered!BS:BS)</f>
        <v>0</v>
      </c>
      <c r="BQ54">
        <f>SUMIF(RawDataRecovered!$B:$B,$A54,RawDataRecovered!BT:BT)</f>
        <v>0</v>
      </c>
      <c r="BR54">
        <f>SUMIF(RawDataRecovered!$B:$B,$A54,RawDataRecovered!BU:BU)</f>
        <v>0</v>
      </c>
      <c r="BS54">
        <f>SUMIF(RawDataRecovered!$B:$B,$A54,RawDataRecovered!BV:BV)</f>
        <v>0</v>
      </c>
      <c r="BT54">
        <f>SUMIF(RawDataRecovered!$B:$B,$A54,RawDataRecovered!BW:BW)</f>
        <v>0</v>
      </c>
    </row>
    <row r="55" spans="1:72" ht="15" thickBot="1" x14ac:dyDescent="0.35">
      <c r="A55" s="3" t="s">
        <v>126</v>
      </c>
      <c r="B55">
        <f>SUMIF(RawDataRecovered!$B:$B,$A55,RawDataRecovered!E:E)</f>
        <v>0</v>
      </c>
      <c r="C55">
        <f>SUMIF(RawDataRecovered!$B:$B,$A55,RawDataRecovered!F:F)</f>
        <v>0</v>
      </c>
      <c r="D55">
        <f>SUMIF(RawDataRecovered!$B:$B,$A55,RawDataRecovered!G:G)</f>
        <v>0</v>
      </c>
      <c r="E55">
        <f>SUMIF(RawDataRecovered!$B:$B,$A55,RawDataRecovered!H:H)</f>
        <v>0</v>
      </c>
      <c r="F55">
        <f>SUMIF(RawDataRecovered!$B:$B,$A55,RawDataRecovered!I:I)</f>
        <v>0</v>
      </c>
      <c r="G55">
        <f>SUMIF(RawDataRecovered!$B:$B,$A55,RawDataRecovered!J:J)</f>
        <v>0</v>
      </c>
      <c r="H55">
        <f>SUMIF(RawDataRecovered!$B:$B,$A55,RawDataRecovered!K:K)</f>
        <v>0</v>
      </c>
      <c r="I55">
        <f>SUMIF(RawDataRecovered!$B:$B,$A55,RawDataRecovered!L:L)</f>
        <v>0</v>
      </c>
      <c r="J55">
        <f>SUMIF(RawDataRecovered!$B:$B,$A55,RawDataRecovered!M:M)</f>
        <v>0</v>
      </c>
      <c r="K55">
        <f>SUMIF(RawDataRecovered!$B:$B,$A55,RawDataRecovered!N:N)</f>
        <v>0</v>
      </c>
      <c r="L55">
        <f>SUMIF(RawDataRecovered!$B:$B,$A55,RawDataRecovered!O:O)</f>
        <v>0</v>
      </c>
      <c r="M55">
        <f>SUMIF(RawDataRecovered!$B:$B,$A55,RawDataRecovered!P:P)</f>
        <v>0</v>
      </c>
      <c r="N55">
        <f>SUMIF(RawDataRecovered!$B:$B,$A55,RawDataRecovered!Q:Q)</f>
        <v>0</v>
      </c>
      <c r="O55">
        <f>SUMIF(RawDataRecovered!$B:$B,$A55,RawDataRecovered!R:R)</f>
        <v>0</v>
      </c>
      <c r="P55">
        <f>SUMIF(RawDataRecovered!$B:$B,$A55,RawDataRecovered!S:S)</f>
        <v>0</v>
      </c>
      <c r="Q55">
        <f>SUMIF(RawDataRecovered!$B:$B,$A55,RawDataRecovered!T:T)</f>
        <v>0</v>
      </c>
      <c r="R55">
        <f>SUMIF(RawDataRecovered!$B:$B,$A55,RawDataRecovered!U:U)</f>
        <v>0</v>
      </c>
      <c r="S55">
        <f>SUMIF(RawDataRecovered!$B:$B,$A55,RawDataRecovered!V:V)</f>
        <v>0</v>
      </c>
      <c r="T55">
        <f>SUMIF(RawDataRecovered!$B:$B,$A55,RawDataRecovered!W:W)</f>
        <v>0</v>
      </c>
      <c r="U55">
        <f>SUMIF(RawDataRecovered!$B:$B,$A55,RawDataRecovered!X:X)</f>
        <v>0</v>
      </c>
      <c r="V55">
        <f>SUMIF(RawDataRecovered!$B:$B,$A55,RawDataRecovered!Y:Y)</f>
        <v>0</v>
      </c>
      <c r="W55">
        <f>SUMIF(RawDataRecovered!$B:$B,$A55,RawDataRecovered!Z:Z)</f>
        <v>0</v>
      </c>
      <c r="X55">
        <f>SUMIF(RawDataRecovered!$B:$B,$A55,RawDataRecovered!AA:AA)</f>
        <v>0</v>
      </c>
      <c r="Y55">
        <f>SUMIF(RawDataRecovered!$B:$B,$A55,RawDataRecovered!AB:AB)</f>
        <v>0</v>
      </c>
      <c r="Z55">
        <f>SUMIF(RawDataRecovered!$B:$B,$A55,RawDataRecovered!AC:AC)</f>
        <v>0</v>
      </c>
      <c r="AA55">
        <f>SUMIF(RawDataRecovered!$B:$B,$A55,RawDataRecovered!AD:AD)</f>
        <v>0</v>
      </c>
      <c r="AB55">
        <f>SUMIF(RawDataRecovered!$B:$B,$A55,RawDataRecovered!AE:AE)</f>
        <v>0</v>
      </c>
      <c r="AC55">
        <f>SUMIF(RawDataRecovered!$B:$B,$A55,RawDataRecovered!AF:AF)</f>
        <v>0</v>
      </c>
      <c r="AD55">
        <f>SUMIF(RawDataRecovered!$B:$B,$A55,RawDataRecovered!AG:AG)</f>
        <v>0</v>
      </c>
      <c r="AE55">
        <f>SUMIF(RawDataRecovered!$B:$B,$A55,RawDataRecovered!AH:AH)</f>
        <v>0</v>
      </c>
      <c r="AF55">
        <f>SUMIF(RawDataRecovered!$B:$B,$A55,RawDataRecovered!AI:AI)</f>
        <v>0</v>
      </c>
      <c r="AG55">
        <f>SUMIF(RawDataRecovered!$B:$B,$A55,RawDataRecovered!AJ:AJ)</f>
        <v>0</v>
      </c>
      <c r="AH55">
        <f>SUMIF(RawDataRecovered!$B:$B,$A55,RawDataRecovered!AK:AK)</f>
        <v>0</v>
      </c>
      <c r="AI55">
        <f>SUMIF(RawDataRecovered!$B:$B,$A55,RawDataRecovered!AL:AL)</f>
        <v>0</v>
      </c>
      <c r="AJ55">
        <f>SUMIF(RawDataRecovered!$B:$B,$A55,RawDataRecovered!AM:AM)</f>
        <v>0</v>
      </c>
      <c r="AK55">
        <f>SUMIF(RawDataRecovered!$B:$B,$A55,RawDataRecovered!AN:AN)</f>
        <v>0</v>
      </c>
      <c r="AL55">
        <f>SUMIF(RawDataRecovered!$B:$B,$A55,RawDataRecovered!AO:AO)</f>
        <v>0</v>
      </c>
      <c r="AM55">
        <f>SUMIF(RawDataRecovered!$B:$B,$A55,RawDataRecovered!AP:AP)</f>
        <v>0</v>
      </c>
      <c r="AN55">
        <f>SUMIF(RawDataRecovered!$B:$B,$A55,RawDataRecovered!AQ:AQ)</f>
        <v>0</v>
      </c>
      <c r="AO55">
        <f>SUMIF(RawDataRecovered!$B:$B,$A55,RawDataRecovered!AR:AR)</f>
        <v>0</v>
      </c>
      <c r="AP55">
        <f>SUMIF(RawDataRecovered!$B:$B,$A55,RawDataRecovered!AS:AS)</f>
        <v>0</v>
      </c>
      <c r="AQ55">
        <f>SUMIF(RawDataRecovered!$B:$B,$A55,RawDataRecovered!AT:AT)</f>
        <v>0</v>
      </c>
      <c r="AR55">
        <f>SUMIF(RawDataRecovered!$B:$B,$A55,RawDataRecovered!AU:AU)</f>
        <v>0</v>
      </c>
      <c r="AS55">
        <f>SUMIF(RawDataRecovered!$B:$B,$A55,RawDataRecovered!AV:AV)</f>
        <v>0</v>
      </c>
      <c r="AT55">
        <f>SUMIF(RawDataRecovered!$B:$B,$A55,RawDataRecovered!AW:AW)</f>
        <v>0</v>
      </c>
      <c r="AU55">
        <f>SUMIF(RawDataRecovered!$B:$B,$A55,RawDataRecovered!AX:AX)</f>
        <v>0</v>
      </c>
      <c r="AV55">
        <f>SUMIF(RawDataRecovered!$B:$B,$A55,RawDataRecovered!AY:AY)</f>
        <v>0</v>
      </c>
      <c r="AW55">
        <f>SUMIF(RawDataRecovered!$B:$B,$A55,RawDataRecovered!AZ:AZ)</f>
        <v>0</v>
      </c>
      <c r="AX55">
        <f>SUMIF(RawDataRecovered!$B:$B,$A55,RawDataRecovered!BA:BA)</f>
        <v>0</v>
      </c>
      <c r="AY55">
        <f>SUMIF(RawDataRecovered!$B:$B,$A55,RawDataRecovered!BB:BB)</f>
        <v>0</v>
      </c>
      <c r="AZ55">
        <f>SUMIF(RawDataRecovered!$B:$B,$A55,RawDataRecovered!BC:BC)</f>
        <v>0</v>
      </c>
      <c r="BA55">
        <f>SUMIF(RawDataRecovered!$B:$B,$A55,RawDataRecovered!BD:BD)</f>
        <v>0</v>
      </c>
      <c r="BB55">
        <f>SUMIF(RawDataRecovered!$B:$B,$A55,RawDataRecovered!BE:BE)</f>
        <v>0</v>
      </c>
      <c r="BC55">
        <f>SUMIF(RawDataRecovered!$B:$B,$A55,RawDataRecovered!BF:BF)</f>
        <v>0</v>
      </c>
      <c r="BD55">
        <f>SUMIF(RawDataRecovered!$B:$B,$A55,RawDataRecovered!BG:BG)</f>
        <v>0</v>
      </c>
      <c r="BE55">
        <f>SUMIF(RawDataRecovered!$B:$B,$A55,RawDataRecovered!BH:BH)</f>
        <v>0</v>
      </c>
      <c r="BF55">
        <f>SUMIF(RawDataRecovered!$B:$B,$A55,RawDataRecovered!BI:BI)</f>
        <v>0</v>
      </c>
      <c r="BG55">
        <f>SUMIF(RawDataRecovered!$B:$B,$A55,RawDataRecovered!BJ:BJ)</f>
        <v>0</v>
      </c>
      <c r="BH55">
        <f>SUMIF(RawDataRecovered!$B:$B,$A55,RawDataRecovered!BK:BK)</f>
        <v>0</v>
      </c>
      <c r="BI55">
        <f>SUMIF(RawDataRecovered!$B:$B,$A55,RawDataRecovered!BL:BL)</f>
        <v>0</v>
      </c>
      <c r="BJ55">
        <f>SUMIF(RawDataRecovered!$B:$B,$A55,RawDataRecovered!BM:BM)</f>
        <v>0</v>
      </c>
      <c r="BK55">
        <f>SUMIF(RawDataRecovered!$B:$B,$A55,RawDataRecovered!BN:BN)</f>
        <v>0</v>
      </c>
      <c r="BL55">
        <f>SUMIF(RawDataRecovered!$B:$B,$A55,RawDataRecovered!BO:BO)</f>
        <v>0</v>
      </c>
      <c r="BM55">
        <f>SUMIF(RawDataRecovered!$B:$B,$A55,RawDataRecovered!BP:BP)</f>
        <v>0</v>
      </c>
      <c r="BN55">
        <f>SUMIF(RawDataRecovered!$B:$B,$A55,RawDataRecovered!BQ:BQ)</f>
        <v>0</v>
      </c>
      <c r="BO55">
        <f>SUMIF(RawDataRecovered!$B:$B,$A55,RawDataRecovered!BR:BR)</f>
        <v>0</v>
      </c>
      <c r="BP55">
        <f>SUMIF(RawDataRecovered!$B:$B,$A55,RawDataRecovered!BS:BS)</f>
        <v>0</v>
      </c>
      <c r="BQ55">
        <f>SUMIF(RawDataRecovered!$B:$B,$A55,RawDataRecovered!BT:BT)</f>
        <v>0</v>
      </c>
      <c r="BR55">
        <f>SUMIF(RawDataRecovered!$B:$B,$A55,RawDataRecovered!BU:BU)</f>
        <v>0</v>
      </c>
      <c r="BS55">
        <f>SUMIF(RawDataRecovered!$B:$B,$A55,RawDataRecovered!BV:BV)</f>
        <v>0</v>
      </c>
      <c r="BT55">
        <f>SUMIF(RawDataRecovered!$B:$B,$A55,RawDataRecovered!BW:BW)</f>
        <v>0</v>
      </c>
    </row>
    <row r="56" spans="1:72" ht="15" thickBot="1" x14ac:dyDescent="0.35">
      <c r="A56" s="4" t="s">
        <v>257</v>
      </c>
      <c r="B56">
        <f>SUMIF(RawDataRecovered!$B:$B,$A56,RawDataRecovered!E:E)</f>
        <v>0</v>
      </c>
      <c r="C56">
        <f>SUMIF(RawDataRecovered!$B:$B,$A56,RawDataRecovered!F:F)</f>
        <v>0</v>
      </c>
      <c r="D56">
        <f>SUMIF(RawDataRecovered!$B:$B,$A56,RawDataRecovered!G:G)</f>
        <v>0</v>
      </c>
      <c r="E56">
        <f>SUMIF(RawDataRecovered!$B:$B,$A56,RawDataRecovered!H:H)</f>
        <v>0</v>
      </c>
      <c r="F56">
        <f>SUMIF(RawDataRecovered!$B:$B,$A56,RawDataRecovered!I:I)</f>
        <v>0</v>
      </c>
      <c r="G56">
        <f>SUMIF(RawDataRecovered!$B:$B,$A56,RawDataRecovered!J:J)</f>
        <v>0</v>
      </c>
      <c r="H56">
        <f>SUMIF(RawDataRecovered!$B:$B,$A56,RawDataRecovered!K:K)</f>
        <v>0</v>
      </c>
      <c r="I56">
        <f>SUMIF(RawDataRecovered!$B:$B,$A56,RawDataRecovered!L:L)</f>
        <v>0</v>
      </c>
      <c r="J56">
        <f>SUMIF(RawDataRecovered!$B:$B,$A56,RawDataRecovered!M:M)</f>
        <v>0</v>
      </c>
      <c r="K56">
        <f>SUMIF(RawDataRecovered!$B:$B,$A56,RawDataRecovered!N:N)</f>
        <v>0</v>
      </c>
      <c r="L56">
        <f>SUMIF(RawDataRecovered!$B:$B,$A56,RawDataRecovered!O:O)</f>
        <v>0</v>
      </c>
      <c r="M56">
        <f>SUMIF(RawDataRecovered!$B:$B,$A56,RawDataRecovered!P:P)</f>
        <v>0</v>
      </c>
      <c r="N56">
        <f>SUMIF(RawDataRecovered!$B:$B,$A56,RawDataRecovered!Q:Q)</f>
        <v>0</v>
      </c>
      <c r="O56">
        <f>SUMIF(RawDataRecovered!$B:$B,$A56,RawDataRecovered!R:R)</f>
        <v>0</v>
      </c>
      <c r="P56">
        <f>SUMIF(RawDataRecovered!$B:$B,$A56,RawDataRecovered!S:S)</f>
        <v>0</v>
      </c>
      <c r="Q56">
        <f>SUMIF(RawDataRecovered!$B:$B,$A56,RawDataRecovered!T:T)</f>
        <v>0</v>
      </c>
      <c r="R56">
        <f>SUMIF(RawDataRecovered!$B:$B,$A56,RawDataRecovered!U:U)</f>
        <v>0</v>
      </c>
      <c r="S56">
        <f>SUMIF(RawDataRecovered!$B:$B,$A56,RawDataRecovered!V:V)</f>
        <v>0</v>
      </c>
      <c r="T56">
        <f>SUMIF(RawDataRecovered!$B:$B,$A56,RawDataRecovered!W:W)</f>
        <v>0</v>
      </c>
      <c r="U56">
        <f>SUMIF(RawDataRecovered!$B:$B,$A56,RawDataRecovered!X:X)</f>
        <v>0</v>
      </c>
      <c r="V56">
        <f>SUMIF(RawDataRecovered!$B:$B,$A56,RawDataRecovered!Y:Y)</f>
        <v>0</v>
      </c>
      <c r="W56">
        <f>SUMIF(RawDataRecovered!$B:$B,$A56,RawDataRecovered!Z:Z)</f>
        <v>0</v>
      </c>
      <c r="X56">
        <f>SUMIF(RawDataRecovered!$B:$B,$A56,RawDataRecovered!AA:AA)</f>
        <v>0</v>
      </c>
      <c r="Y56">
        <f>SUMIF(RawDataRecovered!$B:$B,$A56,RawDataRecovered!AB:AB)</f>
        <v>0</v>
      </c>
      <c r="Z56">
        <f>SUMIF(RawDataRecovered!$B:$B,$A56,RawDataRecovered!AC:AC)</f>
        <v>0</v>
      </c>
      <c r="AA56">
        <f>SUMIF(RawDataRecovered!$B:$B,$A56,RawDataRecovered!AD:AD)</f>
        <v>0</v>
      </c>
      <c r="AB56">
        <f>SUMIF(RawDataRecovered!$B:$B,$A56,RawDataRecovered!AE:AE)</f>
        <v>0</v>
      </c>
      <c r="AC56">
        <f>SUMIF(RawDataRecovered!$B:$B,$A56,RawDataRecovered!AF:AF)</f>
        <v>0</v>
      </c>
      <c r="AD56">
        <f>SUMIF(RawDataRecovered!$B:$B,$A56,RawDataRecovered!AG:AG)</f>
        <v>0</v>
      </c>
      <c r="AE56">
        <f>SUMIF(RawDataRecovered!$B:$B,$A56,RawDataRecovered!AH:AH)</f>
        <v>0</v>
      </c>
      <c r="AF56">
        <f>SUMIF(RawDataRecovered!$B:$B,$A56,RawDataRecovered!AI:AI)</f>
        <v>0</v>
      </c>
      <c r="AG56">
        <f>SUMIF(RawDataRecovered!$B:$B,$A56,RawDataRecovered!AJ:AJ)</f>
        <v>0</v>
      </c>
      <c r="AH56">
        <f>SUMIF(RawDataRecovered!$B:$B,$A56,RawDataRecovered!AK:AK)</f>
        <v>0</v>
      </c>
      <c r="AI56">
        <f>SUMIF(RawDataRecovered!$B:$B,$A56,RawDataRecovered!AL:AL)</f>
        <v>0</v>
      </c>
      <c r="AJ56">
        <f>SUMIF(RawDataRecovered!$B:$B,$A56,RawDataRecovered!AM:AM)</f>
        <v>0</v>
      </c>
      <c r="AK56">
        <f>SUMIF(RawDataRecovered!$B:$B,$A56,RawDataRecovered!AN:AN)</f>
        <v>0</v>
      </c>
      <c r="AL56">
        <f>SUMIF(RawDataRecovered!$B:$B,$A56,RawDataRecovered!AO:AO)</f>
        <v>0</v>
      </c>
      <c r="AM56">
        <f>SUMIF(RawDataRecovered!$B:$B,$A56,RawDataRecovered!AP:AP)</f>
        <v>0</v>
      </c>
      <c r="AN56">
        <f>SUMIF(RawDataRecovered!$B:$B,$A56,RawDataRecovered!AQ:AQ)</f>
        <v>0</v>
      </c>
      <c r="AO56">
        <f>SUMIF(RawDataRecovered!$B:$B,$A56,RawDataRecovered!AR:AR)</f>
        <v>0</v>
      </c>
      <c r="AP56">
        <f>SUMIF(RawDataRecovered!$B:$B,$A56,RawDataRecovered!AS:AS)</f>
        <v>0</v>
      </c>
      <c r="AQ56">
        <f>SUMIF(RawDataRecovered!$B:$B,$A56,RawDataRecovered!AT:AT)</f>
        <v>0</v>
      </c>
      <c r="AR56">
        <f>SUMIF(RawDataRecovered!$B:$B,$A56,RawDataRecovered!AU:AU)</f>
        <v>0</v>
      </c>
      <c r="AS56">
        <f>SUMIF(RawDataRecovered!$B:$B,$A56,RawDataRecovered!AV:AV)</f>
        <v>0</v>
      </c>
      <c r="AT56">
        <f>SUMIF(RawDataRecovered!$B:$B,$A56,RawDataRecovered!AW:AW)</f>
        <v>0</v>
      </c>
      <c r="AU56">
        <f>SUMIF(RawDataRecovered!$B:$B,$A56,RawDataRecovered!AX:AX)</f>
        <v>0</v>
      </c>
      <c r="AV56">
        <f>SUMIF(RawDataRecovered!$B:$B,$A56,RawDataRecovered!AY:AY)</f>
        <v>0</v>
      </c>
      <c r="AW56">
        <f>SUMIF(RawDataRecovered!$B:$B,$A56,RawDataRecovered!AZ:AZ)</f>
        <v>0</v>
      </c>
      <c r="AX56">
        <f>SUMIF(RawDataRecovered!$B:$B,$A56,RawDataRecovered!BA:BA)</f>
        <v>0</v>
      </c>
      <c r="AY56">
        <f>SUMIF(RawDataRecovered!$B:$B,$A56,RawDataRecovered!BB:BB)</f>
        <v>0</v>
      </c>
      <c r="AZ56">
        <f>SUMIF(RawDataRecovered!$B:$B,$A56,RawDataRecovered!BC:BC)</f>
        <v>0</v>
      </c>
      <c r="BA56">
        <f>SUMIF(RawDataRecovered!$B:$B,$A56,RawDataRecovered!BD:BD)</f>
        <v>0</v>
      </c>
      <c r="BB56">
        <f>SUMIF(RawDataRecovered!$B:$B,$A56,RawDataRecovered!BE:BE)</f>
        <v>0</v>
      </c>
      <c r="BC56">
        <f>SUMIF(RawDataRecovered!$B:$B,$A56,RawDataRecovered!BF:BF)</f>
        <v>0</v>
      </c>
      <c r="BD56">
        <f>SUMIF(RawDataRecovered!$B:$B,$A56,RawDataRecovered!BG:BG)</f>
        <v>0</v>
      </c>
      <c r="BE56">
        <f>SUMIF(RawDataRecovered!$B:$B,$A56,RawDataRecovered!BH:BH)</f>
        <v>0</v>
      </c>
      <c r="BF56">
        <f>SUMIF(RawDataRecovered!$B:$B,$A56,RawDataRecovered!BI:BI)</f>
        <v>0</v>
      </c>
      <c r="BG56">
        <f>SUMIF(RawDataRecovered!$B:$B,$A56,RawDataRecovered!BJ:BJ)</f>
        <v>0</v>
      </c>
      <c r="BH56">
        <f>SUMIF(RawDataRecovered!$B:$B,$A56,RawDataRecovered!BK:BK)</f>
        <v>0</v>
      </c>
      <c r="BI56">
        <f>SUMIF(RawDataRecovered!$B:$B,$A56,RawDataRecovered!BL:BL)</f>
        <v>0</v>
      </c>
      <c r="BJ56">
        <f>SUMIF(RawDataRecovered!$B:$B,$A56,RawDataRecovered!BM:BM)</f>
        <v>0</v>
      </c>
      <c r="BK56">
        <f>SUMIF(RawDataRecovered!$B:$B,$A56,RawDataRecovered!BN:BN)</f>
        <v>0</v>
      </c>
      <c r="BL56">
        <f>SUMIF(RawDataRecovered!$B:$B,$A56,RawDataRecovered!BO:BO)</f>
        <v>0</v>
      </c>
      <c r="BM56">
        <f>SUMIF(RawDataRecovered!$B:$B,$A56,RawDataRecovered!BP:BP)</f>
        <v>0</v>
      </c>
      <c r="BN56">
        <f>SUMIF(RawDataRecovered!$B:$B,$A56,RawDataRecovered!BQ:BQ)</f>
        <v>0</v>
      </c>
      <c r="BO56">
        <f>SUMIF(RawDataRecovered!$B:$B,$A56,RawDataRecovered!BR:BR)</f>
        <v>0</v>
      </c>
      <c r="BP56">
        <f>SUMIF(RawDataRecovered!$B:$B,$A56,RawDataRecovered!BS:BS)</f>
        <v>0</v>
      </c>
      <c r="BQ56">
        <f>SUMIF(RawDataRecovered!$B:$B,$A56,RawDataRecovered!BT:BT)</f>
        <v>0</v>
      </c>
      <c r="BR56">
        <f>SUMIF(RawDataRecovered!$B:$B,$A56,RawDataRecovered!BU:BU)</f>
        <v>0</v>
      </c>
      <c r="BS56">
        <f>SUMIF(RawDataRecovered!$B:$B,$A56,RawDataRecovered!BV:BV)</f>
        <v>0</v>
      </c>
      <c r="BT56">
        <f>SUMIF(RawDataRecovered!$B:$B,$A56,RawDataRecovered!BW:BW)</f>
        <v>0</v>
      </c>
    </row>
    <row r="57" spans="1:72" ht="15" thickBot="1" x14ac:dyDescent="0.35">
      <c r="A57" s="3" t="s">
        <v>103</v>
      </c>
      <c r="B57">
        <f>SUMIF(RawDataRecovered!$B:$B,$A57,RawDataRecovered!E:E)</f>
        <v>0</v>
      </c>
      <c r="C57">
        <f>SUMIF(RawDataRecovered!$B:$B,$A57,RawDataRecovered!F:F)</f>
        <v>0</v>
      </c>
      <c r="D57">
        <f>SUMIF(RawDataRecovered!$B:$B,$A57,RawDataRecovered!G:G)</f>
        <v>0</v>
      </c>
      <c r="E57">
        <f>SUMIF(RawDataRecovered!$B:$B,$A57,RawDataRecovered!H:H)</f>
        <v>0</v>
      </c>
      <c r="F57">
        <f>SUMIF(RawDataRecovered!$B:$B,$A57,RawDataRecovered!I:I)</f>
        <v>0</v>
      </c>
      <c r="G57">
        <f>SUMIF(RawDataRecovered!$B:$B,$A57,RawDataRecovered!J:J)</f>
        <v>0</v>
      </c>
      <c r="H57">
        <f>SUMIF(RawDataRecovered!$B:$B,$A57,RawDataRecovered!K:K)</f>
        <v>0</v>
      </c>
      <c r="I57">
        <f>SUMIF(RawDataRecovered!$B:$B,$A57,RawDataRecovered!L:L)</f>
        <v>0</v>
      </c>
      <c r="J57">
        <f>SUMIF(RawDataRecovered!$B:$B,$A57,RawDataRecovered!M:M)</f>
        <v>0</v>
      </c>
      <c r="K57">
        <f>SUMIF(RawDataRecovered!$B:$B,$A57,RawDataRecovered!N:N)</f>
        <v>0</v>
      </c>
      <c r="L57">
        <f>SUMIF(RawDataRecovered!$B:$B,$A57,RawDataRecovered!O:O)</f>
        <v>0</v>
      </c>
      <c r="M57">
        <f>SUMIF(RawDataRecovered!$B:$B,$A57,RawDataRecovered!P:P)</f>
        <v>0</v>
      </c>
      <c r="N57">
        <f>SUMIF(RawDataRecovered!$B:$B,$A57,RawDataRecovered!Q:Q)</f>
        <v>0</v>
      </c>
      <c r="O57">
        <f>SUMIF(RawDataRecovered!$B:$B,$A57,RawDataRecovered!R:R)</f>
        <v>0</v>
      </c>
      <c r="P57">
        <f>SUMIF(RawDataRecovered!$B:$B,$A57,RawDataRecovered!S:S)</f>
        <v>0</v>
      </c>
      <c r="Q57">
        <f>SUMIF(RawDataRecovered!$B:$B,$A57,RawDataRecovered!T:T)</f>
        <v>0</v>
      </c>
      <c r="R57">
        <f>SUMIF(RawDataRecovered!$B:$B,$A57,RawDataRecovered!U:U)</f>
        <v>0</v>
      </c>
      <c r="S57">
        <f>SUMIF(RawDataRecovered!$B:$B,$A57,RawDataRecovered!V:V)</f>
        <v>0</v>
      </c>
      <c r="T57">
        <f>SUMIF(RawDataRecovered!$B:$B,$A57,RawDataRecovered!W:W)</f>
        <v>0</v>
      </c>
      <c r="U57">
        <f>SUMIF(RawDataRecovered!$B:$B,$A57,RawDataRecovered!X:X)</f>
        <v>0</v>
      </c>
      <c r="V57">
        <f>SUMIF(RawDataRecovered!$B:$B,$A57,RawDataRecovered!Y:Y)</f>
        <v>0</v>
      </c>
      <c r="W57">
        <f>SUMIF(RawDataRecovered!$B:$B,$A57,RawDataRecovered!Z:Z)</f>
        <v>0</v>
      </c>
      <c r="X57">
        <f>SUMIF(RawDataRecovered!$B:$B,$A57,RawDataRecovered!AA:AA)</f>
        <v>0</v>
      </c>
      <c r="Y57">
        <f>SUMIF(RawDataRecovered!$B:$B,$A57,RawDataRecovered!AB:AB)</f>
        <v>0</v>
      </c>
      <c r="Z57">
        <f>SUMIF(RawDataRecovered!$B:$B,$A57,RawDataRecovered!AC:AC)</f>
        <v>0</v>
      </c>
      <c r="AA57">
        <f>SUMIF(RawDataRecovered!$B:$B,$A57,RawDataRecovered!AD:AD)</f>
        <v>0</v>
      </c>
      <c r="AB57">
        <f>SUMIF(RawDataRecovered!$B:$B,$A57,RawDataRecovered!AE:AE)</f>
        <v>0</v>
      </c>
      <c r="AC57">
        <f>SUMIF(RawDataRecovered!$B:$B,$A57,RawDataRecovered!AF:AF)</f>
        <v>0</v>
      </c>
      <c r="AD57">
        <f>SUMIF(RawDataRecovered!$B:$B,$A57,RawDataRecovered!AG:AG)</f>
        <v>0</v>
      </c>
      <c r="AE57">
        <f>SUMIF(RawDataRecovered!$B:$B,$A57,RawDataRecovered!AH:AH)</f>
        <v>0</v>
      </c>
      <c r="AF57">
        <f>SUMIF(RawDataRecovered!$B:$B,$A57,RawDataRecovered!AI:AI)</f>
        <v>0</v>
      </c>
      <c r="AG57">
        <f>SUMIF(RawDataRecovered!$B:$B,$A57,RawDataRecovered!AJ:AJ)</f>
        <v>0</v>
      </c>
      <c r="AH57">
        <f>SUMIF(RawDataRecovered!$B:$B,$A57,RawDataRecovered!AK:AK)</f>
        <v>0</v>
      </c>
      <c r="AI57">
        <f>SUMIF(RawDataRecovered!$B:$B,$A57,RawDataRecovered!AL:AL)</f>
        <v>0</v>
      </c>
      <c r="AJ57">
        <f>SUMIF(RawDataRecovered!$B:$B,$A57,RawDataRecovered!AM:AM)</f>
        <v>0</v>
      </c>
      <c r="AK57">
        <f>SUMIF(RawDataRecovered!$B:$B,$A57,RawDataRecovered!AN:AN)</f>
        <v>0</v>
      </c>
      <c r="AL57">
        <f>SUMIF(RawDataRecovered!$B:$B,$A57,RawDataRecovered!AO:AO)</f>
        <v>0</v>
      </c>
      <c r="AM57">
        <f>SUMIF(RawDataRecovered!$B:$B,$A57,RawDataRecovered!AP:AP)</f>
        <v>0</v>
      </c>
      <c r="AN57">
        <f>SUMIF(RawDataRecovered!$B:$B,$A57,RawDataRecovered!AQ:AQ)</f>
        <v>0</v>
      </c>
      <c r="AO57">
        <f>SUMIF(RawDataRecovered!$B:$B,$A57,RawDataRecovered!AR:AR)</f>
        <v>0</v>
      </c>
      <c r="AP57">
        <f>SUMIF(RawDataRecovered!$B:$B,$A57,RawDataRecovered!AS:AS)</f>
        <v>0</v>
      </c>
      <c r="AQ57">
        <f>SUMIF(RawDataRecovered!$B:$B,$A57,RawDataRecovered!AT:AT)</f>
        <v>0</v>
      </c>
      <c r="AR57">
        <f>SUMIF(RawDataRecovered!$B:$B,$A57,RawDataRecovered!AU:AU)</f>
        <v>0</v>
      </c>
      <c r="AS57">
        <f>SUMIF(RawDataRecovered!$B:$B,$A57,RawDataRecovered!AV:AV)</f>
        <v>0</v>
      </c>
      <c r="AT57">
        <f>SUMIF(RawDataRecovered!$B:$B,$A57,RawDataRecovered!AW:AW)</f>
        <v>0</v>
      </c>
      <c r="AU57">
        <f>SUMIF(RawDataRecovered!$B:$B,$A57,RawDataRecovered!AX:AX)</f>
        <v>0</v>
      </c>
      <c r="AV57">
        <f>SUMIF(RawDataRecovered!$B:$B,$A57,RawDataRecovered!AY:AY)</f>
        <v>0</v>
      </c>
      <c r="AW57">
        <f>SUMIF(RawDataRecovered!$B:$B,$A57,RawDataRecovered!AZ:AZ)</f>
        <v>0</v>
      </c>
      <c r="AX57">
        <f>SUMIF(RawDataRecovered!$B:$B,$A57,RawDataRecovered!BA:BA)</f>
        <v>0</v>
      </c>
      <c r="AY57">
        <f>SUMIF(RawDataRecovered!$B:$B,$A57,RawDataRecovered!BB:BB)</f>
        <v>0</v>
      </c>
      <c r="AZ57">
        <f>SUMIF(RawDataRecovered!$B:$B,$A57,RawDataRecovered!BC:BC)</f>
        <v>0</v>
      </c>
      <c r="BA57">
        <f>SUMIF(RawDataRecovered!$B:$B,$A57,RawDataRecovered!BD:BD)</f>
        <v>1</v>
      </c>
      <c r="BB57">
        <f>SUMIF(RawDataRecovered!$B:$B,$A57,RawDataRecovered!BE:BE)</f>
        <v>1</v>
      </c>
      <c r="BC57">
        <f>SUMIF(RawDataRecovered!$B:$B,$A57,RawDataRecovered!BF:BF)</f>
        <v>1</v>
      </c>
      <c r="BD57">
        <f>SUMIF(RawDataRecovered!$B:$B,$A57,RawDataRecovered!BG:BG)</f>
        <v>2</v>
      </c>
      <c r="BE57">
        <f>SUMIF(RawDataRecovered!$B:$B,$A57,RawDataRecovered!BH:BH)</f>
        <v>4</v>
      </c>
      <c r="BF57">
        <f>SUMIF(RawDataRecovered!$B:$B,$A57,RawDataRecovered!BI:BI)</f>
        <v>0</v>
      </c>
      <c r="BG57">
        <f>SUMIF(RawDataRecovered!$B:$B,$A57,RawDataRecovered!BJ:BJ)</f>
        <v>0</v>
      </c>
      <c r="BH57">
        <f>SUMIF(RawDataRecovered!$B:$B,$A57,RawDataRecovered!BK:BK)</f>
        <v>0</v>
      </c>
      <c r="BI57">
        <f>SUMIF(RawDataRecovered!$B:$B,$A57,RawDataRecovered!BL:BL)</f>
        <v>0</v>
      </c>
      <c r="BJ57">
        <f>SUMIF(RawDataRecovered!$B:$B,$A57,RawDataRecovered!BM:BM)</f>
        <v>0</v>
      </c>
      <c r="BK57">
        <f>SUMIF(RawDataRecovered!$B:$B,$A57,RawDataRecovered!BN:BN)</f>
        <v>0</v>
      </c>
      <c r="BL57">
        <f>SUMIF(RawDataRecovered!$B:$B,$A57,RawDataRecovered!BO:BO)</f>
        <v>0</v>
      </c>
      <c r="BM57">
        <f>SUMIF(RawDataRecovered!$B:$B,$A57,RawDataRecovered!BP:BP)</f>
        <v>0</v>
      </c>
      <c r="BN57">
        <f>SUMIF(RawDataRecovered!$B:$B,$A57,RawDataRecovered!BQ:BQ)</f>
        <v>0</v>
      </c>
      <c r="BO57">
        <f>SUMIF(RawDataRecovered!$B:$B,$A57,RawDataRecovered!BR:BR)</f>
        <v>0</v>
      </c>
      <c r="BP57">
        <f>SUMIF(RawDataRecovered!$B:$B,$A57,RawDataRecovered!BS:BS)</f>
        <v>0</v>
      </c>
      <c r="BQ57">
        <f>SUMIF(RawDataRecovered!$B:$B,$A57,RawDataRecovered!BT:BT)</f>
        <v>0</v>
      </c>
      <c r="BR57">
        <f>SUMIF(RawDataRecovered!$B:$B,$A57,RawDataRecovered!BU:BU)</f>
        <v>0</v>
      </c>
      <c r="BS57">
        <f>SUMIF(RawDataRecovered!$B:$B,$A57,RawDataRecovered!BV:BV)</f>
        <v>0</v>
      </c>
      <c r="BT57">
        <f>SUMIF(RawDataRecovered!$B:$B,$A57,RawDataRecovered!BW:BW)</f>
        <v>0</v>
      </c>
    </row>
    <row r="58" spans="1:72" ht="15" thickBot="1" x14ac:dyDescent="0.35">
      <c r="A58" s="4" t="s">
        <v>189</v>
      </c>
      <c r="B58">
        <f>SUMIF(RawDataRecovered!$B:$B,$A58,RawDataRecovered!E:E)</f>
        <v>0</v>
      </c>
      <c r="C58">
        <f>SUMIF(RawDataRecovered!$B:$B,$A58,RawDataRecovered!F:F)</f>
        <v>0</v>
      </c>
      <c r="D58">
        <f>SUMIF(RawDataRecovered!$B:$B,$A58,RawDataRecovered!G:G)</f>
        <v>0</v>
      </c>
      <c r="E58">
        <f>SUMIF(RawDataRecovered!$B:$B,$A58,RawDataRecovered!H:H)</f>
        <v>0</v>
      </c>
      <c r="F58">
        <f>SUMIF(RawDataRecovered!$B:$B,$A58,RawDataRecovered!I:I)</f>
        <v>0</v>
      </c>
      <c r="G58">
        <f>SUMIF(RawDataRecovered!$B:$B,$A58,RawDataRecovered!J:J)</f>
        <v>0</v>
      </c>
      <c r="H58">
        <f>SUMIF(RawDataRecovered!$B:$B,$A58,RawDataRecovered!K:K)</f>
        <v>0</v>
      </c>
      <c r="I58">
        <f>SUMIF(RawDataRecovered!$B:$B,$A58,RawDataRecovered!L:L)</f>
        <v>0</v>
      </c>
      <c r="J58">
        <f>SUMIF(RawDataRecovered!$B:$B,$A58,RawDataRecovered!M:M)</f>
        <v>0</v>
      </c>
      <c r="K58">
        <f>SUMIF(RawDataRecovered!$B:$B,$A58,RawDataRecovered!N:N)</f>
        <v>0</v>
      </c>
      <c r="L58">
        <f>SUMIF(RawDataRecovered!$B:$B,$A58,RawDataRecovered!O:O)</f>
        <v>0</v>
      </c>
      <c r="M58">
        <f>SUMIF(RawDataRecovered!$B:$B,$A58,RawDataRecovered!P:P)</f>
        <v>0</v>
      </c>
      <c r="N58">
        <f>SUMIF(RawDataRecovered!$B:$B,$A58,RawDataRecovered!Q:Q)</f>
        <v>0</v>
      </c>
      <c r="O58">
        <f>SUMIF(RawDataRecovered!$B:$B,$A58,RawDataRecovered!R:R)</f>
        <v>0</v>
      </c>
      <c r="P58">
        <f>SUMIF(RawDataRecovered!$B:$B,$A58,RawDataRecovered!S:S)</f>
        <v>0</v>
      </c>
      <c r="Q58">
        <f>SUMIF(RawDataRecovered!$B:$B,$A58,RawDataRecovered!T:T)</f>
        <v>0</v>
      </c>
      <c r="R58">
        <f>SUMIF(RawDataRecovered!$B:$B,$A58,RawDataRecovered!U:U)</f>
        <v>0</v>
      </c>
      <c r="S58">
        <f>SUMIF(RawDataRecovered!$B:$B,$A58,RawDataRecovered!V:V)</f>
        <v>0</v>
      </c>
      <c r="T58">
        <f>SUMIF(RawDataRecovered!$B:$B,$A58,RawDataRecovered!W:W)</f>
        <v>0</v>
      </c>
      <c r="U58">
        <f>SUMIF(RawDataRecovered!$B:$B,$A58,RawDataRecovered!X:X)</f>
        <v>0</v>
      </c>
      <c r="V58">
        <f>SUMIF(RawDataRecovered!$B:$B,$A58,RawDataRecovered!Y:Y)</f>
        <v>0</v>
      </c>
      <c r="W58">
        <f>SUMIF(RawDataRecovered!$B:$B,$A58,RawDataRecovered!Z:Z)</f>
        <v>0</v>
      </c>
      <c r="X58">
        <f>SUMIF(RawDataRecovered!$B:$B,$A58,RawDataRecovered!AA:AA)</f>
        <v>0</v>
      </c>
      <c r="Y58">
        <f>SUMIF(RawDataRecovered!$B:$B,$A58,RawDataRecovered!AB:AB)</f>
        <v>0</v>
      </c>
      <c r="Z58">
        <f>SUMIF(RawDataRecovered!$B:$B,$A58,RawDataRecovered!AC:AC)</f>
        <v>0</v>
      </c>
      <c r="AA58">
        <f>SUMIF(RawDataRecovered!$B:$B,$A58,RawDataRecovered!AD:AD)</f>
        <v>0</v>
      </c>
      <c r="AB58">
        <f>SUMIF(RawDataRecovered!$B:$B,$A58,RawDataRecovered!AE:AE)</f>
        <v>0</v>
      </c>
      <c r="AC58">
        <f>SUMIF(RawDataRecovered!$B:$B,$A58,RawDataRecovered!AF:AF)</f>
        <v>0</v>
      </c>
      <c r="AD58">
        <f>SUMIF(RawDataRecovered!$B:$B,$A58,RawDataRecovered!AG:AG)</f>
        <v>0</v>
      </c>
      <c r="AE58">
        <f>SUMIF(RawDataRecovered!$B:$B,$A58,RawDataRecovered!AH:AH)</f>
        <v>0</v>
      </c>
      <c r="AF58">
        <f>SUMIF(RawDataRecovered!$B:$B,$A58,RawDataRecovered!AI:AI)</f>
        <v>0</v>
      </c>
      <c r="AG58">
        <f>SUMIF(RawDataRecovered!$B:$B,$A58,RawDataRecovered!AJ:AJ)</f>
        <v>0</v>
      </c>
      <c r="AH58">
        <f>SUMIF(RawDataRecovered!$B:$B,$A58,RawDataRecovered!AK:AK)</f>
        <v>0</v>
      </c>
      <c r="AI58">
        <f>SUMIF(RawDataRecovered!$B:$B,$A58,RawDataRecovered!AL:AL)</f>
        <v>0</v>
      </c>
      <c r="AJ58">
        <f>SUMIF(RawDataRecovered!$B:$B,$A58,RawDataRecovered!AM:AM)</f>
        <v>0</v>
      </c>
      <c r="AK58">
        <f>SUMIF(RawDataRecovered!$B:$B,$A58,RawDataRecovered!AN:AN)</f>
        <v>0</v>
      </c>
      <c r="AL58">
        <f>SUMIF(RawDataRecovered!$B:$B,$A58,RawDataRecovered!AO:AO)</f>
        <v>0</v>
      </c>
      <c r="AM58">
        <f>SUMIF(RawDataRecovered!$B:$B,$A58,RawDataRecovered!AP:AP)</f>
        <v>0</v>
      </c>
      <c r="AN58">
        <f>SUMIF(RawDataRecovered!$B:$B,$A58,RawDataRecovered!AQ:AQ)</f>
        <v>0</v>
      </c>
      <c r="AO58">
        <f>SUMIF(RawDataRecovered!$B:$B,$A58,RawDataRecovered!AR:AR)</f>
        <v>0</v>
      </c>
      <c r="AP58">
        <f>SUMIF(RawDataRecovered!$B:$B,$A58,RawDataRecovered!AS:AS)</f>
        <v>0</v>
      </c>
      <c r="AQ58">
        <f>SUMIF(RawDataRecovered!$B:$B,$A58,RawDataRecovered!AT:AT)</f>
        <v>0</v>
      </c>
      <c r="AR58">
        <f>SUMIF(RawDataRecovered!$B:$B,$A58,RawDataRecovered!AU:AU)</f>
        <v>0</v>
      </c>
      <c r="AS58">
        <f>SUMIF(RawDataRecovered!$B:$B,$A58,RawDataRecovered!AV:AV)</f>
        <v>0</v>
      </c>
      <c r="AT58">
        <f>SUMIF(RawDataRecovered!$B:$B,$A58,RawDataRecovered!AW:AW)</f>
        <v>0</v>
      </c>
      <c r="AU58">
        <f>SUMIF(RawDataRecovered!$B:$B,$A58,RawDataRecovered!AX:AX)</f>
        <v>0</v>
      </c>
      <c r="AV58">
        <f>SUMIF(RawDataRecovered!$B:$B,$A58,RawDataRecovered!AY:AY)</f>
        <v>0</v>
      </c>
      <c r="AW58">
        <f>SUMIF(RawDataRecovered!$B:$B,$A58,RawDataRecovered!AZ:AZ)</f>
        <v>0</v>
      </c>
      <c r="AX58">
        <f>SUMIF(RawDataRecovered!$B:$B,$A58,RawDataRecovered!BA:BA)</f>
        <v>0</v>
      </c>
      <c r="AY58">
        <f>SUMIF(RawDataRecovered!$B:$B,$A58,RawDataRecovered!BB:BB)</f>
        <v>0</v>
      </c>
      <c r="AZ58">
        <f>SUMIF(RawDataRecovered!$B:$B,$A58,RawDataRecovered!BC:BC)</f>
        <v>0</v>
      </c>
      <c r="BA58">
        <f>SUMIF(RawDataRecovered!$B:$B,$A58,RawDataRecovered!BD:BD)</f>
        <v>0</v>
      </c>
      <c r="BB58">
        <f>SUMIF(RawDataRecovered!$B:$B,$A58,RawDataRecovered!BE:BE)</f>
        <v>0</v>
      </c>
      <c r="BC58">
        <f>SUMIF(RawDataRecovered!$B:$B,$A58,RawDataRecovered!BF:BF)</f>
        <v>0</v>
      </c>
      <c r="BD58">
        <f>SUMIF(RawDataRecovered!$B:$B,$A58,RawDataRecovered!BG:BG)</f>
        <v>0</v>
      </c>
      <c r="BE58">
        <f>SUMIF(RawDataRecovered!$B:$B,$A58,RawDataRecovered!BH:BH)</f>
        <v>0</v>
      </c>
      <c r="BF58">
        <f>SUMIF(RawDataRecovered!$B:$B,$A58,RawDataRecovered!BI:BI)</f>
        <v>0</v>
      </c>
      <c r="BG58">
        <f>SUMIF(RawDataRecovered!$B:$B,$A58,RawDataRecovered!BJ:BJ)</f>
        <v>0</v>
      </c>
      <c r="BH58">
        <f>SUMIF(RawDataRecovered!$B:$B,$A58,RawDataRecovered!BK:BK)</f>
        <v>0</v>
      </c>
      <c r="BI58">
        <f>SUMIF(RawDataRecovered!$B:$B,$A58,RawDataRecovered!BL:BL)</f>
        <v>0</v>
      </c>
      <c r="BJ58">
        <f>SUMIF(RawDataRecovered!$B:$B,$A58,RawDataRecovered!BM:BM)</f>
        <v>0</v>
      </c>
      <c r="BK58">
        <f>SUMIF(RawDataRecovered!$B:$B,$A58,RawDataRecovered!BN:BN)</f>
        <v>0</v>
      </c>
      <c r="BL58">
        <f>SUMIF(RawDataRecovered!$B:$B,$A58,RawDataRecovered!BO:BO)</f>
        <v>0</v>
      </c>
      <c r="BM58">
        <f>SUMIF(RawDataRecovered!$B:$B,$A58,RawDataRecovered!BP:BP)</f>
        <v>0</v>
      </c>
      <c r="BN58">
        <f>SUMIF(RawDataRecovered!$B:$B,$A58,RawDataRecovered!BQ:BQ)</f>
        <v>0</v>
      </c>
      <c r="BO58">
        <f>SUMIF(RawDataRecovered!$B:$B,$A58,RawDataRecovered!BR:BR)</f>
        <v>0</v>
      </c>
      <c r="BP58">
        <f>SUMIF(RawDataRecovered!$B:$B,$A58,RawDataRecovered!BS:BS)</f>
        <v>0</v>
      </c>
      <c r="BQ58">
        <f>SUMIF(RawDataRecovered!$B:$B,$A58,RawDataRecovered!BT:BT)</f>
        <v>0</v>
      </c>
      <c r="BR58">
        <f>SUMIF(RawDataRecovered!$B:$B,$A58,RawDataRecovered!BU:BU)</f>
        <v>0</v>
      </c>
      <c r="BS58">
        <f>SUMIF(RawDataRecovered!$B:$B,$A58,RawDataRecovered!BV:BV)</f>
        <v>0</v>
      </c>
      <c r="BT58">
        <f>SUMIF(RawDataRecovered!$B:$B,$A58,RawDataRecovered!BW:BW)</f>
        <v>0</v>
      </c>
    </row>
    <row r="59" spans="1:72" ht="15" thickBot="1" x14ac:dyDescent="0.35">
      <c r="A59" s="4" t="s">
        <v>150</v>
      </c>
      <c r="B59">
        <f>SUMIF(RawDataRecovered!$B:$B,$A59,RawDataRecovered!E:E)</f>
        <v>0</v>
      </c>
      <c r="C59">
        <f>SUMIF(RawDataRecovered!$B:$B,$A59,RawDataRecovered!F:F)</f>
        <v>0</v>
      </c>
      <c r="D59">
        <f>SUMIF(RawDataRecovered!$B:$B,$A59,RawDataRecovered!G:G)</f>
        <v>0</v>
      </c>
      <c r="E59">
        <f>SUMIF(RawDataRecovered!$B:$B,$A59,RawDataRecovered!H:H)</f>
        <v>0</v>
      </c>
      <c r="F59">
        <f>SUMIF(RawDataRecovered!$B:$B,$A59,RawDataRecovered!I:I)</f>
        <v>0</v>
      </c>
      <c r="G59">
        <f>SUMIF(RawDataRecovered!$B:$B,$A59,RawDataRecovered!J:J)</f>
        <v>0</v>
      </c>
      <c r="H59">
        <f>SUMIF(RawDataRecovered!$B:$B,$A59,RawDataRecovered!K:K)</f>
        <v>0</v>
      </c>
      <c r="I59">
        <f>SUMIF(RawDataRecovered!$B:$B,$A59,RawDataRecovered!L:L)</f>
        <v>0</v>
      </c>
      <c r="J59">
        <f>SUMIF(RawDataRecovered!$B:$B,$A59,RawDataRecovered!M:M)</f>
        <v>0</v>
      </c>
      <c r="K59">
        <f>SUMIF(RawDataRecovered!$B:$B,$A59,RawDataRecovered!N:N)</f>
        <v>0</v>
      </c>
      <c r="L59">
        <f>SUMIF(RawDataRecovered!$B:$B,$A59,RawDataRecovered!O:O)</f>
        <v>0</v>
      </c>
      <c r="M59">
        <f>SUMIF(RawDataRecovered!$B:$B,$A59,RawDataRecovered!P:P)</f>
        <v>0</v>
      </c>
      <c r="N59">
        <f>SUMIF(RawDataRecovered!$B:$B,$A59,RawDataRecovered!Q:Q)</f>
        <v>0</v>
      </c>
      <c r="O59">
        <f>SUMIF(RawDataRecovered!$B:$B,$A59,RawDataRecovered!R:R)</f>
        <v>0</v>
      </c>
      <c r="P59">
        <f>SUMIF(RawDataRecovered!$B:$B,$A59,RawDataRecovered!S:S)</f>
        <v>0</v>
      </c>
      <c r="Q59">
        <f>SUMIF(RawDataRecovered!$B:$B,$A59,RawDataRecovered!T:T)</f>
        <v>0</v>
      </c>
      <c r="R59">
        <f>SUMIF(RawDataRecovered!$B:$B,$A59,RawDataRecovered!U:U)</f>
        <v>0</v>
      </c>
      <c r="S59">
        <f>SUMIF(RawDataRecovered!$B:$B,$A59,RawDataRecovered!V:V)</f>
        <v>0</v>
      </c>
      <c r="T59">
        <f>SUMIF(RawDataRecovered!$B:$B,$A59,RawDataRecovered!W:W)</f>
        <v>0</v>
      </c>
      <c r="U59">
        <f>SUMIF(RawDataRecovered!$B:$B,$A59,RawDataRecovered!X:X)</f>
        <v>0</v>
      </c>
      <c r="V59">
        <f>SUMIF(RawDataRecovered!$B:$B,$A59,RawDataRecovered!Y:Y)</f>
        <v>0</v>
      </c>
      <c r="W59">
        <f>SUMIF(RawDataRecovered!$B:$B,$A59,RawDataRecovered!Z:Z)</f>
        <v>0</v>
      </c>
      <c r="X59">
        <f>SUMIF(RawDataRecovered!$B:$B,$A59,RawDataRecovered!AA:AA)</f>
        <v>0</v>
      </c>
      <c r="Y59">
        <f>SUMIF(RawDataRecovered!$B:$B,$A59,RawDataRecovered!AB:AB)</f>
        <v>0</v>
      </c>
      <c r="Z59">
        <f>SUMIF(RawDataRecovered!$B:$B,$A59,RawDataRecovered!AC:AC)</f>
        <v>0</v>
      </c>
      <c r="AA59">
        <f>SUMIF(RawDataRecovered!$B:$B,$A59,RawDataRecovered!AD:AD)</f>
        <v>0</v>
      </c>
      <c r="AB59">
        <f>SUMIF(RawDataRecovered!$B:$B,$A59,RawDataRecovered!AE:AE)</f>
        <v>0</v>
      </c>
      <c r="AC59">
        <f>SUMIF(RawDataRecovered!$B:$B,$A59,RawDataRecovered!AF:AF)</f>
        <v>0</v>
      </c>
      <c r="AD59">
        <f>SUMIF(RawDataRecovered!$B:$B,$A59,RawDataRecovered!AG:AG)</f>
        <v>0</v>
      </c>
      <c r="AE59">
        <f>SUMIF(RawDataRecovered!$B:$B,$A59,RawDataRecovered!AH:AH)</f>
        <v>0</v>
      </c>
      <c r="AF59">
        <f>SUMIF(RawDataRecovered!$B:$B,$A59,RawDataRecovered!AI:AI)</f>
        <v>0</v>
      </c>
      <c r="AG59">
        <f>SUMIF(RawDataRecovered!$B:$B,$A59,RawDataRecovered!AJ:AJ)</f>
        <v>0</v>
      </c>
      <c r="AH59">
        <f>SUMIF(RawDataRecovered!$B:$B,$A59,RawDataRecovered!AK:AK)</f>
        <v>0</v>
      </c>
      <c r="AI59">
        <f>SUMIF(RawDataRecovered!$B:$B,$A59,RawDataRecovered!AL:AL)</f>
        <v>0</v>
      </c>
      <c r="AJ59">
        <f>SUMIF(RawDataRecovered!$B:$B,$A59,RawDataRecovered!AM:AM)</f>
        <v>0</v>
      </c>
      <c r="AK59">
        <f>SUMIF(RawDataRecovered!$B:$B,$A59,RawDataRecovered!AN:AN)</f>
        <v>0</v>
      </c>
      <c r="AL59">
        <f>SUMIF(RawDataRecovered!$B:$B,$A59,RawDataRecovered!AO:AO)</f>
        <v>0</v>
      </c>
      <c r="AM59">
        <f>SUMIF(RawDataRecovered!$B:$B,$A59,RawDataRecovered!AP:AP)</f>
        <v>0</v>
      </c>
      <c r="AN59">
        <f>SUMIF(RawDataRecovered!$B:$B,$A59,RawDataRecovered!AQ:AQ)</f>
        <v>0</v>
      </c>
      <c r="AO59">
        <f>SUMIF(RawDataRecovered!$B:$B,$A59,RawDataRecovered!AR:AR)</f>
        <v>0</v>
      </c>
      <c r="AP59">
        <f>SUMIF(RawDataRecovered!$B:$B,$A59,RawDataRecovered!AS:AS)</f>
        <v>0</v>
      </c>
      <c r="AQ59">
        <f>SUMIF(RawDataRecovered!$B:$B,$A59,RawDataRecovered!AT:AT)</f>
        <v>0</v>
      </c>
      <c r="AR59">
        <f>SUMIF(RawDataRecovered!$B:$B,$A59,RawDataRecovered!AU:AU)</f>
        <v>0</v>
      </c>
      <c r="AS59">
        <f>SUMIF(RawDataRecovered!$B:$B,$A59,RawDataRecovered!AV:AV)</f>
        <v>0</v>
      </c>
      <c r="AT59">
        <f>SUMIF(RawDataRecovered!$B:$B,$A59,RawDataRecovered!AW:AW)</f>
        <v>0</v>
      </c>
      <c r="AU59">
        <f>SUMIF(RawDataRecovered!$B:$B,$A59,RawDataRecovered!AX:AX)</f>
        <v>0</v>
      </c>
      <c r="AV59">
        <f>SUMIF(RawDataRecovered!$B:$B,$A59,RawDataRecovered!AY:AY)</f>
        <v>0</v>
      </c>
      <c r="AW59">
        <f>SUMIF(RawDataRecovered!$B:$B,$A59,RawDataRecovered!AZ:AZ)</f>
        <v>0</v>
      </c>
      <c r="AX59">
        <f>SUMIF(RawDataRecovered!$B:$B,$A59,RawDataRecovered!BA:BA)</f>
        <v>0</v>
      </c>
      <c r="AY59">
        <f>SUMIF(RawDataRecovered!$B:$B,$A59,RawDataRecovered!BB:BB)</f>
        <v>0</v>
      </c>
      <c r="AZ59">
        <f>SUMIF(RawDataRecovered!$B:$B,$A59,RawDataRecovered!BC:BC)</f>
        <v>0</v>
      </c>
      <c r="BA59">
        <f>SUMIF(RawDataRecovered!$B:$B,$A59,RawDataRecovered!BD:BD)</f>
        <v>0</v>
      </c>
      <c r="BB59">
        <f>SUMIF(RawDataRecovered!$B:$B,$A59,RawDataRecovered!BE:BE)</f>
        <v>1</v>
      </c>
      <c r="BC59">
        <f>SUMIF(RawDataRecovered!$B:$B,$A59,RawDataRecovered!BF:BF)</f>
        <v>1</v>
      </c>
      <c r="BD59">
        <f>SUMIF(RawDataRecovered!$B:$B,$A59,RawDataRecovered!BG:BG)</f>
        <v>1</v>
      </c>
      <c r="BE59">
        <f>SUMIF(RawDataRecovered!$B:$B,$A59,RawDataRecovered!BH:BH)</f>
        <v>3</v>
      </c>
      <c r="BF59">
        <f>SUMIF(RawDataRecovered!$B:$B,$A59,RawDataRecovered!BI:BI)</f>
        <v>0</v>
      </c>
      <c r="BG59">
        <f>SUMIF(RawDataRecovered!$B:$B,$A59,RawDataRecovered!BJ:BJ)</f>
        <v>0</v>
      </c>
      <c r="BH59">
        <f>SUMIF(RawDataRecovered!$B:$B,$A59,RawDataRecovered!BK:BK)</f>
        <v>0</v>
      </c>
      <c r="BI59">
        <f>SUMIF(RawDataRecovered!$B:$B,$A59,RawDataRecovered!BL:BL)</f>
        <v>0</v>
      </c>
      <c r="BJ59">
        <f>SUMIF(RawDataRecovered!$B:$B,$A59,RawDataRecovered!BM:BM)</f>
        <v>0</v>
      </c>
      <c r="BK59">
        <f>SUMIF(RawDataRecovered!$B:$B,$A59,RawDataRecovered!BN:BN)</f>
        <v>0</v>
      </c>
      <c r="BL59">
        <f>SUMIF(RawDataRecovered!$B:$B,$A59,RawDataRecovered!BO:BO)</f>
        <v>0</v>
      </c>
      <c r="BM59">
        <f>SUMIF(RawDataRecovered!$B:$B,$A59,RawDataRecovered!BP:BP)</f>
        <v>0</v>
      </c>
      <c r="BN59">
        <f>SUMIF(RawDataRecovered!$B:$B,$A59,RawDataRecovered!BQ:BQ)</f>
        <v>0</v>
      </c>
      <c r="BO59">
        <f>SUMIF(RawDataRecovered!$B:$B,$A59,RawDataRecovered!BR:BR)</f>
        <v>0</v>
      </c>
      <c r="BP59">
        <f>SUMIF(RawDataRecovered!$B:$B,$A59,RawDataRecovered!BS:BS)</f>
        <v>0</v>
      </c>
      <c r="BQ59">
        <f>SUMIF(RawDataRecovered!$B:$B,$A59,RawDataRecovered!BT:BT)</f>
        <v>0</v>
      </c>
      <c r="BR59">
        <f>SUMIF(RawDataRecovered!$B:$B,$A59,RawDataRecovered!BU:BU)</f>
        <v>0</v>
      </c>
      <c r="BS59">
        <f>SUMIF(RawDataRecovered!$B:$B,$A59,RawDataRecovered!BV:BV)</f>
        <v>0</v>
      </c>
      <c r="BT59">
        <f>SUMIF(RawDataRecovered!$B:$B,$A59,RawDataRecovered!BW:BW)</f>
        <v>0</v>
      </c>
    </row>
    <row r="60" spans="1:72" ht="15" thickBot="1" x14ac:dyDescent="0.35">
      <c r="A60" s="3" t="s">
        <v>107</v>
      </c>
      <c r="B60">
        <f>SUMIF(RawDataRecovered!$B:$B,$A60,RawDataRecovered!E:E)</f>
        <v>0</v>
      </c>
      <c r="C60">
        <f>SUMIF(RawDataRecovered!$B:$B,$A60,RawDataRecovered!F:F)</f>
        <v>0</v>
      </c>
      <c r="D60">
        <f>SUMIF(RawDataRecovered!$B:$B,$A60,RawDataRecovered!G:G)</f>
        <v>0</v>
      </c>
      <c r="E60">
        <f>SUMIF(RawDataRecovered!$B:$B,$A60,RawDataRecovered!H:H)</f>
        <v>0</v>
      </c>
      <c r="F60">
        <f>SUMIF(RawDataRecovered!$B:$B,$A60,RawDataRecovered!I:I)</f>
        <v>0</v>
      </c>
      <c r="G60">
        <f>SUMIF(RawDataRecovered!$B:$B,$A60,RawDataRecovered!J:J)</f>
        <v>0</v>
      </c>
      <c r="H60">
        <f>SUMIF(RawDataRecovered!$B:$B,$A60,RawDataRecovered!K:K)</f>
        <v>0</v>
      </c>
      <c r="I60">
        <f>SUMIF(RawDataRecovered!$B:$B,$A60,RawDataRecovered!L:L)</f>
        <v>0</v>
      </c>
      <c r="J60">
        <f>SUMIF(RawDataRecovered!$B:$B,$A60,RawDataRecovered!M:M)</f>
        <v>0</v>
      </c>
      <c r="K60">
        <f>SUMIF(RawDataRecovered!$B:$B,$A60,RawDataRecovered!N:N)</f>
        <v>0</v>
      </c>
      <c r="L60">
        <f>SUMIF(RawDataRecovered!$B:$B,$A60,RawDataRecovered!O:O)</f>
        <v>0</v>
      </c>
      <c r="M60">
        <f>SUMIF(RawDataRecovered!$B:$B,$A60,RawDataRecovered!P:P)</f>
        <v>0</v>
      </c>
      <c r="N60">
        <f>SUMIF(RawDataRecovered!$B:$B,$A60,RawDataRecovered!Q:Q)</f>
        <v>0</v>
      </c>
      <c r="O60">
        <f>SUMIF(RawDataRecovered!$B:$B,$A60,RawDataRecovered!R:R)</f>
        <v>0</v>
      </c>
      <c r="P60">
        <f>SUMIF(RawDataRecovered!$B:$B,$A60,RawDataRecovered!S:S)</f>
        <v>0</v>
      </c>
      <c r="Q60">
        <f>SUMIF(RawDataRecovered!$B:$B,$A60,RawDataRecovered!T:T)</f>
        <v>0</v>
      </c>
      <c r="R60">
        <f>SUMIF(RawDataRecovered!$B:$B,$A60,RawDataRecovered!U:U)</f>
        <v>0</v>
      </c>
      <c r="S60">
        <f>SUMIF(RawDataRecovered!$B:$B,$A60,RawDataRecovered!V:V)</f>
        <v>0</v>
      </c>
      <c r="T60">
        <f>SUMIF(RawDataRecovered!$B:$B,$A60,RawDataRecovered!W:W)</f>
        <v>0</v>
      </c>
      <c r="U60">
        <f>SUMIF(RawDataRecovered!$B:$B,$A60,RawDataRecovered!X:X)</f>
        <v>0</v>
      </c>
      <c r="V60">
        <f>SUMIF(RawDataRecovered!$B:$B,$A60,RawDataRecovered!Y:Y)</f>
        <v>0</v>
      </c>
      <c r="W60">
        <f>SUMIF(RawDataRecovered!$B:$B,$A60,RawDataRecovered!Z:Z)</f>
        <v>0</v>
      </c>
      <c r="X60">
        <f>SUMIF(RawDataRecovered!$B:$B,$A60,RawDataRecovered!AA:AA)</f>
        <v>0</v>
      </c>
      <c r="Y60">
        <f>SUMIF(RawDataRecovered!$B:$B,$A60,RawDataRecovered!AB:AB)</f>
        <v>0</v>
      </c>
      <c r="Z60">
        <f>SUMIF(RawDataRecovered!$B:$B,$A60,RawDataRecovered!AC:AC)</f>
        <v>0</v>
      </c>
      <c r="AA60">
        <f>SUMIF(RawDataRecovered!$B:$B,$A60,RawDataRecovered!AD:AD)</f>
        <v>0</v>
      </c>
      <c r="AB60">
        <f>SUMIF(RawDataRecovered!$B:$B,$A60,RawDataRecovered!AE:AE)</f>
        <v>0</v>
      </c>
      <c r="AC60">
        <f>SUMIF(RawDataRecovered!$B:$B,$A60,RawDataRecovered!AF:AF)</f>
        <v>0</v>
      </c>
      <c r="AD60">
        <f>SUMIF(RawDataRecovered!$B:$B,$A60,RawDataRecovered!AG:AG)</f>
        <v>0</v>
      </c>
      <c r="AE60">
        <f>SUMIF(RawDataRecovered!$B:$B,$A60,RawDataRecovered!AH:AH)</f>
        <v>0</v>
      </c>
      <c r="AF60">
        <f>SUMIF(RawDataRecovered!$B:$B,$A60,RawDataRecovered!AI:AI)</f>
        <v>0</v>
      </c>
      <c r="AG60">
        <f>SUMIF(RawDataRecovered!$B:$B,$A60,RawDataRecovered!AJ:AJ)</f>
        <v>0</v>
      </c>
      <c r="AH60">
        <f>SUMIF(RawDataRecovered!$B:$B,$A60,RawDataRecovered!AK:AK)</f>
        <v>0</v>
      </c>
      <c r="AI60">
        <f>SUMIF(RawDataRecovered!$B:$B,$A60,RawDataRecovered!AL:AL)</f>
        <v>0</v>
      </c>
      <c r="AJ60">
        <f>SUMIF(RawDataRecovered!$B:$B,$A60,RawDataRecovered!AM:AM)</f>
        <v>0</v>
      </c>
      <c r="AK60">
        <f>SUMIF(RawDataRecovered!$B:$B,$A60,RawDataRecovered!AN:AN)</f>
        <v>0</v>
      </c>
      <c r="AL60">
        <f>SUMIF(RawDataRecovered!$B:$B,$A60,RawDataRecovered!AO:AO)</f>
        <v>0</v>
      </c>
      <c r="AM60">
        <f>SUMIF(RawDataRecovered!$B:$B,$A60,RawDataRecovered!AP:AP)</f>
        <v>0</v>
      </c>
      <c r="AN60">
        <f>SUMIF(RawDataRecovered!$B:$B,$A60,RawDataRecovered!AQ:AQ)</f>
        <v>0</v>
      </c>
      <c r="AO60">
        <f>SUMIF(RawDataRecovered!$B:$B,$A60,RawDataRecovered!AR:AR)</f>
        <v>0</v>
      </c>
      <c r="AP60">
        <f>SUMIF(RawDataRecovered!$B:$B,$A60,RawDataRecovered!AS:AS)</f>
        <v>0</v>
      </c>
      <c r="AQ60">
        <f>SUMIF(RawDataRecovered!$B:$B,$A60,RawDataRecovered!AT:AT)</f>
        <v>0</v>
      </c>
      <c r="AR60">
        <f>SUMIF(RawDataRecovered!$B:$B,$A60,RawDataRecovered!AU:AU)</f>
        <v>0</v>
      </c>
      <c r="AS60">
        <f>SUMIF(RawDataRecovered!$B:$B,$A60,RawDataRecovered!AV:AV)</f>
        <v>0</v>
      </c>
      <c r="AT60">
        <f>SUMIF(RawDataRecovered!$B:$B,$A60,RawDataRecovered!AW:AW)</f>
        <v>0</v>
      </c>
      <c r="AU60">
        <f>SUMIF(RawDataRecovered!$B:$B,$A60,RawDataRecovered!AX:AX)</f>
        <v>0</v>
      </c>
      <c r="AV60">
        <f>SUMIF(RawDataRecovered!$B:$B,$A60,RawDataRecovered!AY:AY)</f>
        <v>1</v>
      </c>
      <c r="AW60">
        <f>SUMIF(RawDataRecovered!$B:$B,$A60,RawDataRecovered!AZ:AZ)</f>
        <v>1</v>
      </c>
      <c r="AX60">
        <f>SUMIF(RawDataRecovered!$B:$B,$A60,RawDataRecovered!BA:BA)</f>
        <v>1</v>
      </c>
      <c r="AY60">
        <f>SUMIF(RawDataRecovered!$B:$B,$A60,RawDataRecovered!BB:BB)</f>
        <v>2</v>
      </c>
      <c r="AZ60">
        <f>SUMIF(RawDataRecovered!$B:$B,$A60,RawDataRecovered!BC:BC)</f>
        <v>2</v>
      </c>
      <c r="BA60">
        <f>SUMIF(RawDataRecovered!$B:$B,$A60,RawDataRecovered!BD:BD)</f>
        <v>2</v>
      </c>
      <c r="BB60">
        <f>SUMIF(RawDataRecovered!$B:$B,$A60,RawDataRecovered!BE:BE)</f>
        <v>2</v>
      </c>
      <c r="BC60">
        <f>SUMIF(RawDataRecovered!$B:$B,$A60,RawDataRecovered!BF:BF)</f>
        <v>2</v>
      </c>
      <c r="BD60">
        <f>SUMIF(RawDataRecovered!$B:$B,$A60,RawDataRecovered!BG:BG)</f>
        <v>2</v>
      </c>
      <c r="BE60">
        <f>SUMIF(RawDataRecovered!$B:$B,$A60,RawDataRecovered!BH:BH)</f>
        <v>2</v>
      </c>
      <c r="BF60">
        <f>SUMIF(RawDataRecovered!$B:$B,$A60,RawDataRecovered!BI:BI)</f>
        <v>0</v>
      </c>
      <c r="BG60">
        <f>SUMIF(RawDataRecovered!$B:$B,$A60,RawDataRecovered!BJ:BJ)</f>
        <v>0</v>
      </c>
      <c r="BH60">
        <f>SUMIF(RawDataRecovered!$B:$B,$A60,RawDataRecovered!BK:BK)</f>
        <v>0</v>
      </c>
      <c r="BI60">
        <f>SUMIF(RawDataRecovered!$B:$B,$A60,RawDataRecovered!BL:BL)</f>
        <v>0</v>
      </c>
      <c r="BJ60">
        <f>SUMIF(RawDataRecovered!$B:$B,$A60,RawDataRecovered!BM:BM)</f>
        <v>0</v>
      </c>
      <c r="BK60">
        <f>SUMIF(RawDataRecovered!$B:$B,$A60,RawDataRecovered!BN:BN)</f>
        <v>0</v>
      </c>
      <c r="BL60">
        <f>SUMIF(RawDataRecovered!$B:$B,$A60,RawDataRecovered!BO:BO)</f>
        <v>0</v>
      </c>
      <c r="BM60">
        <f>SUMIF(RawDataRecovered!$B:$B,$A60,RawDataRecovered!BP:BP)</f>
        <v>0</v>
      </c>
      <c r="BN60">
        <f>SUMIF(RawDataRecovered!$B:$B,$A60,RawDataRecovered!BQ:BQ)</f>
        <v>0</v>
      </c>
      <c r="BO60">
        <f>SUMIF(RawDataRecovered!$B:$B,$A60,RawDataRecovered!BR:BR)</f>
        <v>0</v>
      </c>
      <c r="BP60">
        <f>SUMIF(RawDataRecovered!$B:$B,$A60,RawDataRecovered!BS:BS)</f>
        <v>0</v>
      </c>
      <c r="BQ60">
        <f>SUMIF(RawDataRecovered!$B:$B,$A60,RawDataRecovered!BT:BT)</f>
        <v>0</v>
      </c>
      <c r="BR60">
        <f>SUMIF(RawDataRecovered!$B:$B,$A60,RawDataRecovered!BU:BU)</f>
        <v>0</v>
      </c>
      <c r="BS60">
        <f>SUMIF(RawDataRecovered!$B:$B,$A60,RawDataRecovered!BV:BV)</f>
        <v>0</v>
      </c>
      <c r="BT60">
        <f>SUMIF(RawDataRecovered!$B:$B,$A60,RawDataRecovered!BW:BW)</f>
        <v>0</v>
      </c>
    </row>
    <row r="61" spans="1:72" ht="15" thickBot="1" x14ac:dyDescent="0.35">
      <c r="A61" s="4" t="s">
        <v>187</v>
      </c>
      <c r="B61">
        <f>SUMIF(RawDataRecovered!$B:$B,$A61,RawDataRecovered!E:E)</f>
        <v>0</v>
      </c>
      <c r="C61">
        <f>SUMIF(RawDataRecovered!$B:$B,$A61,RawDataRecovered!F:F)</f>
        <v>0</v>
      </c>
      <c r="D61">
        <f>SUMIF(RawDataRecovered!$B:$B,$A61,RawDataRecovered!G:G)</f>
        <v>0</v>
      </c>
      <c r="E61">
        <f>SUMIF(RawDataRecovered!$B:$B,$A61,RawDataRecovered!H:H)</f>
        <v>0</v>
      </c>
      <c r="F61">
        <f>SUMIF(RawDataRecovered!$B:$B,$A61,RawDataRecovered!I:I)</f>
        <v>0</v>
      </c>
      <c r="G61">
        <f>SUMIF(RawDataRecovered!$B:$B,$A61,RawDataRecovered!J:J)</f>
        <v>0</v>
      </c>
      <c r="H61">
        <f>SUMIF(RawDataRecovered!$B:$B,$A61,RawDataRecovered!K:K)</f>
        <v>0</v>
      </c>
      <c r="I61">
        <f>SUMIF(RawDataRecovered!$B:$B,$A61,RawDataRecovered!L:L)</f>
        <v>0</v>
      </c>
      <c r="J61">
        <f>SUMIF(RawDataRecovered!$B:$B,$A61,RawDataRecovered!M:M)</f>
        <v>0</v>
      </c>
      <c r="K61">
        <f>SUMIF(RawDataRecovered!$B:$B,$A61,RawDataRecovered!N:N)</f>
        <v>0</v>
      </c>
      <c r="L61">
        <f>SUMIF(RawDataRecovered!$B:$B,$A61,RawDataRecovered!O:O)</f>
        <v>0</v>
      </c>
      <c r="M61">
        <f>SUMIF(RawDataRecovered!$B:$B,$A61,RawDataRecovered!P:P)</f>
        <v>0</v>
      </c>
      <c r="N61">
        <f>SUMIF(RawDataRecovered!$B:$B,$A61,RawDataRecovered!Q:Q)</f>
        <v>0</v>
      </c>
      <c r="O61">
        <f>SUMIF(RawDataRecovered!$B:$B,$A61,RawDataRecovered!R:R)</f>
        <v>0</v>
      </c>
      <c r="P61">
        <f>SUMIF(RawDataRecovered!$B:$B,$A61,RawDataRecovered!S:S)</f>
        <v>0</v>
      </c>
      <c r="Q61">
        <f>SUMIF(RawDataRecovered!$B:$B,$A61,RawDataRecovered!T:T)</f>
        <v>0</v>
      </c>
      <c r="R61">
        <f>SUMIF(RawDataRecovered!$B:$B,$A61,RawDataRecovered!U:U)</f>
        <v>0</v>
      </c>
      <c r="S61">
        <f>SUMIF(RawDataRecovered!$B:$B,$A61,RawDataRecovered!V:V)</f>
        <v>0</v>
      </c>
      <c r="T61">
        <f>SUMIF(RawDataRecovered!$B:$B,$A61,RawDataRecovered!W:W)</f>
        <v>0</v>
      </c>
      <c r="U61">
        <f>SUMIF(RawDataRecovered!$B:$B,$A61,RawDataRecovered!X:X)</f>
        <v>0</v>
      </c>
      <c r="V61">
        <f>SUMIF(RawDataRecovered!$B:$B,$A61,RawDataRecovered!Y:Y)</f>
        <v>0</v>
      </c>
      <c r="W61">
        <f>SUMIF(RawDataRecovered!$B:$B,$A61,RawDataRecovered!Z:Z)</f>
        <v>0</v>
      </c>
      <c r="X61">
        <f>SUMIF(RawDataRecovered!$B:$B,$A61,RawDataRecovered!AA:AA)</f>
        <v>0</v>
      </c>
      <c r="Y61">
        <f>SUMIF(RawDataRecovered!$B:$B,$A61,RawDataRecovered!AB:AB)</f>
        <v>0</v>
      </c>
      <c r="Z61">
        <f>SUMIF(RawDataRecovered!$B:$B,$A61,RawDataRecovered!AC:AC)</f>
        <v>0</v>
      </c>
      <c r="AA61">
        <f>SUMIF(RawDataRecovered!$B:$B,$A61,RawDataRecovered!AD:AD)</f>
        <v>0</v>
      </c>
      <c r="AB61">
        <f>SUMIF(RawDataRecovered!$B:$B,$A61,RawDataRecovered!AE:AE)</f>
        <v>0</v>
      </c>
      <c r="AC61">
        <f>SUMIF(RawDataRecovered!$B:$B,$A61,RawDataRecovered!AF:AF)</f>
        <v>0</v>
      </c>
      <c r="AD61">
        <f>SUMIF(RawDataRecovered!$B:$B,$A61,RawDataRecovered!AG:AG)</f>
        <v>0</v>
      </c>
      <c r="AE61">
        <f>SUMIF(RawDataRecovered!$B:$B,$A61,RawDataRecovered!AH:AH)</f>
        <v>0</v>
      </c>
      <c r="AF61">
        <f>SUMIF(RawDataRecovered!$B:$B,$A61,RawDataRecovered!AI:AI)</f>
        <v>0</v>
      </c>
      <c r="AG61">
        <f>SUMIF(RawDataRecovered!$B:$B,$A61,RawDataRecovered!AJ:AJ)</f>
        <v>0</v>
      </c>
      <c r="AH61">
        <f>SUMIF(RawDataRecovered!$B:$B,$A61,RawDataRecovered!AK:AK)</f>
        <v>0</v>
      </c>
      <c r="AI61">
        <f>SUMIF(RawDataRecovered!$B:$B,$A61,RawDataRecovered!AL:AL)</f>
        <v>0</v>
      </c>
      <c r="AJ61">
        <f>SUMIF(RawDataRecovered!$B:$B,$A61,RawDataRecovered!AM:AM)</f>
        <v>0</v>
      </c>
      <c r="AK61">
        <f>SUMIF(RawDataRecovered!$B:$B,$A61,RawDataRecovered!AN:AN)</f>
        <v>0</v>
      </c>
      <c r="AL61">
        <f>SUMIF(RawDataRecovered!$B:$B,$A61,RawDataRecovered!AO:AO)</f>
        <v>0</v>
      </c>
      <c r="AM61">
        <f>SUMIF(RawDataRecovered!$B:$B,$A61,RawDataRecovered!AP:AP)</f>
        <v>0</v>
      </c>
      <c r="AN61">
        <f>SUMIF(RawDataRecovered!$B:$B,$A61,RawDataRecovered!AQ:AQ)</f>
        <v>0</v>
      </c>
      <c r="AO61">
        <f>SUMIF(RawDataRecovered!$B:$B,$A61,RawDataRecovered!AR:AR)</f>
        <v>0</v>
      </c>
      <c r="AP61">
        <f>SUMIF(RawDataRecovered!$B:$B,$A61,RawDataRecovered!AS:AS)</f>
        <v>0</v>
      </c>
      <c r="AQ61">
        <f>SUMIF(RawDataRecovered!$B:$B,$A61,RawDataRecovered!AT:AT)</f>
        <v>0</v>
      </c>
      <c r="AR61">
        <f>SUMIF(RawDataRecovered!$B:$B,$A61,RawDataRecovered!AU:AU)</f>
        <v>0</v>
      </c>
      <c r="AS61">
        <f>SUMIF(RawDataRecovered!$B:$B,$A61,RawDataRecovered!AV:AV)</f>
        <v>0</v>
      </c>
      <c r="AT61">
        <f>SUMIF(RawDataRecovered!$B:$B,$A61,RawDataRecovered!AW:AW)</f>
        <v>0</v>
      </c>
      <c r="AU61">
        <f>SUMIF(RawDataRecovered!$B:$B,$A61,RawDataRecovered!AX:AX)</f>
        <v>0</v>
      </c>
      <c r="AV61">
        <f>SUMIF(RawDataRecovered!$B:$B,$A61,RawDataRecovered!AY:AY)</f>
        <v>0</v>
      </c>
      <c r="AW61">
        <f>SUMIF(RawDataRecovered!$B:$B,$A61,RawDataRecovered!AZ:AZ)</f>
        <v>0</v>
      </c>
      <c r="AX61">
        <f>SUMIF(RawDataRecovered!$B:$B,$A61,RawDataRecovered!BA:BA)</f>
        <v>0</v>
      </c>
      <c r="AY61">
        <f>SUMIF(RawDataRecovered!$B:$B,$A61,RawDataRecovered!BB:BB)</f>
        <v>0</v>
      </c>
      <c r="AZ61">
        <f>SUMIF(RawDataRecovered!$B:$B,$A61,RawDataRecovered!BC:BC)</f>
        <v>0</v>
      </c>
      <c r="BA61">
        <f>SUMIF(RawDataRecovered!$B:$B,$A61,RawDataRecovered!BD:BD)</f>
        <v>0</v>
      </c>
      <c r="BB61">
        <f>SUMIF(RawDataRecovered!$B:$B,$A61,RawDataRecovered!BE:BE)</f>
        <v>0</v>
      </c>
      <c r="BC61">
        <f>SUMIF(RawDataRecovered!$B:$B,$A61,RawDataRecovered!BF:BF)</f>
        <v>0</v>
      </c>
      <c r="BD61">
        <f>SUMIF(RawDataRecovered!$B:$B,$A61,RawDataRecovered!BG:BG)</f>
        <v>0</v>
      </c>
      <c r="BE61">
        <f>SUMIF(RawDataRecovered!$B:$B,$A61,RawDataRecovered!BH:BH)</f>
        <v>1</v>
      </c>
      <c r="BF61">
        <f>SUMIF(RawDataRecovered!$B:$B,$A61,RawDataRecovered!BI:BI)</f>
        <v>0</v>
      </c>
      <c r="BG61">
        <f>SUMIF(RawDataRecovered!$B:$B,$A61,RawDataRecovered!BJ:BJ)</f>
        <v>0</v>
      </c>
      <c r="BH61">
        <f>SUMIF(RawDataRecovered!$B:$B,$A61,RawDataRecovered!BK:BK)</f>
        <v>0</v>
      </c>
      <c r="BI61">
        <f>SUMIF(RawDataRecovered!$B:$B,$A61,RawDataRecovered!BL:BL)</f>
        <v>0</v>
      </c>
      <c r="BJ61">
        <f>SUMIF(RawDataRecovered!$B:$B,$A61,RawDataRecovered!BM:BM)</f>
        <v>0</v>
      </c>
      <c r="BK61">
        <f>SUMIF(RawDataRecovered!$B:$B,$A61,RawDataRecovered!BN:BN)</f>
        <v>0</v>
      </c>
      <c r="BL61">
        <f>SUMIF(RawDataRecovered!$B:$B,$A61,RawDataRecovered!BO:BO)</f>
        <v>0</v>
      </c>
      <c r="BM61">
        <f>SUMIF(RawDataRecovered!$B:$B,$A61,RawDataRecovered!BP:BP)</f>
        <v>0</v>
      </c>
      <c r="BN61">
        <f>SUMIF(RawDataRecovered!$B:$B,$A61,RawDataRecovered!BQ:BQ)</f>
        <v>0</v>
      </c>
      <c r="BO61">
        <f>SUMIF(RawDataRecovered!$B:$B,$A61,RawDataRecovered!BR:BR)</f>
        <v>0</v>
      </c>
      <c r="BP61">
        <f>SUMIF(RawDataRecovered!$B:$B,$A61,RawDataRecovered!BS:BS)</f>
        <v>0</v>
      </c>
      <c r="BQ61">
        <f>SUMIF(RawDataRecovered!$B:$B,$A61,RawDataRecovered!BT:BT)</f>
        <v>0</v>
      </c>
      <c r="BR61">
        <f>SUMIF(RawDataRecovered!$B:$B,$A61,RawDataRecovered!BU:BU)</f>
        <v>0</v>
      </c>
      <c r="BS61">
        <f>SUMIF(RawDataRecovered!$B:$B,$A61,RawDataRecovered!BV:BV)</f>
        <v>0</v>
      </c>
      <c r="BT61">
        <f>SUMIF(RawDataRecovered!$B:$B,$A61,RawDataRecovered!BW:BW)</f>
        <v>0</v>
      </c>
    </row>
    <row r="62" spans="1:72" ht="15" thickBot="1" x14ac:dyDescent="0.35">
      <c r="A62" s="3" t="s">
        <v>118</v>
      </c>
      <c r="B62">
        <f>SUMIF(RawDataRecovered!$B:$B,$A62,RawDataRecovered!E:E)</f>
        <v>0</v>
      </c>
      <c r="C62">
        <f>SUMIF(RawDataRecovered!$B:$B,$A62,RawDataRecovered!F:F)</f>
        <v>0</v>
      </c>
      <c r="D62">
        <f>SUMIF(RawDataRecovered!$B:$B,$A62,RawDataRecovered!G:G)</f>
        <v>0</v>
      </c>
      <c r="E62">
        <f>SUMIF(RawDataRecovered!$B:$B,$A62,RawDataRecovered!H:H)</f>
        <v>0</v>
      </c>
      <c r="F62">
        <f>SUMIF(RawDataRecovered!$B:$B,$A62,RawDataRecovered!I:I)</f>
        <v>0</v>
      </c>
      <c r="G62">
        <f>SUMIF(RawDataRecovered!$B:$B,$A62,RawDataRecovered!J:J)</f>
        <v>0</v>
      </c>
      <c r="H62">
        <f>SUMIF(RawDataRecovered!$B:$B,$A62,RawDataRecovered!K:K)</f>
        <v>0</v>
      </c>
      <c r="I62">
        <f>SUMIF(RawDataRecovered!$B:$B,$A62,RawDataRecovered!L:L)</f>
        <v>0</v>
      </c>
      <c r="J62">
        <f>SUMIF(RawDataRecovered!$B:$B,$A62,RawDataRecovered!M:M)</f>
        <v>0</v>
      </c>
      <c r="K62">
        <f>SUMIF(RawDataRecovered!$B:$B,$A62,RawDataRecovered!N:N)</f>
        <v>0</v>
      </c>
      <c r="L62">
        <f>SUMIF(RawDataRecovered!$B:$B,$A62,RawDataRecovered!O:O)</f>
        <v>0</v>
      </c>
      <c r="M62">
        <f>SUMIF(RawDataRecovered!$B:$B,$A62,RawDataRecovered!P:P)</f>
        <v>0</v>
      </c>
      <c r="N62">
        <f>SUMIF(RawDataRecovered!$B:$B,$A62,RawDataRecovered!Q:Q)</f>
        <v>0</v>
      </c>
      <c r="O62">
        <f>SUMIF(RawDataRecovered!$B:$B,$A62,RawDataRecovered!R:R)</f>
        <v>0</v>
      </c>
      <c r="P62">
        <f>SUMIF(RawDataRecovered!$B:$B,$A62,RawDataRecovered!S:S)</f>
        <v>0</v>
      </c>
      <c r="Q62">
        <f>SUMIF(RawDataRecovered!$B:$B,$A62,RawDataRecovered!T:T)</f>
        <v>0</v>
      </c>
      <c r="R62">
        <f>SUMIF(RawDataRecovered!$B:$B,$A62,RawDataRecovered!U:U)</f>
        <v>0</v>
      </c>
      <c r="S62">
        <f>SUMIF(RawDataRecovered!$B:$B,$A62,RawDataRecovered!V:V)</f>
        <v>0</v>
      </c>
      <c r="T62">
        <f>SUMIF(RawDataRecovered!$B:$B,$A62,RawDataRecovered!W:W)</f>
        <v>0</v>
      </c>
      <c r="U62">
        <f>SUMIF(RawDataRecovered!$B:$B,$A62,RawDataRecovered!X:X)</f>
        <v>0</v>
      </c>
      <c r="V62">
        <f>SUMIF(RawDataRecovered!$B:$B,$A62,RawDataRecovered!Y:Y)</f>
        <v>0</v>
      </c>
      <c r="W62">
        <f>SUMIF(RawDataRecovered!$B:$B,$A62,RawDataRecovered!Z:Z)</f>
        <v>0</v>
      </c>
      <c r="X62">
        <f>SUMIF(RawDataRecovered!$B:$B,$A62,RawDataRecovered!AA:AA)</f>
        <v>0</v>
      </c>
      <c r="Y62">
        <f>SUMIF(RawDataRecovered!$B:$B,$A62,RawDataRecovered!AB:AB)</f>
        <v>0</v>
      </c>
      <c r="Z62">
        <f>SUMIF(RawDataRecovered!$B:$B,$A62,RawDataRecovered!AC:AC)</f>
        <v>0</v>
      </c>
      <c r="AA62">
        <f>SUMIF(RawDataRecovered!$B:$B,$A62,RawDataRecovered!AD:AD)</f>
        <v>0</v>
      </c>
      <c r="AB62">
        <f>SUMIF(RawDataRecovered!$B:$B,$A62,RawDataRecovered!AE:AE)</f>
        <v>0</v>
      </c>
      <c r="AC62">
        <f>SUMIF(RawDataRecovered!$B:$B,$A62,RawDataRecovered!AF:AF)</f>
        <v>0</v>
      </c>
      <c r="AD62">
        <f>SUMIF(RawDataRecovered!$B:$B,$A62,RawDataRecovered!AG:AG)</f>
        <v>0</v>
      </c>
      <c r="AE62">
        <f>SUMIF(RawDataRecovered!$B:$B,$A62,RawDataRecovered!AH:AH)</f>
        <v>0</v>
      </c>
      <c r="AF62">
        <f>SUMIF(RawDataRecovered!$B:$B,$A62,RawDataRecovered!AI:AI)</f>
        <v>0</v>
      </c>
      <c r="AG62">
        <f>SUMIF(RawDataRecovered!$B:$B,$A62,RawDataRecovered!AJ:AJ)</f>
        <v>0</v>
      </c>
      <c r="AH62">
        <f>SUMIF(RawDataRecovered!$B:$B,$A62,RawDataRecovered!AK:AK)</f>
        <v>0</v>
      </c>
      <c r="AI62">
        <f>SUMIF(RawDataRecovered!$B:$B,$A62,RawDataRecovered!AL:AL)</f>
        <v>0</v>
      </c>
      <c r="AJ62">
        <f>SUMIF(RawDataRecovered!$B:$B,$A62,RawDataRecovered!AM:AM)</f>
        <v>0</v>
      </c>
      <c r="AK62">
        <f>SUMIF(RawDataRecovered!$B:$B,$A62,RawDataRecovered!AN:AN)</f>
        <v>0</v>
      </c>
      <c r="AL62">
        <f>SUMIF(RawDataRecovered!$B:$B,$A62,RawDataRecovered!AO:AO)</f>
        <v>0</v>
      </c>
      <c r="AM62">
        <f>SUMIF(RawDataRecovered!$B:$B,$A62,RawDataRecovered!AP:AP)</f>
        <v>0</v>
      </c>
      <c r="AN62">
        <f>SUMIF(RawDataRecovered!$B:$B,$A62,RawDataRecovered!AQ:AQ)</f>
        <v>0</v>
      </c>
      <c r="AO62">
        <f>SUMIF(RawDataRecovered!$B:$B,$A62,RawDataRecovered!AR:AR)</f>
        <v>0</v>
      </c>
      <c r="AP62">
        <f>SUMIF(RawDataRecovered!$B:$B,$A62,RawDataRecovered!AS:AS)</f>
        <v>0</v>
      </c>
      <c r="AQ62">
        <f>SUMIF(RawDataRecovered!$B:$B,$A62,RawDataRecovered!AT:AT)</f>
        <v>0</v>
      </c>
      <c r="AR62">
        <f>SUMIF(RawDataRecovered!$B:$B,$A62,RawDataRecovered!AU:AU)</f>
        <v>0</v>
      </c>
      <c r="AS62">
        <f>SUMIF(RawDataRecovered!$B:$B,$A62,RawDataRecovered!AV:AV)</f>
        <v>0</v>
      </c>
      <c r="AT62">
        <f>SUMIF(RawDataRecovered!$B:$B,$A62,RawDataRecovered!AW:AW)</f>
        <v>0</v>
      </c>
      <c r="AU62">
        <f>SUMIF(RawDataRecovered!$B:$B,$A62,RawDataRecovered!AX:AX)</f>
        <v>0</v>
      </c>
      <c r="AV62">
        <f>SUMIF(RawDataRecovered!$B:$B,$A62,RawDataRecovered!AY:AY)</f>
        <v>0</v>
      </c>
      <c r="AW62">
        <f>SUMIF(RawDataRecovered!$B:$B,$A62,RawDataRecovered!AZ:AZ)</f>
        <v>1</v>
      </c>
      <c r="AX62">
        <f>SUMIF(RawDataRecovered!$B:$B,$A62,RawDataRecovered!BA:BA)</f>
        <v>3</v>
      </c>
      <c r="AY62">
        <f>SUMIF(RawDataRecovered!$B:$B,$A62,RawDataRecovered!BB:BB)</f>
        <v>3</v>
      </c>
      <c r="AZ62">
        <f>SUMIF(RawDataRecovered!$B:$B,$A62,RawDataRecovered!BC:BC)</f>
        <v>3</v>
      </c>
      <c r="BA62">
        <f>SUMIF(RawDataRecovered!$B:$B,$A62,RawDataRecovered!BD:BD)</f>
        <v>3</v>
      </c>
      <c r="BB62">
        <f>SUMIF(RawDataRecovered!$B:$B,$A62,RawDataRecovered!BE:BE)</f>
        <v>3</v>
      </c>
      <c r="BC62">
        <f>SUMIF(RawDataRecovered!$B:$B,$A62,RawDataRecovered!BF:BF)</f>
        <v>3</v>
      </c>
      <c r="BD62">
        <f>SUMIF(RawDataRecovered!$B:$B,$A62,RawDataRecovered!BG:BG)</f>
        <v>3</v>
      </c>
      <c r="BE62">
        <f>SUMIF(RawDataRecovered!$B:$B,$A62,RawDataRecovered!BH:BH)</f>
        <v>3</v>
      </c>
      <c r="BF62">
        <f>SUMIF(RawDataRecovered!$B:$B,$A62,RawDataRecovered!BI:BI)</f>
        <v>0</v>
      </c>
      <c r="BG62">
        <f>SUMIF(RawDataRecovered!$B:$B,$A62,RawDataRecovered!BJ:BJ)</f>
        <v>0</v>
      </c>
      <c r="BH62">
        <f>SUMIF(RawDataRecovered!$B:$B,$A62,RawDataRecovered!BK:BK)</f>
        <v>0</v>
      </c>
      <c r="BI62">
        <f>SUMIF(RawDataRecovered!$B:$B,$A62,RawDataRecovered!BL:BL)</f>
        <v>0</v>
      </c>
      <c r="BJ62">
        <f>SUMIF(RawDataRecovered!$B:$B,$A62,RawDataRecovered!BM:BM)</f>
        <v>0</v>
      </c>
      <c r="BK62">
        <f>SUMIF(RawDataRecovered!$B:$B,$A62,RawDataRecovered!BN:BN)</f>
        <v>0</v>
      </c>
      <c r="BL62">
        <f>SUMIF(RawDataRecovered!$B:$B,$A62,RawDataRecovered!BO:BO)</f>
        <v>0</v>
      </c>
      <c r="BM62">
        <f>SUMIF(RawDataRecovered!$B:$B,$A62,RawDataRecovered!BP:BP)</f>
        <v>0</v>
      </c>
      <c r="BN62">
        <f>SUMIF(RawDataRecovered!$B:$B,$A62,RawDataRecovered!BQ:BQ)</f>
        <v>0</v>
      </c>
      <c r="BO62">
        <f>SUMIF(RawDataRecovered!$B:$B,$A62,RawDataRecovered!BR:BR)</f>
        <v>0</v>
      </c>
      <c r="BP62">
        <f>SUMIF(RawDataRecovered!$B:$B,$A62,RawDataRecovered!BS:BS)</f>
        <v>0</v>
      </c>
      <c r="BQ62">
        <f>SUMIF(RawDataRecovered!$B:$B,$A62,RawDataRecovered!BT:BT)</f>
        <v>0</v>
      </c>
      <c r="BR62">
        <f>SUMIF(RawDataRecovered!$B:$B,$A62,RawDataRecovered!BU:BU)</f>
        <v>0</v>
      </c>
      <c r="BS62">
        <f>SUMIF(RawDataRecovered!$B:$B,$A62,RawDataRecovered!BV:BV)</f>
        <v>0</v>
      </c>
      <c r="BT62">
        <f>SUMIF(RawDataRecovered!$B:$B,$A62,RawDataRecovered!BW:BW)</f>
        <v>0</v>
      </c>
    </row>
    <row r="63" spans="1:72" ht="15" thickBot="1" x14ac:dyDescent="0.35">
      <c r="A63" s="3" t="s">
        <v>310</v>
      </c>
      <c r="B63">
        <f>SUMIF(RawDataRecovered!$B:$B,$A63,RawDataRecovered!E:E)</f>
        <v>0</v>
      </c>
      <c r="C63">
        <f>SUMIF(RawDataRecovered!$B:$B,$A63,RawDataRecovered!F:F)</f>
        <v>0</v>
      </c>
      <c r="D63">
        <f>SUMIF(RawDataRecovered!$B:$B,$A63,RawDataRecovered!G:G)</f>
        <v>0</v>
      </c>
      <c r="E63">
        <f>SUMIF(RawDataRecovered!$B:$B,$A63,RawDataRecovered!H:H)</f>
        <v>0</v>
      </c>
      <c r="F63">
        <f>SUMIF(RawDataRecovered!$B:$B,$A63,RawDataRecovered!I:I)</f>
        <v>0</v>
      </c>
      <c r="G63">
        <f>SUMIF(RawDataRecovered!$B:$B,$A63,RawDataRecovered!J:J)</f>
        <v>0</v>
      </c>
      <c r="H63">
        <f>SUMIF(RawDataRecovered!$B:$B,$A63,RawDataRecovered!K:K)</f>
        <v>0</v>
      </c>
      <c r="I63">
        <f>SUMIF(RawDataRecovered!$B:$B,$A63,RawDataRecovered!L:L)</f>
        <v>0</v>
      </c>
      <c r="J63">
        <f>SUMIF(RawDataRecovered!$B:$B,$A63,RawDataRecovered!M:M)</f>
        <v>0</v>
      </c>
      <c r="K63">
        <f>SUMIF(RawDataRecovered!$B:$B,$A63,RawDataRecovered!N:N)</f>
        <v>0</v>
      </c>
      <c r="L63">
        <f>SUMIF(RawDataRecovered!$B:$B,$A63,RawDataRecovered!O:O)</f>
        <v>0</v>
      </c>
      <c r="M63">
        <f>SUMIF(RawDataRecovered!$B:$B,$A63,RawDataRecovered!P:P)</f>
        <v>0</v>
      </c>
      <c r="N63">
        <f>SUMIF(RawDataRecovered!$B:$B,$A63,RawDataRecovered!Q:Q)</f>
        <v>0</v>
      </c>
      <c r="O63">
        <f>SUMIF(RawDataRecovered!$B:$B,$A63,RawDataRecovered!R:R)</f>
        <v>0</v>
      </c>
      <c r="P63">
        <f>SUMIF(RawDataRecovered!$B:$B,$A63,RawDataRecovered!S:S)</f>
        <v>0</v>
      </c>
      <c r="Q63">
        <f>SUMIF(RawDataRecovered!$B:$B,$A63,RawDataRecovered!T:T)</f>
        <v>0</v>
      </c>
      <c r="R63">
        <f>SUMIF(RawDataRecovered!$B:$B,$A63,RawDataRecovered!U:U)</f>
        <v>0</v>
      </c>
      <c r="S63">
        <f>SUMIF(RawDataRecovered!$B:$B,$A63,RawDataRecovered!V:V)</f>
        <v>0</v>
      </c>
      <c r="T63">
        <f>SUMIF(RawDataRecovered!$B:$B,$A63,RawDataRecovered!W:W)</f>
        <v>0</v>
      </c>
      <c r="U63">
        <f>SUMIF(RawDataRecovered!$B:$B,$A63,RawDataRecovered!X:X)</f>
        <v>0</v>
      </c>
      <c r="V63">
        <f>SUMIF(RawDataRecovered!$B:$B,$A63,RawDataRecovered!Y:Y)</f>
        <v>0</v>
      </c>
      <c r="W63">
        <f>SUMIF(RawDataRecovered!$B:$B,$A63,RawDataRecovered!Z:Z)</f>
        <v>0</v>
      </c>
      <c r="X63">
        <f>SUMIF(RawDataRecovered!$B:$B,$A63,RawDataRecovered!AA:AA)</f>
        <v>0</v>
      </c>
      <c r="Y63">
        <f>SUMIF(RawDataRecovered!$B:$B,$A63,RawDataRecovered!AB:AB)</f>
        <v>0</v>
      </c>
      <c r="Z63">
        <f>SUMIF(RawDataRecovered!$B:$B,$A63,RawDataRecovered!AC:AC)</f>
        <v>0</v>
      </c>
      <c r="AA63">
        <f>SUMIF(RawDataRecovered!$B:$B,$A63,RawDataRecovered!AD:AD)</f>
        <v>0</v>
      </c>
      <c r="AB63">
        <f>SUMIF(RawDataRecovered!$B:$B,$A63,RawDataRecovered!AE:AE)</f>
        <v>0</v>
      </c>
      <c r="AC63">
        <f>SUMIF(RawDataRecovered!$B:$B,$A63,RawDataRecovered!AF:AF)</f>
        <v>0</v>
      </c>
      <c r="AD63">
        <f>SUMIF(RawDataRecovered!$B:$B,$A63,RawDataRecovered!AG:AG)</f>
        <v>0</v>
      </c>
      <c r="AE63">
        <f>SUMIF(RawDataRecovered!$B:$B,$A63,RawDataRecovered!AH:AH)</f>
        <v>0</v>
      </c>
      <c r="AF63">
        <f>SUMIF(RawDataRecovered!$B:$B,$A63,RawDataRecovered!AI:AI)</f>
        <v>0</v>
      </c>
      <c r="AG63">
        <f>SUMIF(RawDataRecovered!$B:$B,$A63,RawDataRecovered!AJ:AJ)</f>
        <v>0</v>
      </c>
      <c r="AH63">
        <f>SUMIF(RawDataRecovered!$B:$B,$A63,RawDataRecovered!AK:AK)</f>
        <v>0</v>
      </c>
      <c r="AI63">
        <f>SUMIF(RawDataRecovered!$B:$B,$A63,RawDataRecovered!AL:AL)</f>
        <v>0</v>
      </c>
      <c r="AJ63">
        <f>SUMIF(RawDataRecovered!$B:$B,$A63,RawDataRecovered!AM:AM)</f>
        <v>0</v>
      </c>
      <c r="AK63">
        <f>SUMIF(RawDataRecovered!$B:$B,$A63,RawDataRecovered!AN:AN)</f>
        <v>0</v>
      </c>
      <c r="AL63">
        <f>SUMIF(RawDataRecovered!$B:$B,$A63,RawDataRecovered!AO:AO)</f>
        <v>0</v>
      </c>
      <c r="AM63">
        <f>SUMIF(RawDataRecovered!$B:$B,$A63,RawDataRecovered!AP:AP)</f>
        <v>0</v>
      </c>
      <c r="AN63">
        <f>SUMIF(RawDataRecovered!$B:$B,$A63,RawDataRecovered!AQ:AQ)</f>
        <v>0</v>
      </c>
      <c r="AO63">
        <f>SUMIF(RawDataRecovered!$B:$B,$A63,RawDataRecovered!AR:AR)</f>
        <v>0</v>
      </c>
      <c r="AP63">
        <f>SUMIF(RawDataRecovered!$B:$B,$A63,RawDataRecovered!AS:AS)</f>
        <v>0</v>
      </c>
      <c r="AQ63">
        <f>SUMIF(RawDataRecovered!$B:$B,$A63,RawDataRecovered!AT:AT)</f>
        <v>0</v>
      </c>
      <c r="AR63">
        <f>SUMIF(RawDataRecovered!$B:$B,$A63,RawDataRecovered!AU:AU)</f>
        <v>0</v>
      </c>
      <c r="AS63">
        <f>SUMIF(RawDataRecovered!$B:$B,$A63,RawDataRecovered!AV:AV)</f>
        <v>0</v>
      </c>
      <c r="AT63">
        <f>SUMIF(RawDataRecovered!$B:$B,$A63,RawDataRecovered!AW:AW)</f>
        <v>0</v>
      </c>
      <c r="AU63">
        <f>SUMIF(RawDataRecovered!$B:$B,$A63,RawDataRecovered!AX:AX)</f>
        <v>0</v>
      </c>
      <c r="AV63">
        <f>SUMIF(RawDataRecovered!$B:$B,$A63,RawDataRecovered!AY:AY)</f>
        <v>0</v>
      </c>
      <c r="AW63">
        <f>SUMIF(RawDataRecovered!$B:$B,$A63,RawDataRecovered!AZ:AZ)</f>
        <v>0</v>
      </c>
      <c r="AX63">
        <f>SUMIF(RawDataRecovered!$B:$B,$A63,RawDataRecovered!BA:BA)</f>
        <v>0</v>
      </c>
      <c r="AY63">
        <f>SUMIF(RawDataRecovered!$B:$B,$A63,RawDataRecovered!BB:BB)</f>
        <v>0</v>
      </c>
      <c r="AZ63">
        <f>SUMIF(RawDataRecovered!$B:$B,$A63,RawDataRecovered!BC:BC)</f>
        <v>0</v>
      </c>
      <c r="BA63">
        <f>SUMIF(RawDataRecovered!$B:$B,$A63,RawDataRecovered!BD:BD)</f>
        <v>0</v>
      </c>
      <c r="BB63">
        <f>SUMIF(RawDataRecovered!$B:$B,$A63,RawDataRecovered!BE:BE)</f>
        <v>0</v>
      </c>
      <c r="BC63">
        <f>SUMIF(RawDataRecovered!$B:$B,$A63,RawDataRecovered!BF:BF)</f>
        <v>0</v>
      </c>
      <c r="BD63">
        <f>SUMIF(RawDataRecovered!$B:$B,$A63,RawDataRecovered!BG:BG)</f>
        <v>0</v>
      </c>
      <c r="BE63">
        <f>SUMIF(RawDataRecovered!$B:$B,$A63,RawDataRecovered!BH:BH)</f>
        <v>0</v>
      </c>
      <c r="BF63">
        <f>SUMIF(RawDataRecovered!$B:$B,$A63,RawDataRecovered!BI:BI)</f>
        <v>0</v>
      </c>
      <c r="BG63">
        <f>SUMIF(RawDataRecovered!$B:$B,$A63,RawDataRecovered!BJ:BJ)</f>
        <v>0</v>
      </c>
      <c r="BH63">
        <f>SUMIF(RawDataRecovered!$B:$B,$A63,RawDataRecovered!BK:BK)</f>
        <v>0</v>
      </c>
      <c r="BI63">
        <f>SUMIF(RawDataRecovered!$B:$B,$A63,RawDataRecovered!BL:BL)</f>
        <v>0</v>
      </c>
      <c r="BJ63">
        <f>SUMIF(RawDataRecovered!$B:$B,$A63,RawDataRecovered!BM:BM)</f>
        <v>0</v>
      </c>
      <c r="BK63">
        <f>SUMIF(RawDataRecovered!$B:$B,$A63,RawDataRecovered!BN:BN)</f>
        <v>0</v>
      </c>
      <c r="BL63">
        <f>SUMIF(RawDataRecovered!$B:$B,$A63,RawDataRecovered!BO:BO)</f>
        <v>0</v>
      </c>
      <c r="BM63">
        <f>SUMIF(RawDataRecovered!$B:$B,$A63,RawDataRecovered!BP:BP)</f>
        <v>0</v>
      </c>
      <c r="BN63">
        <f>SUMIF(RawDataRecovered!$B:$B,$A63,RawDataRecovered!BQ:BQ)</f>
        <v>0</v>
      </c>
      <c r="BO63">
        <f>SUMIF(RawDataRecovered!$B:$B,$A63,RawDataRecovered!BR:BR)</f>
        <v>0</v>
      </c>
      <c r="BP63">
        <f>SUMIF(RawDataRecovered!$B:$B,$A63,RawDataRecovered!BS:BS)</f>
        <v>0</v>
      </c>
      <c r="BQ63">
        <f>SUMIF(RawDataRecovered!$B:$B,$A63,RawDataRecovered!BT:BT)</f>
        <v>0</v>
      </c>
      <c r="BR63">
        <f>SUMIF(RawDataRecovered!$B:$B,$A63,RawDataRecovered!BU:BU)</f>
        <v>0</v>
      </c>
      <c r="BS63">
        <f>SUMIF(RawDataRecovered!$B:$B,$A63,RawDataRecovered!BV:BV)</f>
        <v>0</v>
      </c>
      <c r="BT63">
        <f>SUMIF(RawDataRecovered!$B:$B,$A63,RawDataRecovered!BW:BW)</f>
        <v>0</v>
      </c>
    </row>
    <row r="64" spans="1:72" ht="15" thickBot="1" x14ac:dyDescent="0.35">
      <c r="A64" s="4" t="s">
        <v>102</v>
      </c>
      <c r="B64">
        <f>SUMIF(RawDataRecovered!$B:$B,$A64,RawDataRecovered!E:E)</f>
        <v>0</v>
      </c>
      <c r="C64">
        <f>SUMIF(RawDataRecovered!$B:$B,$A64,RawDataRecovered!F:F)</f>
        <v>0</v>
      </c>
      <c r="D64">
        <f>SUMIF(RawDataRecovered!$B:$B,$A64,RawDataRecovered!G:G)</f>
        <v>0</v>
      </c>
      <c r="E64">
        <f>SUMIF(RawDataRecovered!$B:$B,$A64,RawDataRecovered!H:H)</f>
        <v>0</v>
      </c>
      <c r="F64">
        <f>SUMIF(RawDataRecovered!$B:$B,$A64,RawDataRecovered!I:I)</f>
        <v>0</v>
      </c>
      <c r="G64">
        <f>SUMIF(RawDataRecovered!$B:$B,$A64,RawDataRecovered!J:J)</f>
        <v>0</v>
      </c>
      <c r="H64">
        <f>SUMIF(RawDataRecovered!$B:$B,$A64,RawDataRecovered!K:K)</f>
        <v>0</v>
      </c>
      <c r="I64">
        <f>SUMIF(RawDataRecovered!$B:$B,$A64,RawDataRecovered!L:L)</f>
        <v>0</v>
      </c>
      <c r="J64">
        <f>SUMIF(RawDataRecovered!$B:$B,$A64,RawDataRecovered!M:M)</f>
        <v>0</v>
      </c>
      <c r="K64">
        <f>SUMIF(RawDataRecovered!$B:$B,$A64,RawDataRecovered!N:N)</f>
        <v>0</v>
      </c>
      <c r="L64">
        <f>SUMIF(RawDataRecovered!$B:$B,$A64,RawDataRecovered!O:O)</f>
        <v>0</v>
      </c>
      <c r="M64">
        <f>SUMIF(RawDataRecovered!$B:$B,$A64,RawDataRecovered!P:P)</f>
        <v>0</v>
      </c>
      <c r="N64">
        <f>SUMIF(RawDataRecovered!$B:$B,$A64,RawDataRecovered!Q:Q)</f>
        <v>0</v>
      </c>
      <c r="O64">
        <f>SUMIF(RawDataRecovered!$B:$B,$A64,RawDataRecovered!R:R)</f>
        <v>0</v>
      </c>
      <c r="P64">
        <f>SUMIF(RawDataRecovered!$B:$B,$A64,RawDataRecovered!S:S)</f>
        <v>0</v>
      </c>
      <c r="Q64">
        <f>SUMIF(RawDataRecovered!$B:$B,$A64,RawDataRecovered!T:T)</f>
        <v>0</v>
      </c>
      <c r="R64">
        <f>SUMIF(RawDataRecovered!$B:$B,$A64,RawDataRecovered!U:U)</f>
        <v>0</v>
      </c>
      <c r="S64">
        <f>SUMIF(RawDataRecovered!$B:$B,$A64,RawDataRecovered!V:V)</f>
        <v>0</v>
      </c>
      <c r="T64">
        <f>SUMIF(RawDataRecovered!$B:$B,$A64,RawDataRecovered!W:W)</f>
        <v>0</v>
      </c>
      <c r="U64">
        <f>SUMIF(RawDataRecovered!$B:$B,$A64,RawDataRecovered!X:X)</f>
        <v>0</v>
      </c>
      <c r="V64">
        <f>SUMIF(RawDataRecovered!$B:$B,$A64,RawDataRecovered!Y:Y)</f>
        <v>0</v>
      </c>
      <c r="W64">
        <f>SUMIF(RawDataRecovered!$B:$B,$A64,RawDataRecovered!Z:Z)</f>
        <v>0</v>
      </c>
      <c r="X64">
        <f>SUMIF(RawDataRecovered!$B:$B,$A64,RawDataRecovered!AA:AA)</f>
        <v>0</v>
      </c>
      <c r="Y64">
        <f>SUMIF(RawDataRecovered!$B:$B,$A64,RawDataRecovered!AB:AB)</f>
        <v>0</v>
      </c>
      <c r="Z64">
        <f>SUMIF(RawDataRecovered!$B:$B,$A64,RawDataRecovered!AC:AC)</f>
        <v>0</v>
      </c>
      <c r="AA64">
        <f>SUMIF(RawDataRecovered!$B:$B,$A64,RawDataRecovered!AD:AD)</f>
        <v>0</v>
      </c>
      <c r="AB64">
        <f>SUMIF(RawDataRecovered!$B:$B,$A64,RawDataRecovered!AE:AE)</f>
        <v>0</v>
      </c>
      <c r="AC64">
        <f>SUMIF(RawDataRecovered!$B:$B,$A64,RawDataRecovered!AF:AF)</f>
        <v>0</v>
      </c>
      <c r="AD64">
        <f>SUMIF(RawDataRecovered!$B:$B,$A64,RawDataRecovered!AG:AG)</f>
        <v>0</v>
      </c>
      <c r="AE64">
        <f>SUMIF(RawDataRecovered!$B:$B,$A64,RawDataRecovered!AH:AH)</f>
        <v>0</v>
      </c>
      <c r="AF64">
        <f>SUMIF(RawDataRecovered!$B:$B,$A64,RawDataRecovered!AI:AI)</f>
        <v>0</v>
      </c>
      <c r="AG64">
        <f>SUMIF(RawDataRecovered!$B:$B,$A64,RawDataRecovered!AJ:AJ)</f>
        <v>0</v>
      </c>
      <c r="AH64">
        <f>SUMIF(RawDataRecovered!$B:$B,$A64,RawDataRecovered!AK:AK)</f>
        <v>0</v>
      </c>
      <c r="AI64">
        <f>SUMIF(RawDataRecovered!$B:$B,$A64,RawDataRecovered!AL:AL)</f>
        <v>0</v>
      </c>
      <c r="AJ64">
        <f>SUMIF(RawDataRecovered!$B:$B,$A64,RawDataRecovered!AM:AM)</f>
        <v>0</v>
      </c>
      <c r="AK64">
        <f>SUMIF(RawDataRecovered!$B:$B,$A64,RawDataRecovered!AN:AN)</f>
        <v>0</v>
      </c>
      <c r="AL64">
        <f>SUMIF(RawDataRecovered!$B:$B,$A64,RawDataRecovered!AO:AO)</f>
        <v>0</v>
      </c>
      <c r="AM64">
        <f>SUMIF(RawDataRecovered!$B:$B,$A64,RawDataRecovered!AP:AP)</f>
        <v>0</v>
      </c>
      <c r="AN64">
        <f>SUMIF(RawDataRecovered!$B:$B,$A64,RawDataRecovered!AQ:AQ)</f>
        <v>0</v>
      </c>
      <c r="AO64">
        <f>SUMIF(RawDataRecovered!$B:$B,$A64,RawDataRecovered!AR:AR)</f>
        <v>0</v>
      </c>
      <c r="AP64">
        <f>SUMIF(RawDataRecovered!$B:$B,$A64,RawDataRecovered!AS:AS)</f>
        <v>0</v>
      </c>
      <c r="AQ64">
        <f>SUMIF(RawDataRecovered!$B:$B,$A64,RawDataRecovered!AT:AT)</f>
        <v>0</v>
      </c>
      <c r="AR64">
        <f>SUMIF(RawDataRecovered!$B:$B,$A64,RawDataRecovered!AU:AU)</f>
        <v>0</v>
      </c>
      <c r="AS64">
        <f>SUMIF(RawDataRecovered!$B:$B,$A64,RawDataRecovered!AV:AV)</f>
        <v>0</v>
      </c>
      <c r="AT64">
        <f>SUMIF(RawDataRecovered!$B:$B,$A64,RawDataRecovered!AW:AW)</f>
        <v>0</v>
      </c>
      <c r="AU64">
        <f>SUMIF(RawDataRecovered!$B:$B,$A64,RawDataRecovered!AX:AX)</f>
        <v>0</v>
      </c>
      <c r="AV64">
        <f>SUMIF(RawDataRecovered!$B:$B,$A64,RawDataRecovered!AY:AY)</f>
        <v>0</v>
      </c>
      <c r="AW64">
        <f>SUMIF(RawDataRecovered!$B:$B,$A64,RawDataRecovered!AZ:AZ)</f>
        <v>0</v>
      </c>
      <c r="AX64">
        <f>SUMIF(RawDataRecovered!$B:$B,$A64,RawDataRecovered!BA:BA)</f>
        <v>0</v>
      </c>
      <c r="AY64">
        <f>SUMIF(RawDataRecovered!$B:$B,$A64,RawDataRecovered!BB:BB)</f>
        <v>0</v>
      </c>
      <c r="AZ64">
        <f>SUMIF(RawDataRecovered!$B:$B,$A64,RawDataRecovered!BC:BC)</f>
        <v>8</v>
      </c>
      <c r="BA64">
        <f>SUMIF(RawDataRecovered!$B:$B,$A64,RawDataRecovered!BD:BD)</f>
        <v>8</v>
      </c>
      <c r="BB64">
        <f>SUMIF(RawDataRecovered!$B:$B,$A64,RawDataRecovered!BE:BE)</f>
        <v>12</v>
      </c>
      <c r="BC64">
        <f>SUMIF(RawDataRecovered!$B:$B,$A64,RawDataRecovered!BF:BF)</f>
        <v>12</v>
      </c>
      <c r="BD64">
        <f>SUMIF(RawDataRecovered!$B:$B,$A64,RawDataRecovered!BG:BG)</f>
        <v>12</v>
      </c>
      <c r="BE64">
        <f>SUMIF(RawDataRecovered!$B:$B,$A64,RawDataRecovered!BH:BH)</f>
        <v>12</v>
      </c>
      <c r="BF64">
        <f>SUMIF(RawDataRecovered!$B:$B,$A64,RawDataRecovered!BI:BI)</f>
        <v>0</v>
      </c>
      <c r="BG64">
        <f>SUMIF(RawDataRecovered!$B:$B,$A64,RawDataRecovered!BJ:BJ)</f>
        <v>0</v>
      </c>
      <c r="BH64">
        <f>SUMIF(RawDataRecovered!$B:$B,$A64,RawDataRecovered!BK:BK)</f>
        <v>0</v>
      </c>
      <c r="BI64">
        <f>SUMIF(RawDataRecovered!$B:$B,$A64,RawDataRecovered!BL:BL)</f>
        <v>0</v>
      </c>
      <c r="BJ64">
        <f>SUMIF(RawDataRecovered!$B:$B,$A64,RawDataRecovered!BM:BM)</f>
        <v>0</v>
      </c>
      <c r="BK64">
        <f>SUMIF(RawDataRecovered!$B:$B,$A64,RawDataRecovered!BN:BN)</f>
        <v>0</v>
      </c>
      <c r="BL64">
        <f>SUMIF(RawDataRecovered!$B:$B,$A64,RawDataRecovered!BO:BO)</f>
        <v>0</v>
      </c>
      <c r="BM64">
        <f>SUMIF(RawDataRecovered!$B:$B,$A64,RawDataRecovered!BP:BP)</f>
        <v>0</v>
      </c>
      <c r="BN64">
        <f>SUMIF(RawDataRecovered!$B:$B,$A64,RawDataRecovered!BQ:BQ)</f>
        <v>0</v>
      </c>
      <c r="BO64">
        <f>SUMIF(RawDataRecovered!$B:$B,$A64,RawDataRecovered!BR:BR)</f>
        <v>0</v>
      </c>
      <c r="BP64">
        <f>SUMIF(RawDataRecovered!$B:$B,$A64,RawDataRecovered!BS:BS)</f>
        <v>0</v>
      </c>
      <c r="BQ64">
        <f>SUMIF(RawDataRecovered!$B:$B,$A64,RawDataRecovered!BT:BT)</f>
        <v>0</v>
      </c>
      <c r="BR64">
        <f>SUMIF(RawDataRecovered!$B:$B,$A64,RawDataRecovered!BU:BU)</f>
        <v>0</v>
      </c>
      <c r="BS64">
        <f>SUMIF(RawDataRecovered!$B:$B,$A64,RawDataRecovered!BV:BV)</f>
        <v>0</v>
      </c>
      <c r="BT64">
        <f>SUMIF(RawDataRecovered!$B:$B,$A64,RawDataRecovered!BW:BW)</f>
        <v>0</v>
      </c>
    </row>
    <row r="65" spans="1:72" ht="15" thickBot="1" x14ac:dyDescent="0.35">
      <c r="A65" s="3" t="s">
        <v>109</v>
      </c>
      <c r="B65">
        <f>SUMIF(RawDataRecovered!$B:$B,$A65,RawDataRecovered!E:E)</f>
        <v>0</v>
      </c>
      <c r="C65">
        <f>SUMIF(RawDataRecovered!$B:$B,$A65,RawDataRecovered!F:F)</f>
        <v>0</v>
      </c>
      <c r="D65">
        <f>SUMIF(RawDataRecovered!$B:$B,$A65,RawDataRecovered!G:G)</f>
        <v>0</v>
      </c>
      <c r="E65">
        <f>SUMIF(RawDataRecovered!$B:$B,$A65,RawDataRecovered!H:H)</f>
        <v>0</v>
      </c>
      <c r="F65">
        <f>SUMIF(RawDataRecovered!$B:$B,$A65,RawDataRecovered!I:I)</f>
        <v>0</v>
      </c>
      <c r="G65">
        <f>SUMIF(RawDataRecovered!$B:$B,$A65,RawDataRecovered!J:J)</f>
        <v>0</v>
      </c>
      <c r="H65">
        <f>SUMIF(RawDataRecovered!$B:$B,$A65,RawDataRecovered!K:K)</f>
        <v>0</v>
      </c>
      <c r="I65">
        <f>SUMIF(RawDataRecovered!$B:$B,$A65,RawDataRecovered!L:L)</f>
        <v>0</v>
      </c>
      <c r="J65">
        <f>SUMIF(RawDataRecovered!$B:$B,$A65,RawDataRecovered!M:M)</f>
        <v>0</v>
      </c>
      <c r="K65">
        <f>SUMIF(RawDataRecovered!$B:$B,$A65,RawDataRecovered!N:N)</f>
        <v>0</v>
      </c>
      <c r="L65">
        <f>SUMIF(RawDataRecovered!$B:$B,$A65,RawDataRecovered!O:O)</f>
        <v>0</v>
      </c>
      <c r="M65">
        <f>SUMIF(RawDataRecovered!$B:$B,$A65,RawDataRecovered!P:P)</f>
        <v>0</v>
      </c>
      <c r="N65">
        <f>SUMIF(RawDataRecovered!$B:$B,$A65,RawDataRecovered!Q:Q)</f>
        <v>0</v>
      </c>
      <c r="O65">
        <f>SUMIF(RawDataRecovered!$B:$B,$A65,RawDataRecovered!R:R)</f>
        <v>0</v>
      </c>
      <c r="P65">
        <f>SUMIF(RawDataRecovered!$B:$B,$A65,RawDataRecovered!S:S)</f>
        <v>0</v>
      </c>
      <c r="Q65">
        <f>SUMIF(RawDataRecovered!$B:$B,$A65,RawDataRecovered!T:T)</f>
        <v>0</v>
      </c>
      <c r="R65">
        <f>SUMIF(RawDataRecovered!$B:$B,$A65,RawDataRecovered!U:U)</f>
        <v>0</v>
      </c>
      <c r="S65">
        <f>SUMIF(RawDataRecovered!$B:$B,$A65,RawDataRecovered!V:V)</f>
        <v>0</v>
      </c>
      <c r="T65">
        <f>SUMIF(RawDataRecovered!$B:$B,$A65,RawDataRecovered!W:W)</f>
        <v>0</v>
      </c>
      <c r="U65">
        <f>SUMIF(RawDataRecovered!$B:$B,$A65,RawDataRecovered!X:X)</f>
        <v>0</v>
      </c>
      <c r="V65">
        <f>SUMIF(RawDataRecovered!$B:$B,$A65,RawDataRecovered!Y:Y)</f>
        <v>0</v>
      </c>
      <c r="W65">
        <f>SUMIF(RawDataRecovered!$B:$B,$A65,RawDataRecovered!Z:Z)</f>
        <v>0</v>
      </c>
      <c r="X65">
        <f>SUMIF(RawDataRecovered!$B:$B,$A65,RawDataRecovered!AA:AA)</f>
        <v>0</v>
      </c>
      <c r="Y65">
        <f>SUMIF(RawDataRecovered!$B:$B,$A65,RawDataRecovered!AB:AB)</f>
        <v>0</v>
      </c>
      <c r="Z65">
        <f>SUMIF(RawDataRecovered!$B:$B,$A65,RawDataRecovered!AC:AC)</f>
        <v>0</v>
      </c>
      <c r="AA65">
        <f>SUMIF(RawDataRecovered!$B:$B,$A65,RawDataRecovered!AD:AD)</f>
        <v>0</v>
      </c>
      <c r="AB65">
        <f>SUMIF(RawDataRecovered!$B:$B,$A65,RawDataRecovered!AE:AE)</f>
        <v>0</v>
      </c>
      <c r="AC65">
        <f>SUMIF(RawDataRecovered!$B:$B,$A65,RawDataRecovered!AF:AF)</f>
        <v>0</v>
      </c>
      <c r="AD65">
        <f>SUMIF(RawDataRecovered!$B:$B,$A65,RawDataRecovered!AG:AG)</f>
        <v>0</v>
      </c>
      <c r="AE65">
        <f>SUMIF(RawDataRecovered!$B:$B,$A65,RawDataRecovered!AH:AH)</f>
        <v>0</v>
      </c>
      <c r="AF65">
        <f>SUMIF(RawDataRecovered!$B:$B,$A65,RawDataRecovered!AI:AI)</f>
        <v>0</v>
      </c>
      <c r="AG65">
        <f>SUMIF(RawDataRecovered!$B:$B,$A65,RawDataRecovered!AJ:AJ)</f>
        <v>0</v>
      </c>
      <c r="AH65">
        <f>SUMIF(RawDataRecovered!$B:$B,$A65,RawDataRecovered!AK:AK)</f>
        <v>0</v>
      </c>
      <c r="AI65">
        <f>SUMIF(RawDataRecovered!$B:$B,$A65,RawDataRecovered!AL:AL)</f>
        <v>0</v>
      </c>
      <c r="AJ65">
        <f>SUMIF(RawDataRecovered!$B:$B,$A65,RawDataRecovered!AM:AM)</f>
        <v>0</v>
      </c>
      <c r="AK65">
        <f>SUMIF(RawDataRecovered!$B:$B,$A65,RawDataRecovered!AN:AN)</f>
        <v>0</v>
      </c>
      <c r="AL65">
        <f>SUMIF(RawDataRecovered!$B:$B,$A65,RawDataRecovered!AO:AO)</f>
        <v>0</v>
      </c>
      <c r="AM65">
        <f>SUMIF(RawDataRecovered!$B:$B,$A65,RawDataRecovered!AP:AP)</f>
        <v>0</v>
      </c>
      <c r="AN65">
        <f>SUMIF(RawDataRecovered!$B:$B,$A65,RawDataRecovered!AQ:AQ)</f>
        <v>0</v>
      </c>
      <c r="AO65">
        <f>SUMIF(RawDataRecovered!$B:$B,$A65,RawDataRecovered!AR:AR)</f>
        <v>0</v>
      </c>
      <c r="AP65">
        <f>SUMIF(RawDataRecovered!$B:$B,$A65,RawDataRecovered!AS:AS)</f>
        <v>0</v>
      </c>
      <c r="AQ65">
        <f>SUMIF(RawDataRecovered!$B:$B,$A65,RawDataRecovered!AT:AT)</f>
        <v>0</v>
      </c>
      <c r="AR65">
        <f>SUMIF(RawDataRecovered!$B:$B,$A65,RawDataRecovered!AU:AU)</f>
        <v>0</v>
      </c>
      <c r="AS65">
        <f>SUMIF(RawDataRecovered!$B:$B,$A65,RawDataRecovered!AV:AV)</f>
        <v>0</v>
      </c>
      <c r="AT65">
        <f>SUMIF(RawDataRecovered!$B:$B,$A65,RawDataRecovered!AW:AW)</f>
        <v>0</v>
      </c>
      <c r="AU65">
        <f>SUMIF(RawDataRecovered!$B:$B,$A65,RawDataRecovered!AX:AX)</f>
        <v>0</v>
      </c>
      <c r="AV65">
        <f>SUMIF(RawDataRecovered!$B:$B,$A65,RawDataRecovered!AY:AY)</f>
        <v>0</v>
      </c>
      <c r="AW65">
        <f>SUMIF(RawDataRecovered!$B:$B,$A65,RawDataRecovered!AZ:AZ)</f>
        <v>0</v>
      </c>
      <c r="AX65">
        <f>SUMIF(RawDataRecovered!$B:$B,$A65,RawDataRecovered!BA:BA)</f>
        <v>0</v>
      </c>
      <c r="AY65">
        <f>SUMIF(RawDataRecovered!$B:$B,$A65,RawDataRecovered!BB:BB)</f>
        <v>0</v>
      </c>
      <c r="AZ65">
        <f>SUMIF(RawDataRecovered!$B:$B,$A65,RawDataRecovered!BC:BC)</f>
        <v>0</v>
      </c>
      <c r="BA65">
        <f>SUMIF(RawDataRecovered!$B:$B,$A65,RawDataRecovered!BD:BD)</f>
        <v>0</v>
      </c>
      <c r="BB65">
        <f>SUMIF(RawDataRecovered!$B:$B,$A65,RawDataRecovered!BE:BE)</f>
        <v>0</v>
      </c>
      <c r="BC65">
        <f>SUMIF(RawDataRecovered!$B:$B,$A65,RawDataRecovered!BF:BF)</f>
        <v>0</v>
      </c>
      <c r="BD65">
        <f>SUMIF(RawDataRecovered!$B:$B,$A65,RawDataRecovered!BG:BG)</f>
        <v>1</v>
      </c>
      <c r="BE65">
        <f>SUMIF(RawDataRecovered!$B:$B,$A65,RawDataRecovered!BH:BH)</f>
        <v>1</v>
      </c>
      <c r="BF65">
        <f>SUMIF(RawDataRecovered!$B:$B,$A65,RawDataRecovered!BI:BI)</f>
        <v>0</v>
      </c>
      <c r="BG65">
        <f>SUMIF(RawDataRecovered!$B:$B,$A65,RawDataRecovered!BJ:BJ)</f>
        <v>0</v>
      </c>
      <c r="BH65">
        <f>SUMIF(RawDataRecovered!$B:$B,$A65,RawDataRecovered!BK:BK)</f>
        <v>0</v>
      </c>
      <c r="BI65">
        <f>SUMIF(RawDataRecovered!$B:$B,$A65,RawDataRecovered!BL:BL)</f>
        <v>0</v>
      </c>
      <c r="BJ65">
        <f>SUMIF(RawDataRecovered!$B:$B,$A65,RawDataRecovered!BM:BM)</f>
        <v>0</v>
      </c>
      <c r="BK65">
        <f>SUMIF(RawDataRecovered!$B:$B,$A65,RawDataRecovered!BN:BN)</f>
        <v>0</v>
      </c>
      <c r="BL65">
        <f>SUMIF(RawDataRecovered!$B:$B,$A65,RawDataRecovered!BO:BO)</f>
        <v>0</v>
      </c>
      <c r="BM65">
        <f>SUMIF(RawDataRecovered!$B:$B,$A65,RawDataRecovered!BP:BP)</f>
        <v>0</v>
      </c>
      <c r="BN65">
        <f>SUMIF(RawDataRecovered!$B:$B,$A65,RawDataRecovered!BQ:BQ)</f>
        <v>0</v>
      </c>
      <c r="BO65">
        <f>SUMIF(RawDataRecovered!$B:$B,$A65,RawDataRecovered!BR:BR)</f>
        <v>0</v>
      </c>
      <c r="BP65">
        <f>SUMIF(RawDataRecovered!$B:$B,$A65,RawDataRecovered!BS:BS)</f>
        <v>0</v>
      </c>
      <c r="BQ65">
        <f>SUMIF(RawDataRecovered!$B:$B,$A65,RawDataRecovered!BT:BT)</f>
        <v>0</v>
      </c>
      <c r="BR65">
        <f>SUMIF(RawDataRecovered!$B:$B,$A65,RawDataRecovered!BU:BU)</f>
        <v>0</v>
      </c>
      <c r="BS65">
        <f>SUMIF(RawDataRecovered!$B:$B,$A65,RawDataRecovered!BV:BV)</f>
        <v>0</v>
      </c>
      <c r="BT65">
        <f>SUMIF(RawDataRecovered!$B:$B,$A65,RawDataRecovered!BW:BW)</f>
        <v>0</v>
      </c>
    </row>
    <row r="66" spans="1:72" ht="15" thickBot="1" x14ac:dyDescent="0.35">
      <c r="A66" s="3" t="s">
        <v>172</v>
      </c>
      <c r="B66">
        <f>SUMIF(RawDataRecovered!$B:$B,$A66,RawDataRecovered!E:E)</f>
        <v>0</v>
      </c>
      <c r="C66">
        <f>SUMIF(RawDataRecovered!$B:$B,$A66,RawDataRecovered!F:F)</f>
        <v>0</v>
      </c>
      <c r="D66">
        <f>SUMIF(RawDataRecovered!$B:$B,$A66,RawDataRecovered!G:G)</f>
        <v>0</v>
      </c>
      <c r="E66">
        <f>SUMIF(RawDataRecovered!$B:$B,$A66,RawDataRecovered!H:H)</f>
        <v>0</v>
      </c>
      <c r="F66">
        <f>SUMIF(RawDataRecovered!$B:$B,$A66,RawDataRecovered!I:I)</f>
        <v>0</v>
      </c>
      <c r="G66">
        <f>SUMIF(RawDataRecovered!$B:$B,$A66,RawDataRecovered!J:J)</f>
        <v>0</v>
      </c>
      <c r="H66">
        <f>SUMIF(RawDataRecovered!$B:$B,$A66,RawDataRecovered!K:K)</f>
        <v>0</v>
      </c>
      <c r="I66">
        <f>SUMIF(RawDataRecovered!$B:$B,$A66,RawDataRecovered!L:L)</f>
        <v>0</v>
      </c>
      <c r="J66">
        <f>SUMIF(RawDataRecovered!$B:$B,$A66,RawDataRecovered!M:M)</f>
        <v>0</v>
      </c>
      <c r="K66">
        <f>SUMIF(RawDataRecovered!$B:$B,$A66,RawDataRecovered!N:N)</f>
        <v>0</v>
      </c>
      <c r="L66">
        <f>SUMIF(RawDataRecovered!$B:$B,$A66,RawDataRecovered!O:O)</f>
        <v>0</v>
      </c>
      <c r="M66">
        <f>SUMIF(RawDataRecovered!$B:$B,$A66,RawDataRecovered!P:P)</f>
        <v>0</v>
      </c>
      <c r="N66">
        <f>SUMIF(RawDataRecovered!$B:$B,$A66,RawDataRecovered!Q:Q)</f>
        <v>0</v>
      </c>
      <c r="O66">
        <f>SUMIF(RawDataRecovered!$B:$B,$A66,RawDataRecovered!R:R)</f>
        <v>0</v>
      </c>
      <c r="P66">
        <f>SUMIF(RawDataRecovered!$B:$B,$A66,RawDataRecovered!S:S)</f>
        <v>0</v>
      </c>
      <c r="Q66">
        <f>SUMIF(RawDataRecovered!$B:$B,$A66,RawDataRecovered!T:T)</f>
        <v>0</v>
      </c>
      <c r="R66">
        <f>SUMIF(RawDataRecovered!$B:$B,$A66,RawDataRecovered!U:U)</f>
        <v>0</v>
      </c>
      <c r="S66">
        <f>SUMIF(RawDataRecovered!$B:$B,$A66,RawDataRecovered!V:V)</f>
        <v>0</v>
      </c>
      <c r="T66">
        <f>SUMIF(RawDataRecovered!$B:$B,$A66,RawDataRecovered!W:W)</f>
        <v>0</v>
      </c>
      <c r="U66">
        <f>SUMIF(RawDataRecovered!$B:$B,$A66,RawDataRecovered!X:X)</f>
        <v>0</v>
      </c>
      <c r="V66">
        <f>SUMIF(RawDataRecovered!$B:$B,$A66,RawDataRecovered!Y:Y)</f>
        <v>0</v>
      </c>
      <c r="W66">
        <f>SUMIF(RawDataRecovered!$B:$B,$A66,RawDataRecovered!Z:Z)</f>
        <v>0</v>
      </c>
      <c r="X66">
        <f>SUMIF(RawDataRecovered!$B:$B,$A66,RawDataRecovered!AA:AA)</f>
        <v>0</v>
      </c>
      <c r="Y66">
        <f>SUMIF(RawDataRecovered!$B:$B,$A66,RawDataRecovered!AB:AB)</f>
        <v>0</v>
      </c>
      <c r="Z66">
        <f>SUMIF(RawDataRecovered!$B:$B,$A66,RawDataRecovered!AC:AC)</f>
        <v>0</v>
      </c>
      <c r="AA66">
        <f>SUMIF(RawDataRecovered!$B:$B,$A66,RawDataRecovered!AD:AD)</f>
        <v>0</v>
      </c>
      <c r="AB66">
        <f>SUMIF(RawDataRecovered!$B:$B,$A66,RawDataRecovered!AE:AE)</f>
        <v>0</v>
      </c>
      <c r="AC66">
        <f>SUMIF(RawDataRecovered!$B:$B,$A66,RawDataRecovered!AF:AF)</f>
        <v>0</v>
      </c>
      <c r="AD66">
        <f>SUMIF(RawDataRecovered!$B:$B,$A66,RawDataRecovered!AG:AG)</f>
        <v>0</v>
      </c>
      <c r="AE66">
        <f>SUMIF(RawDataRecovered!$B:$B,$A66,RawDataRecovered!AH:AH)</f>
        <v>0</v>
      </c>
      <c r="AF66">
        <f>SUMIF(RawDataRecovered!$B:$B,$A66,RawDataRecovered!AI:AI)</f>
        <v>0</v>
      </c>
      <c r="AG66">
        <f>SUMIF(RawDataRecovered!$B:$B,$A66,RawDataRecovered!AJ:AJ)</f>
        <v>0</v>
      </c>
      <c r="AH66">
        <f>SUMIF(RawDataRecovered!$B:$B,$A66,RawDataRecovered!AK:AK)</f>
        <v>0</v>
      </c>
      <c r="AI66">
        <f>SUMIF(RawDataRecovered!$B:$B,$A66,RawDataRecovered!AL:AL)</f>
        <v>0</v>
      </c>
      <c r="AJ66">
        <f>SUMIF(RawDataRecovered!$B:$B,$A66,RawDataRecovered!AM:AM)</f>
        <v>0</v>
      </c>
      <c r="AK66">
        <f>SUMIF(RawDataRecovered!$B:$B,$A66,RawDataRecovered!AN:AN)</f>
        <v>0</v>
      </c>
      <c r="AL66">
        <f>SUMIF(RawDataRecovered!$B:$B,$A66,RawDataRecovered!AO:AO)</f>
        <v>0</v>
      </c>
      <c r="AM66">
        <f>SUMIF(RawDataRecovered!$B:$B,$A66,RawDataRecovered!AP:AP)</f>
        <v>0</v>
      </c>
      <c r="AN66">
        <f>SUMIF(RawDataRecovered!$B:$B,$A66,RawDataRecovered!AQ:AQ)</f>
        <v>0</v>
      </c>
      <c r="AO66">
        <f>SUMIF(RawDataRecovered!$B:$B,$A66,RawDataRecovered!AR:AR)</f>
        <v>0</v>
      </c>
      <c r="AP66">
        <f>SUMIF(RawDataRecovered!$B:$B,$A66,RawDataRecovered!AS:AS)</f>
        <v>0</v>
      </c>
      <c r="AQ66">
        <f>SUMIF(RawDataRecovered!$B:$B,$A66,RawDataRecovered!AT:AT)</f>
        <v>0</v>
      </c>
      <c r="AR66">
        <f>SUMIF(RawDataRecovered!$B:$B,$A66,RawDataRecovered!AU:AU)</f>
        <v>0</v>
      </c>
      <c r="AS66">
        <f>SUMIF(RawDataRecovered!$B:$B,$A66,RawDataRecovered!AV:AV)</f>
        <v>0</v>
      </c>
      <c r="AT66">
        <f>SUMIF(RawDataRecovered!$B:$B,$A66,RawDataRecovered!AW:AW)</f>
        <v>0</v>
      </c>
      <c r="AU66">
        <f>SUMIF(RawDataRecovered!$B:$B,$A66,RawDataRecovered!AX:AX)</f>
        <v>0</v>
      </c>
      <c r="AV66">
        <f>SUMIF(RawDataRecovered!$B:$B,$A66,RawDataRecovered!AY:AY)</f>
        <v>0</v>
      </c>
      <c r="AW66">
        <f>SUMIF(RawDataRecovered!$B:$B,$A66,RawDataRecovered!AZ:AZ)</f>
        <v>0</v>
      </c>
      <c r="AX66">
        <f>SUMIF(RawDataRecovered!$B:$B,$A66,RawDataRecovered!BA:BA)</f>
        <v>0</v>
      </c>
      <c r="AY66">
        <f>SUMIF(RawDataRecovered!$B:$B,$A66,RawDataRecovered!BB:BB)</f>
        <v>0</v>
      </c>
      <c r="AZ66">
        <f>SUMIF(RawDataRecovered!$B:$B,$A66,RawDataRecovered!BC:BC)</f>
        <v>0</v>
      </c>
      <c r="BA66">
        <f>SUMIF(RawDataRecovered!$B:$B,$A66,RawDataRecovered!BD:BD)</f>
        <v>0</v>
      </c>
      <c r="BB66">
        <f>SUMIF(RawDataRecovered!$B:$B,$A66,RawDataRecovered!BE:BE)</f>
        <v>0</v>
      </c>
      <c r="BC66">
        <f>SUMIF(RawDataRecovered!$B:$B,$A66,RawDataRecovered!BF:BF)</f>
        <v>0</v>
      </c>
      <c r="BD66">
        <f>SUMIF(RawDataRecovered!$B:$B,$A66,RawDataRecovered!BG:BG)</f>
        <v>0</v>
      </c>
      <c r="BE66">
        <f>SUMIF(RawDataRecovered!$B:$B,$A66,RawDataRecovered!BH:BH)</f>
        <v>0</v>
      </c>
      <c r="BF66">
        <f>SUMIF(RawDataRecovered!$B:$B,$A66,RawDataRecovered!BI:BI)</f>
        <v>0</v>
      </c>
      <c r="BG66">
        <f>SUMIF(RawDataRecovered!$B:$B,$A66,RawDataRecovered!BJ:BJ)</f>
        <v>0</v>
      </c>
      <c r="BH66">
        <f>SUMIF(RawDataRecovered!$B:$B,$A66,RawDataRecovered!BK:BK)</f>
        <v>0</v>
      </c>
      <c r="BI66">
        <f>SUMIF(RawDataRecovered!$B:$B,$A66,RawDataRecovered!BL:BL)</f>
        <v>0</v>
      </c>
      <c r="BJ66">
        <f>SUMIF(RawDataRecovered!$B:$B,$A66,RawDataRecovered!BM:BM)</f>
        <v>0</v>
      </c>
      <c r="BK66">
        <f>SUMIF(RawDataRecovered!$B:$B,$A66,RawDataRecovered!BN:BN)</f>
        <v>0</v>
      </c>
      <c r="BL66">
        <f>SUMIF(RawDataRecovered!$B:$B,$A66,RawDataRecovered!BO:BO)</f>
        <v>0</v>
      </c>
      <c r="BM66">
        <f>SUMIF(RawDataRecovered!$B:$B,$A66,RawDataRecovered!BP:BP)</f>
        <v>0</v>
      </c>
      <c r="BN66">
        <f>SUMIF(RawDataRecovered!$B:$B,$A66,RawDataRecovered!BQ:BQ)</f>
        <v>0</v>
      </c>
      <c r="BO66">
        <f>SUMIF(RawDataRecovered!$B:$B,$A66,RawDataRecovered!BR:BR)</f>
        <v>0</v>
      </c>
      <c r="BP66">
        <f>SUMIF(RawDataRecovered!$B:$B,$A66,RawDataRecovered!BS:BS)</f>
        <v>0</v>
      </c>
      <c r="BQ66">
        <f>SUMIF(RawDataRecovered!$B:$B,$A66,RawDataRecovered!BT:BT)</f>
        <v>0</v>
      </c>
      <c r="BR66">
        <f>SUMIF(RawDataRecovered!$B:$B,$A66,RawDataRecovered!BU:BU)</f>
        <v>0</v>
      </c>
      <c r="BS66">
        <f>SUMIF(RawDataRecovered!$B:$B,$A66,RawDataRecovered!BV:BV)</f>
        <v>0</v>
      </c>
      <c r="BT66">
        <f>SUMIF(RawDataRecovered!$B:$B,$A66,RawDataRecovered!BW:BW)</f>
        <v>0</v>
      </c>
    </row>
    <row r="67" spans="1:72" ht="15" thickBot="1" x14ac:dyDescent="0.35">
      <c r="A67" s="3" t="s">
        <v>226</v>
      </c>
      <c r="B67">
        <f>SUMIF(RawDataRecovered!$B:$B,$A67,RawDataRecovered!E:E)</f>
        <v>0</v>
      </c>
      <c r="C67">
        <f>SUMIF(RawDataRecovered!$B:$B,$A67,RawDataRecovered!F:F)</f>
        <v>0</v>
      </c>
      <c r="D67">
        <f>SUMIF(RawDataRecovered!$B:$B,$A67,RawDataRecovered!G:G)</f>
        <v>0</v>
      </c>
      <c r="E67">
        <f>SUMIF(RawDataRecovered!$B:$B,$A67,RawDataRecovered!H:H)</f>
        <v>0</v>
      </c>
      <c r="F67">
        <f>SUMIF(RawDataRecovered!$B:$B,$A67,RawDataRecovered!I:I)</f>
        <v>0</v>
      </c>
      <c r="G67">
        <f>SUMIF(RawDataRecovered!$B:$B,$A67,RawDataRecovered!J:J)</f>
        <v>0</v>
      </c>
      <c r="H67">
        <f>SUMIF(RawDataRecovered!$B:$B,$A67,RawDataRecovered!K:K)</f>
        <v>0</v>
      </c>
      <c r="I67">
        <f>SUMIF(RawDataRecovered!$B:$B,$A67,RawDataRecovered!L:L)</f>
        <v>0</v>
      </c>
      <c r="J67">
        <f>SUMIF(RawDataRecovered!$B:$B,$A67,RawDataRecovered!M:M)</f>
        <v>0</v>
      </c>
      <c r="K67">
        <f>SUMIF(RawDataRecovered!$B:$B,$A67,RawDataRecovered!N:N)</f>
        <v>0</v>
      </c>
      <c r="L67">
        <f>SUMIF(RawDataRecovered!$B:$B,$A67,RawDataRecovered!O:O)</f>
        <v>0</v>
      </c>
      <c r="M67">
        <f>SUMIF(RawDataRecovered!$B:$B,$A67,RawDataRecovered!P:P)</f>
        <v>0</v>
      </c>
      <c r="N67">
        <f>SUMIF(RawDataRecovered!$B:$B,$A67,RawDataRecovered!Q:Q)</f>
        <v>0</v>
      </c>
      <c r="O67">
        <f>SUMIF(RawDataRecovered!$B:$B,$A67,RawDataRecovered!R:R)</f>
        <v>0</v>
      </c>
      <c r="P67">
        <f>SUMIF(RawDataRecovered!$B:$B,$A67,RawDataRecovered!S:S)</f>
        <v>0</v>
      </c>
      <c r="Q67">
        <f>SUMIF(RawDataRecovered!$B:$B,$A67,RawDataRecovered!T:T)</f>
        <v>0</v>
      </c>
      <c r="R67">
        <f>SUMIF(RawDataRecovered!$B:$B,$A67,RawDataRecovered!U:U)</f>
        <v>0</v>
      </c>
      <c r="S67">
        <f>SUMIF(RawDataRecovered!$B:$B,$A67,RawDataRecovered!V:V)</f>
        <v>0</v>
      </c>
      <c r="T67">
        <f>SUMIF(RawDataRecovered!$B:$B,$A67,RawDataRecovered!W:W)</f>
        <v>0</v>
      </c>
      <c r="U67">
        <f>SUMIF(RawDataRecovered!$B:$B,$A67,RawDataRecovered!X:X)</f>
        <v>0</v>
      </c>
      <c r="V67">
        <f>SUMIF(RawDataRecovered!$B:$B,$A67,RawDataRecovered!Y:Y)</f>
        <v>0</v>
      </c>
      <c r="W67">
        <f>SUMIF(RawDataRecovered!$B:$B,$A67,RawDataRecovered!Z:Z)</f>
        <v>0</v>
      </c>
      <c r="X67">
        <f>SUMIF(RawDataRecovered!$B:$B,$A67,RawDataRecovered!AA:AA)</f>
        <v>0</v>
      </c>
      <c r="Y67">
        <f>SUMIF(RawDataRecovered!$B:$B,$A67,RawDataRecovered!AB:AB)</f>
        <v>0</v>
      </c>
      <c r="Z67">
        <f>SUMIF(RawDataRecovered!$B:$B,$A67,RawDataRecovered!AC:AC)</f>
        <v>0</v>
      </c>
      <c r="AA67">
        <f>SUMIF(RawDataRecovered!$B:$B,$A67,RawDataRecovered!AD:AD)</f>
        <v>0</v>
      </c>
      <c r="AB67">
        <f>SUMIF(RawDataRecovered!$B:$B,$A67,RawDataRecovered!AE:AE)</f>
        <v>0</v>
      </c>
      <c r="AC67">
        <f>SUMIF(RawDataRecovered!$B:$B,$A67,RawDataRecovered!AF:AF)</f>
        <v>0</v>
      </c>
      <c r="AD67">
        <f>SUMIF(RawDataRecovered!$B:$B,$A67,RawDataRecovered!AG:AG)</f>
        <v>0</v>
      </c>
      <c r="AE67">
        <f>SUMIF(RawDataRecovered!$B:$B,$A67,RawDataRecovered!AH:AH)</f>
        <v>0</v>
      </c>
      <c r="AF67">
        <f>SUMIF(RawDataRecovered!$B:$B,$A67,RawDataRecovered!AI:AI)</f>
        <v>0</v>
      </c>
      <c r="AG67">
        <f>SUMIF(RawDataRecovered!$B:$B,$A67,RawDataRecovered!AJ:AJ)</f>
        <v>0</v>
      </c>
      <c r="AH67">
        <f>SUMIF(RawDataRecovered!$B:$B,$A67,RawDataRecovered!AK:AK)</f>
        <v>0</v>
      </c>
      <c r="AI67">
        <f>SUMIF(RawDataRecovered!$B:$B,$A67,RawDataRecovered!AL:AL)</f>
        <v>0</v>
      </c>
      <c r="AJ67">
        <f>SUMIF(RawDataRecovered!$B:$B,$A67,RawDataRecovered!AM:AM)</f>
        <v>0</v>
      </c>
      <c r="AK67">
        <f>SUMIF(RawDataRecovered!$B:$B,$A67,RawDataRecovered!AN:AN)</f>
        <v>0</v>
      </c>
      <c r="AL67">
        <f>SUMIF(RawDataRecovered!$B:$B,$A67,RawDataRecovered!AO:AO)</f>
        <v>0</v>
      </c>
      <c r="AM67">
        <f>SUMIF(RawDataRecovered!$B:$B,$A67,RawDataRecovered!AP:AP)</f>
        <v>0</v>
      </c>
      <c r="AN67">
        <f>SUMIF(RawDataRecovered!$B:$B,$A67,RawDataRecovered!AQ:AQ)</f>
        <v>0</v>
      </c>
      <c r="AO67">
        <f>SUMIF(RawDataRecovered!$B:$B,$A67,RawDataRecovered!AR:AR)</f>
        <v>0</v>
      </c>
      <c r="AP67">
        <f>SUMIF(RawDataRecovered!$B:$B,$A67,RawDataRecovered!AS:AS)</f>
        <v>0</v>
      </c>
      <c r="AQ67">
        <f>SUMIF(RawDataRecovered!$B:$B,$A67,RawDataRecovered!AT:AT)</f>
        <v>0</v>
      </c>
      <c r="AR67">
        <f>SUMIF(RawDataRecovered!$B:$B,$A67,RawDataRecovered!AU:AU)</f>
        <v>0</v>
      </c>
      <c r="AS67">
        <f>SUMIF(RawDataRecovered!$B:$B,$A67,RawDataRecovered!AV:AV)</f>
        <v>0</v>
      </c>
      <c r="AT67">
        <f>SUMIF(RawDataRecovered!$B:$B,$A67,RawDataRecovered!AW:AW)</f>
        <v>0</v>
      </c>
      <c r="AU67">
        <f>SUMIF(RawDataRecovered!$B:$B,$A67,RawDataRecovered!AX:AX)</f>
        <v>0</v>
      </c>
      <c r="AV67">
        <f>SUMIF(RawDataRecovered!$B:$B,$A67,RawDataRecovered!AY:AY)</f>
        <v>0</v>
      </c>
      <c r="AW67">
        <f>SUMIF(RawDataRecovered!$B:$B,$A67,RawDataRecovered!AZ:AZ)</f>
        <v>0</v>
      </c>
      <c r="AX67">
        <f>SUMIF(RawDataRecovered!$B:$B,$A67,RawDataRecovered!BA:BA)</f>
        <v>0</v>
      </c>
      <c r="AY67">
        <f>SUMIF(RawDataRecovered!$B:$B,$A67,RawDataRecovered!BB:BB)</f>
        <v>0</v>
      </c>
      <c r="AZ67">
        <f>SUMIF(RawDataRecovered!$B:$B,$A67,RawDataRecovered!BC:BC)</f>
        <v>0</v>
      </c>
      <c r="BA67">
        <f>SUMIF(RawDataRecovered!$B:$B,$A67,RawDataRecovered!BD:BD)</f>
        <v>0</v>
      </c>
      <c r="BB67">
        <f>SUMIF(RawDataRecovered!$B:$B,$A67,RawDataRecovered!BE:BE)</f>
        <v>0</v>
      </c>
      <c r="BC67">
        <f>SUMIF(RawDataRecovered!$B:$B,$A67,RawDataRecovered!BF:BF)</f>
        <v>0</v>
      </c>
      <c r="BD67">
        <f>SUMIF(RawDataRecovered!$B:$B,$A67,RawDataRecovered!BG:BG)</f>
        <v>0</v>
      </c>
      <c r="BE67">
        <f>SUMIF(RawDataRecovered!$B:$B,$A67,RawDataRecovered!BH:BH)</f>
        <v>0</v>
      </c>
      <c r="BF67">
        <f>SUMIF(RawDataRecovered!$B:$B,$A67,RawDataRecovered!BI:BI)</f>
        <v>0</v>
      </c>
      <c r="BG67">
        <f>SUMIF(RawDataRecovered!$B:$B,$A67,RawDataRecovered!BJ:BJ)</f>
        <v>0</v>
      </c>
      <c r="BH67">
        <f>SUMIF(RawDataRecovered!$B:$B,$A67,RawDataRecovered!BK:BK)</f>
        <v>0</v>
      </c>
      <c r="BI67">
        <f>SUMIF(RawDataRecovered!$B:$B,$A67,RawDataRecovered!BL:BL)</f>
        <v>0</v>
      </c>
      <c r="BJ67">
        <f>SUMIF(RawDataRecovered!$B:$B,$A67,RawDataRecovered!BM:BM)</f>
        <v>0</v>
      </c>
      <c r="BK67">
        <f>SUMIF(RawDataRecovered!$B:$B,$A67,RawDataRecovered!BN:BN)</f>
        <v>0</v>
      </c>
      <c r="BL67">
        <f>SUMIF(RawDataRecovered!$B:$B,$A67,RawDataRecovered!BO:BO)</f>
        <v>0</v>
      </c>
      <c r="BM67">
        <f>SUMIF(RawDataRecovered!$B:$B,$A67,RawDataRecovered!BP:BP)</f>
        <v>0</v>
      </c>
      <c r="BN67">
        <f>SUMIF(RawDataRecovered!$B:$B,$A67,RawDataRecovered!BQ:BQ)</f>
        <v>0</v>
      </c>
      <c r="BO67">
        <f>SUMIF(RawDataRecovered!$B:$B,$A67,RawDataRecovered!BR:BR)</f>
        <v>0</v>
      </c>
      <c r="BP67">
        <f>SUMIF(RawDataRecovered!$B:$B,$A67,RawDataRecovered!BS:BS)</f>
        <v>0</v>
      </c>
      <c r="BQ67">
        <f>SUMIF(RawDataRecovered!$B:$B,$A67,RawDataRecovered!BT:BT)</f>
        <v>0</v>
      </c>
      <c r="BR67">
        <f>SUMIF(RawDataRecovered!$B:$B,$A67,RawDataRecovered!BU:BU)</f>
        <v>0</v>
      </c>
      <c r="BS67">
        <f>SUMIF(RawDataRecovered!$B:$B,$A67,RawDataRecovered!BV:BV)</f>
        <v>0</v>
      </c>
      <c r="BT67">
        <f>SUMIF(RawDataRecovered!$B:$B,$A67,RawDataRecovered!BW:BW)</f>
        <v>0</v>
      </c>
    </row>
    <row r="68" spans="1:72" ht="15" thickBot="1" x14ac:dyDescent="0.35">
      <c r="A68" s="3" t="s">
        <v>186</v>
      </c>
      <c r="B68">
        <f>SUMIF(RawDataRecovered!$B:$B,$A68,RawDataRecovered!E:E)</f>
        <v>0</v>
      </c>
      <c r="C68">
        <f>SUMIF(RawDataRecovered!$B:$B,$A68,RawDataRecovered!F:F)</f>
        <v>0</v>
      </c>
      <c r="D68">
        <f>SUMIF(RawDataRecovered!$B:$B,$A68,RawDataRecovered!G:G)</f>
        <v>0</v>
      </c>
      <c r="E68">
        <f>SUMIF(RawDataRecovered!$B:$B,$A68,RawDataRecovered!H:H)</f>
        <v>0</v>
      </c>
      <c r="F68">
        <f>SUMIF(RawDataRecovered!$B:$B,$A68,RawDataRecovered!I:I)</f>
        <v>0</v>
      </c>
      <c r="G68">
        <f>SUMIF(RawDataRecovered!$B:$B,$A68,RawDataRecovered!J:J)</f>
        <v>0</v>
      </c>
      <c r="H68">
        <f>SUMIF(RawDataRecovered!$B:$B,$A68,RawDataRecovered!K:K)</f>
        <v>0</v>
      </c>
      <c r="I68">
        <f>SUMIF(RawDataRecovered!$B:$B,$A68,RawDataRecovered!L:L)</f>
        <v>0</v>
      </c>
      <c r="J68">
        <f>SUMIF(RawDataRecovered!$B:$B,$A68,RawDataRecovered!M:M)</f>
        <v>0</v>
      </c>
      <c r="K68">
        <f>SUMIF(RawDataRecovered!$B:$B,$A68,RawDataRecovered!N:N)</f>
        <v>0</v>
      </c>
      <c r="L68">
        <f>SUMIF(RawDataRecovered!$B:$B,$A68,RawDataRecovered!O:O)</f>
        <v>0</v>
      </c>
      <c r="M68">
        <f>SUMIF(RawDataRecovered!$B:$B,$A68,RawDataRecovered!P:P)</f>
        <v>0</v>
      </c>
      <c r="N68">
        <f>SUMIF(RawDataRecovered!$B:$B,$A68,RawDataRecovered!Q:Q)</f>
        <v>0</v>
      </c>
      <c r="O68">
        <f>SUMIF(RawDataRecovered!$B:$B,$A68,RawDataRecovered!R:R)</f>
        <v>0</v>
      </c>
      <c r="P68">
        <f>SUMIF(RawDataRecovered!$B:$B,$A68,RawDataRecovered!S:S)</f>
        <v>0</v>
      </c>
      <c r="Q68">
        <f>SUMIF(RawDataRecovered!$B:$B,$A68,RawDataRecovered!T:T)</f>
        <v>0</v>
      </c>
      <c r="R68">
        <f>SUMIF(RawDataRecovered!$B:$B,$A68,RawDataRecovered!U:U)</f>
        <v>0</v>
      </c>
      <c r="S68">
        <f>SUMIF(RawDataRecovered!$B:$B,$A68,RawDataRecovered!V:V)</f>
        <v>0</v>
      </c>
      <c r="T68">
        <f>SUMIF(RawDataRecovered!$B:$B,$A68,RawDataRecovered!W:W)</f>
        <v>0</v>
      </c>
      <c r="U68">
        <f>SUMIF(RawDataRecovered!$B:$B,$A68,RawDataRecovered!X:X)</f>
        <v>0</v>
      </c>
      <c r="V68">
        <f>SUMIF(RawDataRecovered!$B:$B,$A68,RawDataRecovered!Y:Y)</f>
        <v>0</v>
      </c>
      <c r="W68">
        <f>SUMIF(RawDataRecovered!$B:$B,$A68,RawDataRecovered!Z:Z)</f>
        <v>0</v>
      </c>
      <c r="X68">
        <f>SUMIF(RawDataRecovered!$B:$B,$A68,RawDataRecovered!AA:AA)</f>
        <v>0</v>
      </c>
      <c r="Y68">
        <f>SUMIF(RawDataRecovered!$B:$B,$A68,RawDataRecovered!AB:AB)</f>
        <v>0</v>
      </c>
      <c r="Z68">
        <f>SUMIF(RawDataRecovered!$B:$B,$A68,RawDataRecovered!AC:AC)</f>
        <v>0</v>
      </c>
      <c r="AA68">
        <f>SUMIF(RawDataRecovered!$B:$B,$A68,RawDataRecovered!AD:AD)</f>
        <v>0</v>
      </c>
      <c r="AB68">
        <f>SUMIF(RawDataRecovered!$B:$B,$A68,RawDataRecovered!AE:AE)</f>
        <v>0</v>
      </c>
      <c r="AC68">
        <f>SUMIF(RawDataRecovered!$B:$B,$A68,RawDataRecovered!AF:AF)</f>
        <v>0</v>
      </c>
      <c r="AD68">
        <f>SUMIF(RawDataRecovered!$B:$B,$A68,RawDataRecovered!AG:AG)</f>
        <v>0</v>
      </c>
      <c r="AE68">
        <f>SUMIF(RawDataRecovered!$B:$B,$A68,RawDataRecovered!AH:AH)</f>
        <v>0</v>
      </c>
      <c r="AF68">
        <f>SUMIF(RawDataRecovered!$B:$B,$A68,RawDataRecovered!AI:AI)</f>
        <v>0</v>
      </c>
      <c r="AG68">
        <f>SUMIF(RawDataRecovered!$B:$B,$A68,RawDataRecovered!AJ:AJ)</f>
        <v>0</v>
      </c>
      <c r="AH68">
        <f>SUMIF(RawDataRecovered!$B:$B,$A68,RawDataRecovered!AK:AK)</f>
        <v>0</v>
      </c>
      <c r="AI68">
        <f>SUMIF(RawDataRecovered!$B:$B,$A68,RawDataRecovered!AL:AL)</f>
        <v>0</v>
      </c>
      <c r="AJ68">
        <f>SUMIF(RawDataRecovered!$B:$B,$A68,RawDataRecovered!AM:AM)</f>
        <v>0</v>
      </c>
      <c r="AK68">
        <f>SUMIF(RawDataRecovered!$B:$B,$A68,RawDataRecovered!AN:AN)</f>
        <v>0</v>
      </c>
      <c r="AL68">
        <f>SUMIF(RawDataRecovered!$B:$B,$A68,RawDataRecovered!AO:AO)</f>
        <v>0</v>
      </c>
      <c r="AM68">
        <f>SUMIF(RawDataRecovered!$B:$B,$A68,RawDataRecovered!AP:AP)</f>
        <v>0</v>
      </c>
      <c r="AN68">
        <f>SUMIF(RawDataRecovered!$B:$B,$A68,RawDataRecovered!AQ:AQ)</f>
        <v>0</v>
      </c>
      <c r="AO68">
        <f>SUMIF(RawDataRecovered!$B:$B,$A68,RawDataRecovered!AR:AR)</f>
        <v>0</v>
      </c>
      <c r="AP68">
        <f>SUMIF(RawDataRecovered!$B:$B,$A68,RawDataRecovered!AS:AS)</f>
        <v>0</v>
      </c>
      <c r="AQ68">
        <f>SUMIF(RawDataRecovered!$B:$B,$A68,RawDataRecovered!AT:AT)</f>
        <v>0</v>
      </c>
      <c r="AR68">
        <f>SUMIF(RawDataRecovered!$B:$B,$A68,RawDataRecovered!AU:AU)</f>
        <v>0</v>
      </c>
      <c r="AS68">
        <f>SUMIF(RawDataRecovered!$B:$B,$A68,RawDataRecovered!AV:AV)</f>
        <v>0</v>
      </c>
      <c r="AT68">
        <f>SUMIF(RawDataRecovered!$B:$B,$A68,RawDataRecovered!AW:AW)</f>
        <v>0</v>
      </c>
      <c r="AU68">
        <f>SUMIF(RawDataRecovered!$B:$B,$A68,RawDataRecovered!AX:AX)</f>
        <v>0</v>
      </c>
      <c r="AV68">
        <f>SUMIF(RawDataRecovered!$B:$B,$A68,RawDataRecovered!AY:AY)</f>
        <v>0</v>
      </c>
      <c r="AW68">
        <f>SUMIF(RawDataRecovered!$B:$B,$A68,RawDataRecovered!AZ:AZ)</f>
        <v>0</v>
      </c>
      <c r="AX68">
        <f>SUMIF(RawDataRecovered!$B:$B,$A68,RawDataRecovered!BA:BA)</f>
        <v>0</v>
      </c>
      <c r="AY68">
        <f>SUMIF(RawDataRecovered!$B:$B,$A68,RawDataRecovered!BB:BB)</f>
        <v>0</v>
      </c>
      <c r="AZ68">
        <f>SUMIF(RawDataRecovered!$B:$B,$A68,RawDataRecovered!BC:BC)</f>
        <v>0</v>
      </c>
      <c r="BA68">
        <f>SUMIF(RawDataRecovered!$B:$B,$A68,RawDataRecovered!BD:BD)</f>
        <v>0</v>
      </c>
      <c r="BB68">
        <f>SUMIF(RawDataRecovered!$B:$B,$A68,RawDataRecovered!BE:BE)</f>
        <v>0</v>
      </c>
      <c r="BC68">
        <f>SUMIF(RawDataRecovered!$B:$B,$A68,RawDataRecovered!BF:BF)</f>
        <v>0</v>
      </c>
      <c r="BD68">
        <f>SUMIF(RawDataRecovered!$B:$B,$A68,RawDataRecovered!BG:BG)</f>
        <v>0</v>
      </c>
      <c r="BE68">
        <f>SUMIF(RawDataRecovered!$B:$B,$A68,RawDataRecovered!BH:BH)</f>
        <v>0</v>
      </c>
      <c r="BF68">
        <f>SUMIF(RawDataRecovered!$B:$B,$A68,RawDataRecovered!BI:BI)</f>
        <v>0</v>
      </c>
      <c r="BG68">
        <f>SUMIF(RawDataRecovered!$B:$B,$A68,RawDataRecovered!BJ:BJ)</f>
        <v>0</v>
      </c>
      <c r="BH68">
        <f>SUMIF(RawDataRecovered!$B:$B,$A68,RawDataRecovered!BK:BK)</f>
        <v>0</v>
      </c>
      <c r="BI68">
        <f>SUMIF(RawDataRecovered!$B:$B,$A68,RawDataRecovered!BL:BL)</f>
        <v>0</v>
      </c>
      <c r="BJ68">
        <f>SUMIF(RawDataRecovered!$B:$B,$A68,RawDataRecovered!BM:BM)</f>
        <v>0</v>
      </c>
      <c r="BK68">
        <f>SUMIF(RawDataRecovered!$B:$B,$A68,RawDataRecovered!BN:BN)</f>
        <v>0</v>
      </c>
      <c r="BL68">
        <f>SUMIF(RawDataRecovered!$B:$B,$A68,RawDataRecovered!BO:BO)</f>
        <v>0</v>
      </c>
      <c r="BM68">
        <f>SUMIF(RawDataRecovered!$B:$B,$A68,RawDataRecovered!BP:BP)</f>
        <v>0</v>
      </c>
      <c r="BN68">
        <f>SUMIF(RawDataRecovered!$B:$B,$A68,RawDataRecovered!BQ:BQ)</f>
        <v>0</v>
      </c>
      <c r="BO68">
        <f>SUMIF(RawDataRecovered!$B:$B,$A68,RawDataRecovered!BR:BR)</f>
        <v>0</v>
      </c>
      <c r="BP68">
        <f>SUMIF(RawDataRecovered!$B:$B,$A68,RawDataRecovered!BS:BS)</f>
        <v>0</v>
      </c>
      <c r="BQ68">
        <f>SUMIF(RawDataRecovered!$B:$B,$A68,RawDataRecovered!BT:BT)</f>
        <v>0</v>
      </c>
      <c r="BR68">
        <f>SUMIF(RawDataRecovered!$B:$B,$A68,RawDataRecovered!BU:BU)</f>
        <v>0</v>
      </c>
      <c r="BS68">
        <f>SUMIF(RawDataRecovered!$B:$B,$A68,RawDataRecovered!BV:BV)</f>
        <v>0</v>
      </c>
      <c r="BT68">
        <f>SUMIF(RawDataRecovered!$B:$B,$A68,RawDataRecovered!BW:BW)</f>
        <v>0</v>
      </c>
    </row>
    <row r="69" spans="1:72" ht="15" thickBot="1" x14ac:dyDescent="0.35">
      <c r="A69" s="4" t="s">
        <v>159</v>
      </c>
      <c r="B69">
        <f>SUMIF(RawDataRecovered!$B:$B,$A69,RawDataRecovered!E:E)</f>
        <v>0</v>
      </c>
      <c r="C69">
        <f>SUMIF(RawDataRecovered!$B:$B,$A69,RawDataRecovered!F:F)</f>
        <v>0</v>
      </c>
      <c r="D69">
        <f>SUMIF(RawDataRecovered!$B:$B,$A69,RawDataRecovered!G:G)</f>
        <v>0</v>
      </c>
      <c r="E69">
        <f>SUMIF(RawDataRecovered!$B:$B,$A69,RawDataRecovered!H:H)</f>
        <v>0</v>
      </c>
      <c r="F69">
        <f>SUMIF(RawDataRecovered!$B:$B,$A69,RawDataRecovered!I:I)</f>
        <v>0</v>
      </c>
      <c r="G69">
        <f>SUMIF(RawDataRecovered!$B:$B,$A69,RawDataRecovered!J:J)</f>
        <v>0</v>
      </c>
      <c r="H69">
        <f>SUMIF(RawDataRecovered!$B:$B,$A69,RawDataRecovered!K:K)</f>
        <v>0</v>
      </c>
      <c r="I69">
        <f>SUMIF(RawDataRecovered!$B:$B,$A69,RawDataRecovered!L:L)</f>
        <v>0</v>
      </c>
      <c r="J69">
        <f>SUMIF(RawDataRecovered!$B:$B,$A69,RawDataRecovered!M:M)</f>
        <v>0</v>
      </c>
      <c r="K69">
        <f>SUMIF(RawDataRecovered!$B:$B,$A69,RawDataRecovered!N:N)</f>
        <v>0</v>
      </c>
      <c r="L69">
        <f>SUMIF(RawDataRecovered!$B:$B,$A69,RawDataRecovered!O:O)</f>
        <v>0</v>
      </c>
      <c r="M69">
        <f>SUMIF(RawDataRecovered!$B:$B,$A69,RawDataRecovered!P:P)</f>
        <v>0</v>
      </c>
      <c r="N69">
        <f>SUMIF(RawDataRecovered!$B:$B,$A69,RawDataRecovered!Q:Q)</f>
        <v>0</v>
      </c>
      <c r="O69">
        <f>SUMIF(RawDataRecovered!$B:$B,$A69,RawDataRecovered!R:R)</f>
        <v>0</v>
      </c>
      <c r="P69">
        <f>SUMIF(RawDataRecovered!$B:$B,$A69,RawDataRecovered!S:S)</f>
        <v>0</v>
      </c>
      <c r="Q69">
        <f>SUMIF(RawDataRecovered!$B:$B,$A69,RawDataRecovered!T:T)</f>
        <v>0</v>
      </c>
      <c r="R69">
        <f>SUMIF(RawDataRecovered!$B:$B,$A69,RawDataRecovered!U:U)</f>
        <v>0</v>
      </c>
      <c r="S69">
        <f>SUMIF(RawDataRecovered!$B:$B,$A69,RawDataRecovered!V:V)</f>
        <v>0</v>
      </c>
      <c r="T69">
        <f>SUMIF(RawDataRecovered!$B:$B,$A69,RawDataRecovered!W:W)</f>
        <v>0</v>
      </c>
      <c r="U69">
        <f>SUMIF(RawDataRecovered!$B:$B,$A69,RawDataRecovered!X:X)</f>
        <v>0</v>
      </c>
      <c r="V69">
        <f>SUMIF(RawDataRecovered!$B:$B,$A69,RawDataRecovered!Y:Y)</f>
        <v>0</v>
      </c>
      <c r="W69">
        <f>SUMIF(RawDataRecovered!$B:$B,$A69,RawDataRecovered!Z:Z)</f>
        <v>0</v>
      </c>
      <c r="X69">
        <f>SUMIF(RawDataRecovered!$B:$B,$A69,RawDataRecovered!AA:AA)</f>
        <v>0</v>
      </c>
      <c r="Y69">
        <f>SUMIF(RawDataRecovered!$B:$B,$A69,RawDataRecovered!AB:AB)</f>
        <v>0</v>
      </c>
      <c r="Z69">
        <f>SUMIF(RawDataRecovered!$B:$B,$A69,RawDataRecovered!AC:AC)</f>
        <v>0</v>
      </c>
      <c r="AA69">
        <f>SUMIF(RawDataRecovered!$B:$B,$A69,RawDataRecovered!AD:AD)</f>
        <v>0</v>
      </c>
      <c r="AB69">
        <f>SUMIF(RawDataRecovered!$B:$B,$A69,RawDataRecovered!AE:AE)</f>
        <v>0</v>
      </c>
      <c r="AC69">
        <f>SUMIF(RawDataRecovered!$B:$B,$A69,RawDataRecovered!AF:AF)</f>
        <v>0</v>
      </c>
      <c r="AD69">
        <f>SUMIF(RawDataRecovered!$B:$B,$A69,RawDataRecovered!AG:AG)</f>
        <v>0</v>
      </c>
      <c r="AE69">
        <f>SUMIF(RawDataRecovered!$B:$B,$A69,RawDataRecovered!AH:AH)</f>
        <v>0</v>
      </c>
      <c r="AF69">
        <f>SUMIF(RawDataRecovered!$B:$B,$A69,RawDataRecovered!AI:AI)</f>
        <v>0</v>
      </c>
      <c r="AG69">
        <f>SUMIF(RawDataRecovered!$B:$B,$A69,RawDataRecovered!AJ:AJ)</f>
        <v>0</v>
      </c>
      <c r="AH69">
        <f>SUMIF(RawDataRecovered!$B:$B,$A69,RawDataRecovered!AK:AK)</f>
        <v>0</v>
      </c>
      <c r="AI69">
        <f>SUMIF(RawDataRecovered!$B:$B,$A69,RawDataRecovered!AL:AL)</f>
        <v>0</v>
      </c>
      <c r="AJ69">
        <f>SUMIF(RawDataRecovered!$B:$B,$A69,RawDataRecovered!AM:AM)</f>
        <v>0</v>
      </c>
      <c r="AK69">
        <f>SUMIF(RawDataRecovered!$B:$B,$A69,RawDataRecovered!AN:AN)</f>
        <v>0</v>
      </c>
      <c r="AL69">
        <f>SUMIF(RawDataRecovered!$B:$B,$A69,RawDataRecovered!AO:AO)</f>
        <v>0</v>
      </c>
      <c r="AM69">
        <f>SUMIF(RawDataRecovered!$B:$B,$A69,RawDataRecovered!AP:AP)</f>
        <v>0</v>
      </c>
      <c r="AN69">
        <f>SUMIF(RawDataRecovered!$B:$B,$A69,RawDataRecovered!AQ:AQ)</f>
        <v>0</v>
      </c>
      <c r="AO69">
        <f>SUMIF(RawDataRecovered!$B:$B,$A69,RawDataRecovered!AR:AR)</f>
        <v>0</v>
      </c>
      <c r="AP69">
        <f>SUMIF(RawDataRecovered!$B:$B,$A69,RawDataRecovered!AS:AS)</f>
        <v>0</v>
      </c>
      <c r="AQ69">
        <f>SUMIF(RawDataRecovered!$B:$B,$A69,RawDataRecovered!AT:AT)</f>
        <v>0</v>
      </c>
      <c r="AR69">
        <f>SUMIF(RawDataRecovered!$B:$B,$A69,RawDataRecovered!AU:AU)</f>
        <v>0</v>
      </c>
      <c r="AS69">
        <f>SUMIF(RawDataRecovered!$B:$B,$A69,RawDataRecovered!AV:AV)</f>
        <v>0</v>
      </c>
      <c r="AT69">
        <f>SUMIF(RawDataRecovered!$B:$B,$A69,RawDataRecovered!AW:AW)</f>
        <v>0</v>
      </c>
      <c r="AU69">
        <f>SUMIF(RawDataRecovered!$B:$B,$A69,RawDataRecovered!AX:AX)</f>
        <v>0</v>
      </c>
      <c r="AV69">
        <f>SUMIF(RawDataRecovered!$B:$B,$A69,RawDataRecovered!AY:AY)</f>
        <v>0</v>
      </c>
      <c r="AW69">
        <f>SUMIF(RawDataRecovered!$B:$B,$A69,RawDataRecovered!AZ:AZ)</f>
        <v>0</v>
      </c>
      <c r="AX69">
        <f>SUMIF(RawDataRecovered!$B:$B,$A69,RawDataRecovered!BA:BA)</f>
        <v>0</v>
      </c>
      <c r="AY69">
        <f>SUMIF(RawDataRecovered!$B:$B,$A69,RawDataRecovered!BB:BB)</f>
        <v>0</v>
      </c>
      <c r="AZ69">
        <f>SUMIF(RawDataRecovered!$B:$B,$A69,RawDataRecovered!BC:BC)</f>
        <v>0</v>
      </c>
      <c r="BA69">
        <f>SUMIF(RawDataRecovered!$B:$B,$A69,RawDataRecovered!BD:BD)</f>
        <v>0</v>
      </c>
      <c r="BB69">
        <f>SUMIF(RawDataRecovered!$B:$B,$A69,RawDataRecovered!BE:BE)</f>
        <v>1</v>
      </c>
      <c r="BC69">
        <f>SUMIF(RawDataRecovered!$B:$B,$A69,RawDataRecovered!BF:BF)</f>
        <v>1</v>
      </c>
      <c r="BD69">
        <f>SUMIF(RawDataRecovered!$B:$B,$A69,RawDataRecovered!BG:BG)</f>
        <v>1</v>
      </c>
      <c r="BE69">
        <f>SUMIF(RawDataRecovered!$B:$B,$A69,RawDataRecovered!BH:BH)</f>
        <v>2</v>
      </c>
      <c r="BF69">
        <f>SUMIF(RawDataRecovered!$B:$B,$A69,RawDataRecovered!BI:BI)</f>
        <v>0</v>
      </c>
      <c r="BG69">
        <f>SUMIF(RawDataRecovered!$B:$B,$A69,RawDataRecovered!BJ:BJ)</f>
        <v>0</v>
      </c>
      <c r="BH69">
        <f>SUMIF(RawDataRecovered!$B:$B,$A69,RawDataRecovered!BK:BK)</f>
        <v>0</v>
      </c>
      <c r="BI69">
        <f>SUMIF(RawDataRecovered!$B:$B,$A69,RawDataRecovered!BL:BL)</f>
        <v>0</v>
      </c>
      <c r="BJ69">
        <f>SUMIF(RawDataRecovered!$B:$B,$A69,RawDataRecovered!BM:BM)</f>
        <v>0</v>
      </c>
      <c r="BK69">
        <f>SUMIF(RawDataRecovered!$B:$B,$A69,RawDataRecovered!BN:BN)</f>
        <v>0</v>
      </c>
      <c r="BL69">
        <f>SUMIF(RawDataRecovered!$B:$B,$A69,RawDataRecovered!BO:BO)</f>
        <v>0</v>
      </c>
      <c r="BM69">
        <f>SUMIF(RawDataRecovered!$B:$B,$A69,RawDataRecovered!BP:BP)</f>
        <v>0</v>
      </c>
      <c r="BN69">
        <f>SUMIF(RawDataRecovered!$B:$B,$A69,RawDataRecovered!BQ:BQ)</f>
        <v>0</v>
      </c>
      <c r="BO69">
        <f>SUMIF(RawDataRecovered!$B:$B,$A69,RawDataRecovered!BR:BR)</f>
        <v>0</v>
      </c>
      <c r="BP69">
        <f>SUMIF(RawDataRecovered!$B:$B,$A69,RawDataRecovered!BS:BS)</f>
        <v>0</v>
      </c>
      <c r="BQ69">
        <f>SUMIF(RawDataRecovered!$B:$B,$A69,RawDataRecovered!BT:BT)</f>
        <v>0</v>
      </c>
      <c r="BR69">
        <f>SUMIF(RawDataRecovered!$B:$B,$A69,RawDataRecovered!BU:BU)</f>
        <v>0</v>
      </c>
      <c r="BS69">
        <f>SUMIF(RawDataRecovered!$B:$B,$A69,RawDataRecovered!BV:BV)</f>
        <v>0</v>
      </c>
      <c r="BT69">
        <f>SUMIF(RawDataRecovered!$B:$B,$A69,RawDataRecovered!BW:BW)</f>
        <v>0</v>
      </c>
    </row>
    <row r="70" spans="1:72" ht="15" thickBot="1" x14ac:dyDescent="0.35">
      <c r="A70" s="4" t="s">
        <v>98</v>
      </c>
      <c r="B70">
        <f>SUMIF(RawDataRecovered!$B:$B,$A70,RawDataRecovered!E:E)</f>
        <v>0</v>
      </c>
      <c r="C70">
        <f>SUMIF(RawDataRecovered!$B:$B,$A70,RawDataRecovered!F:F)</f>
        <v>0</v>
      </c>
      <c r="D70">
        <f>SUMIF(RawDataRecovered!$B:$B,$A70,RawDataRecovered!G:G)</f>
        <v>0</v>
      </c>
      <c r="E70">
        <f>SUMIF(RawDataRecovered!$B:$B,$A70,RawDataRecovered!H:H)</f>
        <v>0</v>
      </c>
      <c r="F70">
        <f>SUMIF(RawDataRecovered!$B:$B,$A70,RawDataRecovered!I:I)</f>
        <v>0</v>
      </c>
      <c r="G70">
        <f>SUMIF(RawDataRecovered!$B:$B,$A70,RawDataRecovered!J:J)</f>
        <v>0</v>
      </c>
      <c r="H70">
        <f>SUMIF(RawDataRecovered!$B:$B,$A70,RawDataRecovered!K:K)</f>
        <v>0</v>
      </c>
      <c r="I70">
        <f>SUMIF(RawDataRecovered!$B:$B,$A70,RawDataRecovered!L:L)</f>
        <v>0</v>
      </c>
      <c r="J70">
        <f>SUMIF(RawDataRecovered!$B:$B,$A70,RawDataRecovered!M:M)</f>
        <v>0</v>
      </c>
      <c r="K70">
        <f>SUMIF(RawDataRecovered!$B:$B,$A70,RawDataRecovered!N:N)</f>
        <v>0</v>
      </c>
      <c r="L70">
        <f>SUMIF(RawDataRecovered!$B:$B,$A70,RawDataRecovered!O:O)</f>
        <v>0</v>
      </c>
      <c r="M70">
        <f>SUMIF(RawDataRecovered!$B:$B,$A70,RawDataRecovered!P:P)</f>
        <v>0</v>
      </c>
      <c r="N70">
        <f>SUMIF(RawDataRecovered!$B:$B,$A70,RawDataRecovered!Q:Q)</f>
        <v>0</v>
      </c>
      <c r="O70">
        <f>SUMIF(RawDataRecovered!$B:$B,$A70,RawDataRecovered!R:R)</f>
        <v>0</v>
      </c>
      <c r="P70">
        <f>SUMIF(RawDataRecovered!$B:$B,$A70,RawDataRecovered!S:S)</f>
        <v>0</v>
      </c>
      <c r="Q70">
        <f>SUMIF(RawDataRecovered!$B:$B,$A70,RawDataRecovered!T:T)</f>
        <v>0</v>
      </c>
      <c r="R70">
        <f>SUMIF(RawDataRecovered!$B:$B,$A70,RawDataRecovered!U:U)</f>
        <v>0</v>
      </c>
      <c r="S70">
        <f>SUMIF(RawDataRecovered!$B:$B,$A70,RawDataRecovered!V:V)</f>
        <v>0</v>
      </c>
      <c r="T70">
        <f>SUMIF(RawDataRecovered!$B:$B,$A70,RawDataRecovered!W:W)</f>
        <v>0</v>
      </c>
      <c r="U70">
        <f>SUMIF(RawDataRecovered!$B:$B,$A70,RawDataRecovered!X:X)</f>
        <v>0</v>
      </c>
      <c r="V70">
        <f>SUMIF(RawDataRecovered!$B:$B,$A70,RawDataRecovered!Y:Y)</f>
        <v>0</v>
      </c>
      <c r="W70">
        <f>SUMIF(RawDataRecovered!$B:$B,$A70,RawDataRecovered!Z:Z)</f>
        <v>0</v>
      </c>
      <c r="X70">
        <f>SUMIF(RawDataRecovered!$B:$B,$A70,RawDataRecovered!AA:AA)</f>
        <v>0</v>
      </c>
      <c r="Y70">
        <f>SUMIF(RawDataRecovered!$B:$B,$A70,RawDataRecovered!AB:AB)</f>
        <v>0</v>
      </c>
      <c r="Z70">
        <f>SUMIF(RawDataRecovered!$B:$B,$A70,RawDataRecovered!AC:AC)</f>
        <v>0</v>
      </c>
      <c r="AA70">
        <f>SUMIF(RawDataRecovered!$B:$B,$A70,RawDataRecovered!AD:AD)</f>
        <v>0</v>
      </c>
      <c r="AB70">
        <f>SUMIF(RawDataRecovered!$B:$B,$A70,RawDataRecovered!AE:AE)</f>
        <v>0</v>
      </c>
      <c r="AC70">
        <f>SUMIF(RawDataRecovered!$B:$B,$A70,RawDataRecovered!AF:AF)</f>
        <v>0</v>
      </c>
      <c r="AD70">
        <f>SUMIF(RawDataRecovered!$B:$B,$A70,RawDataRecovered!AG:AG)</f>
        <v>0</v>
      </c>
      <c r="AE70">
        <f>SUMIF(RawDataRecovered!$B:$B,$A70,RawDataRecovered!AH:AH)</f>
        <v>0</v>
      </c>
      <c r="AF70">
        <f>SUMIF(RawDataRecovered!$B:$B,$A70,RawDataRecovered!AI:AI)</f>
        <v>0</v>
      </c>
      <c r="AG70">
        <f>SUMIF(RawDataRecovered!$B:$B,$A70,RawDataRecovered!AJ:AJ)</f>
        <v>0</v>
      </c>
      <c r="AH70">
        <f>SUMIF(RawDataRecovered!$B:$B,$A70,RawDataRecovered!AK:AK)</f>
        <v>0</v>
      </c>
      <c r="AI70">
        <f>SUMIF(RawDataRecovered!$B:$B,$A70,RawDataRecovered!AL:AL)</f>
        <v>0</v>
      </c>
      <c r="AJ70">
        <f>SUMIF(RawDataRecovered!$B:$B,$A70,RawDataRecovered!AM:AM)</f>
        <v>0</v>
      </c>
      <c r="AK70">
        <f>SUMIF(RawDataRecovered!$B:$B,$A70,RawDataRecovered!AN:AN)</f>
        <v>0</v>
      </c>
      <c r="AL70">
        <f>SUMIF(RawDataRecovered!$B:$B,$A70,RawDataRecovered!AO:AO)</f>
        <v>0</v>
      </c>
      <c r="AM70">
        <f>SUMIF(RawDataRecovered!$B:$B,$A70,RawDataRecovered!AP:AP)</f>
        <v>0</v>
      </c>
      <c r="AN70">
        <f>SUMIF(RawDataRecovered!$B:$B,$A70,RawDataRecovered!AQ:AQ)</f>
        <v>1</v>
      </c>
      <c r="AO70">
        <f>SUMIF(RawDataRecovered!$B:$B,$A70,RawDataRecovered!AR:AR)</f>
        <v>1</v>
      </c>
      <c r="AP70">
        <f>SUMIF(RawDataRecovered!$B:$B,$A70,RawDataRecovered!AS:AS)</f>
        <v>1</v>
      </c>
      <c r="AQ70">
        <f>SUMIF(RawDataRecovered!$B:$B,$A70,RawDataRecovered!AT:AT)</f>
        <v>2</v>
      </c>
      <c r="AR70">
        <f>SUMIF(RawDataRecovered!$B:$B,$A70,RawDataRecovered!AU:AU)</f>
        <v>2</v>
      </c>
      <c r="AS70">
        <f>SUMIF(RawDataRecovered!$B:$B,$A70,RawDataRecovered!AV:AV)</f>
        <v>2</v>
      </c>
      <c r="AT70">
        <f>SUMIF(RawDataRecovered!$B:$B,$A70,RawDataRecovered!AW:AW)</f>
        <v>2</v>
      </c>
      <c r="AU70">
        <f>SUMIF(RawDataRecovered!$B:$B,$A70,RawDataRecovered!AX:AX)</f>
        <v>2</v>
      </c>
      <c r="AV70">
        <f>SUMIF(RawDataRecovered!$B:$B,$A70,RawDataRecovered!AY:AY)</f>
        <v>2</v>
      </c>
      <c r="AW70">
        <f>SUMIF(RawDataRecovered!$B:$B,$A70,RawDataRecovered!AZ:AZ)</f>
        <v>2</v>
      </c>
      <c r="AX70">
        <f>SUMIF(RawDataRecovered!$B:$B,$A70,RawDataRecovered!BA:BA)</f>
        <v>9</v>
      </c>
      <c r="AY70">
        <f>SUMIF(RawDataRecovered!$B:$B,$A70,RawDataRecovered!BB:BB)</f>
        <v>9</v>
      </c>
      <c r="AZ70">
        <f>SUMIF(RawDataRecovered!$B:$B,$A70,RawDataRecovered!BC:BC)</f>
        <v>9</v>
      </c>
      <c r="BA70">
        <f>SUMIF(RawDataRecovered!$B:$B,$A70,RawDataRecovered!BD:BD)</f>
        <v>9</v>
      </c>
      <c r="BB70">
        <f>SUMIF(RawDataRecovered!$B:$B,$A70,RawDataRecovered!BE:BE)</f>
        <v>9</v>
      </c>
      <c r="BC70">
        <f>SUMIF(RawDataRecovered!$B:$B,$A70,RawDataRecovered!BF:BF)</f>
        <v>9</v>
      </c>
      <c r="BD70">
        <f>SUMIF(RawDataRecovered!$B:$B,$A70,RawDataRecovered!BG:BG)</f>
        <v>9</v>
      </c>
      <c r="BE70">
        <f>SUMIF(RawDataRecovered!$B:$B,$A70,RawDataRecovered!BH:BH)</f>
        <v>9</v>
      </c>
      <c r="BF70">
        <f>SUMIF(RawDataRecovered!$B:$B,$A70,RawDataRecovered!BI:BI)</f>
        <v>0</v>
      </c>
      <c r="BG70">
        <f>SUMIF(RawDataRecovered!$B:$B,$A70,RawDataRecovered!BJ:BJ)</f>
        <v>0</v>
      </c>
      <c r="BH70">
        <f>SUMIF(RawDataRecovered!$B:$B,$A70,RawDataRecovered!BK:BK)</f>
        <v>0</v>
      </c>
      <c r="BI70">
        <f>SUMIF(RawDataRecovered!$B:$B,$A70,RawDataRecovered!BL:BL)</f>
        <v>0</v>
      </c>
      <c r="BJ70">
        <f>SUMIF(RawDataRecovered!$B:$B,$A70,RawDataRecovered!BM:BM)</f>
        <v>0</v>
      </c>
      <c r="BK70">
        <f>SUMIF(RawDataRecovered!$B:$B,$A70,RawDataRecovered!BN:BN)</f>
        <v>0</v>
      </c>
      <c r="BL70">
        <f>SUMIF(RawDataRecovered!$B:$B,$A70,RawDataRecovered!BO:BO)</f>
        <v>0</v>
      </c>
      <c r="BM70">
        <f>SUMIF(RawDataRecovered!$B:$B,$A70,RawDataRecovered!BP:BP)</f>
        <v>0</v>
      </c>
      <c r="BN70">
        <f>SUMIF(RawDataRecovered!$B:$B,$A70,RawDataRecovered!BQ:BQ)</f>
        <v>0</v>
      </c>
      <c r="BO70">
        <f>SUMIF(RawDataRecovered!$B:$B,$A70,RawDataRecovered!BR:BR)</f>
        <v>0</v>
      </c>
      <c r="BP70">
        <f>SUMIF(RawDataRecovered!$B:$B,$A70,RawDataRecovered!BS:BS)</f>
        <v>0</v>
      </c>
      <c r="BQ70">
        <f>SUMIF(RawDataRecovered!$B:$B,$A70,RawDataRecovered!BT:BT)</f>
        <v>0</v>
      </c>
      <c r="BR70">
        <f>SUMIF(RawDataRecovered!$B:$B,$A70,RawDataRecovered!BU:BU)</f>
        <v>0</v>
      </c>
      <c r="BS70">
        <f>SUMIF(RawDataRecovered!$B:$B,$A70,RawDataRecovered!BV:BV)</f>
        <v>0</v>
      </c>
      <c r="BT70">
        <f>SUMIF(RawDataRecovered!$B:$B,$A70,RawDataRecovered!BW:BW)</f>
        <v>0</v>
      </c>
    </row>
    <row r="71" spans="1:72" ht="15" thickBot="1" x14ac:dyDescent="0.35">
      <c r="A71" s="4" t="s">
        <v>130</v>
      </c>
      <c r="B71">
        <f>SUMIF(RawDataRecovered!$B:$B,$A71,RawDataRecovered!E:E)</f>
        <v>0</v>
      </c>
      <c r="C71">
        <f>SUMIF(RawDataRecovered!$B:$B,$A71,RawDataRecovered!F:F)</f>
        <v>0</v>
      </c>
      <c r="D71">
        <f>SUMIF(RawDataRecovered!$B:$B,$A71,RawDataRecovered!G:G)</f>
        <v>0</v>
      </c>
      <c r="E71">
        <f>SUMIF(RawDataRecovered!$B:$B,$A71,RawDataRecovered!H:H)</f>
        <v>0</v>
      </c>
      <c r="F71">
        <f>SUMIF(RawDataRecovered!$B:$B,$A71,RawDataRecovered!I:I)</f>
        <v>0</v>
      </c>
      <c r="G71">
        <f>SUMIF(RawDataRecovered!$B:$B,$A71,RawDataRecovered!J:J)</f>
        <v>0</v>
      </c>
      <c r="H71">
        <f>SUMIF(RawDataRecovered!$B:$B,$A71,RawDataRecovered!K:K)</f>
        <v>0</v>
      </c>
      <c r="I71">
        <f>SUMIF(RawDataRecovered!$B:$B,$A71,RawDataRecovered!L:L)</f>
        <v>0</v>
      </c>
      <c r="J71">
        <f>SUMIF(RawDataRecovered!$B:$B,$A71,RawDataRecovered!M:M)</f>
        <v>0</v>
      </c>
      <c r="K71">
        <f>SUMIF(RawDataRecovered!$B:$B,$A71,RawDataRecovered!N:N)</f>
        <v>0</v>
      </c>
      <c r="L71">
        <f>SUMIF(RawDataRecovered!$B:$B,$A71,RawDataRecovered!O:O)</f>
        <v>0</v>
      </c>
      <c r="M71">
        <f>SUMIF(RawDataRecovered!$B:$B,$A71,RawDataRecovered!P:P)</f>
        <v>0</v>
      </c>
      <c r="N71">
        <f>SUMIF(RawDataRecovered!$B:$B,$A71,RawDataRecovered!Q:Q)</f>
        <v>0</v>
      </c>
      <c r="O71">
        <f>SUMIF(RawDataRecovered!$B:$B,$A71,RawDataRecovered!R:R)</f>
        <v>0</v>
      </c>
      <c r="P71">
        <f>SUMIF(RawDataRecovered!$B:$B,$A71,RawDataRecovered!S:S)</f>
        <v>0</v>
      </c>
      <c r="Q71">
        <f>SUMIF(RawDataRecovered!$B:$B,$A71,RawDataRecovered!T:T)</f>
        <v>0</v>
      </c>
      <c r="R71">
        <f>SUMIF(RawDataRecovered!$B:$B,$A71,RawDataRecovered!U:U)</f>
        <v>0</v>
      </c>
      <c r="S71">
        <f>SUMIF(RawDataRecovered!$B:$B,$A71,RawDataRecovered!V:V)</f>
        <v>0</v>
      </c>
      <c r="T71">
        <f>SUMIF(RawDataRecovered!$B:$B,$A71,RawDataRecovered!W:W)</f>
        <v>0</v>
      </c>
      <c r="U71">
        <f>SUMIF(RawDataRecovered!$B:$B,$A71,RawDataRecovered!X:X)</f>
        <v>0</v>
      </c>
      <c r="V71">
        <f>SUMIF(RawDataRecovered!$B:$B,$A71,RawDataRecovered!Y:Y)</f>
        <v>0</v>
      </c>
      <c r="W71">
        <f>SUMIF(RawDataRecovered!$B:$B,$A71,RawDataRecovered!Z:Z)</f>
        <v>0</v>
      </c>
      <c r="X71">
        <f>SUMIF(RawDataRecovered!$B:$B,$A71,RawDataRecovered!AA:AA)</f>
        <v>0</v>
      </c>
      <c r="Y71">
        <f>SUMIF(RawDataRecovered!$B:$B,$A71,RawDataRecovered!AB:AB)</f>
        <v>0</v>
      </c>
      <c r="Z71">
        <f>SUMIF(RawDataRecovered!$B:$B,$A71,RawDataRecovered!AC:AC)</f>
        <v>0</v>
      </c>
      <c r="AA71">
        <f>SUMIF(RawDataRecovered!$B:$B,$A71,RawDataRecovered!AD:AD)</f>
        <v>0</v>
      </c>
      <c r="AB71">
        <f>SUMIF(RawDataRecovered!$B:$B,$A71,RawDataRecovered!AE:AE)</f>
        <v>0</v>
      </c>
      <c r="AC71">
        <f>SUMIF(RawDataRecovered!$B:$B,$A71,RawDataRecovered!AF:AF)</f>
        <v>0</v>
      </c>
      <c r="AD71">
        <f>SUMIF(RawDataRecovered!$B:$B,$A71,RawDataRecovered!AG:AG)</f>
        <v>0</v>
      </c>
      <c r="AE71">
        <f>SUMIF(RawDataRecovered!$B:$B,$A71,RawDataRecovered!AH:AH)</f>
        <v>0</v>
      </c>
      <c r="AF71">
        <f>SUMIF(RawDataRecovered!$B:$B,$A71,RawDataRecovered!AI:AI)</f>
        <v>0</v>
      </c>
      <c r="AG71">
        <f>SUMIF(RawDataRecovered!$B:$B,$A71,RawDataRecovered!AJ:AJ)</f>
        <v>0</v>
      </c>
      <c r="AH71">
        <f>SUMIF(RawDataRecovered!$B:$B,$A71,RawDataRecovered!AK:AK)</f>
        <v>0</v>
      </c>
      <c r="AI71">
        <f>SUMIF(RawDataRecovered!$B:$B,$A71,RawDataRecovered!AL:AL)</f>
        <v>0</v>
      </c>
      <c r="AJ71">
        <f>SUMIF(RawDataRecovered!$B:$B,$A71,RawDataRecovered!AM:AM)</f>
        <v>0</v>
      </c>
      <c r="AK71">
        <f>SUMIF(RawDataRecovered!$B:$B,$A71,RawDataRecovered!AN:AN)</f>
        <v>0</v>
      </c>
      <c r="AL71">
        <f>SUMIF(RawDataRecovered!$B:$B,$A71,RawDataRecovered!AO:AO)</f>
        <v>0</v>
      </c>
      <c r="AM71">
        <f>SUMIF(RawDataRecovered!$B:$B,$A71,RawDataRecovered!AP:AP)</f>
        <v>0</v>
      </c>
      <c r="AN71">
        <f>SUMIF(RawDataRecovered!$B:$B,$A71,RawDataRecovered!AQ:AQ)</f>
        <v>0</v>
      </c>
      <c r="AO71">
        <f>SUMIF(RawDataRecovered!$B:$B,$A71,RawDataRecovered!AR:AR)</f>
        <v>0</v>
      </c>
      <c r="AP71">
        <f>SUMIF(RawDataRecovered!$B:$B,$A71,RawDataRecovered!AS:AS)</f>
        <v>0</v>
      </c>
      <c r="AQ71">
        <f>SUMIF(RawDataRecovered!$B:$B,$A71,RawDataRecovered!AT:AT)</f>
        <v>0</v>
      </c>
      <c r="AR71">
        <f>SUMIF(RawDataRecovered!$B:$B,$A71,RawDataRecovered!AU:AU)</f>
        <v>0</v>
      </c>
      <c r="AS71">
        <f>SUMIF(RawDataRecovered!$B:$B,$A71,RawDataRecovered!AV:AV)</f>
        <v>0</v>
      </c>
      <c r="AT71">
        <f>SUMIF(RawDataRecovered!$B:$B,$A71,RawDataRecovered!AW:AW)</f>
        <v>0</v>
      </c>
      <c r="AU71">
        <f>SUMIF(RawDataRecovered!$B:$B,$A71,RawDataRecovered!AX:AX)</f>
        <v>0</v>
      </c>
      <c r="AV71">
        <f>SUMIF(RawDataRecovered!$B:$B,$A71,RawDataRecovered!AY:AY)</f>
        <v>0</v>
      </c>
      <c r="AW71">
        <f>SUMIF(RawDataRecovered!$B:$B,$A71,RawDataRecovered!AZ:AZ)</f>
        <v>0</v>
      </c>
      <c r="AX71">
        <f>SUMIF(RawDataRecovered!$B:$B,$A71,RawDataRecovered!BA:BA)</f>
        <v>0</v>
      </c>
      <c r="AY71">
        <f>SUMIF(RawDataRecovered!$B:$B,$A71,RawDataRecovered!BB:BB)</f>
        <v>0</v>
      </c>
      <c r="AZ71">
        <f>SUMIF(RawDataRecovered!$B:$B,$A71,RawDataRecovered!BC:BC)</f>
        <v>0</v>
      </c>
      <c r="BA71">
        <f>SUMIF(RawDataRecovered!$B:$B,$A71,RawDataRecovered!BD:BD)</f>
        <v>0</v>
      </c>
      <c r="BB71">
        <f>SUMIF(RawDataRecovered!$B:$B,$A71,RawDataRecovered!BE:BE)</f>
        <v>0</v>
      </c>
      <c r="BC71">
        <f>SUMIF(RawDataRecovered!$B:$B,$A71,RawDataRecovered!BF:BF)</f>
        <v>0</v>
      </c>
      <c r="BD71">
        <f>SUMIF(RawDataRecovered!$B:$B,$A71,RawDataRecovered!BG:BG)</f>
        <v>0</v>
      </c>
      <c r="BE71">
        <f>SUMIF(RawDataRecovered!$B:$B,$A71,RawDataRecovered!BH:BH)</f>
        <v>0</v>
      </c>
      <c r="BF71">
        <f>SUMIF(RawDataRecovered!$B:$B,$A71,RawDataRecovered!BI:BI)</f>
        <v>0</v>
      </c>
      <c r="BG71">
        <f>SUMIF(RawDataRecovered!$B:$B,$A71,RawDataRecovered!BJ:BJ)</f>
        <v>0</v>
      </c>
      <c r="BH71">
        <f>SUMIF(RawDataRecovered!$B:$B,$A71,RawDataRecovered!BK:BK)</f>
        <v>0</v>
      </c>
      <c r="BI71">
        <f>SUMIF(RawDataRecovered!$B:$B,$A71,RawDataRecovered!BL:BL)</f>
        <v>0</v>
      </c>
      <c r="BJ71">
        <f>SUMIF(RawDataRecovered!$B:$B,$A71,RawDataRecovered!BM:BM)</f>
        <v>0</v>
      </c>
      <c r="BK71">
        <f>SUMIF(RawDataRecovered!$B:$B,$A71,RawDataRecovered!BN:BN)</f>
        <v>0</v>
      </c>
      <c r="BL71">
        <f>SUMIF(RawDataRecovered!$B:$B,$A71,RawDataRecovered!BO:BO)</f>
        <v>0</v>
      </c>
      <c r="BM71">
        <f>SUMIF(RawDataRecovered!$B:$B,$A71,RawDataRecovered!BP:BP)</f>
        <v>0</v>
      </c>
      <c r="BN71">
        <f>SUMIF(RawDataRecovered!$B:$B,$A71,RawDataRecovered!BQ:BQ)</f>
        <v>0</v>
      </c>
      <c r="BO71">
        <f>SUMIF(RawDataRecovered!$B:$B,$A71,RawDataRecovered!BR:BR)</f>
        <v>0</v>
      </c>
      <c r="BP71">
        <f>SUMIF(RawDataRecovered!$B:$B,$A71,RawDataRecovered!BS:BS)</f>
        <v>0</v>
      </c>
      <c r="BQ71">
        <f>SUMIF(RawDataRecovered!$B:$B,$A71,RawDataRecovered!BT:BT)</f>
        <v>0</v>
      </c>
      <c r="BR71">
        <f>SUMIF(RawDataRecovered!$B:$B,$A71,RawDataRecovered!BU:BU)</f>
        <v>0</v>
      </c>
      <c r="BS71">
        <f>SUMIF(RawDataRecovered!$B:$B,$A71,RawDataRecovered!BV:BV)</f>
        <v>0</v>
      </c>
      <c r="BT71">
        <f>SUMIF(RawDataRecovered!$B:$B,$A71,RawDataRecovered!BW:BW)</f>
        <v>0</v>
      </c>
    </row>
    <row r="72" spans="1:72" ht="15" thickBot="1" x14ac:dyDescent="0.35">
      <c r="A72" s="4" t="s">
        <v>138</v>
      </c>
      <c r="B72">
        <f>SUMIF(RawDataRecovered!$B:$B,$A72,RawDataRecovered!E:E)</f>
        <v>0</v>
      </c>
      <c r="C72">
        <f>SUMIF(RawDataRecovered!$B:$B,$A72,RawDataRecovered!F:F)</f>
        <v>0</v>
      </c>
      <c r="D72">
        <f>SUMIF(RawDataRecovered!$B:$B,$A72,RawDataRecovered!G:G)</f>
        <v>0</v>
      </c>
      <c r="E72">
        <f>SUMIF(RawDataRecovered!$B:$B,$A72,RawDataRecovered!H:H)</f>
        <v>0</v>
      </c>
      <c r="F72">
        <f>SUMIF(RawDataRecovered!$B:$B,$A72,RawDataRecovered!I:I)</f>
        <v>0</v>
      </c>
      <c r="G72">
        <f>SUMIF(RawDataRecovered!$B:$B,$A72,RawDataRecovered!J:J)</f>
        <v>0</v>
      </c>
      <c r="H72">
        <f>SUMIF(RawDataRecovered!$B:$B,$A72,RawDataRecovered!K:K)</f>
        <v>0</v>
      </c>
      <c r="I72">
        <f>SUMIF(RawDataRecovered!$B:$B,$A72,RawDataRecovered!L:L)</f>
        <v>0</v>
      </c>
      <c r="J72">
        <f>SUMIF(RawDataRecovered!$B:$B,$A72,RawDataRecovered!M:M)</f>
        <v>0</v>
      </c>
      <c r="K72">
        <f>SUMIF(RawDataRecovered!$B:$B,$A72,RawDataRecovered!N:N)</f>
        <v>0</v>
      </c>
      <c r="L72">
        <f>SUMIF(RawDataRecovered!$B:$B,$A72,RawDataRecovered!O:O)</f>
        <v>0</v>
      </c>
      <c r="M72">
        <f>SUMIF(RawDataRecovered!$B:$B,$A72,RawDataRecovered!P:P)</f>
        <v>0</v>
      </c>
      <c r="N72">
        <f>SUMIF(RawDataRecovered!$B:$B,$A72,RawDataRecovered!Q:Q)</f>
        <v>0</v>
      </c>
      <c r="O72">
        <f>SUMIF(RawDataRecovered!$B:$B,$A72,RawDataRecovered!R:R)</f>
        <v>0</v>
      </c>
      <c r="P72">
        <f>SUMIF(RawDataRecovered!$B:$B,$A72,RawDataRecovered!S:S)</f>
        <v>0</v>
      </c>
      <c r="Q72">
        <f>SUMIF(RawDataRecovered!$B:$B,$A72,RawDataRecovered!T:T)</f>
        <v>0</v>
      </c>
      <c r="R72">
        <f>SUMIF(RawDataRecovered!$B:$B,$A72,RawDataRecovered!U:U)</f>
        <v>0</v>
      </c>
      <c r="S72">
        <f>SUMIF(RawDataRecovered!$B:$B,$A72,RawDataRecovered!V:V)</f>
        <v>0</v>
      </c>
      <c r="T72">
        <f>SUMIF(RawDataRecovered!$B:$B,$A72,RawDataRecovered!W:W)</f>
        <v>0</v>
      </c>
      <c r="U72">
        <f>SUMIF(RawDataRecovered!$B:$B,$A72,RawDataRecovered!X:X)</f>
        <v>0</v>
      </c>
      <c r="V72">
        <f>SUMIF(RawDataRecovered!$B:$B,$A72,RawDataRecovered!Y:Y)</f>
        <v>0</v>
      </c>
      <c r="W72">
        <f>SUMIF(RawDataRecovered!$B:$B,$A72,RawDataRecovered!Z:Z)</f>
        <v>0</v>
      </c>
      <c r="X72">
        <f>SUMIF(RawDataRecovered!$B:$B,$A72,RawDataRecovered!AA:AA)</f>
        <v>0</v>
      </c>
      <c r="Y72">
        <f>SUMIF(RawDataRecovered!$B:$B,$A72,RawDataRecovered!AB:AB)</f>
        <v>0</v>
      </c>
      <c r="Z72">
        <f>SUMIF(RawDataRecovered!$B:$B,$A72,RawDataRecovered!AC:AC)</f>
        <v>0</v>
      </c>
      <c r="AA72">
        <f>SUMIF(RawDataRecovered!$B:$B,$A72,RawDataRecovered!AD:AD)</f>
        <v>0</v>
      </c>
      <c r="AB72">
        <f>SUMIF(RawDataRecovered!$B:$B,$A72,RawDataRecovered!AE:AE)</f>
        <v>0</v>
      </c>
      <c r="AC72">
        <f>SUMIF(RawDataRecovered!$B:$B,$A72,RawDataRecovered!AF:AF)</f>
        <v>0</v>
      </c>
      <c r="AD72">
        <f>SUMIF(RawDataRecovered!$B:$B,$A72,RawDataRecovered!AG:AG)</f>
        <v>0</v>
      </c>
      <c r="AE72">
        <f>SUMIF(RawDataRecovered!$B:$B,$A72,RawDataRecovered!AH:AH)</f>
        <v>0</v>
      </c>
      <c r="AF72">
        <f>SUMIF(RawDataRecovered!$B:$B,$A72,RawDataRecovered!AI:AI)</f>
        <v>0</v>
      </c>
      <c r="AG72">
        <f>SUMIF(RawDataRecovered!$B:$B,$A72,RawDataRecovered!AJ:AJ)</f>
        <v>0</v>
      </c>
      <c r="AH72">
        <f>SUMIF(RawDataRecovered!$B:$B,$A72,RawDataRecovered!AK:AK)</f>
        <v>0</v>
      </c>
      <c r="AI72">
        <f>SUMIF(RawDataRecovered!$B:$B,$A72,RawDataRecovered!AL:AL)</f>
        <v>0</v>
      </c>
      <c r="AJ72">
        <f>SUMIF(RawDataRecovered!$B:$B,$A72,RawDataRecovered!AM:AM)</f>
        <v>0</v>
      </c>
      <c r="AK72">
        <f>SUMIF(RawDataRecovered!$B:$B,$A72,RawDataRecovered!AN:AN)</f>
        <v>0</v>
      </c>
      <c r="AL72">
        <f>SUMIF(RawDataRecovered!$B:$B,$A72,RawDataRecovered!AO:AO)</f>
        <v>0</v>
      </c>
      <c r="AM72">
        <f>SUMIF(RawDataRecovered!$B:$B,$A72,RawDataRecovered!AP:AP)</f>
        <v>0</v>
      </c>
      <c r="AN72">
        <f>SUMIF(RawDataRecovered!$B:$B,$A72,RawDataRecovered!AQ:AQ)</f>
        <v>0</v>
      </c>
      <c r="AO72">
        <f>SUMIF(RawDataRecovered!$B:$B,$A72,RawDataRecovered!AR:AR)</f>
        <v>0</v>
      </c>
      <c r="AP72">
        <f>SUMIF(RawDataRecovered!$B:$B,$A72,RawDataRecovered!AS:AS)</f>
        <v>0</v>
      </c>
      <c r="AQ72">
        <f>SUMIF(RawDataRecovered!$B:$B,$A72,RawDataRecovered!AT:AT)</f>
        <v>0</v>
      </c>
      <c r="AR72">
        <f>SUMIF(RawDataRecovered!$B:$B,$A72,RawDataRecovered!AU:AU)</f>
        <v>0</v>
      </c>
      <c r="AS72">
        <f>SUMIF(RawDataRecovered!$B:$B,$A72,RawDataRecovered!AV:AV)</f>
        <v>0</v>
      </c>
      <c r="AT72">
        <f>SUMIF(RawDataRecovered!$B:$B,$A72,RawDataRecovered!AW:AW)</f>
        <v>0</v>
      </c>
      <c r="AU72">
        <f>SUMIF(RawDataRecovered!$B:$B,$A72,RawDataRecovered!AX:AX)</f>
        <v>0</v>
      </c>
      <c r="AV72">
        <f>SUMIF(RawDataRecovered!$B:$B,$A72,RawDataRecovered!AY:AY)</f>
        <v>0</v>
      </c>
      <c r="AW72">
        <f>SUMIF(RawDataRecovered!$B:$B,$A72,RawDataRecovered!AZ:AZ)</f>
        <v>0</v>
      </c>
      <c r="AX72">
        <f>SUMIF(RawDataRecovered!$B:$B,$A72,RawDataRecovered!BA:BA)</f>
        <v>1</v>
      </c>
      <c r="AY72">
        <f>SUMIF(RawDataRecovered!$B:$B,$A72,RawDataRecovered!BB:BB)</f>
        <v>1</v>
      </c>
      <c r="AZ72">
        <f>SUMIF(RawDataRecovered!$B:$B,$A72,RawDataRecovered!BC:BC)</f>
        <v>1</v>
      </c>
      <c r="BA72">
        <f>SUMIF(RawDataRecovered!$B:$B,$A72,RawDataRecovered!BD:BD)</f>
        <v>1</v>
      </c>
      <c r="BB72">
        <f>SUMIF(RawDataRecovered!$B:$B,$A72,RawDataRecovered!BE:BE)</f>
        <v>1</v>
      </c>
      <c r="BC72">
        <f>SUMIF(RawDataRecovered!$B:$B,$A72,RawDataRecovered!BF:BF)</f>
        <v>1</v>
      </c>
      <c r="BD72">
        <f>SUMIF(RawDataRecovered!$B:$B,$A72,RawDataRecovered!BG:BG)</f>
        <v>1</v>
      </c>
      <c r="BE72">
        <f>SUMIF(RawDataRecovered!$B:$B,$A72,RawDataRecovered!BH:BH)</f>
        <v>1</v>
      </c>
      <c r="BF72">
        <f>SUMIF(RawDataRecovered!$B:$B,$A72,RawDataRecovered!BI:BI)</f>
        <v>0</v>
      </c>
      <c r="BG72">
        <f>SUMIF(RawDataRecovered!$B:$B,$A72,RawDataRecovered!BJ:BJ)</f>
        <v>0</v>
      </c>
      <c r="BH72">
        <f>SUMIF(RawDataRecovered!$B:$B,$A72,RawDataRecovered!BK:BK)</f>
        <v>0</v>
      </c>
      <c r="BI72">
        <f>SUMIF(RawDataRecovered!$B:$B,$A72,RawDataRecovered!BL:BL)</f>
        <v>0</v>
      </c>
      <c r="BJ72">
        <f>SUMIF(RawDataRecovered!$B:$B,$A72,RawDataRecovered!BM:BM)</f>
        <v>0</v>
      </c>
      <c r="BK72">
        <f>SUMIF(RawDataRecovered!$B:$B,$A72,RawDataRecovered!BN:BN)</f>
        <v>0</v>
      </c>
      <c r="BL72">
        <f>SUMIF(RawDataRecovered!$B:$B,$A72,RawDataRecovered!BO:BO)</f>
        <v>0</v>
      </c>
      <c r="BM72">
        <f>SUMIF(RawDataRecovered!$B:$B,$A72,RawDataRecovered!BP:BP)</f>
        <v>0</v>
      </c>
      <c r="BN72">
        <f>SUMIF(RawDataRecovered!$B:$B,$A72,RawDataRecovered!BQ:BQ)</f>
        <v>0</v>
      </c>
      <c r="BO72">
        <f>SUMIF(RawDataRecovered!$B:$B,$A72,RawDataRecovered!BR:BR)</f>
        <v>0</v>
      </c>
      <c r="BP72">
        <f>SUMIF(RawDataRecovered!$B:$B,$A72,RawDataRecovered!BS:BS)</f>
        <v>0</v>
      </c>
      <c r="BQ72">
        <f>SUMIF(RawDataRecovered!$B:$B,$A72,RawDataRecovered!BT:BT)</f>
        <v>0</v>
      </c>
      <c r="BR72">
        <f>SUMIF(RawDataRecovered!$B:$B,$A72,RawDataRecovered!BU:BU)</f>
        <v>0</v>
      </c>
      <c r="BS72">
        <f>SUMIF(RawDataRecovered!$B:$B,$A72,RawDataRecovered!BV:BV)</f>
        <v>0</v>
      </c>
      <c r="BT72">
        <f>SUMIF(RawDataRecovered!$B:$B,$A72,RawDataRecovered!BW:BW)</f>
        <v>0</v>
      </c>
    </row>
    <row r="73" spans="1:72" ht="15" thickBot="1" x14ac:dyDescent="0.35">
      <c r="A73" s="4" t="s">
        <v>165</v>
      </c>
      <c r="B73">
        <f>SUMIF(RawDataRecovered!$B:$B,$A73,RawDataRecovered!E:E)</f>
        <v>0</v>
      </c>
      <c r="C73">
        <f>SUMIF(RawDataRecovered!$B:$B,$A73,RawDataRecovered!F:F)</f>
        <v>0</v>
      </c>
      <c r="D73">
        <f>SUMIF(RawDataRecovered!$B:$B,$A73,RawDataRecovered!G:G)</f>
        <v>0</v>
      </c>
      <c r="E73">
        <f>SUMIF(RawDataRecovered!$B:$B,$A73,RawDataRecovered!H:H)</f>
        <v>0</v>
      </c>
      <c r="F73">
        <f>SUMIF(RawDataRecovered!$B:$B,$A73,RawDataRecovered!I:I)</f>
        <v>0</v>
      </c>
      <c r="G73">
        <f>SUMIF(RawDataRecovered!$B:$B,$A73,RawDataRecovered!J:J)</f>
        <v>0</v>
      </c>
      <c r="H73">
        <f>SUMIF(RawDataRecovered!$B:$B,$A73,RawDataRecovered!K:K)</f>
        <v>0</v>
      </c>
      <c r="I73">
        <f>SUMIF(RawDataRecovered!$B:$B,$A73,RawDataRecovered!L:L)</f>
        <v>0</v>
      </c>
      <c r="J73">
        <f>SUMIF(RawDataRecovered!$B:$B,$A73,RawDataRecovered!M:M)</f>
        <v>0</v>
      </c>
      <c r="K73">
        <f>SUMIF(RawDataRecovered!$B:$B,$A73,RawDataRecovered!N:N)</f>
        <v>0</v>
      </c>
      <c r="L73">
        <f>SUMIF(RawDataRecovered!$B:$B,$A73,RawDataRecovered!O:O)</f>
        <v>0</v>
      </c>
      <c r="M73">
        <f>SUMIF(RawDataRecovered!$B:$B,$A73,RawDataRecovered!P:P)</f>
        <v>0</v>
      </c>
      <c r="N73">
        <f>SUMIF(RawDataRecovered!$B:$B,$A73,RawDataRecovered!Q:Q)</f>
        <v>0</v>
      </c>
      <c r="O73">
        <f>SUMIF(RawDataRecovered!$B:$B,$A73,RawDataRecovered!R:R)</f>
        <v>0</v>
      </c>
      <c r="P73">
        <f>SUMIF(RawDataRecovered!$B:$B,$A73,RawDataRecovered!S:S)</f>
        <v>0</v>
      </c>
      <c r="Q73">
        <f>SUMIF(RawDataRecovered!$B:$B,$A73,RawDataRecovered!T:T)</f>
        <v>0</v>
      </c>
      <c r="R73">
        <f>SUMIF(RawDataRecovered!$B:$B,$A73,RawDataRecovered!U:U)</f>
        <v>0</v>
      </c>
      <c r="S73">
        <f>SUMIF(RawDataRecovered!$B:$B,$A73,RawDataRecovered!V:V)</f>
        <v>0</v>
      </c>
      <c r="T73">
        <f>SUMIF(RawDataRecovered!$B:$B,$A73,RawDataRecovered!W:W)</f>
        <v>0</v>
      </c>
      <c r="U73">
        <f>SUMIF(RawDataRecovered!$B:$B,$A73,RawDataRecovered!X:X)</f>
        <v>0</v>
      </c>
      <c r="V73">
        <f>SUMIF(RawDataRecovered!$B:$B,$A73,RawDataRecovered!Y:Y)</f>
        <v>0</v>
      </c>
      <c r="W73">
        <f>SUMIF(RawDataRecovered!$B:$B,$A73,RawDataRecovered!Z:Z)</f>
        <v>0</v>
      </c>
      <c r="X73">
        <f>SUMIF(RawDataRecovered!$B:$B,$A73,RawDataRecovered!AA:AA)</f>
        <v>0</v>
      </c>
      <c r="Y73">
        <f>SUMIF(RawDataRecovered!$B:$B,$A73,RawDataRecovered!AB:AB)</f>
        <v>0</v>
      </c>
      <c r="Z73">
        <f>SUMIF(RawDataRecovered!$B:$B,$A73,RawDataRecovered!AC:AC)</f>
        <v>0</v>
      </c>
      <c r="AA73">
        <f>SUMIF(RawDataRecovered!$B:$B,$A73,RawDataRecovered!AD:AD)</f>
        <v>0</v>
      </c>
      <c r="AB73">
        <f>SUMIF(RawDataRecovered!$B:$B,$A73,RawDataRecovered!AE:AE)</f>
        <v>0</v>
      </c>
      <c r="AC73">
        <f>SUMIF(RawDataRecovered!$B:$B,$A73,RawDataRecovered!AF:AF)</f>
        <v>0</v>
      </c>
      <c r="AD73">
        <f>SUMIF(RawDataRecovered!$B:$B,$A73,RawDataRecovered!AG:AG)</f>
        <v>0</v>
      </c>
      <c r="AE73">
        <f>SUMIF(RawDataRecovered!$B:$B,$A73,RawDataRecovered!AH:AH)</f>
        <v>0</v>
      </c>
      <c r="AF73">
        <f>SUMIF(RawDataRecovered!$B:$B,$A73,RawDataRecovered!AI:AI)</f>
        <v>0</v>
      </c>
      <c r="AG73">
        <f>SUMIF(RawDataRecovered!$B:$B,$A73,RawDataRecovered!AJ:AJ)</f>
        <v>0</v>
      </c>
      <c r="AH73">
        <f>SUMIF(RawDataRecovered!$B:$B,$A73,RawDataRecovered!AK:AK)</f>
        <v>0</v>
      </c>
      <c r="AI73">
        <f>SUMIF(RawDataRecovered!$B:$B,$A73,RawDataRecovered!AL:AL)</f>
        <v>0</v>
      </c>
      <c r="AJ73">
        <f>SUMIF(RawDataRecovered!$B:$B,$A73,RawDataRecovered!AM:AM)</f>
        <v>0</v>
      </c>
      <c r="AK73">
        <f>SUMIF(RawDataRecovered!$B:$B,$A73,RawDataRecovered!AN:AN)</f>
        <v>0</v>
      </c>
      <c r="AL73">
        <f>SUMIF(RawDataRecovered!$B:$B,$A73,RawDataRecovered!AO:AO)</f>
        <v>0</v>
      </c>
      <c r="AM73">
        <f>SUMIF(RawDataRecovered!$B:$B,$A73,RawDataRecovered!AP:AP)</f>
        <v>0</v>
      </c>
      <c r="AN73">
        <f>SUMIF(RawDataRecovered!$B:$B,$A73,RawDataRecovered!AQ:AQ)</f>
        <v>0</v>
      </c>
      <c r="AO73">
        <f>SUMIF(RawDataRecovered!$B:$B,$A73,RawDataRecovered!AR:AR)</f>
        <v>0</v>
      </c>
      <c r="AP73">
        <f>SUMIF(RawDataRecovered!$B:$B,$A73,RawDataRecovered!AS:AS)</f>
        <v>0</v>
      </c>
      <c r="AQ73">
        <f>SUMIF(RawDataRecovered!$B:$B,$A73,RawDataRecovered!AT:AT)</f>
        <v>0</v>
      </c>
      <c r="AR73">
        <f>SUMIF(RawDataRecovered!$B:$B,$A73,RawDataRecovered!AU:AU)</f>
        <v>0</v>
      </c>
      <c r="AS73">
        <f>SUMIF(RawDataRecovered!$B:$B,$A73,RawDataRecovered!AV:AV)</f>
        <v>0</v>
      </c>
      <c r="AT73">
        <f>SUMIF(RawDataRecovered!$B:$B,$A73,RawDataRecovered!AW:AW)</f>
        <v>0</v>
      </c>
      <c r="AU73">
        <f>SUMIF(RawDataRecovered!$B:$B,$A73,RawDataRecovered!AX:AX)</f>
        <v>0</v>
      </c>
      <c r="AV73">
        <f>SUMIF(RawDataRecovered!$B:$B,$A73,RawDataRecovered!AY:AY)</f>
        <v>0</v>
      </c>
      <c r="AW73">
        <f>SUMIF(RawDataRecovered!$B:$B,$A73,RawDataRecovered!AZ:AZ)</f>
        <v>0</v>
      </c>
      <c r="AX73">
        <f>SUMIF(RawDataRecovered!$B:$B,$A73,RawDataRecovered!BA:BA)</f>
        <v>0</v>
      </c>
      <c r="AY73">
        <f>SUMIF(RawDataRecovered!$B:$B,$A73,RawDataRecovered!BB:BB)</f>
        <v>0</v>
      </c>
      <c r="AZ73">
        <f>SUMIF(RawDataRecovered!$B:$B,$A73,RawDataRecovered!BC:BC)</f>
        <v>0</v>
      </c>
      <c r="BA73">
        <f>SUMIF(RawDataRecovered!$B:$B,$A73,RawDataRecovered!BD:BD)</f>
        <v>0</v>
      </c>
      <c r="BB73">
        <f>SUMIF(RawDataRecovered!$B:$B,$A73,RawDataRecovered!BE:BE)</f>
        <v>0</v>
      </c>
      <c r="BC73">
        <f>SUMIF(RawDataRecovered!$B:$B,$A73,RawDataRecovered!BF:BF)</f>
        <v>0</v>
      </c>
      <c r="BD73">
        <f>SUMIF(RawDataRecovered!$B:$B,$A73,RawDataRecovered!BG:BG)</f>
        <v>0</v>
      </c>
      <c r="BE73">
        <f>SUMIF(RawDataRecovered!$B:$B,$A73,RawDataRecovered!BH:BH)</f>
        <v>0</v>
      </c>
      <c r="BF73">
        <f>SUMIF(RawDataRecovered!$B:$B,$A73,RawDataRecovered!BI:BI)</f>
        <v>0</v>
      </c>
      <c r="BG73">
        <f>SUMIF(RawDataRecovered!$B:$B,$A73,RawDataRecovered!BJ:BJ)</f>
        <v>0</v>
      </c>
      <c r="BH73">
        <f>SUMIF(RawDataRecovered!$B:$B,$A73,RawDataRecovered!BK:BK)</f>
        <v>0</v>
      </c>
      <c r="BI73">
        <f>SUMIF(RawDataRecovered!$B:$B,$A73,RawDataRecovered!BL:BL)</f>
        <v>0</v>
      </c>
      <c r="BJ73">
        <f>SUMIF(RawDataRecovered!$B:$B,$A73,RawDataRecovered!BM:BM)</f>
        <v>0</v>
      </c>
      <c r="BK73">
        <f>SUMIF(RawDataRecovered!$B:$B,$A73,RawDataRecovered!BN:BN)</f>
        <v>0</v>
      </c>
      <c r="BL73">
        <f>SUMIF(RawDataRecovered!$B:$B,$A73,RawDataRecovered!BO:BO)</f>
        <v>0</v>
      </c>
      <c r="BM73">
        <f>SUMIF(RawDataRecovered!$B:$B,$A73,RawDataRecovered!BP:BP)</f>
        <v>0</v>
      </c>
      <c r="BN73">
        <f>SUMIF(RawDataRecovered!$B:$B,$A73,RawDataRecovered!BQ:BQ)</f>
        <v>0</v>
      </c>
      <c r="BO73">
        <f>SUMIF(RawDataRecovered!$B:$B,$A73,RawDataRecovered!BR:BR)</f>
        <v>0</v>
      </c>
      <c r="BP73">
        <f>SUMIF(RawDataRecovered!$B:$B,$A73,RawDataRecovered!BS:BS)</f>
        <v>0</v>
      </c>
      <c r="BQ73">
        <f>SUMIF(RawDataRecovered!$B:$B,$A73,RawDataRecovered!BT:BT)</f>
        <v>0</v>
      </c>
      <c r="BR73">
        <f>SUMIF(RawDataRecovered!$B:$B,$A73,RawDataRecovered!BU:BU)</f>
        <v>0</v>
      </c>
      <c r="BS73">
        <f>SUMIF(RawDataRecovered!$B:$B,$A73,RawDataRecovered!BV:BV)</f>
        <v>0</v>
      </c>
      <c r="BT73">
        <f>SUMIF(RawDataRecovered!$B:$B,$A73,RawDataRecovered!BW:BW)</f>
        <v>0</v>
      </c>
    </row>
    <row r="74" spans="1:72" ht="15" thickBot="1" x14ac:dyDescent="0.35">
      <c r="A74" s="3" t="s">
        <v>131</v>
      </c>
      <c r="B74">
        <f>SUMIF(RawDataRecovered!$B:$B,$A74,RawDataRecovered!E:E)</f>
        <v>0</v>
      </c>
      <c r="C74">
        <f>SUMIF(RawDataRecovered!$B:$B,$A74,RawDataRecovered!F:F)</f>
        <v>0</v>
      </c>
      <c r="D74">
        <f>SUMIF(RawDataRecovered!$B:$B,$A74,RawDataRecovered!G:G)</f>
        <v>0</v>
      </c>
      <c r="E74">
        <f>SUMIF(RawDataRecovered!$B:$B,$A74,RawDataRecovered!H:H)</f>
        <v>0</v>
      </c>
      <c r="F74">
        <f>SUMIF(RawDataRecovered!$B:$B,$A74,RawDataRecovered!I:I)</f>
        <v>0</v>
      </c>
      <c r="G74">
        <f>SUMIF(RawDataRecovered!$B:$B,$A74,RawDataRecovered!J:J)</f>
        <v>0</v>
      </c>
      <c r="H74">
        <f>SUMIF(RawDataRecovered!$B:$B,$A74,RawDataRecovered!K:K)</f>
        <v>0</v>
      </c>
      <c r="I74">
        <f>SUMIF(RawDataRecovered!$B:$B,$A74,RawDataRecovered!L:L)</f>
        <v>0</v>
      </c>
      <c r="J74">
        <f>SUMIF(RawDataRecovered!$B:$B,$A74,RawDataRecovered!M:M)</f>
        <v>0</v>
      </c>
      <c r="K74">
        <f>SUMIF(RawDataRecovered!$B:$B,$A74,RawDataRecovered!N:N)</f>
        <v>0</v>
      </c>
      <c r="L74">
        <f>SUMIF(RawDataRecovered!$B:$B,$A74,RawDataRecovered!O:O)</f>
        <v>0</v>
      </c>
      <c r="M74">
        <f>SUMIF(RawDataRecovered!$B:$B,$A74,RawDataRecovered!P:P)</f>
        <v>0</v>
      </c>
      <c r="N74">
        <f>SUMIF(RawDataRecovered!$B:$B,$A74,RawDataRecovered!Q:Q)</f>
        <v>0</v>
      </c>
      <c r="O74">
        <f>SUMIF(RawDataRecovered!$B:$B,$A74,RawDataRecovered!R:R)</f>
        <v>0</v>
      </c>
      <c r="P74">
        <f>SUMIF(RawDataRecovered!$B:$B,$A74,RawDataRecovered!S:S)</f>
        <v>0</v>
      </c>
      <c r="Q74">
        <f>SUMIF(RawDataRecovered!$B:$B,$A74,RawDataRecovered!T:T)</f>
        <v>0</v>
      </c>
      <c r="R74">
        <f>SUMIF(RawDataRecovered!$B:$B,$A74,RawDataRecovered!U:U)</f>
        <v>0</v>
      </c>
      <c r="S74">
        <f>SUMIF(RawDataRecovered!$B:$B,$A74,RawDataRecovered!V:V)</f>
        <v>0</v>
      </c>
      <c r="T74">
        <f>SUMIF(RawDataRecovered!$B:$B,$A74,RawDataRecovered!W:W)</f>
        <v>0</v>
      </c>
      <c r="U74">
        <f>SUMIF(RawDataRecovered!$B:$B,$A74,RawDataRecovered!X:X)</f>
        <v>0</v>
      </c>
      <c r="V74">
        <f>SUMIF(RawDataRecovered!$B:$B,$A74,RawDataRecovered!Y:Y)</f>
        <v>0</v>
      </c>
      <c r="W74">
        <f>SUMIF(RawDataRecovered!$B:$B,$A74,RawDataRecovered!Z:Z)</f>
        <v>0</v>
      </c>
      <c r="X74">
        <f>SUMIF(RawDataRecovered!$B:$B,$A74,RawDataRecovered!AA:AA)</f>
        <v>0</v>
      </c>
      <c r="Y74">
        <f>SUMIF(RawDataRecovered!$B:$B,$A74,RawDataRecovered!AB:AB)</f>
        <v>0</v>
      </c>
      <c r="Z74">
        <f>SUMIF(RawDataRecovered!$B:$B,$A74,RawDataRecovered!AC:AC)</f>
        <v>0</v>
      </c>
      <c r="AA74">
        <f>SUMIF(RawDataRecovered!$B:$B,$A74,RawDataRecovered!AD:AD)</f>
        <v>0</v>
      </c>
      <c r="AB74">
        <f>SUMIF(RawDataRecovered!$B:$B,$A74,RawDataRecovered!AE:AE)</f>
        <v>0</v>
      </c>
      <c r="AC74">
        <f>SUMIF(RawDataRecovered!$B:$B,$A74,RawDataRecovered!AF:AF)</f>
        <v>0</v>
      </c>
      <c r="AD74">
        <f>SUMIF(RawDataRecovered!$B:$B,$A74,RawDataRecovered!AG:AG)</f>
        <v>0</v>
      </c>
      <c r="AE74">
        <f>SUMIF(RawDataRecovered!$B:$B,$A74,RawDataRecovered!AH:AH)</f>
        <v>0</v>
      </c>
      <c r="AF74">
        <f>SUMIF(RawDataRecovered!$B:$B,$A74,RawDataRecovered!AI:AI)</f>
        <v>0</v>
      </c>
      <c r="AG74">
        <f>SUMIF(RawDataRecovered!$B:$B,$A74,RawDataRecovered!AJ:AJ)</f>
        <v>0</v>
      </c>
      <c r="AH74">
        <f>SUMIF(RawDataRecovered!$B:$B,$A74,RawDataRecovered!AK:AK)</f>
        <v>0</v>
      </c>
      <c r="AI74">
        <f>SUMIF(RawDataRecovered!$B:$B,$A74,RawDataRecovered!AL:AL)</f>
        <v>0</v>
      </c>
      <c r="AJ74">
        <f>SUMIF(RawDataRecovered!$B:$B,$A74,RawDataRecovered!AM:AM)</f>
        <v>0</v>
      </c>
      <c r="AK74">
        <f>SUMIF(RawDataRecovered!$B:$B,$A74,RawDataRecovered!AN:AN)</f>
        <v>0</v>
      </c>
      <c r="AL74">
        <f>SUMIF(RawDataRecovered!$B:$B,$A74,RawDataRecovered!AO:AO)</f>
        <v>0</v>
      </c>
      <c r="AM74">
        <f>SUMIF(RawDataRecovered!$B:$B,$A74,RawDataRecovered!AP:AP)</f>
        <v>0</v>
      </c>
      <c r="AN74">
        <f>SUMIF(RawDataRecovered!$B:$B,$A74,RawDataRecovered!AQ:AQ)</f>
        <v>0</v>
      </c>
      <c r="AO74">
        <f>SUMIF(RawDataRecovered!$B:$B,$A74,RawDataRecovered!AR:AR)</f>
        <v>0</v>
      </c>
      <c r="AP74">
        <f>SUMIF(RawDataRecovered!$B:$B,$A74,RawDataRecovered!AS:AS)</f>
        <v>0</v>
      </c>
      <c r="AQ74">
        <f>SUMIF(RawDataRecovered!$B:$B,$A74,RawDataRecovered!AT:AT)</f>
        <v>0</v>
      </c>
      <c r="AR74">
        <f>SUMIF(RawDataRecovered!$B:$B,$A74,RawDataRecovered!AU:AU)</f>
        <v>0</v>
      </c>
      <c r="AS74">
        <f>SUMIF(RawDataRecovered!$B:$B,$A74,RawDataRecovered!AV:AV)</f>
        <v>0</v>
      </c>
      <c r="AT74">
        <f>SUMIF(RawDataRecovered!$B:$B,$A74,RawDataRecovered!AW:AW)</f>
        <v>0</v>
      </c>
      <c r="AU74">
        <f>SUMIF(RawDataRecovered!$B:$B,$A74,RawDataRecovered!AX:AX)</f>
        <v>0</v>
      </c>
      <c r="AV74">
        <f>SUMIF(RawDataRecovered!$B:$B,$A74,RawDataRecovered!AY:AY)</f>
        <v>0</v>
      </c>
      <c r="AW74">
        <f>SUMIF(RawDataRecovered!$B:$B,$A74,RawDataRecovered!AZ:AZ)</f>
        <v>0</v>
      </c>
      <c r="AX74">
        <f>SUMIF(RawDataRecovered!$B:$B,$A74,RawDataRecovered!BA:BA)</f>
        <v>0</v>
      </c>
      <c r="AY74">
        <f>SUMIF(RawDataRecovered!$B:$B,$A74,RawDataRecovered!BB:BB)</f>
        <v>3</v>
      </c>
      <c r="AZ74">
        <f>SUMIF(RawDataRecovered!$B:$B,$A74,RawDataRecovered!BC:BC)</f>
        <v>3</v>
      </c>
      <c r="BA74">
        <f>SUMIF(RawDataRecovered!$B:$B,$A74,RawDataRecovered!BD:BD)</f>
        <v>3</v>
      </c>
      <c r="BB74">
        <f>SUMIF(RawDataRecovered!$B:$B,$A74,RawDataRecovered!BE:BE)</f>
        <v>3</v>
      </c>
      <c r="BC74">
        <f>SUMIF(RawDataRecovered!$B:$B,$A74,RawDataRecovered!BF:BF)</f>
        <v>6</v>
      </c>
      <c r="BD74">
        <f>SUMIF(RawDataRecovered!$B:$B,$A74,RawDataRecovered!BG:BG)</f>
        <v>6</v>
      </c>
      <c r="BE74">
        <f>SUMIF(RawDataRecovered!$B:$B,$A74,RawDataRecovered!BH:BH)</f>
        <v>6</v>
      </c>
      <c r="BF74">
        <f>SUMIF(RawDataRecovered!$B:$B,$A74,RawDataRecovered!BI:BI)</f>
        <v>0</v>
      </c>
      <c r="BG74">
        <f>SUMIF(RawDataRecovered!$B:$B,$A74,RawDataRecovered!BJ:BJ)</f>
        <v>0</v>
      </c>
      <c r="BH74">
        <f>SUMIF(RawDataRecovered!$B:$B,$A74,RawDataRecovered!BK:BK)</f>
        <v>0</v>
      </c>
      <c r="BI74">
        <f>SUMIF(RawDataRecovered!$B:$B,$A74,RawDataRecovered!BL:BL)</f>
        <v>0</v>
      </c>
      <c r="BJ74">
        <f>SUMIF(RawDataRecovered!$B:$B,$A74,RawDataRecovered!BM:BM)</f>
        <v>0</v>
      </c>
      <c r="BK74">
        <f>SUMIF(RawDataRecovered!$B:$B,$A74,RawDataRecovered!BN:BN)</f>
        <v>0</v>
      </c>
      <c r="BL74">
        <f>SUMIF(RawDataRecovered!$B:$B,$A74,RawDataRecovered!BO:BO)</f>
        <v>0</v>
      </c>
      <c r="BM74">
        <f>SUMIF(RawDataRecovered!$B:$B,$A74,RawDataRecovered!BP:BP)</f>
        <v>0</v>
      </c>
      <c r="BN74">
        <f>SUMIF(RawDataRecovered!$B:$B,$A74,RawDataRecovered!BQ:BQ)</f>
        <v>0</v>
      </c>
      <c r="BO74">
        <f>SUMIF(RawDataRecovered!$B:$B,$A74,RawDataRecovered!BR:BR)</f>
        <v>0</v>
      </c>
      <c r="BP74">
        <f>SUMIF(RawDataRecovered!$B:$B,$A74,RawDataRecovered!BS:BS)</f>
        <v>0</v>
      </c>
      <c r="BQ74">
        <f>SUMIF(RawDataRecovered!$B:$B,$A74,RawDataRecovered!BT:BT)</f>
        <v>0</v>
      </c>
      <c r="BR74">
        <f>SUMIF(RawDataRecovered!$B:$B,$A74,RawDataRecovered!BU:BU)</f>
        <v>0</v>
      </c>
      <c r="BS74">
        <f>SUMIF(RawDataRecovered!$B:$B,$A74,RawDataRecovered!BV:BV)</f>
        <v>0</v>
      </c>
      <c r="BT74">
        <f>SUMIF(RawDataRecovered!$B:$B,$A74,RawDataRecovered!BW:BW)</f>
        <v>0</v>
      </c>
    </row>
    <row r="75" spans="1:72" ht="15" thickBot="1" x14ac:dyDescent="0.35">
      <c r="A75" s="3" t="s">
        <v>258</v>
      </c>
      <c r="B75">
        <f>SUMIF(RawDataRecovered!$B:$B,$A75,RawDataRecovered!E:E)</f>
        <v>0</v>
      </c>
      <c r="C75">
        <f>SUMIF(RawDataRecovered!$B:$B,$A75,RawDataRecovered!F:F)</f>
        <v>0</v>
      </c>
      <c r="D75">
        <f>SUMIF(RawDataRecovered!$B:$B,$A75,RawDataRecovered!G:G)</f>
        <v>0</v>
      </c>
      <c r="E75">
        <f>SUMIF(RawDataRecovered!$B:$B,$A75,RawDataRecovered!H:H)</f>
        <v>0</v>
      </c>
      <c r="F75">
        <f>SUMIF(RawDataRecovered!$B:$B,$A75,RawDataRecovered!I:I)</f>
        <v>0</v>
      </c>
      <c r="G75">
        <f>SUMIF(RawDataRecovered!$B:$B,$A75,RawDataRecovered!J:J)</f>
        <v>0</v>
      </c>
      <c r="H75">
        <f>SUMIF(RawDataRecovered!$B:$B,$A75,RawDataRecovered!K:K)</f>
        <v>0</v>
      </c>
      <c r="I75">
        <f>SUMIF(RawDataRecovered!$B:$B,$A75,RawDataRecovered!L:L)</f>
        <v>0</v>
      </c>
      <c r="J75">
        <f>SUMIF(RawDataRecovered!$B:$B,$A75,RawDataRecovered!M:M)</f>
        <v>0</v>
      </c>
      <c r="K75">
        <f>SUMIF(RawDataRecovered!$B:$B,$A75,RawDataRecovered!N:N)</f>
        <v>0</v>
      </c>
      <c r="L75">
        <f>SUMIF(RawDataRecovered!$B:$B,$A75,RawDataRecovered!O:O)</f>
        <v>0</v>
      </c>
      <c r="M75">
        <f>SUMIF(RawDataRecovered!$B:$B,$A75,RawDataRecovered!P:P)</f>
        <v>0</v>
      </c>
      <c r="N75">
        <f>SUMIF(RawDataRecovered!$B:$B,$A75,RawDataRecovered!Q:Q)</f>
        <v>0</v>
      </c>
      <c r="O75">
        <f>SUMIF(RawDataRecovered!$B:$B,$A75,RawDataRecovered!R:R)</f>
        <v>0</v>
      </c>
      <c r="P75">
        <f>SUMIF(RawDataRecovered!$B:$B,$A75,RawDataRecovered!S:S)</f>
        <v>0</v>
      </c>
      <c r="Q75">
        <f>SUMIF(RawDataRecovered!$B:$B,$A75,RawDataRecovered!T:T)</f>
        <v>0</v>
      </c>
      <c r="R75">
        <f>SUMIF(RawDataRecovered!$B:$B,$A75,RawDataRecovered!U:U)</f>
        <v>0</v>
      </c>
      <c r="S75">
        <f>SUMIF(RawDataRecovered!$B:$B,$A75,RawDataRecovered!V:V)</f>
        <v>0</v>
      </c>
      <c r="T75">
        <f>SUMIF(RawDataRecovered!$B:$B,$A75,RawDataRecovered!W:W)</f>
        <v>0</v>
      </c>
      <c r="U75">
        <f>SUMIF(RawDataRecovered!$B:$B,$A75,RawDataRecovered!X:X)</f>
        <v>0</v>
      </c>
      <c r="V75">
        <f>SUMIF(RawDataRecovered!$B:$B,$A75,RawDataRecovered!Y:Y)</f>
        <v>0</v>
      </c>
      <c r="W75">
        <f>SUMIF(RawDataRecovered!$B:$B,$A75,RawDataRecovered!Z:Z)</f>
        <v>0</v>
      </c>
      <c r="X75">
        <f>SUMIF(RawDataRecovered!$B:$B,$A75,RawDataRecovered!AA:AA)</f>
        <v>0</v>
      </c>
      <c r="Y75">
        <f>SUMIF(RawDataRecovered!$B:$B,$A75,RawDataRecovered!AB:AB)</f>
        <v>0</v>
      </c>
      <c r="Z75">
        <f>SUMIF(RawDataRecovered!$B:$B,$A75,RawDataRecovered!AC:AC)</f>
        <v>0</v>
      </c>
      <c r="AA75">
        <f>SUMIF(RawDataRecovered!$B:$B,$A75,RawDataRecovered!AD:AD)</f>
        <v>0</v>
      </c>
      <c r="AB75">
        <f>SUMIF(RawDataRecovered!$B:$B,$A75,RawDataRecovered!AE:AE)</f>
        <v>0</v>
      </c>
      <c r="AC75">
        <f>SUMIF(RawDataRecovered!$B:$B,$A75,RawDataRecovered!AF:AF)</f>
        <v>0</v>
      </c>
      <c r="AD75">
        <f>SUMIF(RawDataRecovered!$B:$B,$A75,RawDataRecovered!AG:AG)</f>
        <v>0</v>
      </c>
      <c r="AE75">
        <f>SUMIF(RawDataRecovered!$B:$B,$A75,RawDataRecovered!AH:AH)</f>
        <v>0</v>
      </c>
      <c r="AF75">
        <f>SUMIF(RawDataRecovered!$B:$B,$A75,RawDataRecovered!AI:AI)</f>
        <v>0</v>
      </c>
      <c r="AG75">
        <f>SUMIF(RawDataRecovered!$B:$B,$A75,RawDataRecovered!AJ:AJ)</f>
        <v>0</v>
      </c>
      <c r="AH75">
        <f>SUMIF(RawDataRecovered!$B:$B,$A75,RawDataRecovered!AK:AK)</f>
        <v>0</v>
      </c>
      <c r="AI75">
        <f>SUMIF(RawDataRecovered!$B:$B,$A75,RawDataRecovered!AL:AL)</f>
        <v>0</v>
      </c>
      <c r="AJ75">
        <f>SUMIF(RawDataRecovered!$B:$B,$A75,RawDataRecovered!AM:AM)</f>
        <v>0</v>
      </c>
      <c r="AK75">
        <f>SUMIF(RawDataRecovered!$B:$B,$A75,RawDataRecovered!AN:AN)</f>
        <v>0</v>
      </c>
      <c r="AL75">
        <f>SUMIF(RawDataRecovered!$B:$B,$A75,RawDataRecovered!AO:AO)</f>
        <v>0</v>
      </c>
      <c r="AM75">
        <f>SUMIF(RawDataRecovered!$B:$B,$A75,RawDataRecovered!AP:AP)</f>
        <v>0</v>
      </c>
      <c r="AN75">
        <f>SUMIF(RawDataRecovered!$B:$B,$A75,RawDataRecovered!AQ:AQ)</f>
        <v>0</v>
      </c>
      <c r="AO75">
        <f>SUMIF(RawDataRecovered!$B:$B,$A75,RawDataRecovered!AR:AR)</f>
        <v>0</v>
      </c>
      <c r="AP75">
        <f>SUMIF(RawDataRecovered!$B:$B,$A75,RawDataRecovered!AS:AS)</f>
        <v>0</v>
      </c>
      <c r="AQ75">
        <f>SUMIF(RawDataRecovered!$B:$B,$A75,RawDataRecovered!AT:AT)</f>
        <v>0</v>
      </c>
      <c r="AR75">
        <f>SUMIF(RawDataRecovered!$B:$B,$A75,RawDataRecovered!AU:AU)</f>
        <v>0</v>
      </c>
      <c r="AS75">
        <f>SUMIF(RawDataRecovered!$B:$B,$A75,RawDataRecovered!AV:AV)</f>
        <v>0</v>
      </c>
      <c r="AT75">
        <f>SUMIF(RawDataRecovered!$B:$B,$A75,RawDataRecovered!AW:AW)</f>
        <v>0</v>
      </c>
      <c r="AU75">
        <f>SUMIF(RawDataRecovered!$B:$B,$A75,RawDataRecovered!AX:AX)</f>
        <v>0</v>
      </c>
      <c r="AV75">
        <f>SUMIF(RawDataRecovered!$B:$B,$A75,RawDataRecovered!AY:AY)</f>
        <v>0</v>
      </c>
      <c r="AW75">
        <f>SUMIF(RawDataRecovered!$B:$B,$A75,RawDataRecovered!AZ:AZ)</f>
        <v>0</v>
      </c>
      <c r="AX75">
        <f>SUMIF(RawDataRecovered!$B:$B,$A75,RawDataRecovered!BA:BA)</f>
        <v>0</v>
      </c>
      <c r="AY75">
        <f>SUMIF(RawDataRecovered!$B:$B,$A75,RawDataRecovered!BB:BB)</f>
        <v>0</v>
      </c>
      <c r="AZ75">
        <f>SUMIF(RawDataRecovered!$B:$B,$A75,RawDataRecovered!BC:BC)</f>
        <v>0</v>
      </c>
      <c r="BA75">
        <f>SUMIF(RawDataRecovered!$B:$B,$A75,RawDataRecovered!BD:BD)</f>
        <v>0</v>
      </c>
      <c r="BB75">
        <f>SUMIF(RawDataRecovered!$B:$B,$A75,RawDataRecovered!BE:BE)</f>
        <v>0</v>
      </c>
      <c r="BC75">
        <f>SUMIF(RawDataRecovered!$B:$B,$A75,RawDataRecovered!BF:BF)</f>
        <v>0</v>
      </c>
      <c r="BD75">
        <f>SUMIF(RawDataRecovered!$B:$B,$A75,RawDataRecovered!BG:BG)</f>
        <v>0</v>
      </c>
      <c r="BE75">
        <f>SUMIF(RawDataRecovered!$B:$B,$A75,RawDataRecovered!BH:BH)</f>
        <v>0</v>
      </c>
      <c r="BF75">
        <f>SUMIF(RawDataRecovered!$B:$B,$A75,RawDataRecovered!BI:BI)</f>
        <v>0</v>
      </c>
      <c r="BG75">
        <f>SUMIF(RawDataRecovered!$B:$B,$A75,RawDataRecovered!BJ:BJ)</f>
        <v>0</v>
      </c>
      <c r="BH75">
        <f>SUMIF(RawDataRecovered!$B:$B,$A75,RawDataRecovered!BK:BK)</f>
        <v>0</v>
      </c>
      <c r="BI75">
        <f>SUMIF(RawDataRecovered!$B:$B,$A75,RawDataRecovered!BL:BL)</f>
        <v>0</v>
      </c>
      <c r="BJ75">
        <f>SUMIF(RawDataRecovered!$B:$B,$A75,RawDataRecovered!BM:BM)</f>
        <v>0</v>
      </c>
      <c r="BK75">
        <f>SUMIF(RawDataRecovered!$B:$B,$A75,RawDataRecovered!BN:BN)</f>
        <v>0</v>
      </c>
      <c r="BL75">
        <f>SUMIF(RawDataRecovered!$B:$B,$A75,RawDataRecovered!BO:BO)</f>
        <v>0</v>
      </c>
      <c r="BM75">
        <f>SUMIF(RawDataRecovered!$B:$B,$A75,RawDataRecovered!BP:BP)</f>
        <v>0</v>
      </c>
      <c r="BN75">
        <f>SUMIF(RawDataRecovered!$B:$B,$A75,RawDataRecovered!BQ:BQ)</f>
        <v>0</v>
      </c>
      <c r="BO75">
        <f>SUMIF(RawDataRecovered!$B:$B,$A75,RawDataRecovered!BR:BR)</f>
        <v>0</v>
      </c>
      <c r="BP75">
        <f>SUMIF(RawDataRecovered!$B:$B,$A75,RawDataRecovered!BS:BS)</f>
        <v>0</v>
      </c>
      <c r="BQ75">
        <f>SUMIF(RawDataRecovered!$B:$B,$A75,RawDataRecovered!BT:BT)</f>
        <v>0</v>
      </c>
      <c r="BR75">
        <f>SUMIF(RawDataRecovered!$B:$B,$A75,RawDataRecovered!BU:BU)</f>
        <v>0</v>
      </c>
      <c r="BS75">
        <f>SUMIF(RawDataRecovered!$B:$B,$A75,RawDataRecovered!BV:BV)</f>
        <v>0</v>
      </c>
      <c r="BT75">
        <f>SUMIF(RawDataRecovered!$B:$B,$A75,RawDataRecovered!BW:BW)</f>
        <v>0</v>
      </c>
    </row>
    <row r="76" spans="1:72" ht="15" thickBot="1" x14ac:dyDescent="0.35">
      <c r="A76" s="3" t="s">
        <v>111</v>
      </c>
      <c r="B76">
        <f>SUMIF(RawDataRecovered!$B:$B,$A76,RawDataRecovered!E:E)</f>
        <v>0</v>
      </c>
      <c r="C76">
        <f>SUMIF(RawDataRecovered!$B:$B,$A76,RawDataRecovered!F:F)</f>
        <v>0</v>
      </c>
      <c r="D76">
        <f>SUMIF(RawDataRecovered!$B:$B,$A76,RawDataRecovered!G:G)</f>
        <v>0</v>
      </c>
      <c r="E76">
        <f>SUMIF(RawDataRecovered!$B:$B,$A76,RawDataRecovered!H:H)</f>
        <v>0</v>
      </c>
      <c r="F76">
        <f>SUMIF(RawDataRecovered!$B:$B,$A76,RawDataRecovered!I:I)</f>
        <v>0</v>
      </c>
      <c r="G76">
        <f>SUMIF(RawDataRecovered!$B:$B,$A76,RawDataRecovered!J:J)</f>
        <v>0</v>
      </c>
      <c r="H76">
        <f>SUMIF(RawDataRecovered!$B:$B,$A76,RawDataRecovered!K:K)</f>
        <v>0</v>
      </c>
      <c r="I76">
        <f>SUMIF(RawDataRecovered!$B:$B,$A76,RawDataRecovered!L:L)</f>
        <v>0</v>
      </c>
      <c r="J76">
        <f>SUMIF(RawDataRecovered!$B:$B,$A76,RawDataRecovered!M:M)</f>
        <v>0</v>
      </c>
      <c r="K76">
        <f>SUMIF(RawDataRecovered!$B:$B,$A76,RawDataRecovered!N:N)</f>
        <v>0</v>
      </c>
      <c r="L76">
        <f>SUMIF(RawDataRecovered!$B:$B,$A76,RawDataRecovered!O:O)</f>
        <v>0</v>
      </c>
      <c r="M76">
        <f>SUMIF(RawDataRecovered!$B:$B,$A76,RawDataRecovered!P:P)</f>
        <v>0</v>
      </c>
      <c r="N76">
        <f>SUMIF(RawDataRecovered!$B:$B,$A76,RawDataRecovered!Q:Q)</f>
        <v>0</v>
      </c>
      <c r="O76">
        <f>SUMIF(RawDataRecovered!$B:$B,$A76,RawDataRecovered!R:R)</f>
        <v>0</v>
      </c>
      <c r="P76">
        <f>SUMIF(RawDataRecovered!$B:$B,$A76,RawDataRecovered!S:S)</f>
        <v>0</v>
      </c>
      <c r="Q76">
        <f>SUMIF(RawDataRecovered!$B:$B,$A76,RawDataRecovered!T:T)</f>
        <v>0</v>
      </c>
      <c r="R76">
        <f>SUMIF(RawDataRecovered!$B:$B,$A76,RawDataRecovered!U:U)</f>
        <v>0</v>
      </c>
      <c r="S76">
        <f>SUMIF(RawDataRecovered!$B:$B,$A76,RawDataRecovered!V:V)</f>
        <v>0</v>
      </c>
      <c r="T76">
        <f>SUMIF(RawDataRecovered!$B:$B,$A76,RawDataRecovered!W:W)</f>
        <v>0</v>
      </c>
      <c r="U76">
        <f>SUMIF(RawDataRecovered!$B:$B,$A76,RawDataRecovered!X:X)</f>
        <v>0</v>
      </c>
      <c r="V76">
        <f>SUMIF(RawDataRecovered!$B:$B,$A76,RawDataRecovered!Y:Y)</f>
        <v>0</v>
      </c>
      <c r="W76">
        <f>SUMIF(RawDataRecovered!$B:$B,$A76,RawDataRecovered!Z:Z)</f>
        <v>0</v>
      </c>
      <c r="X76">
        <f>SUMIF(RawDataRecovered!$B:$B,$A76,RawDataRecovered!AA:AA)</f>
        <v>0</v>
      </c>
      <c r="Y76">
        <f>SUMIF(RawDataRecovered!$B:$B,$A76,RawDataRecovered!AB:AB)</f>
        <v>0</v>
      </c>
      <c r="Z76">
        <f>SUMIF(RawDataRecovered!$B:$B,$A76,RawDataRecovered!AC:AC)</f>
        <v>0</v>
      </c>
      <c r="AA76">
        <f>SUMIF(RawDataRecovered!$B:$B,$A76,RawDataRecovered!AD:AD)</f>
        <v>0</v>
      </c>
      <c r="AB76">
        <f>SUMIF(RawDataRecovered!$B:$B,$A76,RawDataRecovered!AE:AE)</f>
        <v>0</v>
      </c>
      <c r="AC76">
        <f>SUMIF(RawDataRecovered!$B:$B,$A76,RawDataRecovered!AF:AF)</f>
        <v>0</v>
      </c>
      <c r="AD76">
        <f>SUMIF(RawDataRecovered!$B:$B,$A76,RawDataRecovered!AG:AG)</f>
        <v>0</v>
      </c>
      <c r="AE76">
        <f>SUMIF(RawDataRecovered!$B:$B,$A76,RawDataRecovered!AH:AH)</f>
        <v>0</v>
      </c>
      <c r="AF76">
        <f>SUMIF(RawDataRecovered!$B:$B,$A76,RawDataRecovered!AI:AI)</f>
        <v>0</v>
      </c>
      <c r="AG76">
        <f>SUMIF(RawDataRecovered!$B:$B,$A76,RawDataRecovered!AJ:AJ)</f>
        <v>0</v>
      </c>
      <c r="AH76">
        <f>SUMIF(RawDataRecovered!$B:$B,$A76,RawDataRecovered!AK:AK)</f>
        <v>0</v>
      </c>
      <c r="AI76">
        <f>SUMIF(RawDataRecovered!$B:$B,$A76,RawDataRecovered!AL:AL)</f>
        <v>0</v>
      </c>
      <c r="AJ76">
        <f>SUMIF(RawDataRecovered!$B:$B,$A76,RawDataRecovered!AM:AM)</f>
        <v>0</v>
      </c>
      <c r="AK76">
        <f>SUMIF(RawDataRecovered!$B:$B,$A76,RawDataRecovered!AN:AN)</f>
        <v>0</v>
      </c>
      <c r="AL76">
        <f>SUMIF(RawDataRecovered!$B:$B,$A76,RawDataRecovered!AO:AO)</f>
        <v>0</v>
      </c>
      <c r="AM76">
        <f>SUMIF(RawDataRecovered!$B:$B,$A76,RawDataRecovered!AP:AP)</f>
        <v>0</v>
      </c>
      <c r="AN76">
        <f>SUMIF(RawDataRecovered!$B:$B,$A76,RawDataRecovered!AQ:AQ)</f>
        <v>0</v>
      </c>
      <c r="AO76">
        <f>SUMIF(RawDataRecovered!$B:$B,$A76,RawDataRecovered!AR:AR)</f>
        <v>0</v>
      </c>
      <c r="AP76">
        <f>SUMIF(RawDataRecovered!$B:$B,$A76,RawDataRecovered!AS:AS)</f>
        <v>0</v>
      </c>
      <c r="AQ76">
        <f>SUMIF(RawDataRecovered!$B:$B,$A76,RawDataRecovered!AT:AT)</f>
        <v>0</v>
      </c>
      <c r="AR76">
        <f>SUMIF(RawDataRecovered!$B:$B,$A76,RawDataRecovered!AU:AU)</f>
        <v>0</v>
      </c>
      <c r="AS76">
        <f>SUMIF(RawDataRecovered!$B:$B,$A76,RawDataRecovered!AV:AV)</f>
        <v>0</v>
      </c>
      <c r="AT76">
        <f>SUMIF(RawDataRecovered!$B:$B,$A76,RawDataRecovered!AW:AW)</f>
        <v>0</v>
      </c>
      <c r="AU76">
        <f>SUMIF(RawDataRecovered!$B:$B,$A76,RawDataRecovered!AX:AX)</f>
        <v>0</v>
      </c>
      <c r="AV76">
        <f>SUMIF(RawDataRecovered!$B:$B,$A76,RawDataRecovered!AY:AY)</f>
        <v>0</v>
      </c>
      <c r="AW76">
        <f>SUMIF(RawDataRecovered!$B:$B,$A76,RawDataRecovered!AZ:AZ)</f>
        <v>0</v>
      </c>
      <c r="AX76">
        <f>SUMIF(RawDataRecovered!$B:$B,$A76,RawDataRecovered!BA:BA)</f>
        <v>0</v>
      </c>
      <c r="AY76">
        <f>SUMIF(RawDataRecovered!$B:$B,$A76,RawDataRecovered!BB:BB)</f>
        <v>0</v>
      </c>
      <c r="AZ76">
        <f>SUMIF(RawDataRecovered!$B:$B,$A76,RawDataRecovered!BC:BC)</f>
        <v>0</v>
      </c>
      <c r="BA76">
        <f>SUMIF(RawDataRecovered!$B:$B,$A76,RawDataRecovered!BD:BD)</f>
        <v>1</v>
      </c>
      <c r="BB76">
        <f>SUMIF(RawDataRecovered!$B:$B,$A76,RawDataRecovered!BE:BE)</f>
        <v>1</v>
      </c>
      <c r="BC76">
        <f>SUMIF(RawDataRecovered!$B:$B,$A76,RawDataRecovered!BF:BF)</f>
        <v>1</v>
      </c>
      <c r="BD76">
        <f>SUMIF(RawDataRecovered!$B:$B,$A76,RawDataRecovered!BG:BG)</f>
        <v>1</v>
      </c>
      <c r="BE76">
        <f>SUMIF(RawDataRecovered!$B:$B,$A76,RawDataRecovered!BH:BH)</f>
        <v>1</v>
      </c>
      <c r="BF76">
        <f>SUMIF(RawDataRecovered!$B:$B,$A76,RawDataRecovered!BI:BI)</f>
        <v>0</v>
      </c>
      <c r="BG76">
        <f>SUMIF(RawDataRecovered!$B:$B,$A76,RawDataRecovered!BJ:BJ)</f>
        <v>0</v>
      </c>
      <c r="BH76">
        <f>SUMIF(RawDataRecovered!$B:$B,$A76,RawDataRecovered!BK:BK)</f>
        <v>0</v>
      </c>
      <c r="BI76">
        <f>SUMIF(RawDataRecovered!$B:$B,$A76,RawDataRecovered!BL:BL)</f>
        <v>0</v>
      </c>
      <c r="BJ76">
        <f>SUMIF(RawDataRecovered!$B:$B,$A76,RawDataRecovered!BM:BM)</f>
        <v>0</v>
      </c>
      <c r="BK76">
        <f>SUMIF(RawDataRecovered!$B:$B,$A76,RawDataRecovered!BN:BN)</f>
        <v>0</v>
      </c>
      <c r="BL76">
        <f>SUMIF(RawDataRecovered!$B:$B,$A76,RawDataRecovered!BO:BO)</f>
        <v>0</v>
      </c>
      <c r="BM76">
        <f>SUMIF(RawDataRecovered!$B:$B,$A76,RawDataRecovered!BP:BP)</f>
        <v>0</v>
      </c>
      <c r="BN76">
        <f>SUMIF(RawDataRecovered!$B:$B,$A76,RawDataRecovered!BQ:BQ)</f>
        <v>0</v>
      </c>
      <c r="BO76">
        <f>SUMIF(RawDataRecovered!$B:$B,$A76,RawDataRecovered!BR:BR)</f>
        <v>0</v>
      </c>
      <c r="BP76">
        <f>SUMIF(RawDataRecovered!$B:$B,$A76,RawDataRecovered!BS:BS)</f>
        <v>0</v>
      </c>
      <c r="BQ76">
        <f>SUMIF(RawDataRecovered!$B:$B,$A76,RawDataRecovered!BT:BT)</f>
        <v>0</v>
      </c>
      <c r="BR76">
        <f>SUMIF(RawDataRecovered!$B:$B,$A76,RawDataRecovered!BU:BU)</f>
        <v>0</v>
      </c>
      <c r="BS76">
        <f>SUMIF(RawDataRecovered!$B:$B,$A76,RawDataRecovered!BV:BV)</f>
        <v>0</v>
      </c>
      <c r="BT76">
        <f>SUMIF(RawDataRecovered!$B:$B,$A76,RawDataRecovered!BW:BW)</f>
        <v>0</v>
      </c>
    </row>
    <row r="77" spans="1:72" ht="15" thickBot="1" x14ac:dyDescent="0.35">
      <c r="A77" s="3" t="s">
        <v>167</v>
      </c>
      <c r="B77">
        <f>SUMIF(RawDataRecovered!$B:$B,$A77,RawDataRecovered!E:E)</f>
        <v>0</v>
      </c>
      <c r="C77">
        <f>SUMIF(RawDataRecovered!$B:$B,$A77,RawDataRecovered!F:F)</f>
        <v>0</v>
      </c>
      <c r="D77">
        <f>SUMIF(RawDataRecovered!$B:$B,$A77,RawDataRecovered!G:G)</f>
        <v>0</v>
      </c>
      <c r="E77">
        <f>SUMIF(RawDataRecovered!$B:$B,$A77,RawDataRecovered!H:H)</f>
        <v>0</v>
      </c>
      <c r="F77">
        <f>SUMIF(RawDataRecovered!$B:$B,$A77,RawDataRecovered!I:I)</f>
        <v>0</v>
      </c>
      <c r="G77">
        <f>SUMIF(RawDataRecovered!$B:$B,$A77,RawDataRecovered!J:J)</f>
        <v>0</v>
      </c>
      <c r="H77">
        <f>SUMIF(RawDataRecovered!$B:$B,$A77,RawDataRecovered!K:K)</f>
        <v>0</v>
      </c>
      <c r="I77">
        <f>SUMIF(RawDataRecovered!$B:$B,$A77,RawDataRecovered!L:L)</f>
        <v>0</v>
      </c>
      <c r="J77">
        <f>SUMIF(RawDataRecovered!$B:$B,$A77,RawDataRecovered!M:M)</f>
        <v>0</v>
      </c>
      <c r="K77">
        <f>SUMIF(RawDataRecovered!$B:$B,$A77,RawDataRecovered!N:N)</f>
        <v>0</v>
      </c>
      <c r="L77">
        <f>SUMIF(RawDataRecovered!$B:$B,$A77,RawDataRecovered!O:O)</f>
        <v>0</v>
      </c>
      <c r="M77">
        <f>SUMIF(RawDataRecovered!$B:$B,$A77,RawDataRecovered!P:P)</f>
        <v>0</v>
      </c>
      <c r="N77">
        <f>SUMIF(RawDataRecovered!$B:$B,$A77,RawDataRecovered!Q:Q)</f>
        <v>0</v>
      </c>
      <c r="O77">
        <f>SUMIF(RawDataRecovered!$B:$B,$A77,RawDataRecovered!R:R)</f>
        <v>0</v>
      </c>
      <c r="P77">
        <f>SUMIF(RawDataRecovered!$B:$B,$A77,RawDataRecovered!S:S)</f>
        <v>0</v>
      </c>
      <c r="Q77">
        <f>SUMIF(RawDataRecovered!$B:$B,$A77,RawDataRecovered!T:T)</f>
        <v>0</v>
      </c>
      <c r="R77">
        <f>SUMIF(RawDataRecovered!$B:$B,$A77,RawDataRecovered!U:U)</f>
        <v>0</v>
      </c>
      <c r="S77">
        <f>SUMIF(RawDataRecovered!$B:$B,$A77,RawDataRecovered!V:V)</f>
        <v>0</v>
      </c>
      <c r="T77">
        <f>SUMIF(RawDataRecovered!$B:$B,$A77,RawDataRecovered!W:W)</f>
        <v>0</v>
      </c>
      <c r="U77">
        <f>SUMIF(RawDataRecovered!$B:$B,$A77,RawDataRecovered!X:X)</f>
        <v>0</v>
      </c>
      <c r="V77">
        <f>SUMIF(RawDataRecovered!$B:$B,$A77,RawDataRecovered!Y:Y)</f>
        <v>0</v>
      </c>
      <c r="W77">
        <f>SUMIF(RawDataRecovered!$B:$B,$A77,RawDataRecovered!Z:Z)</f>
        <v>0</v>
      </c>
      <c r="X77">
        <f>SUMIF(RawDataRecovered!$B:$B,$A77,RawDataRecovered!AA:AA)</f>
        <v>0</v>
      </c>
      <c r="Y77">
        <f>SUMIF(RawDataRecovered!$B:$B,$A77,RawDataRecovered!AB:AB)</f>
        <v>0</v>
      </c>
      <c r="Z77">
        <f>SUMIF(RawDataRecovered!$B:$B,$A77,RawDataRecovered!AC:AC)</f>
        <v>0</v>
      </c>
      <c r="AA77">
        <f>SUMIF(RawDataRecovered!$B:$B,$A77,RawDataRecovered!AD:AD)</f>
        <v>0</v>
      </c>
      <c r="AB77">
        <f>SUMIF(RawDataRecovered!$B:$B,$A77,RawDataRecovered!AE:AE)</f>
        <v>0</v>
      </c>
      <c r="AC77">
        <f>SUMIF(RawDataRecovered!$B:$B,$A77,RawDataRecovered!AF:AF)</f>
        <v>0</v>
      </c>
      <c r="AD77">
        <f>SUMIF(RawDataRecovered!$B:$B,$A77,RawDataRecovered!AG:AG)</f>
        <v>0</v>
      </c>
      <c r="AE77">
        <f>SUMIF(RawDataRecovered!$B:$B,$A77,RawDataRecovered!AH:AH)</f>
        <v>0</v>
      </c>
      <c r="AF77">
        <f>SUMIF(RawDataRecovered!$B:$B,$A77,RawDataRecovered!AI:AI)</f>
        <v>0</v>
      </c>
      <c r="AG77">
        <f>SUMIF(RawDataRecovered!$B:$B,$A77,RawDataRecovered!AJ:AJ)</f>
        <v>0</v>
      </c>
      <c r="AH77">
        <f>SUMIF(RawDataRecovered!$B:$B,$A77,RawDataRecovered!AK:AK)</f>
        <v>0</v>
      </c>
      <c r="AI77">
        <f>SUMIF(RawDataRecovered!$B:$B,$A77,RawDataRecovered!AL:AL)</f>
        <v>0</v>
      </c>
      <c r="AJ77">
        <f>SUMIF(RawDataRecovered!$B:$B,$A77,RawDataRecovered!AM:AM)</f>
        <v>0</v>
      </c>
      <c r="AK77">
        <f>SUMIF(RawDataRecovered!$B:$B,$A77,RawDataRecovered!AN:AN)</f>
        <v>0</v>
      </c>
      <c r="AL77">
        <f>SUMIF(RawDataRecovered!$B:$B,$A77,RawDataRecovered!AO:AO)</f>
        <v>0</v>
      </c>
      <c r="AM77">
        <f>SUMIF(RawDataRecovered!$B:$B,$A77,RawDataRecovered!AP:AP)</f>
        <v>0</v>
      </c>
      <c r="AN77">
        <f>SUMIF(RawDataRecovered!$B:$B,$A77,RawDataRecovered!AQ:AQ)</f>
        <v>0</v>
      </c>
      <c r="AO77">
        <f>SUMIF(RawDataRecovered!$B:$B,$A77,RawDataRecovered!AR:AR)</f>
        <v>0</v>
      </c>
      <c r="AP77">
        <f>SUMIF(RawDataRecovered!$B:$B,$A77,RawDataRecovered!AS:AS)</f>
        <v>0</v>
      </c>
      <c r="AQ77">
        <f>SUMIF(RawDataRecovered!$B:$B,$A77,RawDataRecovered!AT:AT)</f>
        <v>0</v>
      </c>
      <c r="AR77">
        <f>SUMIF(RawDataRecovered!$B:$B,$A77,RawDataRecovered!AU:AU)</f>
        <v>0</v>
      </c>
      <c r="AS77">
        <f>SUMIF(RawDataRecovered!$B:$B,$A77,RawDataRecovered!AV:AV)</f>
        <v>0</v>
      </c>
      <c r="AT77">
        <f>SUMIF(RawDataRecovered!$B:$B,$A77,RawDataRecovered!AW:AW)</f>
        <v>0</v>
      </c>
      <c r="AU77">
        <f>SUMIF(RawDataRecovered!$B:$B,$A77,RawDataRecovered!AX:AX)</f>
        <v>0</v>
      </c>
      <c r="AV77">
        <f>SUMIF(RawDataRecovered!$B:$B,$A77,RawDataRecovered!AY:AY)</f>
        <v>0</v>
      </c>
      <c r="AW77">
        <f>SUMIF(RawDataRecovered!$B:$B,$A77,RawDataRecovered!AZ:AZ)</f>
        <v>0</v>
      </c>
      <c r="AX77">
        <f>SUMIF(RawDataRecovered!$B:$B,$A77,RawDataRecovered!BA:BA)</f>
        <v>0</v>
      </c>
      <c r="AY77">
        <f>SUMIF(RawDataRecovered!$B:$B,$A77,RawDataRecovered!BB:BB)</f>
        <v>0</v>
      </c>
      <c r="AZ77">
        <f>SUMIF(RawDataRecovered!$B:$B,$A77,RawDataRecovered!BC:BC)</f>
        <v>0</v>
      </c>
      <c r="BA77">
        <f>SUMIF(RawDataRecovered!$B:$B,$A77,RawDataRecovered!BD:BD)</f>
        <v>0</v>
      </c>
      <c r="BB77">
        <f>SUMIF(RawDataRecovered!$B:$B,$A77,RawDataRecovered!BE:BE)</f>
        <v>0</v>
      </c>
      <c r="BC77">
        <f>SUMIF(RawDataRecovered!$B:$B,$A77,RawDataRecovered!BF:BF)</f>
        <v>0</v>
      </c>
      <c r="BD77">
        <f>SUMIF(RawDataRecovered!$B:$B,$A77,RawDataRecovered!BG:BG)</f>
        <v>0</v>
      </c>
      <c r="BE77">
        <f>SUMIF(RawDataRecovered!$B:$B,$A77,RawDataRecovered!BH:BH)</f>
        <v>2</v>
      </c>
      <c r="BF77">
        <f>SUMIF(RawDataRecovered!$B:$B,$A77,RawDataRecovered!BI:BI)</f>
        <v>0</v>
      </c>
      <c r="BG77">
        <f>SUMIF(RawDataRecovered!$B:$B,$A77,RawDataRecovered!BJ:BJ)</f>
        <v>0</v>
      </c>
      <c r="BH77">
        <f>SUMIF(RawDataRecovered!$B:$B,$A77,RawDataRecovered!BK:BK)</f>
        <v>0</v>
      </c>
      <c r="BI77">
        <f>SUMIF(RawDataRecovered!$B:$B,$A77,RawDataRecovered!BL:BL)</f>
        <v>0</v>
      </c>
      <c r="BJ77">
        <f>SUMIF(RawDataRecovered!$B:$B,$A77,RawDataRecovered!BM:BM)</f>
        <v>0</v>
      </c>
      <c r="BK77">
        <f>SUMIF(RawDataRecovered!$B:$B,$A77,RawDataRecovered!BN:BN)</f>
        <v>0</v>
      </c>
      <c r="BL77">
        <f>SUMIF(RawDataRecovered!$B:$B,$A77,RawDataRecovered!BO:BO)</f>
        <v>0</v>
      </c>
      <c r="BM77">
        <f>SUMIF(RawDataRecovered!$B:$B,$A77,RawDataRecovered!BP:BP)</f>
        <v>0</v>
      </c>
      <c r="BN77">
        <f>SUMIF(RawDataRecovered!$B:$B,$A77,RawDataRecovered!BQ:BQ)</f>
        <v>0</v>
      </c>
      <c r="BO77">
        <f>SUMIF(RawDataRecovered!$B:$B,$A77,RawDataRecovered!BR:BR)</f>
        <v>0</v>
      </c>
      <c r="BP77">
        <f>SUMIF(RawDataRecovered!$B:$B,$A77,RawDataRecovered!BS:BS)</f>
        <v>0</v>
      </c>
      <c r="BQ77">
        <f>SUMIF(RawDataRecovered!$B:$B,$A77,RawDataRecovered!BT:BT)</f>
        <v>0</v>
      </c>
      <c r="BR77">
        <f>SUMIF(RawDataRecovered!$B:$B,$A77,RawDataRecovered!BU:BU)</f>
        <v>0</v>
      </c>
      <c r="BS77">
        <f>SUMIF(RawDataRecovered!$B:$B,$A77,RawDataRecovered!BV:BV)</f>
        <v>0</v>
      </c>
      <c r="BT77">
        <f>SUMIF(RawDataRecovered!$B:$B,$A77,RawDataRecovered!BW:BW)</f>
        <v>0</v>
      </c>
    </row>
    <row r="78" spans="1:72" ht="15" thickBot="1" x14ac:dyDescent="0.35">
      <c r="A78" s="4" t="s">
        <v>185</v>
      </c>
      <c r="B78">
        <f>SUMIF(RawDataRecovered!$B:$B,$A78,RawDataRecovered!E:E)</f>
        <v>0</v>
      </c>
      <c r="C78">
        <f>SUMIF(RawDataRecovered!$B:$B,$A78,RawDataRecovered!F:F)</f>
        <v>0</v>
      </c>
      <c r="D78">
        <f>SUMIF(RawDataRecovered!$B:$B,$A78,RawDataRecovered!G:G)</f>
        <v>0</v>
      </c>
      <c r="E78">
        <f>SUMIF(RawDataRecovered!$B:$B,$A78,RawDataRecovered!H:H)</f>
        <v>0</v>
      </c>
      <c r="F78">
        <f>SUMIF(RawDataRecovered!$B:$B,$A78,RawDataRecovered!I:I)</f>
        <v>0</v>
      </c>
      <c r="G78">
        <f>SUMIF(RawDataRecovered!$B:$B,$A78,RawDataRecovered!J:J)</f>
        <v>0</v>
      </c>
      <c r="H78">
        <f>SUMIF(RawDataRecovered!$B:$B,$A78,RawDataRecovered!K:K)</f>
        <v>0</v>
      </c>
      <c r="I78">
        <f>SUMIF(RawDataRecovered!$B:$B,$A78,RawDataRecovered!L:L)</f>
        <v>0</v>
      </c>
      <c r="J78">
        <f>SUMIF(RawDataRecovered!$B:$B,$A78,RawDataRecovered!M:M)</f>
        <v>0</v>
      </c>
      <c r="K78">
        <f>SUMIF(RawDataRecovered!$B:$B,$A78,RawDataRecovered!N:N)</f>
        <v>0</v>
      </c>
      <c r="L78">
        <f>SUMIF(RawDataRecovered!$B:$B,$A78,RawDataRecovered!O:O)</f>
        <v>0</v>
      </c>
      <c r="M78">
        <f>SUMIF(RawDataRecovered!$B:$B,$A78,RawDataRecovered!P:P)</f>
        <v>0</v>
      </c>
      <c r="N78">
        <f>SUMIF(RawDataRecovered!$B:$B,$A78,RawDataRecovered!Q:Q)</f>
        <v>0</v>
      </c>
      <c r="O78">
        <f>SUMIF(RawDataRecovered!$B:$B,$A78,RawDataRecovered!R:R)</f>
        <v>0</v>
      </c>
      <c r="P78">
        <f>SUMIF(RawDataRecovered!$B:$B,$A78,RawDataRecovered!S:S)</f>
        <v>0</v>
      </c>
      <c r="Q78">
        <f>SUMIF(RawDataRecovered!$B:$B,$A78,RawDataRecovered!T:T)</f>
        <v>0</v>
      </c>
      <c r="R78">
        <f>SUMIF(RawDataRecovered!$B:$B,$A78,RawDataRecovered!U:U)</f>
        <v>0</v>
      </c>
      <c r="S78">
        <f>SUMIF(RawDataRecovered!$B:$B,$A78,RawDataRecovered!V:V)</f>
        <v>0</v>
      </c>
      <c r="T78">
        <f>SUMIF(RawDataRecovered!$B:$B,$A78,RawDataRecovered!W:W)</f>
        <v>0</v>
      </c>
      <c r="U78">
        <f>SUMIF(RawDataRecovered!$B:$B,$A78,RawDataRecovered!X:X)</f>
        <v>0</v>
      </c>
      <c r="V78">
        <f>SUMIF(RawDataRecovered!$B:$B,$A78,RawDataRecovered!Y:Y)</f>
        <v>0</v>
      </c>
      <c r="W78">
        <f>SUMIF(RawDataRecovered!$B:$B,$A78,RawDataRecovered!Z:Z)</f>
        <v>0</v>
      </c>
      <c r="X78">
        <f>SUMIF(RawDataRecovered!$B:$B,$A78,RawDataRecovered!AA:AA)</f>
        <v>0</v>
      </c>
      <c r="Y78">
        <f>SUMIF(RawDataRecovered!$B:$B,$A78,RawDataRecovered!AB:AB)</f>
        <v>0</v>
      </c>
      <c r="Z78">
        <f>SUMIF(RawDataRecovered!$B:$B,$A78,RawDataRecovered!AC:AC)</f>
        <v>0</v>
      </c>
      <c r="AA78">
        <f>SUMIF(RawDataRecovered!$B:$B,$A78,RawDataRecovered!AD:AD)</f>
        <v>0</v>
      </c>
      <c r="AB78">
        <f>SUMIF(RawDataRecovered!$B:$B,$A78,RawDataRecovered!AE:AE)</f>
        <v>0</v>
      </c>
      <c r="AC78">
        <f>SUMIF(RawDataRecovered!$B:$B,$A78,RawDataRecovered!AF:AF)</f>
        <v>0</v>
      </c>
      <c r="AD78">
        <f>SUMIF(RawDataRecovered!$B:$B,$A78,RawDataRecovered!AG:AG)</f>
        <v>0</v>
      </c>
      <c r="AE78">
        <f>SUMIF(RawDataRecovered!$B:$B,$A78,RawDataRecovered!AH:AH)</f>
        <v>0</v>
      </c>
      <c r="AF78">
        <f>SUMIF(RawDataRecovered!$B:$B,$A78,RawDataRecovered!AI:AI)</f>
        <v>0</v>
      </c>
      <c r="AG78">
        <f>SUMIF(RawDataRecovered!$B:$B,$A78,RawDataRecovered!AJ:AJ)</f>
        <v>0</v>
      </c>
      <c r="AH78">
        <f>SUMIF(RawDataRecovered!$B:$B,$A78,RawDataRecovered!AK:AK)</f>
        <v>0</v>
      </c>
      <c r="AI78">
        <f>SUMIF(RawDataRecovered!$B:$B,$A78,RawDataRecovered!AL:AL)</f>
        <v>0</v>
      </c>
      <c r="AJ78">
        <f>SUMIF(RawDataRecovered!$B:$B,$A78,RawDataRecovered!AM:AM)</f>
        <v>0</v>
      </c>
      <c r="AK78">
        <f>SUMIF(RawDataRecovered!$B:$B,$A78,RawDataRecovered!AN:AN)</f>
        <v>0</v>
      </c>
      <c r="AL78">
        <f>SUMIF(RawDataRecovered!$B:$B,$A78,RawDataRecovered!AO:AO)</f>
        <v>0</v>
      </c>
      <c r="AM78">
        <f>SUMIF(RawDataRecovered!$B:$B,$A78,RawDataRecovered!AP:AP)</f>
        <v>0</v>
      </c>
      <c r="AN78">
        <f>SUMIF(RawDataRecovered!$B:$B,$A78,RawDataRecovered!AQ:AQ)</f>
        <v>0</v>
      </c>
      <c r="AO78">
        <f>SUMIF(RawDataRecovered!$B:$B,$A78,RawDataRecovered!AR:AR)</f>
        <v>0</v>
      </c>
      <c r="AP78">
        <f>SUMIF(RawDataRecovered!$B:$B,$A78,RawDataRecovered!AS:AS)</f>
        <v>0</v>
      </c>
      <c r="AQ78">
        <f>SUMIF(RawDataRecovered!$B:$B,$A78,RawDataRecovered!AT:AT)</f>
        <v>0</v>
      </c>
      <c r="AR78">
        <f>SUMIF(RawDataRecovered!$B:$B,$A78,RawDataRecovered!AU:AU)</f>
        <v>0</v>
      </c>
      <c r="AS78">
        <f>SUMIF(RawDataRecovered!$B:$B,$A78,RawDataRecovered!AV:AV)</f>
        <v>0</v>
      </c>
      <c r="AT78">
        <f>SUMIF(RawDataRecovered!$B:$B,$A78,RawDataRecovered!AW:AW)</f>
        <v>0</v>
      </c>
      <c r="AU78">
        <f>SUMIF(RawDataRecovered!$B:$B,$A78,RawDataRecovered!AX:AX)</f>
        <v>0</v>
      </c>
      <c r="AV78">
        <f>SUMIF(RawDataRecovered!$B:$B,$A78,RawDataRecovered!AY:AY)</f>
        <v>0</v>
      </c>
      <c r="AW78">
        <f>SUMIF(RawDataRecovered!$B:$B,$A78,RawDataRecovered!AZ:AZ)</f>
        <v>0</v>
      </c>
      <c r="AX78">
        <f>SUMIF(RawDataRecovered!$B:$B,$A78,RawDataRecovered!BA:BA)</f>
        <v>0</v>
      </c>
      <c r="AY78">
        <f>SUMIF(RawDataRecovered!$B:$B,$A78,RawDataRecovered!BB:BB)</f>
        <v>0</v>
      </c>
      <c r="AZ78">
        <f>SUMIF(RawDataRecovered!$B:$B,$A78,RawDataRecovered!BC:BC)</f>
        <v>0</v>
      </c>
      <c r="BA78">
        <f>SUMIF(RawDataRecovered!$B:$B,$A78,RawDataRecovered!BD:BD)</f>
        <v>0</v>
      </c>
      <c r="BB78">
        <f>SUMIF(RawDataRecovered!$B:$B,$A78,RawDataRecovered!BE:BE)</f>
        <v>0</v>
      </c>
      <c r="BC78">
        <f>SUMIF(RawDataRecovered!$B:$B,$A78,RawDataRecovered!BF:BF)</f>
        <v>0</v>
      </c>
      <c r="BD78">
        <f>SUMIF(RawDataRecovered!$B:$B,$A78,RawDataRecovered!BG:BG)</f>
        <v>0</v>
      </c>
      <c r="BE78">
        <f>SUMIF(RawDataRecovered!$B:$B,$A78,RawDataRecovered!BH:BH)</f>
        <v>1</v>
      </c>
      <c r="BF78">
        <f>SUMIF(RawDataRecovered!$B:$B,$A78,RawDataRecovered!BI:BI)</f>
        <v>0</v>
      </c>
      <c r="BG78">
        <f>SUMIF(RawDataRecovered!$B:$B,$A78,RawDataRecovered!BJ:BJ)</f>
        <v>0</v>
      </c>
      <c r="BH78">
        <f>SUMIF(RawDataRecovered!$B:$B,$A78,RawDataRecovered!BK:BK)</f>
        <v>0</v>
      </c>
      <c r="BI78">
        <f>SUMIF(RawDataRecovered!$B:$B,$A78,RawDataRecovered!BL:BL)</f>
        <v>0</v>
      </c>
      <c r="BJ78">
        <f>SUMIF(RawDataRecovered!$B:$B,$A78,RawDataRecovered!BM:BM)</f>
        <v>0</v>
      </c>
      <c r="BK78">
        <f>SUMIF(RawDataRecovered!$B:$B,$A78,RawDataRecovered!BN:BN)</f>
        <v>0</v>
      </c>
      <c r="BL78">
        <f>SUMIF(RawDataRecovered!$B:$B,$A78,RawDataRecovered!BO:BO)</f>
        <v>0</v>
      </c>
      <c r="BM78">
        <f>SUMIF(RawDataRecovered!$B:$B,$A78,RawDataRecovered!BP:BP)</f>
        <v>0</v>
      </c>
      <c r="BN78">
        <f>SUMIF(RawDataRecovered!$B:$B,$A78,RawDataRecovered!BQ:BQ)</f>
        <v>0</v>
      </c>
      <c r="BO78">
        <f>SUMIF(RawDataRecovered!$B:$B,$A78,RawDataRecovered!BR:BR)</f>
        <v>0</v>
      </c>
      <c r="BP78">
        <f>SUMIF(RawDataRecovered!$B:$B,$A78,RawDataRecovered!BS:BS)</f>
        <v>0</v>
      </c>
      <c r="BQ78">
        <f>SUMIF(RawDataRecovered!$B:$B,$A78,RawDataRecovered!BT:BT)</f>
        <v>0</v>
      </c>
      <c r="BR78">
        <f>SUMIF(RawDataRecovered!$B:$B,$A78,RawDataRecovered!BU:BU)</f>
        <v>0</v>
      </c>
      <c r="BS78">
        <f>SUMIF(RawDataRecovered!$B:$B,$A78,RawDataRecovered!BV:BV)</f>
        <v>0</v>
      </c>
      <c r="BT78">
        <f>SUMIF(RawDataRecovered!$B:$B,$A78,RawDataRecovered!BW:BW)</f>
        <v>0</v>
      </c>
    </row>
    <row r="79" spans="1:72" ht="15" thickBot="1" x14ac:dyDescent="0.35">
      <c r="A79" s="3" t="s">
        <v>204</v>
      </c>
      <c r="B79">
        <f>SUMIF(RawDataRecovered!$B:$B,$A79,RawDataRecovered!E:E)</f>
        <v>0</v>
      </c>
      <c r="C79">
        <f>SUMIF(RawDataRecovered!$B:$B,$A79,RawDataRecovered!F:F)</f>
        <v>0</v>
      </c>
      <c r="D79">
        <f>SUMIF(RawDataRecovered!$B:$B,$A79,RawDataRecovered!G:G)</f>
        <v>0</v>
      </c>
      <c r="E79">
        <f>SUMIF(RawDataRecovered!$B:$B,$A79,RawDataRecovered!H:H)</f>
        <v>0</v>
      </c>
      <c r="F79">
        <f>SUMIF(RawDataRecovered!$B:$B,$A79,RawDataRecovered!I:I)</f>
        <v>0</v>
      </c>
      <c r="G79">
        <f>SUMIF(RawDataRecovered!$B:$B,$A79,RawDataRecovered!J:J)</f>
        <v>0</v>
      </c>
      <c r="H79">
        <f>SUMIF(RawDataRecovered!$B:$B,$A79,RawDataRecovered!K:K)</f>
        <v>0</v>
      </c>
      <c r="I79">
        <f>SUMIF(RawDataRecovered!$B:$B,$A79,RawDataRecovered!L:L)</f>
        <v>0</v>
      </c>
      <c r="J79">
        <f>SUMIF(RawDataRecovered!$B:$B,$A79,RawDataRecovered!M:M)</f>
        <v>0</v>
      </c>
      <c r="K79">
        <f>SUMIF(RawDataRecovered!$B:$B,$A79,RawDataRecovered!N:N)</f>
        <v>0</v>
      </c>
      <c r="L79">
        <f>SUMIF(RawDataRecovered!$B:$B,$A79,RawDataRecovered!O:O)</f>
        <v>0</v>
      </c>
      <c r="M79">
        <f>SUMIF(RawDataRecovered!$B:$B,$A79,RawDataRecovered!P:P)</f>
        <v>0</v>
      </c>
      <c r="N79">
        <f>SUMIF(RawDataRecovered!$B:$B,$A79,RawDataRecovered!Q:Q)</f>
        <v>0</v>
      </c>
      <c r="O79">
        <f>SUMIF(RawDataRecovered!$B:$B,$A79,RawDataRecovered!R:R)</f>
        <v>0</v>
      </c>
      <c r="P79">
        <f>SUMIF(RawDataRecovered!$B:$B,$A79,RawDataRecovered!S:S)</f>
        <v>0</v>
      </c>
      <c r="Q79">
        <f>SUMIF(RawDataRecovered!$B:$B,$A79,RawDataRecovered!T:T)</f>
        <v>0</v>
      </c>
      <c r="R79">
        <f>SUMIF(RawDataRecovered!$B:$B,$A79,RawDataRecovered!U:U)</f>
        <v>0</v>
      </c>
      <c r="S79">
        <f>SUMIF(RawDataRecovered!$B:$B,$A79,RawDataRecovered!V:V)</f>
        <v>0</v>
      </c>
      <c r="T79">
        <f>SUMIF(RawDataRecovered!$B:$B,$A79,RawDataRecovered!W:W)</f>
        <v>0</v>
      </c>
      <c r="U79">
        <f>SUMIF(RawDataRecovered!$B:$B,$A79,RawDataRecovered!X:X)</f>
        <v>0</v>
      </c>
      <c r="V79">
        <f>SUMIF(RawDataRecovered!$B:$B,$A79,RawDataRecovered!Y:Y)</f>
        <v>0</v>
      </c>
      <c r="W79">
        <f>SUMIF(RawDataRecovered!$B:$B,$A79,RawDataRecovered!Z:Z)</f>
        <v>0</v>
      </c>
      <c r="X79">
        <f>SUMIF(RawDataRecovered!$B:$B,$A79,RawDataRecovered!AA:AA)</f>
        <v>0</v>
      </c>
      <c r="Y79">
        <f>SUMIF(RawDataRecovered!$B:$B,$A79,RawDataRecovered!AB:AB)</f>
        <v>0</v>
      </c>
      <c r="Z79">
        <f>SUMIF(RawDataRecovered!$B:$B,$A79,RawDataRecovered!AC:AC)</f>
        <v>0</v>
      </c>
      <c r="AA79">
        <f>SUMIF(RawDataRecovered!$B:$B,$A79,RawDataRecovered!AD:AD)</f>
        <v>0</v>
      </c>
      <c r="AB79">
        <f>SUMIF(RawDataRecovered!$B:$B,$A79,RawDataRecovered!AE:AE)</f>
        <v>0</v>
      </c>
      <c r="AC79">
        <f>SUMIF(RawDataRecovered!$B:$B,$A79,RawDataRecovered!AF:AF)</f>
        <v>0</v>
      </c>
      <c r="AD79">
        <f>SUMIF(RawDataRecovered!$B:$B,$A79,RawDataRecovered!AG:AG)</f>
        <v>0</v>
      </c>
      <c r="AE79">
        <f>SUMIF(RawDataRecovered!$B:$B,$A79,RawDataRecovered!AH:AH)</f>
        <v>0</v>
      </c>
      <c r="AF79">
        <f>SUMIF(RawDataRecovered!$B:$B,$A79,RawDataRecovered!AI:AI)</f>
        <v>0</v>
      </c>
      <c r="AG79">
        <f>SUMIF(RawDataRecovered!$B:$B,$A79,RawDataRecovered!AJ:AJ)</f>
        <v>0</v>
      </c>
      <c r="AH79">
        <f>SUMIF(RawDataRecovered!$B:$B,$A79,RawDataRecovered!AK:AK)</f>
        <v>0</v>
      </c>
      <c r="AI79">
        <f>SUMIF(RawDataRecovered!$B:$B,$A79,RawDataRecovered!AL:AL)</f>
        <v>0</v>
      </c>
      <c r="AJ79">
        <f>SUMIF(RawDataRecovered!$B:$B,$A79,RawDataRecovered!AM:AM)</f>
        <v>0</v>
      </c>
      <c r="AK79">
        <f>SUMIF(RawDataRecovered!$B:$B,$A79,RawDataRecovered!AN:AN)</f>
        <v>0</v>
      </c>
      <c r="AL79">
        <f>SUMIF(RawDataRecovered!$B:$B,$A79,RawDataRecovered!AO:AO)</f>
        <v>0</v>
      </c>
      <c r="AM79">
        <f>SUMIF(RawDataRecovered!$B:$B,$A79,RawDataRecovered!AP:AP)</f>
        <v>0</v>
      </c>
      <c r="AN79">
        <f>SUMIF(RawDataRecovered!$B:$B,$A79,RawDataRecovered!AQ:AQ)</f>
        <v>0</v>
      </c>
      <c r="AO79">
        <f>SUMIF(RawDataRecovered!$B:$B,$A79,RawDataRecovered!AR:AR)</f>
        <v>0</v>
      </c>
      <c r="AP79">
        <f>SUMIF(RawDataRecovered!$B:$B,$A79,RawDataRecovered!AS:AS)</f>
        <v>0</v>
      </c>
      <c r="AQ79">
        <f>SUMIF(RawDataRecovered!$B:$B,$A79,RawDataRecovered!AT:AT)</f>
        <v>0</v>
      </c>
      <c r="AR79">
        <f>SUMIF(RawDataRecovered!$B:$B,$A79,RawDataRecovered!AU:AU)</f>
        <v>0</v>
      </c>
      <c r="AS79">
        <f>SUMIF(RawDataRecovered!$B:$B,$A79,RawDataRecovered!AV:AV)</f>
        <v>0</v>
      </c>
      <c r="AT79">
        <f>SUMIF(RawDataRecovered!$B:$B,$A79,RawDataRecovered!AW:AW)</f>
        <v>0</v>
      </c>
      <c r="AU79">
        <f>SUMIF(RawDataRecovered!$B:$B,$A79,RawDataRecovered!AX:AX)</f>
        <v>0</v>
      </c>
      <c r="AV79">
        <f>SUMIF(RawDataRecovered!$B:$B,$A79,RawDataRecovered!AY:AY)</f>
        <v>0</v>
      </c>
      <c r="AW79">
        <f>SUMIF(RawDataRecovered!$B:$B,$A79,RawDataRecovered!AZ:AZ)</f>
        <v>0</v>
      </c>
      <c r="AX79">
        <f>SUMIF(RawDataRecovered!$B:$B,$A79,RawDataRecovered!BA:BA)</f>
        <v>0</v>
      </c>
      <c r="AY79">
        <f>SUMIF(RawDataRecovered!$B:$B,$A79,RawDataRecovered!BB:BB)</f>
        <v>0</v>
      </c>
      <c r="AZ79">
        <f>SUMIF(RawDataRecovered!$B:$B,$A79,RawDataRecovered!BC:BC)</f>
        <v>0</v>
      </c>
      <c r="BA79">
        <f>SUMIF(RawDataRecovered!$B:$B,$A79,RawDataRecovered!BD:BD)</f>
        <v>1</v>
      </c>
      <c r="BB79">
        <f>SUMIF(RawDataRecovered!$B:$B,$A79,RawDataRecovered!BE:BE)</f>
        <v>1</v>
      </c>
      <c r="BC79">
        <f>SUMIF(RawDataRecovered!$B:$B,$A79,RawDataRecovered!BF:BF)</f>
        <v>1</v>
      </c>
      <c r="BD79">
        <f>SUMIF(RawDataRecovered!$B:$B,$A79,RawDataRecovered!BG:BG)</f>
        <v>2</v>
      </c>
      <c r="BE79">
        <f>SUMIF(RawDataRecovered!$B:$B,$A79,RawDataRecovered!BH:BH)</f>
        <v>2</v>
      </c>
      <c r="BF79">
        <f>SUMIF(RawDataRecovered!$B:$B,$A79,RawDataRecovered!BI:BI)</f>
        <v>0</v>
      </c>
      <c r="BG79">
        <f>SUMIF(RawDataRecovered!$B:$B,$A79,RawDataRecovered!BJ:BJ)</f>
        <v>0</v>
      </c>
      <c r="BH79">
        <f>SUMIF(RawDataRecovered!$B:$B,$A79,RawDataRecovered!BK:BK)</f>
        <v>0</v>
      </c>
      <c r="BI79">
        <f>SUMIF(RawDataRecovered!$B:$B,$A79,RawDataRecovered!BL:BL)</f>
        <v>0</v>
      </c>
      <c r="BJ79">
        <f>SUMIF(RawDataRecovered!$B:$B,$A79,RawDataRecovered!BM:BM)</f>
        <v>0</v>
      </c>
      <c r="BK79">
        <f>SUMIF(RawDataRecovered!$B:$B,$A79,RawDataRecovered!BN:BN)</f>
        <v>0</v>
      </c>
      <c r="BL79">
        <f>SUMIF(RawDataRecovered!$B:$B,$A79,RawDataRecovered!BO:BO)</f>
        <v>0</v>
      </c>
      <c r="BM79">
        <f>SUMIF(RawDataRecovered!$B:$B,$A79,RawDataRecovered!BP:BP)</f>
        <v>0</v>
      </c>
      <c r="BN79">
        <f>SUMIF(RawDataRecovered!$B:$B,$A79,RawDataRecovered!BQ:BQ)</f>
        <v>0</v>
      </c>
      <c r="BO79">
        <f>SUMIF(RawDataRecovered!$B:$B,$A79,RawDataRecovered!BR:BR)</f>
        <v>0</v>
      </c>
      <c r="BP79">
        <f>SUMIF(RawDataRecovered!$B:$B,$A79,RawDataRecovered!BS:BS)</f>
        <v>0</v>
      </c>
      <c r="BQ79">
        <f>SUMIF(RawDataRecovered!$B:$B,$A79,RawDataRecovered!BT:BT)</f>
        <v>0</v>
      </c>
      <c r="BR79">
        <f>SUMIF(RawDataRecovered!$B:$B,$A79,RawDataRecovered!BU:BU)</f>
        <v>0</v>
      </c>
      <c r="BS79">
        <f>SUMIF(RawDataRecovered!$B:$B,$A79,RawDataRecovered!BV:BV)</f>
        <v>0</v>
      </c>
      <c r="BT79">
        <f>SUMIF(RawDataRecovered!$B:$B,$A79,RawDataRecovered!BW:BW)</f>
        <v>0</v>
      </c>
    </row>
    <row r="80" spans="1:72" ht="15" thickBot="1" x14ac:dyDescent="0.35">
      <c r="A80" s="4" t="s">
        <v>121</v>
      </c>
      <c r="B80">
        <f>SUMIF(RawDataRecovered!$B:$B,$A80,RawDataRecovered!E:E)</f>
        <v>0</v>
      </c>
      <c r="C80">
        <f>SUMIF(RawDataRecovered!$B:$B,$A80,RawDataRecovered!F:F)</f>
        <v>0</v>
      </c>
      <c r="D80">
        <f>SUMIF(RawDataRecovered!$B:$B,$A80,RawDataRecovered!G:G)</f>
        <v>0</v>
      </c>
      <c r="E80">
        <f>SUMIF(RawDataRecovered!$B:$B,$A80,RawDataRecovered!H:H)</f>
        <v>0</v>
      </c>
      <c r="F80">
        <f>SUMIF(RawDataRecovered!$B:$B,$A80,RawDataRecovered!I:I)</f>
        <v>0</v>
      </c>
      <c r="G80">
        <f>SUMIF(RawDataRecovered!$B:$B,$A80,RawDataRecovered!J:J)</f>
        <v>0</v>
      </c>
      <c r="H80">
        <f>SUMIF(RawDataRecovered!$B:$B,$A80,RawDataRecovered!K:K)</f>
        <v>0</v>
      </c>
      <c r="I80">
        <f>SUMIF(RawDataRecovered!$B:$B,$A80,RawDataRecovered!L:L)</f>
        <v>0</v>
      </c>
      <c r="J80">
        <f>SUMIF(RawDataRecovered!$B:$B,$A80,RawDataRecovered!M:M)</f>
        <v>0</v>
      </c>
      <c r="K80">
        <f>SUMIF(RawDataRecovered!$B:$B,$A80,RawDataRecovered!N:N)</f>
        <v>0</v>
      </c>
      <c r="L80">
        <f>SUMIF(RawDataRecovered!$B:$B,$A80,RawDataRecovered!O:O)</f>
        <v>0</v>
      </c>
      <c r="M80">
        <f>SUMIF(RawDataRecovered!$B:$B,$A80,RawDataRecovered!P:P)</f>
        <v>0</v>
      </c>
      <c r="N80">
        <f>SUMIF(RawDataRecovered!$B:$B,$A80,RawDataRecovered!Q:Q)</f>
        <v>0</v>
      </c>
      <c r="O80">
        <f>SUMIF(RawDataRecovered!$B:$B,$A80,RawDataRecovered!R:R)</f>
        <v>0</v>
      </c>
      <c r="P80">
        <f>SUMIF(RawDataRecovered!$B:$B,$A80,RawDataRecovered!S:S)</f>
        <v>0</v>
      </c>
      <c r="Q80">
        <f>SUMIF(RawDataRecovered!$B:$B,$A80,RawDataRecovered!T:T)</f>
        <v>0</v>
      </c>
      <c r="R80">
        <f>SUMIF(RawDataRecovered!$B:$B,$A80,RawDataRecovered!U:U)</f>
        <v>0</v>
      </c>
      <c r="S80">
        <f>SUMIF(RawDataRecovered!$B:$B,$A80,RawDataRecovered!V:V)</f>
        <v>0</v>
      </c>
      <c r="T80">
        <f>SUMIF(RawDataRecovered!$B:$B,$A80,RawDataRecovered!W:W)</f>
        <v>0</v>
      </c>
      <c r="U80">
        <f>SUMIF(RawDataRecovered!$B:$B,$A80,RawDataRecovered!X:X)</f>
        <v>0</v>
      </c>
      <c r="V80">
        <f>SUMIF(RawDataRecovered!$B:$B,$A80,RawDataRecovered!Y:Y)</f>
        <v>0</v>
      </c>
      <c r="W80">
        <f>SUMIF(RawDataRecovered!$B:$B,$A80,RawDataRecovered!Z:Z)</f>
        <v>0</v>
      </c>
      <c r="X80">
        <f>SUMIF(RawDataRecovered!$B:$B,$A80,RawDataRecovered!AA:AA)</f>
        <v>0</v>
      </c>
      <c r="Y80">
        <f>SUMIF(RawDataRecovered!$B:$B,$A80,RawDataRecovered!AB:AB)</f>
        <v>0</v>
      </c>
      <c r="Z80">
        <f>SUMIF(RawDataRecovered!$B:$B,$A80,RawDataRecovered!AC:AC)</f>
        <v>0</v>
      </c>
      <c r="AA80">
        <f>SUMIF(RawDataRecovered!$B:$B,$A80,RawDataRecovered!AD:AD)</f>
        <v>0</v>
      </c>
      <c r="AB80">
        <f>SUMIF(RawDataRecovered!$B:$B,$A80,RawDataRecovered!AE:AE)</f>
        <v>0</v>
      </c>
      <c r="AC80">
        <f>SUMIF(RawDataRecovered!$B:$B,$A80,RawDataRecovered!AF:AF)</f>
        <v>0</v>
      </c>
      <c r="AD80">
        <f>SUMIF(RawDataRecovered!$B:$B,$A80,RawDataRecovered!AG:AG)</f>
        <v>0</v>
      </c>
      <c r="AE80">
        <f>SUMIF(RawDataRecovered!$B:$B,$A80,RawDataRecovered!AH:AH)</f>
        <v>0</v>
      </c>
      <c r="AF80">
        <f>SUMIF(RawDataRecovered!$B:$B,$A80,RawDataRecovered!AI:AI)</f>
        <v>0</v>
      </c>
      <c r="AG80">
        <f>SUMIF(RawDataRecovered!$B:$B,$A80,RawDataRecovered!AJ:AJ)</f>
        <v>0</v>
      </c>
      <c r="AH80">
        <f>SUMIF(RawDataRecovered!$B:$B,$A80,RawDataRecovered!AK:AK)</f>
        <v>0</v>
      </c>
      <c r="AI80">
        <f>SUMIF(RawDataRecovered!$B:$B,$A80,RawDataRecovered!AL:AL)</f>
        <v>0</v>
      </c>
      <c r="AJ80">
        <f>SUMIF(RawDataRecovered!$B:$B,$A80,RawDataRecovered!AM:AM)</f>
        <v>0</v>
      </c>
      <c r="AK80">
        <f>SUMIF(RawDataRecovered!$B:$B,$A80,RawDataRecovered!AN:AN)</f>
        <v>0</v>
      </c>
      <c r="AL80">
        <f>SUMIF(RawDataRecovered!$B:$B,$A80,RawDataRecovered!AO:AO)</f>
        <v>0</v>
      </c>
      <c r="AM80">
        <f>SUMIF(RawDataRecovered!$B:$B,$A80,RawDataRecovered!AP:AP)</f>
        <v>0</v>
      </c>
      <c r="AN80">
        <f>SUMIF(RawDataRecovered!$B:$B,$A80,RawDataRecovered!AQ:AQ)</f>
        <v>0</v>
      </c>
      <c r="AO80">
        <f>SUMIF(RawDataRecovered!$B:$B,$A80,RawDataRecovered!AR:AR)</f>
        <v>0</v>
      </c>
      <c r="AP80">
        <f>SUMIF(RawDataRecovered!$B:$B,$A80,RawDataRecovered!AS:AS)</f>
        <v>0</v>
      </c>
      <c r="AQ80">
        <f>SUMIF(RawDataRecovered!$B:$B,$A80,RawDataRecovered!AT:AT)</f>
        <v>1</v>
      </c>
      <c r="AR80">
        <f>SUMIF(RawDataRecovered!$B:$B,$A80,RawDataRecovered!AU:AU)</f>
        <v>1</v>
      </c>
      <c r="AS80">
        <f>SUMIF(RawDataRecovered!$B:$B,$A80,RawDataRecovered!AV:AV)</f>
        <v>1</v>
      </c>
      <c r="AT80">
        <f>SUMIF(RawDataRecovered!$B:$B,$A80,RawDataRecovered!AW:AW)</f>
        <v>1</v>
      </c>
      <c r="AU80">
        <f>SUMIF(RawDataRecovered!$B:$B,$A80,RawDataRecovered!AX:AX)</f>
        <v>1</v>
      </c>
      <c r="AV80">
        <f>SUMIF(RawDataRecovered!$B:$B,$A80,RawDataRecovered!AY:AY)</f>
        <v>1</v>
      </c>
      <c r="AW80">
        <f>SUMIF(RawDataRecovered!$B:$B,$A80,RawDataRecovered!AZ:AZ)</f>
        <v>1</v>
      </c>
      <c r="AX80">
        <f>SUMIF(RawDataRecovered!$B:$B,$A80,RawDataRecovered!BA:BA)</f>
        <v>4</v>
      </c>
      <c r="AY80">
        <f>SUMIF(RawDataRecovered!$B:$B,$A80,RawDataRecovered!BB:BB)</f>
        <v>4</v>
      </c>
      <c r="AZ80">
        <f>SUMIF(RawDataRecovered!$B:$B,$A80,RawDataRecovered!BC:BC)</f>
        <v>4</v>
      </c>
      <c r="BA80">
        <f>SUMIF(RawDataRecovered!$B:$B,$A80,RawDataRecovered!BD:BD)</f>
        <v>4</v>
      </c>
      <c r="BB80">
        <f>SUMIF(RawDataRecovered!$B:$B,$A80,RawDataRecovered!BE:BE)</f>
        <v>4</v>
      </c>
      <c r="BC80">
        <f>SUMIF(RawDataRecovered!$B:$B,$A80,RawDataRecovered!BF:BF)</f>
        <v>4</v>
      </c>
      <c r="BD80">
        <f>SUMIF(RawDataRecovered!$B:$B,$A80,RawDataRecovered!BG:BG)</f>
        <v>4</v>
      </c>
      <c r="BE80">
        <f>SUMIF(RawDataRecovered!$B:$B,$A80,RawDataRecovered!BH:BH)</f>
        <v>4</v>
      </c>
      <c r="BF80">
        <f>SUMIF(RawDataRecovered!$B:$B,$A80,RawDataRecovered!BI:BI)</f>
        <v>0</v>
      </c>
      <c r="BG80">
        <f>SUMIF(RawDataRecovered!$B:$B,$A80,RawDataRecovered!BJ:BJ)</f>
        <v>0</v>
      </c>
      <c r="BH80">
        <f>SUMIF(RawDataRecovered!$B:$B,$A80,RawDataRecovered!BK:BK)</f>
        <v>0</v>
      </c>
      <c r="BI80">
        <f>SUMIF(RawDataRecovered!$B:$B,$A80,RawDataRecovered!BL:BL)</f>
        <v>0</v>
      </c>
      <c r="BJ80">
        <f>SUMIF(RawDataRecovered!$B:$B,$A80,RawDataRecovered!BM:BM)</f>
        <v>0</v>
      </c>
      <c r="BK80">
        <f>SUMIF(RawDataRecovered!$B:$B,$A80,RawDataRecovered!BN:BN)</f>
        <v>0</v>
      </c>
      <c r="BL80">
        <f>SUMIF(RawDataRecovered!$B:$B,$A80,RawDataRecovered!BO:BO)</f>
        <v>0</v>
      </c>
      <c r="BM80">
        <f>SUMIF(RawDataRecovered!$B:$B,$A80,RawDataRecovered!BP:BP)</f>
        <v>0</v>
      </c>
      <c r="BN80">
        <f>SUMIF(RawDataRecovered!$B:$B,$A80,RawDataRecovered!BQ:BQ)</f>
        <v>0</v>
      </c>
      <c r="BO80">
        <f>SUMIF(RawDataRecovered!$B:$B,$A80,RawDataRecovered!BR:BR)</f>
        <v>0</v>
      </c>
      <c r="BP80">
        <f>SUMIF(RawDataRecovered!$B:$B,$A80,RawDataRecovered!BS:BS)</f>
        <v>0</v>
      </c>
      <c r="BQ80">
        <f>SUMIF(RawDataRecovered!$B:$B,$A80,RawDataRecovered!BT:BT)</f>
        <v>0</v>
      </c>
      <c r="BR80">
        <f>SUMIF(RawDataRecovered!$B:$B,$A80,RawDataRecovered!BU:BU)</f>
        <v>0</v>
      </c>
      <c r="BS80">
        <f>SUMIF(RawDataRecovered!$B:$B,$A80,RawDataRecovered!BV:BV)</f>
        <v>0</v>
      </c>
      <c r="BT80">
        <f>SUMIF(RawDataRecovered!$B:$B,$A80,RawDataRecovered!BW:BW)</f>
        <v>0</v>
      </c>
    </row>
    <row r="81" spans="1:72" ht="15" thickBot="1" x14ac:dyDescent="0.35">
      <c r="A81" s="3" t="s">
        <v>141</v>
      </c>
      <c r="B81">
        <f>SUMIF(RawDataRecovered!$B:$B,$A81,RawDataRecovered!E:E)</f>
        <v>0</v>
      </c>
      <c r="C81">
        <f>SUMIF(RawDataRecovered!$B:$B,$A81,RawDataRecovered!F:F)</f>
        <v>0</v>
      </c>
      <c r="D81">
        <f>SUMIF(RawDataRecovered!$B:$B,$A81,RawDataRecovered!G:G)</f>
        <v>0</v>
      </c>
      <c r="E81">
        <f>SUMIF(RawDataRecovered!$B:$B,$A81,RawDataRecovered!H:H)</f>
        <v>0</v>
      </c>
      <c r="F81">
        <f>SUMIF(RawDataRecovered!$B:$B,$A81,RawDataRecovered!I:I)</f>
        <v>0</v>
      </c>
      <c r="G81">
        <f>SUMIF(RawDataRecovered!$B:$B,$A81,RawDataRecovered!J:J)</f>
        <v>0</v>
      </c>
      <c r="H81">
        <f>SUMIF(RawDataRecovered!$B:$B,$A81,RawDataRecovered!K:K)</f>
        <v>0</v>
      </c>
      <c r="I81">
        <f>SUMIF(RawDataRecovered!$B:$B,$A81,RawDataRecovered!L:L)</f>
        <v>0</v>
      </c>
      <c r="J81">
        <f>SUMIF(RawDataRecovered!$B:$B,$A81,RawDataRecovered!M:M)</f>
        <v>0</v>
      </c>
      <c r="K81">
        <f>SUMIF(RawDataRecovered!$B:$B,$A81,RawDataRecovered!N:N)</f>
        <v>0</v>
      </c>
      <c r="L81">
        <f>SUMIF(RawDataRecovered!$B:$B,$A81,RawDataRecovered!O:O)</f>
        <v>0</v>
      </c>
      <c r="M81">
        <f>SUMIF(RawDataRecovered!$B:$B,$A81,RawDataRecovered!P:P)</f>
        <v>0</v>
      </c>
      <c r="N81">
        <f>SUMIF(RawDataRecovered!$B:$B,$A81,RawDataRecovered!Q:Q)</f>
        <v>0</v>
      </c>
      <c r="O81">
        <f>SUMIF(RawDataRecovered!$B:$B,$A81,RawDataRecovered!R:R)</f>
        <v>0</v>
      </c>
      <c r="P81">
        <f>SUMIF(RawDataRecovered!$B:$B,$A81,RawDataRecovered!S:S)</f>
        <v>0</v>
      </c>
      <c r="Q81">
        <f>SUMIF(RawDataRecovered!$B:$B,$A81,RawDataRecovered!T:T)</f>
        <v>0</v>
      </c>
      <c r="R81">
        <f>SUMIF(RawDataRecovered!$B:$B,$A81,RawDataRecovered!U:U)</f>
        <v>0</v>
      </c>
      <c r="S81">
        <f>SUMIF(RawDataRecovered!$B:$B,$A81,RawDataRecovered!V:V)</f>
        <v>0</v>
      </c>
      <c r="T81">
        <f>SUMIF(RawDataRecovered!$B:$B,$A81,RawDataRecovered!W:W)</f>
        <v>0</v>
      </c>
      <c r="U81">
        <f>SUMIF(RawDataRecovered!$B:$B,$A81,RawDataRecovered!X:X)</f>
        <v>0</v>
      </c>
      <c r="V81">
        <f>SUMIF(RawDataRecovered!$B:$B,$A81,RawDataRecovered!Y:Y)</f>
        <v>0</v>
      </c>
      <c r="W81">
        <f>SUMIF(RawDataRecovered!$B:$B,$A81,RawDataRecovered!Z:Z)</f>
        <v>0</v>
      </c>
      <c r="X81">
        <f>SUMIF(RawDataRecovered!$B:$B,$A81,RawDataRecovered!AA:AA)</f>
        <v>0</v>
      </c>
      <c r="Y81">
        <f>SUMIF(RawDataRecovered!$B:$B,$A81,RawDataRecovered!AB:AB)</f>
        <v>0</v>
      </c>
      <c r="Z81">
        <f>SUMIF(RawDataRecovered!$B:$B,$A81,RawDataRecovered!AC:AC)</f>
        <v>0</v>
      </c>
      <c r="AA81">
        <f>SUMIF(RawDataRecovered!$B:$B,$A81,RawDataRecovered!AD:AD)</f>
        <v>0</v>
      </c>
      <c r="AB81">
        <f>SUMIF(RawDataRecovered!$B:$B,$A81,RawDataRecovered!AE:AE)</f>
        <v>0</v>
      </c>
      <c r="AC81">
        <f>SUMIF(RawDataRecovered!$B:$B,$A81,RawDataRecovered!AF:AF)</f>
        <v>0</v>
      </c>
      <c r="AD81">
        <f>SUMIF(RawDataRecovered!$B:$B,$A81,RawDataRecovered!AG:AG)</f>
        <v>0</v>
      </c>
      <c r="AE81">
        <f>SUMIF(RawDataRecovered!$B:$B,$A81,RawDataRecovered!AH:AH)</f>
        <v>0</v>
      </c>
      <c r="AF81">
        <f>SUMIF(RawDataRecovered!$B:$B,$A81,RawDataRecovered!AI:AI)</f>
        <v>0</v>
      </c>
      <c r="AG81">
        <f>SUMIF(RawDataRecovered!$B:$B,$A81,RawDataRecovered!AJ:AJ)</f>
        <v>0</v>
      </c>
      <c r="AH81">
        <f>SUMIF(RawDataRecovered!$B:$B,$A81,RawDataRecovered!AK:AK)</f>
        <v>0</v>
      </c>
      <c r="AI81">
        <f>SUMIF(RawDataRecovered!$B:$B,$A81,RawDataRecovered!AL:AL)</f>
        <v>0</v>
      </c>
      <c r="AJ81">
        <f>SUMIF(RawDataRecovered!$B:$B,$A81,RawDataRecovered!AM:AM)</f>
        <v>0</v>
      </c>
      <c r="AK81">
        <f>SUMIF(RawDataRecovered!$B:$B,$A81,RawDataRecovered!AN:AN)</f>
        <v>0</v>
      </c>
      <c r="AL81">
        <f>SUMIF(RawDataRecovered!$B:$B,$A81,RawDataRecovered!AO:AO)</f>
        <v>0</v>
      </c>
      <c r="AM81">
        <f>SUMIF(RawDataRecovered!$B:$B,$A81,RawDataRecovered!AP:AP)</f>
        <v>0</v>
      </c>
      <c r="AN81">
        <f>SUMIF(RawDataRecovered!$B:$B,$A81,RawDataRecovered!AQ:AQ)</f>
        <v>0</v>
      </c>
      <c r="AO81">
        <f>SUMIF(RawDataRecovered!$B:$B,$A81,RawDataRecovered!AR:AR)</f>
        <v>0</v>
      </c>
      <c r="AP81">
        <f>SUMIF(RawDataRecovered!$B:$B,$A81,RawDataRecovered!AS:AS)</f>
        <v>0</v>
      </c>
      <c r="AQ81">
        <f>SUMIF(RawDataRecovered!$B:$B,$A81,RawDataRecovered!AT:AT)</f>
        <v>0</v>
      </c>
      <c r="AR81">
        <f>SUMIF(RawDataRecovered!$B:$B,$A81,RawDataRecovered!AU:AU)</f>
        <v>0</v>
      </c>
      <c r="AS81">
        <f>SUMIF(RawDataRecovered!$B:$B,$A81,RawDataRecovered!AV:AV)</f>
        <v>0</v>
      </c>
      <c r="AT81">
        <f>SUMIF(RawDataRecovered!$B:$B,$A81,RawDataRecovered!AW:AW)</f>
        <v>0</v>
      </c>
      <c r="AU81">
        <f>SUMIF(RawDataRecovered!$B:$B,$A81,RawDataRecovered!AX:AX)</f>
        <v>0</v>
      </c>
      <c r="AV81">
        <f>SUMIF(RawDataRecovered!$B:$B,$A81,RawDataRecovered!AY:AY)</f>
        <v>1</v>
      </c>
      <c r="AW81">
        <f>SUMIF(RawDataRecovered!$B:$B,$A81,RawDataRecovered!AZ:AZ)</f>
        <v>1</v>
      </c>
      <c r="AX81">
        <f>SUMIF(RawDataRecovered!$B:$B,$A81,RawDataRecovered!BA:BA)</f>
        <v>1</v>
      </c>
      <c r="AY81">
        <f>SUMIF(RawDataRecovered!$B:$B,$A81,RawDataRecovered!BB:BB)</f>
        <v>1</v>
      </c>
      <c r="AZ81">
        <f>SUMIF(RawDataRecovered!$B:$B,$A81,RawDataRecovered!BC:BC)</f>
        <v>1</v>
      </c>
      <c r="BA81">
        <f>SUMIF(RawDataRecovered!$B:$B,$A81,RawDataRecovered!BD:BD)</f>
        <v>1</v>
      </c>
      <c r="BB81">
        <f>SUMIF(RawDataRecovered!$B:$B,$A81,RawDataRecovered!BE:BE)</f>
        <v>1</v>
      </c>
      <c r="BC81">
        <f>SUMIF(RawDataRecovered!$B:$B,$A81,RawDataRecovered!BF:BF)</f>
        <v>1</v>
      </c>
      <c r="BD81">
        <f>SUMIF(RawDataRecovered!$B:$B,$A81,RawDataRecovered!BG:BG)</f>
        <v>2</v>
      </c>
      <c r="BE81">
        <f>SUMIF(RawDataRecovered!$B:$B,$A81,RawDataRecovered!BH:BH)</f>
        <v>2</v>
      </c>
      <c r="BF81">
        <f>SUMIF(RawDataRecovered!$B:$B,$A81,RawDataRecovered!BI:BI)</f>
        <v>0</v>
      </c>
      <c r="BG81">
        <f>SUMIF(RawDataRecovered!$B:$B,$A81,RawDataRecovered!BJ:BJ)</f>
        <v>0</v>
      </c>
      <c r="BH81">
        <f>SUMIF(RawDataRecovered!$B:$B,$A81,RawDataRecovered!BK:BK)</f>
        <v>0</v>
      </c>
      <c r="BI81">
        <f>SUMIF(RawDataRecovered!$B:$B,$A81,RawDataRecovered!BL:BL)</f>
        <v>0</v>
      </c>
      <c r="BJ81">
        <f>SUMIF(RawDataRecovered!$B:$B,$A81,RawDataRecovered!BM:BM)</f>
        <v>0</v>
      </c>
      <c r="BK81">
        <f>SUMIF(RawDataRecovered!$B:$B,$A81,RawDataRecovered!BN:BN)</f>
        <v>0</v>
      </c>
      <c r="BL81">
        <f>SUMIF(RawDataRecovered!$B:$B,$A81,RawDataRecovered!BO:BO)</f>
        <v>0</v>
      </c>
      <c r="BM81">
        <f>SUMIF(RawDataRecovered!$B:$B,$A81,RawDataRecovered!BP:BP)</f>
        <v>0</v>
      </c>
      <c r="BN81">
        <f>SUMIF(RawDataRecovered!$B:$B,$A81,RawDataRecovered!BQ:BQ)</f>
        <v>0</v>
      </c>
      <c r="BO81">
        <f>SUMIF(RawDataRecovered!$B:$B,$A81,RawDataRecovered!BR:BR)</f>
        <v>0</v>
      </c>
      <c r="BP81">
        <f>SUMIF(RawDataRecovered!$B:$B,$A81,RawDataRecovered!BS:BS)</f>
        <v>0</v>
      </c>
      <c r="BQ81">
        <f>SUMIF(RawDataRecovered!$B:$B,$A81,RawDataRecovered!BT:BT)</f>
        <v>0</v>
      </c>
      <c r="BR81">
        <f>SUMIF(RawDataRecovered!$B:$B,$A81,RawDataRecovered!BU:BU)</f>
        <v>0</v>
      </c>
      <c r="BS81">
        <f>SUMIF(RawDataRecovered!$B:$B,$A81,RawDataRecovered!BV:BV)</f>
        <v>0</v>
      </c>
      <c r="BT81">
        <f>SUMIF(RawDataRecovered!$B:$B,$A81,RawDataRecovered!BW:BW)</f>
        <v>0</v>
      </c>
    </row>
    <row r="82" spans="1:72" ht="15" thickBot="1" x14ac:dyDescent="0.35">
      <c r="A82" s="4" t="s">
        <v>227</v>
      </c>
      <c r="B82">
        <f>SUMIF(RawDataRecovered!$B:$B,$A82,RawDataRecovered!E:E)</f>
        <v>0</v>
      </c>
      <c r="C82">
        <f>SUMIF(RawDataRecovered!$B:$B,$A82,RawDataRecovered!F:F)</f>
        <v>0</v>
      </c>
      <c r="D82">
        <f>SUMIF(RawDataRecovered!$B:$B,$A82,RawDataRecovered!G:G)</f>
        <v>0</v>
      </c>
      <c r="E82">
        <f>SUMIF(RawDataRecovered!$B:$B,$A82,RawDataRecovered!H:H)</f>
        <v>0</v>
      </c>
      <c r="F82">
        <f>SUMIF(RawDataRecovered!$B:$B,$A82,RawDataRecovered!I:I)</f>
        <v>0</v>
      </c>
      <c r="G82">
        <f>SUMIF(RawDataRecovered!$B:$B,$A82,RawDataRecovered!J:J)</f>
        <v>0</v>
      </c>
      <c r="H82">
        <f>SUMIF(RawDataRecovered!$B:$B,$A82,RawDataRecovered!K:K)</f>
        <v>0</v>
      </c>
      <c r="I82">
        <f>SUMIF(RawDataRecovered!$B:$B,$A82,RawDataRecovered!L:L)</f>
        <v>0</v>
      </c>
      <c r="J82">
        <f>SUMIF(RawDataRecovered!$B:$B,$A82,RawDataRecovered!M:M)</f>
        <v>0</v>
      </c>
      <c r="K82">
        <f>SUMIF(RawDataRecovered!$B:$B,$A82,RawDataRecovered!N:N)</f>
        <v>0</v>
      </c>
      <c r="L82">
        <f>SUMIF(RawDataRecovered!$B:$B,$A82,RawDataRecovered!O:O)</f>
        <v>0</v>
      </c>
      <c r="M82">
        <f>SUMIF(RawDataRecovered!$B:$B,$A82,RawDataRecovered!P:P)</f>
        <v>0</v>
      </c>
      <c r="N82">
        <f>SUMIF(RawDataRecovered!$B:$B,$A82,RawDataRecovered!Q:Q)</f>
        <v>0</v>
      </c>
      <c r="O82">
        <f>SUMIF(RawDataRecovered!$B:$B,$A82,RawDataRecovered!R:R)</f>
        <v>0</v>
      </c>
      <c r="P82">
        <f>SUMIF(RawDataRecovered!$B:$B,$A82,RawDataRecovered!S:S)</f>
        <v>0</v>
      </c>
      <c r="Q82">
        <f>SUMIF(RawDataRecovered!$B:$B,$A82,RawDataRecovered!T:T)</f>
        <v>0</v>
      </c>
      <c r="R82">
        <f>SUMIF(RawDataRecovered!$B:$B,$A82,RawDataRecovered!U:U)</f>
        <v>0</v>
      </c>
      <c r="S82">
        <f>SUMIF(RawDataRecovered!$B:$B,$A82,RawDataRecovered!V:V)</f>
        <v>0</v>
      </c>
      <c r="T82">
        <f>SUMIF(RawDataRecovered!$B:$B,$A82,RawDataRecovered!W:W)</f>
        <v>0</v>
      </c>
      <c r="U82">
        <f>SUMIF(RawDataRecovered!$B:$B,$A82,RawDataRecovered!X:X)</f>
        <v>0</v>
      </c>
      <c r="V82">
        <f>SUMIF(RawDataRecovered!$B:$B,$A82,RawDataRecovered!Y:Y)</f>
        <v>0</v>
      </c>
      <c r="W82">
        <f>SUMIF(RawDataRecovered!$B:$B,$A82,RawDataRecovered!Z:Z)</f>
        <v>0</v>
      </c>
      <c r="X82">
        <f>SUMIF(RawDataRecovered!$B:$B,$A82,RawDataRecovered!AA:AA)</f>
        <v>0</v>
      </c>
      <c r="Y82">
        <f>SUMIF(RawDataRecovered!$B:$B,$A82,RawDataRecovered!AB:AB)</f>
        <v>0</v>
      </c>
      <c r="Z82">
        <f>SUMIF(RawDataRecovered!$B:$B,$A82,RawDataRecovered!AC:AC)</f>
        <v>0</v>
      </c>
      <c r="AA82">
        <f>SUMIF(RawDataRecovered!$B:$B,$A82,RawDataRecovered!AD:AD)</f>
        <v>0</v>
      </c>
      <c r="AB82">
        <f>SUMIF(RawDataRecovered!$B:$B,$A82,RawDataRecovered!AE:AE)</f>
        <v>0</v>
      </c>
      <c r="AC82">
        <f>SUMIF(RawDataRecovered!$B:$B,$A82,RawDataRecovered!AF:AF)</f>
        <v>0</v>
      </c>
      <c r="AD82">
        <f>SUMIF(RawDataRecovered!$B:$B,$A82,RawDataRecovered!AG:AG)</f>
        <v>0</v>
      </c>
      <c r="AE82">
        <f>SUMIF(RawDataRecovered!$B:$B,$A82,RawDataRecovered!AH:AH)</f>
        <v>0</v>
      </c>
      <c r="AF82">
        <f>SUMIF(RawDataRecovered!$B:$B,$A82,RawDataRecovered!AI:AI)</f>
        <v>0</v>
      </c>
      <c r="AG82">
        <f>SUMIF(RawDataRecovered!$B:$B,$A82,RawDataRecovered!AJ:AJ)</f>
        <v>0</v>
      </c>
      <c r="AH82">
        <f>SUMIF(RawDataRecovered!$B:$B,$A82,RawDataRecovered!AK:AK)</f>
        <v>0</v>
      </c>
      <c r="AI82">
        <f>SUMIF(RawDataRecovered!$B:$B,$A82,RawDataRecovered!AL:AL)</f>
        <v>0</v>
      </c>
      <c r="AJ82">
        <f>SUMIF(RawDataRecovered!$B:$B,$A82,RawDataRecovered!AM:AM)</f>
        <v>0</v>
      </c>
      <c r="AK82">
        <f>SUMIF(RawDataRecovered!$B:$B,$A82,RawDataRecovered!AN:AN)</f>
        <v>0</v>
      </c>
      <c r="AL82">
        <f>SUMIF(RawDataRecovered!$B:$B,$A82,RawDataRecovered!AO:AO)</f>
        <v>0</v>
      </c>
      <c r="AM82">
        <f>SUMIF(RawDataRecovered!$B:$B,$A82,RawDataRecovered!AP:AP)</f>
        <v>0</v>
      </c>
      <c r="AN82">
        <f>SUMIF(RawDataRecovered!$B:$B,$A82,RawDataRecovered!AQ:AQ)</f>
        <v>0</v>
      </c>
      <c r="AO82">
        <f>SUMIF(RawDataRecovered!$B:$B,$A82,RawDataRecovered!AR:AR)</f>
        <v>0</v>
      </c>
      <c r="AP82">
        <f>SUMIF(RawDataRecovered!$B:$B,$A82,RawDataRecovered!AS:AS)</f>
        <v>0</v>
      </c>
      <c r="AQ82">
        <f>SUMIF(RawDataRecovered!$B:$B,$A82,RawDataRecovered!AT:AT)</f>
        <v>0</v>
      </c>
      <c r="AR82">
        <f>SUMIF(RawDataRecovered!$B:$B,$A82,RawDataRecovered!AU:AU)</f>
        <v>0</v>
      </c>
      <c r="AS82">
        <f>SUMIF(RawDataRecovered!$B:$B,$A82,RawDataRecovered!AV:AV)</f>
        <v>0</v>
      </c>
      <c r="AT82">
        <f>SUMIF(RawDataRecovered!$B:$B,$A82,RawDataRecovered!AW:AW)</f>
        <v>0</v>
      </c>
      <c r="AU82">
        <f>SUMIF(RawDataRecovered!$B:$B,$A82,RawDataRecovered!AX:AX)</f>
        <v>0</v>
      </c>
      <c r="AV82">
        <f>SUMIF(RawDataRecovered!$B:$B,$A82,RawDataRecovered!AY:AY)</f>
        <v>0</v>
      </c>
      <c r="AW82">
        <f>SUMIF(RawDataRecovered!$B:$B,$A82,RawDataRecovered!AZ:AZ)</f>
        <v>0</v>
      </c>
      <c r="AX82">
        <f>SUMIF(RawDataRecovered!$B:$B,$A82,RawDataRecovered!BA:BA)</f>
        <v>0</v>
      </c>
      <c r="AY82">
        <f>SUMIF(RawDataRecovered!$B:$B,$A82,RawDataRecovered!BB:BB)</f>
        <v>0</v>
      </c>
      <c r="AZ82">
        <f>SUMIF(RawDataRecovered!$B:$B,$A82,RawDataRecovered!BC:BC)</f>
        <v>0</v>
      </c>
      <c r="BA82">
        <f>SUMIF(RawDataRecovered!$B:$B,$A82,RawDataRecovered!BD:BD)</f>
        <v>0</v>
      </c>
      <c r="BB82">
        <f>SUMIF(RawDataRecovered!$B:$B,$A82,RawDataRecovered!BE:BE)</f>
        <v>0</v>
      </c>
      <c r="BC82">
        <f>SUMIF(RawDataRecovered!$B:$B,$A82,RawDataRecovered!BF:BF)</f>
        <v>0</v>
      </c>
      <c r="BD82">
        <f>SUMIF(RawDataRecovered!$B:$B,$A82,RawDataRecovered!BG:BG)</f>
        <v>0</v>
      </c>
      <c r="BE82">
        <f>SUMIF(RawDataRecovered!$B:$B,$A82,RawDataRecovered!BH:BH)</f>
        <v>0</v>
      </c>
      <c r="BF82">
        <f>SUMIF(RawDataRecovered!$B:$B,$A82,RawDataRecovered!BI:BI)</f>
        <v>0</v>
      </c>
      <c r="BG82">
        <f>SUMIF(RawDataRecovered!$B:$B,$A82,RawDataRecovered!BJ:BJ)</f>
        <v>0</v>
      </c>
      <c r="BH82">
        <f>SUMIF(RawDataRecovered!$B:$B,$A82,RawDataRecovered!BK:BK)</f>
        <v>0</v>
      </c>
      <c r="BI82">
        <f>SUMIF(RawDataRecovered!$B:$B,$A82,RawDataRecovered!BL:BL)</f>
        <v>0</v>
      </c>
      <c r="BJ82">
        <f>SUMIF(RawDataRecovered!$B:$B,$A82,RawDataRecovered!BM:BM)</f>
        <v>0</v>
      </c>
      <c r="BK82">
        <f>SUMIF(RawDataRecovered!$B:$B,$A82,RawDataRecovered!BN:BN)</f>
        <v>0</v>
      </c>
      <c r="BL82">
        <f>SUMIF(RawDataRecovered!$B:$B,$A82,RawDataRecovered!BO:BO)</f>
        <v>0</v>
      </c>
      <c r="BM82">
        <f>SUMIF(RawDataRecovered!$B:$B,$A82,RawDataRecovered!BP:BP)</f>
        <v>0</v>
      </c>
      <c r="BN82">
        <f>SUMIF(RawDataRecovered!$B:$B,$A82,RawDataRecovered!BQ:BQ)</f>
        <v>0</v>
      </c>
      <c r="BO82">
        <f>SUMIF(RawDataRecovered!$B:$B,$A82,RawDataRecovered!BR:BR)</f>
        <v>0</v>
      </c>
      <c r="BP82">
        <f>SUMIF(RawDataRecovered!$B:$B,$A82,RawDataRecovered!BS:BS)</f>
        <v>0</v>
      </c>
      <c r="BQ82">
        <f>SUMIF(RawDataRecovered!$B:$B,$A82,RawDataRecovered!BT:BT)</f>
        <v>0</v>
      </c>
      <c r="BR82">
        <f>SUMIF(RawDataRecovered!$B:$B,$A82,RawDataRecovered!BU:BU)</f>
        <v>0</v>
      </c>
      <c r="BS82">
        <f>SUMIF(RawDataRecovered!$B:$B,$A82,RawDataRecovered!BV:BV)</f>
        <v>0</v>
      </c>
      <c r="BT82">
        <f>SUMIF(RawDataRecovered!$B:$B,$A82,RawDataRecovered!BW:BW)</f>
        <v>0</v>
      </c>
    </row>
    <row r="83" spans="1:72" ht="15" thickBot="1" x14ac:dyDescent="0.35">
      <c r="A83" s="4" t="s">
        <v>132</v>
      </c>
      <c r="B83">
        <f>SUMIF(RawDataRecovered!$B:$B,$A83,RawDataRecovered!E:E)</f>
        <v>0</v>
      </c>
      <c r="C83">
        <f>SUMIF(RawDataRecovered!$B:$B,$A83,RawDataRecovered!F:F)</f>
        <v>0</v>
      </c>
      <c r="D83">
        <f>SUMIF(RawDataRecovered!$B:$B,$A83,RawDataRecovered!G:G)</f>
        <v>0</v>
      </c>
      <c r="E83">
        <f>SUMIF(RawDataRecovered!$B:$B,$A83,RawDataRecovered!H:H)</f>
        <v>0</v>
      </c>
      <c r="F83">
        <f>SUMIF(RawDataRecovered!$B:$B,$A83,RawDataRecovered!I:I)</f>
        <v>0</v>
      </c>
      <c r="G83">
        <f>SUMIF(RawDataRecovered!$B:$B,$A83,RawDataRecovered!J:J)</f>
        <v>0</v>
      </c>
      <c r="H83">
        <f>SUMIF(RawDataRecovered!$B:$B,$A83,RawDataRecovered!K:K)</f>
        <v>0</v>
      </c>
      <c r="I83">
        <f>SUMIF(RawDataRecovered!$B:$B,$A83,RawDataRecovered!L:L)</f>
        <v>0</v>
      </c>
      <c r="J83">
        <f>SUMIF(RawDataRecovered!$B:$B,$A83,RawDataRecovered!M:M)</f>
        <v>0</v>
      </c>
      <c r="K83">
        <f>SUMIF(RawDataRecovered!$B:$B,$A83,RawDataRecovered!N:N)</f>
        <v>0</v>
      </c>
      <c r="L83">
        <f>SUMIF(RawDataRecovered!$B:$B,$A83,RawDataRecovered!O:O)</f>
        <v>0</v>
      </c>
      <c r="M83">
        <f>SUMIF(RawDataRecovered!$B:$B,$A83,RawDataRecovered!P:P)</f>
        <v>0</v>
      </c>
      <c r="N83">
        <f>SUMIF(RawDataRecovered!$B:$B,$A83,RawDataRecovered!Q:Q)</f>
        <v>0</v>
      </c>
      <c r="O83">
        <f>SUMIF(RawDataRecovered!$B:$B,$A83,RawDataRecovered!R:R)</f>
        <v>0</v>
      </c>
      <c r="P83">
        <f>SUMIF(RawDataRecovered!$B:$B,$A83,RawDataRecovered!S:S)</f>
        <v>0</v>
      </c>
      <c r="Q83">
        <f>SUMIF(RawDataRecovered!$B:$B,$A83,RawDataRecovered!T:T)</f>
        <v>0</v>
      </c>
      <c r="R83">
        <f>SUMIF(RawDataRecovered!$B:$B,$A83,RawDataRecovered!U:U)</f>
        <v>0</v>
      </c>
      <c r="S83">
        <f>SUMIF(RawDataRecovered!$B:$B,$A83,RawDataRecovered!V:V)</f>
        <v>0</v>
      </c>
      <c r="T83">
        <f>SUMIF(RawDataRecovered!$B:$B,$A83,RawDataRecovered!W:W)</f>
        <v>0</v>
      </c>
      <c r="U83">
        <f>SUMIF(RawDataRecovered!$B:$B,$A83,RawDataRecovered!X:X)</f>
        <v>0</v>
      </c>
      <c r="V83">
        <f>SUMIF(RawDataRecovered!$B:$B,$A83,RawDataRecovered!Y:Y)</f>
        <v>0</v>
      </c>
      <c r="W83">
        <f>SUMIF(RawDataRecovered!$B:$B,$A83,RawDataRecovered!Z:Z)</f>
        <v>0</v>
      </c>
      <c r="X83">
        <f>SUMIF(RawDataRecovered!$B:$B,$A83,RawDataRecovered!AA:AA)</f>
        <v>0</v>
      </c>
      <c r="Y83">
        <f>SUMIF(RawDataRecovered!$B:$B,$A83,RawDataRecovered!AB:AB)</f>
        <v>0</v>
      </c>
      <c r="Z83">
        <f>SUMIF(RawDataRecovered!$B:$B,$A83,RawDataRecovered!AC:AC)</f>
        <v>0</v>
      </c>
      <c r="AA83">
        <f>SUMIF(RawDataRecovered!$B:$B,$A83,RawDataRecovered!AD:AD)</f>
        <v>0</v>
      </c>
      <c r="AB83">
        <f>SUMIF(RawDataRecovered!$B:$B,$A83,RawDataRecovered!AE:AE)</f>
        <v>0</v>
      </c>
      <c r="AC83">
        <f>SUMIF(RawDataRecovered!$B:$B,$A83,RawDataRecovered!AF:AF)</f>
        <v>0</v>
      </c>
      <c r="AD83">
        <f>SUMIF(RawDataRecovered!$B:$B,$A83,RawDataRecovered!AG:AG)</f>
        <v>0</v>
      </c>
      <c r="AE83">
        <f>SUMIF(RawDataRecovered!$B:$B,$A83,RawDataRecovered!AH:AH)</f>
        <v>0</v>
      </c>
      <c r="AF83">
        <f>SUMIF(RawDataRecovered!$B:$B,$A83,RawDataRecovered!AI:AI)</f>
        <v>0</v>
      </c>
      <c r="AG83">
        <f>SUMIF(RawDataRecovered!$B:$B,$A83,RawDataRecovered!AJ:AJ)</f>
        <v>0</v>
      </c>
      <c r="AH83">
        <f>SUMIF(RawDataRecovered!$B:$B,$A83,RawDataRecovered!AK:AK)</f>
        <v>0</v>
      </c>
      <c r="AI83">
        <f>SUMIF(RawDataRecovered!$B:$B,$A83,RawDataRecovered!AL:AL)</f>
        <v>0</v>
      </c>
      <c r="AJ83">
        <f>SUMIF(RawDataRecovered!$B:$B,$A83,RawDataRecovered!AM:AM)</f>
        <v>0</v>
      </c>
      <c r="AK83">
        <f>SUMIF(RawDataRecovered!$B:$B,$A83,RawDataRecovered!AN:AN)</f>
        <v>0</v>
      </c>
      <c r="AL83">
        <f>SUMIF(RawDataRecovered!$B:$B,$A83,RawDataRecovered!AO:AO)</f>
        <v>0</v>
      </c>
      <c r="AM83">
        <f>SUMIF(RawDataRecovered!$B:$B,$A83,RawDataRecovered!AP:AP)</f>
        <v>0</v>
      </c>
      <c r="AN83">
        <f>SUMIF(RawDataRecovered!$B:$B,$A83,RawDataRecovered!AQ:AQ)</f>
        <v>0</v>
      </c>
      <c r="AO83">
        <f>SUMIF(RawDataRecovered!$B:$B,$A83,RawDataRecovered!AR:AR)</f>
        <v>0</v>
      </c>
      <c r="AP83">
        <f>SUMIF(RawDataRecovered!$B:$B,$A83,RawDataRecovered!AS:AS)</f>
        <v>0</v>
      </c>
      <c r="AQ83">
        <f>SUMIF(RawDataRecovered!$B:$B,$A83,RawDataRecovered!AT:AT)</f>
        <v>0</v>
      </c>
      <c r="AR83">
        <f>SUMIF(RawDataRecovered!$B:$B,$A83,RawDataRecovered!AU:AU)</f>
        <v>0</v>
      </c>
      <c r="AS83">
        <f>SUMIF(RawDataRecovered!$B:$B,$A83,RawDataRecovered!AV:AV)</f>
        <v>0</v>
      </c>
      <c r="AT83">
        <f>SUMIF(RawDataRecovered!$B:$B,$A83,RawDataRecovered!AW:AW)</f>
        <v>0</v>
      </c>
      <c r="AU83">
        <f>SUMIF(RawDataRecovered!$B:$B,$A83,RawDataRecovered!AX:AX)</f>
        <v>0</v>
      </c>
      <c r="AV83">
        <f>SUMIF(RawDataRecovered!$B:$B,$A83,RawDataRecovered!AY:AY)</f>
        <v>0</v>
      </c>
      <c r="AW83">
        <f>SUMIF(RawDataRecovered!$B:$B,$A83,RawDataRecovered!AZ:AZ)</f>
        <v>0</v>
      </c>
      <c r="AX83">
        <f>SUMIF(RawDataRecovered!$B:$B,$A83,RawDataRecovered!BA:BA)</f>
        <v>0</v>
      </c>
      <c r="AY83">
        <f>SUMIF(RawDataRecovered!$B:$B,$A83,RawDataRecovered!BB:BB)</f>
        <v>0</v>
      </c>
      <c r="AZ83">
        <f>SUMIF(RawDataRecovered!$B:$B,$A83,RawDataRecovered!BC:BC)</f>
        <v>0</v>
      </c>
      <c r="BA83">
        <f>SUMIF(RawDataRecovered!$B:$B,$A83,RawDataRecovered!BD:BD)</f>
        <v>0</v>
      </c>
      <c r="BB83">
        <f>SUMIF(RawDataRecovered!$B:$B,$A83,RawDataRecovered!BE:BE)</f>
        <v>0</v>
      </c>
      <c r="BC83">
        <f>SUMIF(RawDataRecovered!$B:$B,$A83,RawDataRecovered!BF:BF)</f>
        <v>0</v>
      </c>
      <c r="BD83">
        <f>SUMIF(RawDataRecovered!$B:$B,$A83,RawDataRecovered!BG:BG)</f>
        <v>0</v>
      </c>
      <c r="BE83">
        <f>SUMIF(RawDataRecovered!$B:$B,$A83,RawDataRecovered!BH:BH)</f>
        <v>1</v>
      </c>
      <c r="BF83">
        <f>SUMIF(RawDataRecovered!$B:$B,$A83,RawDataRecovered!BI:BI)</f>
        <v>0</v>
      </c>
      <c r="BG83">
        <f>SUMIF(RawDataRecovered!$B:$B,$A83,RawDataRecovered!BJ:BJ)</f>
        <v>0</v>
      </c>
      <c r="BH83">
        <f>SUMIF(RawDataRecovered!$B:$B,$A83,RawDataRecovered!BK:BK)</f>
        <v>0</v>
      </c>
      <c r="BI83">
        <f>SUMIF(RawDataRecovered!$B:$B,$A83,RawDataRecovered!BL:BL)</f>
        <v>0</v>
      </c>
      <c r="BJ83">
        <f>SUMIF(RawDataRecovered!$B:$B,$A83,RawDataRecovered!BM:BM)</f>
        <v>0</v>
      </c>
      <c r="BK83">
        <f>SUMIF(RawDataRecovered!$B:$B,$A83,RawDataRecovered!BN:BN)</f>
        <v>0</v>
      </c>
      <c r="BL83">
        <f>SUMIF(RawDataRecovered!$B:$B,$A83,RawDataRecovered!BO:BO)</f>
        <v>0</v>
      </c>
      <c r="BM83">
        <f>SUMIF(RawDataRecovered!$B:$B,$A83,RawDataRecovered!BP:BP)</f>
        <v>0</v>
      </c>
      <c r="BN83">
        <f>SUMIF(RawDataRecovered!$B:$B,$A83,RawDataRecovered!BQ:BQ)</f>
        <v>0</v>
      </c>
      <c r="BO83">
        <f>SUMIF(RawDataRecovered!$B:$B,$A83,RawDataRecovered!BR:BR)</f>
        <v>0</v>
      </c>
      <c r="BP83">
        <f>SUMIF(RawDataRecovered!$B:$B,$A83,RawDataRecovered!BS:BS)</f>
        <v>0</v>
      </c>
      <c r="BQ83">
        <f>SUMIF(RawDataRecovered!$B:$B,$A83,RawDataRecovered!BT:BT)</f>
        <v>0</v>
      </c>
      <c r="BR83">
        <f>SUMIF(RawDataRecovered!$B:$B,$A83,RawDataRecovered!BU:BU)</f>
        <v>0</v>
      </c>
      <c r="BS83">
        <f>SUMIF(RawDataRecovered!$B:$B,$A83,RawDataRecovered!BV:BV)</f>
        <v>0</v>
      </c>
      <c r="BT83">
        <f>SUMIF(RawDataRecovered!$B:$B,$A83,RawDataRecovered!BW:BW)</f>
        <v>0</v>
      </c>
    </row>
    <row r="84" spans="1:72" ht="15" thickBot="1" x14ac:dyDescent="0.35">
      <c r="A84" s="3" t="s">
        <v>381</v>
      </c>
      <c r="B84">
        <f>SUMIF(RawDataRecovered!$B:$B,$A84,RawDataRecovered!E:E)</f>
        <v>0</v>
      </c>
      <c r="C84">
        <f>SUMIF(RawDataRecovered!$B:$B,$A84,RawDataRecovered!F:F)</f>
        <v>0</v>
      </c>
      <c r="D84">
        <f>SUMIF(RawDataRecovered!$B:$B,$A84,RawDataRecovered!G:G)</f>
        <v>0</v>
      </c>
      <c r="E84">
        <f>SUMIF(RawDataRecovered!$B:$B,$A84,RawDataRecovered!H:H)</f>
        <v>0</v>
      </c>
      <c r="F84">
        <f>SUMIF(RawDataRecovered!$B:$B,$A84,RawDataRecovered!I:I)</f>
        <v>0</v>
      </c>
      <c r="G84">
        <f>SUMIF(RawDataRecovered!$B:$B,$A84,RawDataRecovered!J:J)</f>
        <v>0</v>
      </c>
      <c r="H84">
        <f>SUMIF(RawDataRecovered!$B:$B,$A84,RawDataRecovered!K:K)</f>
        <v>0</v>
      </c>
      <c r="I84">
        <f>SUMIF(RawDataRecovered!$B:$B,$A84,RawDataRecovered!L:L)</f>
        <v>0</v>
      </c>
      <c r="J84">
        <f>SUMIF(RawDataRecovered!$B:$B,$A84,RawDataRecovered!M:M)</f>
        <v>0</v>
      </c>
      <c r="K84">
        <f>SUMIF(RawDataRecovered!$B:$B,$A84,RawDataRecovered!N:N)</f>
        <v>0</v>
      </c>
      <c r="L84">
        <f>SUMIF(RawDataRecovered!$B:$B,$A84,RawDataRecovered!O:O)</f>
        <v>0</v>
      </c>
      <c r="M84">
        <f>SUMIF(RawDataRecovered!$B:$B,$A84,RawDataRecovered!P:P)</f>
        <v>0</v>
      </c>
      <c r="N84">
        <f>SUMIF(RawDataRecovered!$B:$B,$A84,RawDataRecovered!Q:Q)</f>
        <v>0</v>
      </c>
      <c r="O84">
        <f>SUMIF(RawDataRecovered!$B:$B,$A84,RawDataRecovered!R:R)</f>
        <v>0</v>
      </c>
      <c r="P84">
        <f>SUMIF(RawDataRecovered!$B:$B,$A84,RawDataRecovered!S:S)</f>
        <v>0</v>
      </c>
      <c r="Q84">
        <f>SUMIF(RawDataRecovered!$B:$B,$A84,RawDataRecovered!T:T)</f>
        <v>0</v>
      </c>
      <c r="R84">
        <f>SUMIF(RawDataRecovered!$B:$B,$A84,RawDataRecovered!U:U)</f>
        <v>0</v>
      </c>
      <c r="S84">
        <f>SUMIF(RawDataRecovered!$B:$B,$A84,RawDataRecovered!V:V)</f>
        <v>0</v>
      </c>
      <c r="T84">
        <f>SUMIF(RawDataRecovered!$B:$B,$A84,RawDataRecovered!W:W)</f>
        <v>0</v>
      </c>
      <c r="U84">
        <f>SUMIF(RawDataRecovered!$B:$B,$A84,RawDataRecovered!X:X)</f>
        <v>0</v>
      </c>
      <c r="V84">
        <f>SUMIF(RawDataRecovered!$B:$B,$A84,RawDataRecovered!Y:Y)</f>
        <v>0</v>
      </c>
      <c r="W84">
        <f>SUMIF(RawDataRecovered!$B:$B,$A84,RawDataRecovered!Z:Z)</f>
        <v>0</v>
      </c>
      <c r="X84">
        <f>SUMIF(RawDataRecovered!$B:$B,$A84,RawDataRecovered!AA:AA)</f>
        <v>0</v>
      </c>
      <c r="Y84">
        <f>SUMIF(RawDataRecovered!$B:$B,$A84,RawDataRecovered!AB:AB)</f>
        <v>0</v>
      </c>
      <c r="Z84">
        <f>SUMIF(RawDataRecovered!$B:$B,$A84,RawDataRecovered!AC:AC)</f>
        <v>0</v>
      </c>
      <c r="AA84">
        <f>SUMIF(RawDataRecovered!$B:$B,$A84,RawDataRecovered!AD:AD)</f>
        <v>0</v>
      </c>
      <c r="AB84">
        <f>SUMIF(RawDataRecovered!$B:$B,$A84,RawDataRecovered!AE:AE)</f>
        <v>0</v>
      </c>
      <c r="AC84">
        <f>SUMIF(RawDataRecovered!$B:$B,$A84,RawDataRecovered!AF:AF)</f>
        <v>0</v>
      </c>
      <c r="AD84">
        <f>SUMIF(RawDataRecovered!$B:$B,$A84,RawDataRecovered!AG:AG)</f>
        <v>0</v>
      </c>
      <c r="AE84">
        <f>SUMIF(RawDataRecovered!$B:$B,$A84,RawDataRecovered!AH:AH)</f>
        <v>0</v>
      </c>
      <c r="AF84">
        <f>SUMIF(RawDataRecovered!$B:$B,$A84,RawDataRecovered!AI:AI)</f>
        <v>0</v>
      </c>
      <c r="AG84">
        <f>SUMIF(RawDataRecovered!$B:$B,$A84,RawDataRecovered!AJ:AJ)</f>
        <v>0</v>
      </c>
      <c r="AH84">
        <f>SUMIF(RawDataRecovered!$B:$B,$A84,RawDataRecovered!AK:AK)</f>
        <v>0</v>
      </c>
      <c r="AI84">
        <f>SUMIF(RawDataRecovered!$B:$B,$A84,RawDataRecovered!AL:AL)</f>
        <v>0</v>
      </c>
      <c r="AJ84">
        <f>SUMIF(RawDataRecovered!$B:$B,$A84,RawDataRecovered!AM:AM)</f>
        <v>0</v>
      </c>
      <c r="AK84">
        <f>SUMIF(RawDataRecovered!$B:$B,$A84,RawDataRecovered!AN:AN)</f>
        <v>0</v>
      </c>
      <c r="AL84">
        <f>SUMIF(RawDataRecovered!$B:$B,$A84,RawDataRecovered!AO:AO)</f>
        <v>0</v>
      </c>
      <c r="AM84">
        <f>SUMIF(RawDataRecovered!$B:$B,$A84,RawDataRecovered!AP:AP)</f>
        <v>0</v>
      </c>
      <c r="AN84">
        <f>SUMIF(RawDataRecovered!$B:$B,$A84,RawDataRecovered!AQ:AQ)</f>
        <v>0</v>
      </c>
      <c r="AO84">
        <f>SUMIF(RawDataRecovered!$B:$B,$A84,RawDataRecovered!AR:AR)</f>
        <v>0</v>
      </c>
      <c r="AP84">
        <f>SUMIF(RawDataRecovered!$B:$B,$A84,RawDataRecovered!AS:AS)</f>
        <v>0</v>
      </c>
      <c r="AQ84">
        <f>SUMIF(RawDataRecovered!$B:$B,$A84,RawDataRecovered!AT:AT)</f>
        <v>0</v>
      </c>
      <c r="AR84">
        <f>SUMIF(RawDataRecovered!$B:$B,$A84,RawDataRecovered!AU:AU)</f>
        <v>0</v>
      </c>
      <c r="AS84">
        <f>SUMIF(RawDataRecovered!$B:$B,$A84,RawDataRecovered!AV:AV)</f>
        <v>0</v>
      </c>
      <c r="AT84">
        <f>SUMIF(RawDataRecovered!$B:$B,$A84,RawDataRecovered!AW:AW)</f>
        <v>0</v>
      </c>
      <c r="AU84">
        <f>SUMIF(RawDataRecovered!$B:$B,$A84,RawDataRecovered!AX:AX)</f>
        <v>0</v>
      </c>
      <c r="AV84">
        <f>SUMIF(RawDataRecovered!$B:$B,$A84,RawDataRecovered!AY:AY)</f>
        <v>0</v>
      </c>
      <c r="AW84">
        <f>SUMIF(RawDataRecovered!$B:$B,$A84,RawDataRecovered!AZ:AZ)</f>
        <v>0</v>
      </c>
      <c r="AX84">
        <f>SUMIF(RawDataRecovered!$B:$B,$A84,RawDataRecovered!BA:BA)</f>
        <v>0</v>
      </c>
      <c r="AY84">
        <f>SUMIF(RawDataRecovered!$B:$B,$A84,RawDataRecovered!BB:BB)</f>
        <v>0</v>
      </c>
      <c r="AZ84">
        <f>SUMIF(RawDataRecovered!$B:$B,$A84,RawDataRecovered!BC:BC)</f>
        <v>0</v>
      </c>
      <c r="BA84">
        <f>SUMIF(RawDataRecovered!$B:$B,$A84,RawDataRecovered!BD:BD)</f>
        <v>0</v>
      </c>
      <c r="BB84">
        <f>SUMIF(RawDataRecovered!$B:$B,$A84,RawDataRecovered!BE:BE)</f>
        <v>0</v>
      </c>
      <c r="BC84">
        <f>SUMIF(RawDataRecovered!$B:$B,$A84,RawDataRecovered!BF:BF)</f>
        <v>0</v>
      </c>
      <c r="BD84">
        <f>SUMIF(RawDataRecovered!$B:$B,$A84,RawDataRecovered!BG:BG)</f>
        <v>2</v>
      </c>
      <c r="BE84">
        <f>SUMIF(RawDataRecovered!$B:$B,$A84,RawDataRecovered!BH:BH)</f>
        <v>2</v>
      </c>
      <c r="BF84">
        <f>SUMIF(RawDataRecovered!$B:$B,$A84,RawDataRecovered!BI:BI)</f>
        <v>0</v>
      </c>
      <c r="BG84">
        <f>SUMIF(RawDataRecovered!$B:$B,$A84,RawDataRecovered!BJ:BJ)</f>
        <v>0</v>
      </c>
      <c r="BH84">
        <f>SUMIF(RawDataRecovered!$B:$B,$A84,RawDataRecovered!BK:BK)</f>
        <v>0</v>
      </c>
      <c r="BI84">
        <f>SUMIF(RawDataRecovered!$B:$B,$A84,RawDataRecovered!BL:BL)</f>
        <v>0</v>
      </c>
      <c r="BJ84">
        <f>SUMIF(RawDataRecovered!$B:$B,$A84,RawDataRecovered!BM:BM)</f>
        <v>0</v>
      </c>
      <c r="BK84">
        <f>SUMIF(RawDataRecovered!$B:$B,$A84,RawDataRecovered!BN:BN)</f>
        <v>0</v>
      </c>
      <c r="BL84">
        <f>SUMIF(RawDataRecovered!$B:$B,$A84,RawDataRecovered!BO:BO)</f>
        <v>0</v>
      </c>
      <c r="BM84">
        <f>SUMIF(RawDataRecovered!$B:$B,$A84,RawDataRecovered!BP:BP)</f>
        <v>0</v>
      </c>
      <c r="BN84">
        <f>SUMIF(RawDataRecovered!$B:$B,$A84,RawDataRecovered!BQ:BQ)</f>
        <v>0</v>
      </c>
      <c r="BO84">
        <f>SUMIF(RawDataRecovered!$B:$B,$A84,RawDataRecovered!BR:BR)</f>
        <v>0</v>
      </c>
      <c r="BP84">
        <f>SUMIF(RawDataRecovered!$B:$B,$A84,RawDataRecovered!BS:BS)</f>
        <v>0</v>
      </c>
      <c r="BQ84">
        <f>SUMIF(RawDataRecovered!$B:$B,$A84,RawDataRecovered!BT:BT)</f>
        <v>0</v>
      </c>
      <c r="BR84">
        <f>SUMIF(RawDataRecovered!$B:$B,$A84,RawDataRecovered!BU:BU)</f>
        <v>0</v>
      </c>
      <c r="BS84">
        <f>SUMIF(RawDataRecovered!$B:$B,$A84,RawDataRecovered!BV:BV)</f>
        <v>0</v>
      </c>
      <c r="BT84">
        <f>SUMIF(RawDataRecovered!$B:$B,$A84,RawDataRecovered!BW:BW)</f>
        <v>0</v>
      </c>
    </row>
    <row r="85" spans="1:72" ht="15" thickBot="1" x14ac:dyDescent="0.35">
      <c r="A85" s="3" t="s">
        <v>99</v>
      </c>
      <c r="B85">
        <f>SUMIF(RawDataRecovered!$B:$B,$A85,RawDataRecovered!E:E)</f>
        <v>0</v>
      </c>
      <c r="C85">
        <f>SUMIF(RawDataRecovered!$B:$B,$A85,RawDataRecovered!F:F)</f>
        <v>0</v>
      </c>
      <c r="D85">
        <f>SUMIF(RawDataRecovered!$B:$B,$A85,RawDataRecovered!G:G)</f>
        <v>0</v>
      </c>
      <c r="E85">
        <f>SUMIF(RawDataRecovered!$B:$B,$A85,RawDataRecovered!H:H)</f>
        <v>0</v>
      </c>
      <c r="F85">
        <f>SUMIF(RawDataRecovered!$B:$B,$A85,RawDataRecovered!I:I)</f>
        <v>0</v>
      </c>
      <c r="G85">
        <f>SUMIF(RawDataRecovered!$B:$B,$A85,RawDataRecovered!J:J)</f>
        <v>0</v>
      </c>
      <c r="H85">
        <f>SUMIF(RawDataRecovered!$B:$B,$A85,RawDataRecovered!K:K)</f>
        <v>0</v>
      </c>
      <c r="I85">
        <f>SUMIF(RawDataRecovered!$B:$B,$A85,RawDataRecovered!L:L)</f>
        <v>0</v>
      </c>
      <c r="J85">
        <f>SUMIF(RawDataRecovered!$B:$B,$A85,RawDataRecovered!M:M)</f>
        <v>0</v>
      </c>
      <c r="K85">
        <f>SUMIF(RawDataRecovered!$B:$B,$A85,RawDataRecovered!N:N)</f>
        <v>0</v>
      </c>
      <c r="L85">
        <f>SUMIF(RawDataRecovered!$B:$B,$A85,RawDataRecovered!O:O)</f>
        <v>0</v>
      </c>
      <c r="M85">
        <f>SUMIF(RawDataRecovered!$B:$B,$A85,RawDataRecovered!P:P)</f>
        <v>0</v>
      </c>
      <c r="N85">
        <f>SUMIF(RawDataRecovered!$B:$B,$A85,RawDataRecovered!Q:Q)</f>
        <v>0</v>
      </c>
      <c r="O85">
        <f>SUMIF(RawDataRecovered!$B:$B,$A85,RawDataRecovered!R:R)</f>
        <v>0</v>
      </c>
      <c r="P85">
        <f>SUMIF(RawDataRecovered!$B:$B,$A85,RawDataRecovered!S:S)</f>
        <v>0</v>
      </c>
      <c r="Q85">
        <f>SUMIF(RawDataRecovered!$B:$B,$A85,RawDataRecovered!T:T)</f>
        <v>0</v>
      </c>
      <c r="R85">
        <f>SUMIF(RawDataRecovered!$B:$B,$A85,RawDataRecovered!U:U)</f>
        <v>0</v>
      </c>
      <c r="S85">
        <f>SUMIF(RawDataRecovered!$B:$B,$A85,RawDataRecovered!V:V)</f>
        <v>0</v>
      </c>
      <c r="T85">
        <f>SUMIF(RawDataRecovered!$B:$B,$A85,RawDataRecovered!W:W)</f>
        <v>0</v>
      </c>
      <c r="U85">
        <f>SUMIF(RawDataRecovered!$B:$B,$A85,RawDataRecovered!X:X)</f>
        <v>0</v>
      </c>
      <c r="V85">
        <f>SUMIF(RawDataRecovered!$B:$B,$A85,RawDataRecovered!Y:Y)</f>
        <v>0</v>
      </c>
      <c r="W85">
        <f>SUMIF(RawDataRecovered!$B:$B,$A85,RawDataRecovered!Z:Z)</f>
        <v>0</v>
      </c>
      <c r="X85">
        <f>SUMIF(RawDataRecovered!$B:$B,$A85,RawDataRecovered!AA:AA)</f>
        <v>0</v>
      </c>
      <c r="Y85">
        <f>SUMIF(RawDataRecovered!$B:$B,$A85,RawDataRecovered!AB:AB)</f>
        <v>0</v>
      </c>
      <c r="Z85">
        <f>SUMIF(RawDataRecovered!$B:$B,$A85,RawDataRecovered!AC:AC)</f>
        <v>0</v>
      </c>
      <c r="AA85">
        <f>SUMIF(RawDataRecovered!$B:$B,$A85,RawDataRecovered!AD:AD)</f>
        <v>0</v>
      </c>
      <c r="AB85">
        <f>SUMIF(RawDataRecovered!$B:$B,$A85,RawDataRecovered!AE:AE)</f>
        <v>0</v>
      </c>
      <c r="AC85">
        <f>SUMIF(RawDataRecovered!$B:$B,$A85,RawDataRecovered!AF:AF)</f>
        <v>0</v>
      </c>
      <c r="AD85">
        <f>SUMIF(RawDataRecovered!$B:$B,$A85,RawDataRecovered!AG:AG)</f>
        <v>0</v>
      </c>
      <c r="AE85">
        <f>SUMIF(RawDataRecovered!$B:$B,$A85,RawDataRecovered!AH:AH)</f>
        <v>0</v>
      </c>
      <c r="AF85">
        <f>SUMIF(RawDataRecovered!$B:$B,$A85,RawDataRecovered!AI:AI)</f>
        <v>0</v>
      </c>
      <c r="AG85">
        <f>SUMIF(RawDataRecovered!$B:$B,$A85,RawDataRecovered!AJ:AJ)</f>
        <v>0</v>
      </c>
      <c r="AH85">
        <f>SUMIF(RawDataRecovered!$B:$B,$A85,RawDataRecovered!AK:AK)</f>
        <v>0</v>
      </c>
      <c r="AI85">
        <f>SUMIF(RawDataRecovered!$B:$B,$A85,RawDataRecovered!AL:AL)</f>
        <v>0</v>
      </c>
      <c r="AJ85">
        <f>SUMIF(RawDataRecovered!$B:$B,$A85,RawDataRecovered!AM:AM)</f>
        <v>0</v>
      </c>
      <c r="AK85">
        <f>SUMIF(RawDataRecovered!$B:$B,$A85,RawDataRecovered!AN:AN)</f>
        <v>0</v>
      </c>
      <c r="AL85">
        <f>SUMIF(RawDataRecovered!$B:$B,$A85,RawDataRecovered!AO:AO)</f>
        <v>0</v>
      </c>
      <c r="AM85">
        <f>SUMIF(RawDataRecovered!$B:$B,$A85,RawDataRecovered!AP:AP)</f>
        <v>0</v>
      </c>
      <c r="AN85">
        <f>SUMIF(RawDataRecovered!$B:$B,$A85,RawDataRecovered!AQ:AQ)</f>
        <v>0</v>
      </c>
      <c r="AO85">
        <f>SUMIF(RawDataRecovered!$B:$B,$A85,RawDataRecovered!AR:AR)</f>
        <v>0</v>
      </c>
      <c r="AP85">
        <f>SUMIF(RawDataRecovered!$B:$B,$A85,RawDataRecovered!AS:AS)</f>
        <v>0</v>
      </c>
      <c r="AQ85">
        <f>SUMIF(RawDataRecovered!$B:$B,$A85,RawDataRecovered!AT:AT)</f>
        <v>0</v>
      </c>
      <c r="AR85">
        <f>SUMIF(RawDataRecovered!$B:$B,$A85,RawDataRecovered!AU:AU)</f>
        <v>0</v>
      </c>
      <c r="AS85">
        <f>SUMIF(RawDataRecovered!$B:$B,$A85,RawDataRecovered!AV:AV)</f>
        <v>0</v>
      </c>
      <c r="AT85">
        <f>SUMIF(RawDataRecovered!$B:$B,$A85,RawDataRecovered!AW:AW)</f>
        <v>0</v>
      </c>
      <c r="AU85">
        <f>SUMIF(RawDataRecovered!$B:$B,$A85,RawDataRecovered!AX:AX)</f>
        <v>0</v>
      </c>
      <c r="AV85">
        <f>SUMIF(RawDataRecovered!$B:$B,$A85,RawDataRecovered!AY:AY)</f>
        <v>0</v>
      </c>
      <c r="AW85">
        <f>SUMIF(RawDataRecovered!$B:$B,$A85,RawDataRecovered!AZ:AZ)</f>
        <v>0</v>
      </c>
      <c r="AX85">
        <f>SUMIF(RawDataRecovered!$B:$B,$A85,RawDataRecovered!BA:BA)</f>
        <v>0</v>
      </c>
      <c r="AY85">
        <f>SUMIF(RawDataRecovered!$B:$B,$A85,RawDataRecovered!BB:BB)</f>
        <v>0</v>
      </c>
      <c r="AZ85">
        <f>SUMIF(RawDataRecovered!$B:$B,$A85,RawDataRecovered!BC:BC)</f>
        <v>0</v>
      </c>
      <c r="BA85">
        <f>SUMIF(RawDataRecovered!$B:$B,$A85,RawDataRecovered!BD:BD)</f>
        <v>0</v>
      </c>
      <c r="BB85">
        <f>SUMIF(RawDataRecovered!$B:$B,$A85,RawDataRecovered!BE:BE)</f>
        <v>0</v>
      </c>
      <c r="BC85">
        <f>SUMIF(RawDataRecovered!$B:$B,$A85,RawDataRecovered!BF:BF)</f>
        <v>0</v>
      </c>
      <c r="BD85">
        <f>SUMIF(RawDataRecovered!$B:$B,$A85,RawDataRecovered!BG:BG)</f>
        <v>1</v>
      </c>
      <c r="BE85">
        <f>SUMIF(RawDataRecovered!$B:$B,$A85,RawDataRecovered!BH:BH)</f>
        <v>1</v>
      </c>
      <c r="BF85">
        <f>SUMIF(RawDataRecovered!$B:$B,$A85,RawDataRecovered!BI:BI)</f>
        <v>0</v>
      </c>
      <c r="BG85">
        <f>SUMIF(RawDataRecovered!$B:$B,$A85,RawDataRecovered!BJ:BJ)</f>
        <v>0</v>
      </c>
      <c r="BH85">
        <f>SUMIF(RawDataRecovered!$B:$B,$A85,RawDataRecovered!BK:BK)</f>
        <v>0</v>
      </c>
      <c r="BI85">
        <f>SUMIF(RawDataRecovered!$B:$B,$A85,RawDataRecovered!BL:BL)</f>
        <v>0</v>
      </c>
      <c r="BJ85">
        <f>SUMIF(RawDataRecovered!$B:$B,$A85,RawDataRecovered!BM:BM)</f>
        <v>0</v>
      </c>
      <c r="BK85">
        <f>SUMIF(RawDataRecovered!$B:$B,$A85,RawDataRecovered!BN:BN)</f>
        <v>0</v>
      </c>
      <c r="BL85">
        <f>SUMIF(RawDataRecovered!$B:$B,$A85,RawDataRecovered!BO:BO)</f>
        <v>0</v>
      </c>
      <c r="BM85">
        <f>SUMIF(RawDataRecovered!$B:$B,$A85,RawDataRecovered!BP:BP)</f>
        <v>0</v>
      </c>
      <c r="BN85">
        <f>SUMIF(RawDataRecovered!$B:$B,$A85,RawDataRecovered!BQ:BQ)</f>
        <v>0</v>
      </c>
      <c r="BO85">
        <f>SUMIF(RawDataRecovered!$B:$B,$A85,RawDataRecovered!BR:BR)</f>
        <v>0</v>
      </c>
      <c r="BP85">
        <f>SUMIF(RawDataRecovered!$B:$B,$A85,RawDataRecovered!BS:BS)</f>
        <v>0</v>
      </c>
      <c r="BQ85">
        <f>SUMIF(RawDataRecovered!$B:$B,$A85,RawDataRecovered!BT:BT)</f>
        <v>0</v>
      </c>
      <c r="BR85">
        <f>SUMIF(RawDataRecovered!$B:$B,$A85,RawDataRecovered!BU:BU)</f>
        <v>0</v>
      </c>
      <c r="BS85">
        <f>SUMIF(RawDataRecovered!$B:$B,$A85,RawDataRecovered!BV:BV)</f>
        <v>0</v>
      </c>
      <c r="BT85">
        <f>SUMIF(RawDataRecovered!$B:$B,$A85,RawDataRecovered!BW:BW)</f>
        <v>0</v>
      </c>
    </row>
    <row r="86" spans="1:72" ht="15" thickBot="1" x14ac:dyDescent="0.35">
      <c r="A86" s="3" t="s">
        <v>139</v>
      </c>
      <c r="B86">
        <f>SUMIF(RawDataRecovered!$B:$B,$A86,RawDataRecovered!E:E)</f>
        <v>0</v>
      </c>
      <c r="C86">
        <f>SUMIF(RawDataRecovered!$B:$B,$A86,RawDataRecovered!F:F)</f>
        <v>0</v>
      </c>
      <c r="D86">
        <f>SUMIF(RawDataRecovered!$B:$B,$A86,RawDataRecovered!G:G)</f>
        <v>0</v>
      </c>
      <c r="E86">
        <f>SUMIF(RawDataRecovered!$B:$B,$A86,RawDataRecovered!H:H)</f>
        <v>0</v>
      </c>
      <c r="F86">
        <f>SUMIF(RawDataRecovered!$B:$B,$A86,RawDataRecovered!I:I)</f>
        <v>0</v>
      </c>
      <c r="G86">
        <f>SUMIF(RawDataRecovered!$B:$B,$A86,RawDataRecovered!J:J)</f>
        <v>0</v>
      </c>
      <c r="H86">
        <f>SUMIF(RawDataRecovered!$B:$B,$A86,RawDataRecovered!K:K)</f>
        <v>0</v>
      </c>
      <c r="I86">
        <f>SUMIF(RawDataRecovered!$B:$B,$A86,RawDataRecovered!L:L)</f>
        <v>0</v>
      </c>
      <c r="J86">
        <f>SUMIF(RawDataRecovered!$B:$B,$A86,RawDataRecovered!M:M)</f>
        <v>0</v>
      </c>
      <c r="K86">
        <f>SUMIF(RawDataRecovered!$B:$B,$A86,RawDataRecovered!N:N)</f>
        <v>0</v>
      </c>
      <c r="L86">
        <f>SUMIF(RawDataRecovered!$B:$B,$A86,RawDataRecovered!O:O)</f>
        <v>0</v>
      </c>
      <c r="M86">
        <f>SUMIF(RawDataRecovered!$B:$B,$A86,RawDataRecovered!P:P)</f>
        <v>0</v>
      </c>
      <c r="N86">
        <f>SUMIF(RawDataRecovered!$B:$B,$A86,RawDataRecovered!Q:Q)</f>
        <v>0</v>
      </c>
      <c r="O86">
        <f>SUMIF(RawDataRecovered!$B:$B,$A86,RawDataRecovered!R:R)</f>
        <v>0</v>
      </c>
      <c r="P86">
        <f>SUMIF(RawDataRecovered!$B:$B,$A86,RawDataRecovered!S:S)</f>
        <v>0</v>
      </c>
      <c r="Q86">
        <f>SUMIF(RawDataRecovered!$B:$B,$A86,RawDataRecovered!T:T)</f>
        <v>0</v>
      </c>
      <c r="R86">
        <f>SUMIF(RawDataRecovered!$B:$B,$A86,RawDataRecovered!U:U)</f>
        <v>0</v>
      </c>
      <c r="S86">
        <f>SUMIF(RawDataRecovered!$B:$B,$A86,RawDataRecovered!V:V)</f>
        <v>0</v>
      </c>
      <c r="T86">
        <f>SUMIF(RawDataRecovered!$B:$B,$A86,RawDataRecovered!W:W)</f>
        <v>0</v>
      </c>
      <c r="U86">
        <f>SUMIF(RawDataRecovered!$B:$B,$A86,RawDataRecovered!X:X)</f>
        <v>0</v>
      </c>
      <c r="V86">
        <f>SUMIF(RawDataRecovered!$B:$B,$A86,RawDataRecovered!Y:Y)</f>
        <v>0</v>
      </c>
      <c r="W86">
        <f>SUMIF(RawDataRecovered!$B:$B,$A86,RawDataRecovered!Z:Z)</f>
        <v>0</v>
      </c>
      <c r="X86">
        <f>SUMIF(RawDataRecovered!$B:$B,$A86,RawDataRecovered!AA:AA)</f>
        <v>0</v>
      </c>
      <c r="Y86">
        <f>SUMIF(RawDataRecovered!$B:$B,$A86,RawDataRecovered!AB:AB)</f>
        <v>0</v>
      </c>
      <c r="Z86">
        <f>SUMIF(RawDataRecovered!$B:$B,$A86,RawDataRecovered!AC:AC)</f>
        <v>0</v>
      </c>
      <c r="AA86">
        <f>SUMIF(RawDataRecovered!$B:$B,$A86,RawDataRecovered!AD:AD)</f>
        <v>0</v>
      </c>
      <c r="AB86">
        <f>SUMIF(RawDataRecovered!$B:$B,$A86,RawDataRecovered!AE:AE)</f>
        <v>0</v>
      </c>
      <c r="AC86">
        <f>SUMIF(RawDataRecovered!$B:$B,$A86,RawDataRecovered!AF:AF)</f>
        <v>0</v>
      </c>
      <c r="AD86">
        <f>SUMIF(RawDataRecovered!$B:$B,$A86,RawDataRecovered!AG:AG)</f>
        <v>0</v>
      </c>
      <c r="AE86">
        <f>SUMIF(RawDataRecovered!$B:$B,$A86,RawDataRecovered!AH:AH)</f>
        <v>0</v>
      </c>
      <c r="AF86">
        <f>SUMIF(RawDataRecovered!$B:$B,$A86,RawDataRecovered!AI:AI)</f>
        <v>0</v>
      </c>
      <c r="AG86">
        <f>SUMIF(RawDataRecovered!$B:$B,$A86,RawDataRecovered!AJ:AJ)</f>
        <v>0</v>
      </c>
      <c r="AH86">
        <f>SUMIF(RawDataRecovered!$B:$B,$A86,RawDataRecovered!AK:AK)</f>
        <v>0</v>
      </c>
      <c r="AI86">
        <f>SUMIF(RawDataRecovered!$B:$B,$A86,RawDataRecovered!AL:AL)</f>
        <v>0</v>
      </c>
      <c r="AJ86">
        <f>SUMIF(RawDataRecovered!$B:$B,$A86,RawDataRecovered!AM:AM)</f>
        <v>0</v>
      </c>
      <c r="AK86">
        <f>SUMIF(RawDataRecovered!$B:$B,$A86,RawDataRecovered!AN:AN)</f>
        <v>0</v>
      </c>
      <c r="AL86">
        <f>SUMIF(RawDataRecovered!$B:$B,$A86,RawDataRecovered!AO:AO)</f>
        <v>0</v>
      </c>
      <c r="AM86">
        <f>SUMIF(RawDataRecovered!$B:$B,$A86,RawDataRecovered!AP:AP)</f>
        <v>0</v>
      </c>
      <c r="AN86">
        <f>SUMIF(RawDataRecovered!$B:$B,$A86,RawDataRecovered!AQ:AQ)</f>
        <v>0</v>
      </c>
      <c r="AO86">
        <f>SUMIF(RawDataRecovered!$B:$B,$A86,RawDataRecovered!AR:AR)</f>
        <v>0</v>
      </c>
      <c r="AP86">
        <f>SUMIF(RawDataRecovered!$B:$B,$A86,RawDataRecovered!AS:AS)</f>
        <v>0</v>
      </c>
      <c r="AQ86">
        <f>SUMIF(RawDataRecovered!$B:$B,$A86,RawDataRecovered!AT:AT)</f>
        <v>0</v>
      </c>
      <c r="AR86">
        <f>SUMIF(RawDataRecovered!$B:$B,$A86,RawDataRecovered!AU:AU)</f>
        <v>0</v>
      </c>
      <c r="AS86">
        <f>SUMIF(RawDataRecovered!$B:$B,$A86,RawDataRecovered!AV:AV)</f>
        <v>0</v>
      </c>
      <c r="AT86">
        <f>SUMIF(RawDataRecovered!$B:$B,$A86,RawDataRecovered!AW:AW)</f>
        <v>0</v>
      </c>
      <c r="AU86">
        <f>SUMIF(RawDataRecovered!$B:$B,$A86,RawDataRecovered!AX:AX)</f>
        <v>0</v>
      </c>
      <c r="AV86">
        <f>SUMIF(RawDataRecovered!$B:$B,$A86,RawDataRecovered!AY:AY)</f>
        <v>0</v>
      </c>
      <c r="AW86">
        <f>SUMIF(RawDataRecovered!$B:$B,$A86,RawDataRecovered!AZ:AZ)</f>
        <v>0</v>
      </c>
      <c r="AX86">
        <f>SUMIF(RawDataRecovered!$B:$B,$A86,RawDataRecovered!BA:BA)</f>
        <v>0</v>
      </c>
      <c r="AY86">
        <f>SUMIF(RawDataRecovered!$B:$B,$A86,RawDataRecovered!BB:BB)</f>
        <v>0</v>
      </c>
      <c r="AZ86">
        <f>SUMIF(RawDataRecovered!$B:$B,$A86,RawDataRecovered!BC:BC)</f>
        <v>0</v>
      </c>
      <c r="BA86">
        <f>SUMIF(RawDataRecovered!$B:$B,$A86,RawDataRecovered!BD:BD)</f>
        <v>1</v>
      </c>
      <c r="BB86">
        <f>SUMIF(RawDataRecovered!$B:$B,$A86,RawDataRecovered!BE:BE)</f>
        <v>1</v>
      </c>
      <c r="BC86">
        <f>SUMIF(RawDataRecovered!$B:$B,$A86,RawDataRecovered!BF:BF)</f>
        <v>1</v>
      </c>
      <c r="BD86">
        <f>SUMIF(RawDataRecovered!$B:$B,$A86,RawDataRecovered!BG:BG)</f>
        <v>1</v>
      </c>
      <c r="BE86">
        <f>SUMIF(RawDataRecovered!$B:$B,$A86,RawDataRecovered!BH:BH)</f>
        <v>1</v>
      </c>
      <c r="BF86">
        <f>SUMIF(RawDataRecovered!$B:$B,$A86,RawDataRecovered!BI:BI)</f>
        <v>0</v>
      </c>
      <c r="BG86">
        <f>SUMIF(RawDataRecovered!$B:$B,$A86,RawDataRecovered!BJ:BJ)</f>
        <v>0</v>
      </c>
      <c r="BH86">
        <f>SUMIF(RawDataRecovered!$B:$B,$A86,RawDataRecovered!BK:BK)</f>
        <v>0</v>
      </c>
      <c r="BI86">
        <f>SUMIF(RawDataRecovered!$B:$B,$A86,RawDataRecovered!BL:BL)</f>
        <v>0</v>
      </c>
      <c r="BJ86">
        <f>SUMIF(RawDataRecovered!$B:$B,$A86,RawDataRecovered!BM:BM)</f>
        <v>0</v>
      </c>
      <c r="BK86">
        <f>SUMIF(RawDataRecovered!$B:$B,$A86,RawDataRecovered!BN:BN)</f>
        <v>0</v>
      </c>
      <c r="BL86">
        <f>SUMIF(RawDataRecovered!$B:$B,$A86,RawDataRecovered!BO:BO)</f>
        <v>0</v>
      </c>
      <c r="BM86">
        <f>SUMIF(RawDataRecovered!$B:$B,$A86,RawDataRecovered!BP:BP)</f>
        <v>0</v>
      </c>
      <c r="BN86">
        <f>SUMIF(RawDataRecovered!$B:$B,$A86,RawDataRecovered!BQ:BQ)</f>
        <v>0</v>
      </c>
      <c r="BO86">
        <f>SUMIF(RawDataRecovered!$B:$B,$A86,RawDataRecovered!BR:BR)</f>
        <v>0</v>
      </c>
      <c r="BP86">
        <f>SUMIF(RawDataRecovered!$B:$B,$A86,RawDataRecovered!BS:BS)</f>
        <v>0</v>
      </c>
      <c r="BQ86">
        <f>SUMIF(RawDataRecovered!$B:$B,$A86,RawDataRecovered!BT:BT)</f>
        <v>0</v>
      </c>
      <c r="BR86">
        <f>SUMIF(RawDataRecovered!$B:$B,$A86,RawDataRecovered!BU:BU)</f>
        <v>0</v>
      </c>
      <c r="BS86">
        <f>SUMIF(RawDataRecovered!$B:$B,$A86,RawDataRecovered!BV:BV)</f>
        <v>0</v>
      </c>
      <c r="BT86">
        <f>SUMIF(RawDataRecovered!$B:$B,$A86,RawDataRecovered!BW:BW)</f>
        <v>0</v>
      </c>
    </row>
    <row r="87" spans="1:72" ht="15" thickBot="1" x14ac:dyDescent="0.35">
      <c r="A87" s="3" t="s">
        <v>120</v>
      </c>
      <c r="B87">
        <f>SUMIF(RawDataRecovered!$B:$B,$A87,RawDataRecovered!E:E)</f>
        <v>0</v>
      </c>
      <c r="C87">
        <f>SUMIF(RawDataRecovered!$B:$B,$A87,RawDataRecovered!F:F)</f>
        <v>0</v>
      </c>
      <c r="D87">
        <f>SUMIF(RawDataRecovered!$B:$B,$A87,RawDataRecovered!G:G)</f>
        <v>0</v>
      </c>
      <c r="E87">
        <f>SUMIF(RawDataRecovered!$B:$B,$A87,RawDataRecovered!H:H)</f>
        <v>0</v>
      </c>
      <c r="F87">
        <f>SUMIF(RawDataRecovered!$B:$B,$A87,RawDataRecovered!I:I)</f>
        <v>0</v>
      </c>
      <c r="G87">
        <f>SUMIF(RawDataRecovered!$B:$B,$A87,RawDataRecovered!J:J)</f>
        <v>0</v>
      </c>
      <c r="H87">
        <f>SUMIF(RawDataRecovered!$B:$B,$A87,RawDataRecovered!K:K)</f>
        <v>0</v>
      </c>
      <c r="I87">
        <f>SUMIF(RawDataRecovered!$B:$B,$A87,RawDataRecovered!L:L)</f>
        <v>0</v>
      </c>
      <c r="J87">
        <f>SUMIF(RawDataRecovered!$B:$B,$A87,RawDataRecovered!M:M)</f>
        <v>0</v>
      </c>
      <c r="K87">
        <f>SUMIF(RawDataRecovered!$B:$B,$A87,RawDataRecovered!N:N)</f>
        <v>0</v>
      </c>
      <c r="L87">
        <f>SUMIF(RawDataRecovered!$B:$B,$A87,RawDataRecovered!O:O)</f>
        <v>0</v>
      </c>
      <c r="M87">
        <f>SUMIF(RawDataRecovered!$B:$B,$A87,RawDataRecovered!P:P)</f>
        <v>0</v>
      </c>
      <c r="N87">
        <f>SUMIF(RawDataRecovered!$B:$B,$A87,RawDataRecovered!Q:Q)</f>
        <v>0</v>
      </c>
      <c r="O87">
        <f>SUMIF(RawDataRecovered!$B:$B,$A87,RawDataRecovered!R:R)</f>
        <v>0</v>
      </c>
      <c r="P87">
        <f>SUMIF(RawDataRecovered!$B:$B,$A87,RawDataRecovered!S:S)</f>
        <v>0</v>
      </c>
      <c r="Q87">
        <f>SUMIF(RawDataRecovered!$B:$B,$A87,RawDataRecovered!T:T)</f>
        <v>0</v>
      </c>
      <c r="R87">
        <f>SUMIF(RawDataRecovered!$B:$B,$A87,RawDataRecovered!U:U)</f>
        <v>0</v>
      </c>
      <c r="S87">
        <f>SUMIF(RawDataRecovered!$B:$B,$A87,RawDataRecovered!V:V)</f>
        <v>0</v>
      </c>
      <c r="T87">
        <f>SUMIF(RawDataRecovered!$B:$B,$A87,RawDataRecovered!W:W)</f>
        <v>0</v>
      </c>
      <c r="U87">
        <f>SUMIF(RawDataRecovered!$B:$B,$A87,RawDataRecovered!X:X)</f>
        <v>0</v>
      </c>
      <c r="V87">
        <f>SUMIF(RawDataRecovered!$B:$B,$A87,RawDataRecovered!Y:Y)</f>
        <v>0</v>
      </c>
      <c r="W87">
        <f>SUMIF(RawDataRecovered!$B:$B,$A87,RawDataRecovered!Z:Z)</f>
        <v>0</v>
      </c>
      <c r="X87">
        <f>SUMIF(RawDataRecovered!$B:$B,$A87,RawDataRecovered!AA:AA)</f>
        <v>0</v>
      </c>
      <c r="Y87">
        <f>SUMIF(RawDataRecovered!$B:$B,$A87,RawDataRecovered!AB:AB)</f>
        <v>0</v>
      </c>
      <c r="Z87">
        <f>SUMIF(RawDataRecovered!$B:$B,$A87,RawDataRecovered!AC:AC)</f>
        <v>0</v>
      </c>
      <c r="AA87">
        <f>SUMIF(RawDataRecovered!$B:$B,$A87,RawDataRecovered!AD:AD)</f>
        <v>0</v>
      </c>
      <c r="AB87">
        <f>SUMIF(RawDataRecovered!$B:$B,$A87,RawDataRecovered!AE:AE)</f>
        <v>0</v>
      </c>
      <c r="AC87">
        <f>SUMIF(RawDataRecovered!$B:$B,$A87,RawDataRecovered!AF:AF)</f>
        <v>0</v>
      </c>
      <c r="AD87">
        <f>SUMIF(RawDataRecovered!$B:$B,$A87,RawDataRecovered!AG:AG)</f>
        <v>0</v>
      </c>
      <c r="AE87">
        <f>SUMIF(RawDataRecovered!$B:$B,$A87,RawDataRecovered!AH:AH)</f>
        <v>0</v>
      </c>
      <c r="AF87">
        <f>SUMIF(RawDataRecovered!$B:$B,$A87,RawDataRecovered!AI:AI)</f>
        <v>0</v>
      </c>
      <c r="AG87">
        <f>SUMIF(RawDataRecovered!$B:$B,$A87,RawDataRecovered!AJ:AJ)</f>
        <v>0</v>
      </c>
      <c r="AH87">
        <f>SUMIF(RawDataRecovered!$B:$B,$A87,RawDataRecovered!AK:AK)</f>
        <v>0</v>
      </c>
      <c r="AI87">
        <f>SUMIF(RawDataRecovered!$B:$B,$A87,RawDataRecovered!AL:AL)</f>
        <v>0</v>
      </c>
      <c r="AJ87">
        <f>SUMIF(RawDataRecovered!$B:$B,$A87,RawDataRecovered!AM:AM)</f>
        <v>0</v>
      </c>
      <c r="AK87">
        <f>SUMIF(RawDataRecovered!$B:$B,$A87,RawDataRecovered!AN:AN)</f>
        <v>0</v>
      </c>
      <c r="AL87">
        <f>SUMIF(RawDataRecovered!$B:$B,$A87,RawDataRecovered!AO:AO)</f>
        <v>0</v>
      </c>
      <c r="AM87">
        <f>SUMIF(RawDataRecovered!$B:$B,$A87,RawDataRecovered!AP:AP)</f>
        <v>0</v>
      </c>
      <c r="AN87">
        <f>SUMIF(RawDataRecovered!$B:$B,$A87,RawDataRecovered!AQ:AQ)</f>
        <v>0</v>
      </c>
      <c r="AO87">
        <f>SUMIF(RawDataRecovered!$B:$B,$A87,RawDataRecovered!AR:AR)</f>
        <v>0</v>
      </c>
      <c r="AP87">
        <f>SUMIF(RawDataRecovered!$B:$B,$A87,RawDataRecovered!AS:AS)</f>
        <v>0</v>
      </c>
      <c r="AQ87">
        <f>SUMIF(RawDataRecovered!$B:$B,$A87,RawDataRecovered!AT:AT)</f>
        <v>0</v>
      </c>
      <c r="AR87">
        <f>SUMIF(RawDataRecovered!$B:$B,$A87,RawDataRecovered!AU:AU)</f>
        <v>0</v>
      </c>
      <c r="AS87">
        <f>SUMIF(RawDataRecovered!$B:$B,$A87,RawDataRecovered!AV:AV)</f>
        <v>0</v>
      </c>
      <c r="AT87">
        <f>SUMIF(RawDataRecovered!$B:$B,$A87,RawDataRecovered!AW:AW)</f>
        <v>0</v>
      </c>
      <c r="AU87">
        <f>SUMIF(RawDataRecovered!$B:$B,$A87,RawDataRecovered!AX:AX)</f>
        <v>0</v>
      </c>
      <c r="AV87">
        <f>SUMIF(RawDataRecovered!$B:$B,$A87,RawDataRecovered!AY:AY)</f>
        <v>0</v>
      </c>
      <c r="AW87">
        <f>SUMIF(RawDataRecovered!$B:$B,$A87,RawDataRecovered!AZ:AZ)</f>
        <v>0</v>
      </c>
      <c r="AX87">
        <f>SUMIF(RawDataRecovered!$B:$B,$A87,RawDataRecovered!BA:BA)</f>
        <v>0</v>
      </c>
      <c r="AY87">
        <f>SUMIF(RawDataRecovered!$B:$B,$A87,RawDataRecovered!BB:BB)</f>
        <v>0</v>
      </c>
      <c r="AZ87">
        <f>SUMIF(RawDataRecovered!$B:$B,$A87,RawDataRecovered!BC:BC)</f>
        <v>0</v>
      </c>
      <c r="BA87">
        <f>SUMIF(RawDataRecovered!$B:$B,$A87,RawDataRecovered!BD:BD)</f>
        <v>0</v>
      </c>
      <c r="BB87">
        <f>SUMIF(RawDataRecovered!$B:$B,$A87,RawDataRecovered!BE:BE)</f>
        <v>0</v>
      </c>
      <c r="BC87">
        <f>SUMIF(RawDataRecovered!$B:$B,$A87,RawDataRecovered!BF:BF)</f>
        <v>1</v>
      </c>
      <c r="BD87">
        <f>SUMIF(RawDataRecovered!$B:$B,$A87,RawDataRecovered!BG:BG)</f>
        <v>1</v>
      </c>
      <c r="BE87">
        <f>SUMIF(RawDataRecovered!$B:$B,$A87,RawDataRecovered!BH:BH)</f>
        <v>1</v>
      </c>
      <c r="BF87">
        <f>SUMIF(RawDataRecovered!$B:$B,$A87,RawDataRecovered!BI:BI)</f>
        <v>0</v>
      </c>
      <c r="BG87">
        <f>SUMIF(RawDataRecovered!$B:$B,$A87,RawDataRecovered!BJ:BJ)</f>
        <v>0</v>
      </c>
      <c r="BH87">
        <f>SUMIF(RawDataRecovered!$B:$B,$A87,RawDataRecovered!BK:BK)</f>
        <v>0</v>
      </c>
      <c r="BI87">
        <f>SUMIF(RawDataRecovered!$B:$B,$A87,RawDataRecovered!BL:BL)</f>
        <v>0</v>
      </c>
      <c r="BJ87">
        <f>SUMIF(RawDataRecovered!$B:$B,$A87,RawDataRecovered!BM:BM)</f>
        <v>0</v>
      </c>
      <c r="BK87">
        <f>SUMIF(RawDataRecovered!$B:$B,$A87,RawDataRecovered!BN:BN)</f>
        <v>0</v>
      </c>
      <c r="BL87">
        <f>SUMIF(RawDataRecovered!$B:$B,$A87,RawDataRecovered!BO:BO)</f>
        <v>0</v>
      </c>
      <c r="BM87">
        <f>SUMIF(RawDataRecovered!$B:$B,$A87,RawDataRecovered!BP:BP)</f>
        <v>0</v>
      </c>
      <c r="BN87">
        <f>SUMIF(RawDataRecovered!$B:$B,$A87,RawDataRecovered!BQ:BQ)</f>
        <v>0</v>
      </c>
      <c r="BO87">
        <f>SUMIF(RawDataRecovered!$B:$B,$A87,RawDataRecovered!BR:BR)</f>
        <v>0</v>
      </c>
      <c r="BP87">
        <f>SUMIF(RawDataRecovered!$B:$B,$A87,RawDataRecovered!BS:BS)</f>
        <v>0</v>
      </c>
      <c r="BQ87">
        <f>SUMIF(RawDataRecovered!$B:$B,$A87,RawDataRecovered!BT:BT)</f>
        <v>0</v>
      </c>
      <c r="BR87">
        <f>SUMIF(RawDataRecovered!$B:$B,$A87,RawDataRecovered!BU:BU)</f>
        <v>0</v>
      </c>
      <c r="BS87">
        <f>SUMIF(RawDataRecovered!$B:$B,$A87,RawDataRecovered!BV:BV)</f>
        <v>0</v>
      </c>
      <c r="BT87">
        <f>SUMIF(RawDataRecovered!$B:$B,$A87,RawDataRecovered!BW:BW)</f>
        <v>0</v>
      </c>
    </row>
    <row r="88" spans="1:72" ht="15" thickBot="1" x14ac:dyDescent="0.35">
      <c r="A88" s="4" t="s">
        <v>373</v>
      </c>
      <c r="B88">
        <f>SUMIF(RawDataRecovered!$B:$B,$A88,RawDataRecovered!E:E)</f>
        <v>0</v>
      </c>
      <c r="C88">
        <f>SUMIF(RawDataRecovered!$B:$B,$A88,RawDataRecovered!F:F)</f>
        <v>0</v>
      </c>
      <c r="D88">
        <f>SUMIF(RawDataRecovered!$B:$B,$A88,RawDataRecovered!G:G)</f>
        <v>0</v>
      </c>
      <c r="E88">
        <f>SUMIF(RawDataRecovered!$B:$B,$A88,RawDataRecovered!H:H)</f>
        <v>0</v>
      </c>
      <c r="F88">
        <f>SUMIF(RawDataRecovered!$B:$B,$A88,RawDataRecovered!I:I)</f>
        <v>0</v>
      </c>
      <c r="G88">
        <f>SUMIF(RawDataRecovered!$B:$B,$A88,RawDataRecovered!J:J)</f>
        <v>0</v>
      </c>
      <c r="H88">
        <f>SUMIF(RawDataRecovered!$B:$B,$A88,RawDataRecovered!K:K)</f>
        <v>0</v>
      </c>
      <c r="I88">
        <f>SUMIF(RawDataRecovered!$B:$B,$A88,RawDataRecovered!L:L)</f>
        <v>0</v>
      </c>
      <c r="J88">
        <f>SUMIF(RawDataRecovered!$B:$B,$A88,RawDataRecovered!M:M)</f>
        <v>0</v>
      </c>
      <c r="K88">
        <f>SUMIF(RawDataRecovered!$B:$B,$A88,RawDataRecovered!N:N)</f>
        <v>0</v>
      </c>
      <c r="L88">
        <f>SUMIF(RawDataRecovered!$B:$B,$A88,RawDataRecovered!O:O)</f>
        <v>0</v>
      </c>
      <c r="M88">
        <f>SUMIF(RawDataRecovered!$B:$B,$A88,RawDataRecovered!P:P)</f>
        <v>0</v>
      </c>
      <c r="N88">
        <f>SUMIF(RawDataRecovered!$B:$B,$A88,RawDataRecovered!Q:Q)</f>
        <v>0</v>
      </c>
      <c r="O88">
        <f>SUMIF(RawDataRecovered!$B:$B,$A88,RawDataRecovered!R:R)</f>
        <v>0</v>
      </c>
      <c r="P88">
        <f>SUMIF(RawDataRecovered!$B:$B,$A88,RawDataRecovered!S:S)</f>
        <v>0</v>
      </c>
      <c r="Q88">
        <f>SUMIF(RawDataRecovered!$B:$B,$A88,RawDataRecovered!T:T)</f>
        <v>0</v>
      </c>
      <c r="R88">
        <f>SUMIF(RawDataRecovered!$B:$B,$A88,RawDataRecovered!U:U)</f>
        <v>0</v>
      </c>
      <c r="S88">
        <f>SUMIF(RawDataRecovered!$B:$B,$A88,RawDataRecovered!V:V)</f>
        <v>0</v>
      </c>
      <c r="T88">
        <f>SUMIF(RawDataRecovered!$B:$B,$A88,RawDataRecovered!W:W)</f>
        <v>0</v>
      </c>
      <c r="U88">
        <f>SUMIF(RawDataRecovered!$B:$B,$A88,RawDataRecovered!X:X)</f>
        <v>0</v>
      </c>
      <c r="V88">
        <f>SUMIF(RawDataRecovered!$B:$B,$A88,RawDataRecovered!Y:Y)</f>
        <v>0</v>
      </c>
      <c r="W88">
        <f>SUMIF(RawDataRecovered!$B:$B,$A88,RawDataRecovered!Z:Z)</f>
        <v>0</v>
      </c>
      <c r="X88">
        <f>SUMIF(RawDataRecovered!$B:$B,$A88,RawDataRecovered!AA:AA)</f>
        <v>0</v>
      </c>
      <c r="Y88">
        <f>SUMIF(RawDataRecovered!$B:$B,$A88,RawDataRecovered!AB:AB)</f>
        <v>0</v>
      </c>
      <c r="Z88">
        <f>SUMIF(RawDataRecovered!$B:$B,$A88,RawDataRecovered!AC:AC)</f>
        <v>0</v>
      </c>
      <c r="AA88">
        <f>SUMIF(RawDataRecovered!$B:$B,$A88,RawDataRecovered!AD:AD)</f>
        <v>0</v>
      </c>
      <c r="AB88">
        <f>SUMIF(RawDataRecovered!$B:$B,$A88,RawDataRecovered!AE:AE)</f>
        <v>0</v>
      </c>
      <c r="AC88">
        <f>SUMIF(RawDataRecovered!$B:$B,$A88,RawDataRecovered!AF:AF)</f>
        <v>0</v>
      </c>
      <c r="AD88">
        <f>SUMIF(RawDataRecovered!$B:$B,$A88,RawDataRecovered!AG:AG)</f>
        <v>0</v>
      </c>
      <c r="AE88">
        <f>SUMIF(RawDataRecovered!$B:$B,$A88,RawDataRecovered!AH:AH)</f>
        <v>0</v>
      </c>
      <c r="AF88">
        <f>SUMIF(RawDataRecovered!$B:$B,$A88,RawDataRecovered!AI:AI)</f>
        <v>0</v>
      </c>
      <c r="AG88">
        <f>SUMIF(RawDataRecovered!$B:$B,$A88,RawDataRecovered!AJ:AJ)</f>
        <v>0</v>
      </c>
      <c r="AH88">
        <f>SUMIF(RawDataRecovered!$B:$B,$A88,RawDataRecovered!AK:AK)</f>
        <v>0</v>
      </c>
      <c r="AI88">
        <f>SUMIF(RawDataRecovered!$B:$B,$A88,RawDataRecovered!AL:AL)</f>
        <v>0</v>
      </c>
      <c r="AJ88">
        <f>SUMIF(RawDataRecovered!$B:$B,$A88,RawDataRecovered!AM:AM)</f>
        <v>0</v>
      </c>
      <c r="AK88">
        <f>SUMIF(RawDataRecovered!$B:$B,$A88,RawDataRecovered!AN:AN)</f>
        <v>0</v>
      </c>
      <c r="AL88">
        <f>SUMIF(RawDataRecovered!$B:$B,$A88,RawDataRecovered!AO:AO)</f>
        <v>0</v>
      </c>
      <c r="AM88">
        <f>SUMIF(RawDataRecovered!$B:$B,$A88,RawDataRecovered!AP:AP)</f>
        <v>0</v>
      </c>
      <c r="AN88">
        <f>SUMIF(RawDataRecovered!$B:$B,$A88,RawDataRecovered!AQ:AQ)</f>
        <v>0</v>
      </c>
      <c r="AO88">
        <f>SUMIF(RawDataRecovered!$B:$B,$A88,RawDataRecovered!AR:AR)</f>
        <v>0</v>
      </c>
      <c r="AP88">
        <f>SUMIF(RawDataRecovered!$B:$B,$A88,RawDataRecovered!AS:AS)</f>
        <v>0</v>
      </c>
      <c r="AQ88">
        <f>SUMIF(RawDataRecovered!$B:$B,$A88,RawDataRecovered!AT:AT)</f>
        <v>0</v>
      </c>
      <c r="AR88">
        <f>SUMIF(RawDataRecovered!$B:$B,$A88,RawDataRecovered!AU:AU)</f>
        <v>0</v>
      </c>
      <c r="AS88">
        <f>SUMIF(RawDataRecovered!$B:$B,$A88,RawDataRecovered!AV:AV)</f>
        <v>0</v>
      </c>
      <c r="AT88">
        <f>SUMIF(RawDataRecovered!$B:$B,$A88,RawDataRecovered!AW:AW)</f>
        <v>0</v>
      </c>
      <c r="AU88">
        <f>SUMIF(RawDataRecovered!$B:$B,$A88,RawDataRecovered!AX:AX)</f>
        <v>0</v>
      </c>
      <c r="AV88">
        <f>SUMIF(RawDataRecovered!$B:$B,$A88,RawDataRecovered!AY:AY)</f>
        <v>0</v>
      </c>
      <c r="AW88">
        <f>SUMIF(RawDataRecovered!$B:$B,$A88,RawDataRecovered!AZ:AZ)</f>
        <v>0</v>
      </c>
      <c r="AX88">
        <f>SUMIF(RawDataRecovered!$B:$B,$A88,RawDataRecovered!BA:BA)</f>
        <v>0</v>
      </c>
      <c r="AY88">
        <f>SUMIF(RawDataRecovered!$B:$B,$A88,RawDataRecovered!BB:BB)</f>
        <v>0</v>
      </c>
      <c r="AZ88">
        <f>SUMIF(RawDataRecovered!$B:$B,$A88,RawDataRecovered!BC:BC)</f>
        <v>0</v>
      </c>
      <c r="BA88">
        <f>SUMIF(RawDataRecovered!$B:$B,$A88,RawDataRecovered!BD:BD)</f>
        <v>0</v>
      </c>
      <c r="BB88">
        <f>SUMIF(RawDataRecovered!$B:$B,$A88,RawDataRecovered!BE:BE)</f>
        <v>0</v>
      </c>
      <c r="BC88">
        <f>SUMIF(RawDataRecovered!$B:$B,$A88,RawDataRecovered!BF:BF)</f>
        <v>0</v>
      </c>
      <c r="BD88">
        <f>SUMIF(RawDataRecovered!$B:$B,$A88,RawDataRecovered!BG:BG)</f>
        <v>0</v>
      </c>
      <c r="BE88">
        <f>SUMIF(RawDataRecovered!$B:$B,$A88,RawDataRecovered!BH:BH)</f>
        <v>1</v>
      </c>
      <c r="BF88">
        <f>SUMIF(RawDataRecovered!$B:$B,$A88,RawDataRecovered!BI:BI)</f>
        <v>0</v>
      </c>
      <c r="BG88">
        <f>SUMIF(RawDataRecovered!$B:$B,$A88,RawDataRecovered!BJ:BJ)</f>
        <v>0</v>
      </c>
      <c r="BH88">
        <f>SUMIF(RawDataRecovered!$B:$B,$A88,RawDataRecovered!BK:BK)</f>
        <v>0</v>
      </c>
      <c r="BI88">
        <f>SUMIF(RawDataRecovered!$B:$B,$A88,RawDataRecovered!BL:BL)</f>
        <v>0</v>
      </c>
      <c r="BJ88">
        <f>SUMIF(RawDataRecovered!$B:$B,$A88,RawDataRecovered!BM:BM)</f>
        <v>0</v>
      </c>
      <c r="BK88">
        <f>SUMIF(RawDataRecovered!$B:$B,$A88,RawDataRecovered!BN:BN)</f>
        <v>0</v>
      </c>
      <c r="BL88">
        <f>SUMIF(RawDataRecovered!$B:$B,$A88,RawDataRecovered!BO:BO)</f>
        <v>0</v>
      </c>
      <c r="BM88">
        <f>SUMIF(RawDataRecovered!$B:$B,$A88,RawDataRecovered!BP:BP)</f>
        <v>0</v>
      </c>
      <c r="BN88">
        <f>SUMIF(RawDataRecovered!$B:$B,$A88,RawDataRecovered!BQ:BQ)</f>
        <v>0</v>
      </c>
      <c r="BO88">
        <f>SUMIF(RawDataRecovered!$B:$B,$A88,RawDataRecovered!BR:BR)</f>
        <v>0</v>
      </c>
      <c r="BP88">
        <f>SUMIF(RawDataRecovered!$B:$B,$A88,RawDataRecovered!BS:BS)</f>
        <v>0</v>
      </c>
      <c r="BQ88">
        <f>SUMIF(RawDataRecovered!$B:$B,$A88,RawDataRecovered!BT:BT)</f>
        <v>0</v>
      </c>
      <c r="BR88">
        <f>SUMIF(RawDataRecovered!$B:$B,$A88,RawDataRecovered!BU:BU)</f>
        <v>0</v>
      </c>
      <c r="BS88">
        <f>SUMIF(RawDataRecovered!$B:$B,$A88,RawDataRecovered!BV:BV)</f>
        <v>0</v>
      </c>
      <c r="BT88">
        <f>SUMIF(RawDataRecovered!$B:$B,$A88,RawDataRecovered!BW:BW)</f>
        <v>0</v>
      </c>
    </row>
    <row r="89" spans="1:72" ht="15" thickBot="1" x14ac:dyDescent="0.35">
      <c r="A89" s="4" t="s">
        <v>233</v>
      </c>
      <c r="B89">
        <f>SUMIF(RawDataRecovered!$B:$B,$A89,RawDataRecovered!E:E)</f>
        <v>0</v>
      </c>
      <c r="C89">
        <f>SUMIF(RawDataRecovered!$B:$B,$A89,RawDataRecovered!F:F)</f>
        <v>0</v>
      </c>
      <c r="D89">
        <f>SUMIF(RawDataRecovered!$B:$B,$A89,RawDataRecovered!G:G)</f>
        <v>0</v>
      </c>
      <c r="E89">
        <f>SUMIF(RawDataRecovered!$B:$B,$A89,RawDataRecovered!H:H)</f>
        <v>0</v>
      </c>
      <c r="F89">
        <f>SUMIF(RawDataRecovered!$B:$B,$A89,RawDataRecovered!I:I)</f>
        <v>0</v>
      </c>
      <c r="G89">
        <f>SUMIF(RawDataRecovered!$B:$B,$A89,RawDataRecovered!J:J)</f>
        <v>0</v>
      </c>
      <c r="H89">
        <f>SUMIF(RawDataRecovered!$B:$B,$A89,RawDataRecovered!K:K)</f>
        <v>0</v>
      </c>
      <c r="I89">
        <f>SUMIF(RawDataRecovered!$B:$B,$A89,RawDataRecovered!L:L)</f>
        <v>0</v>
      </c>
      <c r="J89">
        <f>SUMIF(RawDataRecovered!$B:$B,$A89,RawDataRecovered!M:M)</f>
        <v>0</v>
      </c>
      <c r="K89">
        <f>SUMIF(RawDataRecovered!$B:$B,$A89,RawDataRecovered!N:N)</f>
        <v>0</v>
      </c>
      <c r="L89">
        <f>SUMIF(RawDataRecovered!$B:$B,$A89,RawDataRecovered!O:O)</f>
        <v>0</v>
      </c>
      <c r="M89">
        <f>SUMIF(RawDataRecovered!$B:$B,$A89,RawDataRecovered!P:P)</f>
        <v>0</v>
      </c>
      <c r="N89">
        <f>SUMIF(RawDataRecovered!$B:$B,$A89,RawDataRecovered!Q:Q)</f>
        <v>0</v>
      </c>
      <c r="O89">
        <f>SUMIF(RawDataRecovered!$B:$B,$A89,RawDataRecovered!R:R)</f>
        <v>0</v>
      </c>
      <c r="P89">
        <f>SUMIF(RawDataRecovered!$B:$B,$A89,RawDataRecovered!S:S)</f>
        <v>0</v>
      </c>
      <c r="Q89">
        <f>SUMIF(RawDataRecovered!$B:$B,$A89,RawDataRecovered!T:T)</f>
        <v>0</v>
      </c>
      <c r="R89">
        <f>SUMIF(RawDataRecovered!$B:$B,$A89,RawDataRecovered!U:U)</f>
        <v>0</v>
      </c>
      <c r="S89">
        <f>SUMIF(RawDataRecovered!$B:$B,$A89,RawDataRecovered!V:V)</f>
        <v>0</v>
      </c>
      <c r="T89">
        <f>SUMIF(RawDataRecovered!$B:$B,$A89,RawDataRecovered!W:W)</f>
        <v>0</v>
      </c>
      <c r="U89">
        <f>SUMIF(RawDataRecovered!$B:$B,$A89,RawDataRecovered!X:X)</f>
        <v>0</v>
      </c>
      <c r="V89">
        <f>SUMIF(RawDataRecovered!$B:$B,$A89,RawDataRecovered!Y:Y)</f>
        <v>0</v>
      </c>
      <c r="W89">
        <f>SUMIF(RawDataRecovered!$B:$B,$A89,RawDataRecovered!Z:Z)</f>
        <v>0</v>
      </c>
      <c r="X89">
        <f>SUMIF(RawDataRecovered!$B:$B,$A89,RawDataRecovered!AA:AA)</f>
        <v>0</v>
      </c>
      <c r="Y89">
        <f>SUMIF(RawDataRecovered!$B:$B,$A89,RawDataRecovered!AB:AB)</f>
        <v>0</v>
      </c>
      <c r="Z89">
        <f>SUMIF(RawDataRecovered!$B:$B,$A89,RawDataRecovered!AC:AC)</f>
        <v>0</v>
      </c>
      <c r="AA89">
        <f>SUMIF(RawDataRecovered!$B:$B,$A89,RawDataRecovered!AD:AD)</f>
        <v>0</v>
      </c>
      <c r="AB89">
        <f>SUMIF(RawDataRecovered!$B:$B,$A89,RawDataRecovered!AE:AE)</f>
        <v>0</v>
      </c>
      <c r="AC89">
        <f>SUMIF(RawDataRecovered!$B:$B,$A89,RawDataRecovered!AF:AF)</f>
        <v>0</v>
      </c>
      <c r="AD89">
        <f>SUMIF(RawDataRecovered!$B:$B,$A89,RawDataRecovered!AG:AG)</f>
        <v>0</v>
      </c>
      <c r="AE89">
        <f>SUMIF(RawDataRecovered!$B:$B,$A89,RawDataRecovered!AH:AH)</f>
        <v>0</v>
      </c>
      <c r="AF89">
        <f>SUMIF(RawDataRecovered!$B:$B,$A89,RawDataRecovered!AI:AI)</f>
        <v>0</v>
      </c>
      <c r="AG89">
        <f>SUMIF(RawDataRecovered!$B:$B,$A89,RawDataRecovered!AJ:AJ)</f>
        <v>0</v>
      </c>
      <c r="AH89">
        <f>SUMIF(RawDataRecovered!$B:$B,$A89,RawDataRecovered!AK:AK)</f>
        <v>0</v>
      </c>
      <c r="AI89">
        <f>SUMIF(RawDataRecovered!$B:$B,$A89,RawDataRecovered!AL:AL)</f>
        <v>0</v>
      </c>
      <c r="AJ89">
        <f>SUMIF(RawDataRecovered!$B:$B,$A89,RawDataRecovered!AM:AM)</f>
        <v>0</v>
      </c>
      <c r="AK89">
        <f>SUMIF(RawDataRecovered!$B:$B,$A89,RawDataRecovered!AN:AN)</f>
        <v>0</v>
      </c>
      <c r="AL89">
        <f>SUMIF(RawDataRecovered!$B:$B,$A89,RawDataRecovered!AO:AO)</f>
        <v>0</v>
      </c>
      <c r="AM89">
        <f>SUMIF(RawDataRecovered!$B:$B,$A89,RawDataRecovered!AP:AP)</f>
        <v>0</v>
      </c>
      <c r="AN89">
        <f>SUMIF(RawDataRecovered!$B:$B,$A89,RawDataRecovered!AQ:AQ)</f>
        <v>0</v>
      </c>
      <c r="AO89">
        <f>SUMIF(RawDataRecovered!$B:$B,$A89,RawDataRecovered!AR:AR)</f>
        <v>0</v>
      </c>
      <c r="AP89">
        <f>SUMIF(RawDataRecovered!$B:$B,$A89,RawDataRecovered!AS:AS)</f>
        <v>0</v>
      </c>
      <c r="AQ89">
        <f>SUMIF(RawDataRecovered!$B:$B,$A89,RawDataRecovered!AT:AT)</f>
        <v>0</v>
      </c>
      <c r="AR89">
        <f>SUMIF(RawDataRecovered!$B:$B,$A89,RawDataRecovered!AU:AU)</f>
        <v>0</v>
      </c>
      <c r="AS89">
        <f>SUMIF(RawDataRecovered!$B:$B,$A89,RawDataRecovered!AV:AV)</f>
        <v>0</v>
      </c>
      <c r="AT89">
        <f>SUMIF(RawDataRecovered!$B:$B,$A89,RawDataRecovered!AW:AW)</f>
        <v>0</v>
      </c>
      <c r="AU89">
        <f>SUMIF(RawDataRecovered!$B:$B,$A89,RawDataRecovered!AX:AX)</f>
        <v>0</v>
      </c>
      <c r="AV89">
        <f>SUMIF(RawDataRecovered!$B:$B,$A89,RawDataRecovered!AY:AY)</f>
        <v>0</v>
      </c>
      <c r="AW89">
        <f>SUMIF(RawDataRecovered!$B:$B,$A89,RawDataRecovered!AZ:AZ)</f>
        <v>0</v>
      </c>
      <c r="AX89">
        <f>SUMIF(RawDataRecovered!$B:$B,$A89,RawDataRecovered!BA:BA)</f>
        <v>0</v>
      </c>
      <c r="AY89">
        <f>SUMIF(RawDataRecovered!$B:$B,$A89,RawDataRecovered!BB:BB)</f>
        <v>0</v>
      </c>
      <c r="AZ89">
        <f>SUMIF(RawDataRecovered!$B:$B,$A89,RawDataRecovered!BC:BC)</f>
        <v>0</v>
      </c>
      <c r="BA89">
        <f>SUMIF(RawDataRecovered!$B:$B,$A89,RawDataRecovered!BD:BD)</f>
        <v>0</v>
      </c>
      <c r="BB89">
        <f>SUMIF(RawDataRecovered!$B:$B,$A89,RawDataRecovered!BE:BE)</f>
        <v>0</v>
      </c>
      <c r="BC89">
        <f>SUMIF(RawDataRecovered!$B:$B,$A89,RawDataRecovered!BF:BF)</f>
        <v>0</v>
      </c>
      <c r="BD89">
        <f>SUMIF(RawDataRecovered!$B:$B,$A89,RawDataRecovered!BG:BG)</f>
        <v>0</v>
      </c>
      <c r="BE89">
        <f>SUMIF(RawDataRecovered!$B:$B,$A89,RawDataRecovered!BH:BH)</f>
        <v>0</v>
      </c>
      <c r="BF89">
        <f>SUMIF(RawDataRecovered!$B:$B,$A89,RawDataRecovered!BI:BI)</f>
        <v>0</v>
      </c>
      <c r="BG89">
        <f>SUMIF(RawDataRecovered!$B:$B,$A89,RawDataRecovered!BJ:BJ)</f>
        <v>0</v>
      </c>
      <c r="BH89">
        <f>SUMIF(RawDataRecovered!$B:$B,$A89,RawDataRecovered!BK:BK)</f>
        <v>0</v>
      </c>
      <c r="BI89">
        <f>SUMIF(RawDataRecovered!$B:$B,$A89,RawDataRecovered!BL:BL)</f>
        <v>0</v>
      </c>
      <c r="BJ89">
        <f>SUMIF(RawDataRecovered!$B:$B,$A89,RawDataRecovered!BM:BM)</f>
        <v>0</v>
      </c>
      <c r="BK89">
        <f>SUMIF(RawDataRecovered!$B:$B,$A89,RawDataRecovered!BN:BN)</f>
        <v>0</v>
      </c>
      <c r="BL89">
        <f>SUMIF(RawDataRecovered!$B:$B,$A89,RawDataRecovered!BO:BO)</f>
        <v>0</v>
      </c>
      <c r="BM89">
        <f>SUMIF(RawDataRecovered!$B:$B,$A89,RawDataRecovered!BP:BP)</f>
        <v>0</v>
      </c>
      <c r="BN89">
        <f>SUMIF(RawDataRecovered!$B:$B,$A89,RawDataRecovered!BQ:BQ)</f>
        <v>0</v>
      </c>
      <c r="BO89">
        <f>SUMIF(RawDataRecovered!$B:$B,$A89,RawDataRecovered!BR:BR)</f>
        <v>0</v>
      </c>
      <c r="BP89">
        <f>SUMIF(RawDataRecovered!$B:$B,$A89,RawDataRecovered!BS:BS)</f>
        <v>0</v>
      </c>
      <c r="BQ89">
        <f>SUMIF(RawDataRecovered!$B:$B,$A89,RawDataRecovered!BT:BT)</f>
        <v>0</v>
      </c>
      <c r="BR89">
        <f>SUMIF(RawDataRecovered!$B:$B,$A89,RawDataRecovered!BU:BU)</f>
        <v>0</v>
      </c>
      <c r="BS89">
        <f>SUMIF(RawDataRecovered!$B:$B,$A89,RawDataRecovered!BV:BV)</f>
        <v>0</v>
      </c>
      <c r="BT89">
        <f>SUMIF(RawDataRecovered!$B:$B,$A89,RawDataRecovered!BW:BW)</f>
        <v>0</v>
      </c>
    </row>
    <row r="90" spans="1:72" ht="15" thickBot="1" x14ac:dyDescent="0.35">
      <c r="A90" s="3" t="s">
        <v>79</v>
      </c>
      <c r="B90">
        <f>SUMIF(RawDataRecovered!$B:$B,$A90,RawDataRecovered!E:E)</f>
        <v>0</v>
      </c>
      <c r="C90">
        <f>SUMIF(RawDataRecovered!$B:$B,$A90,RawDataRecovered!F:F)</f>
        <v>0</v>
      </c>
      <c r="D90">
        <f>SUMIF(RawDataRecovered!$B:$B,$A90,RawDataRecovered!G:G)</f>
        <v>0</v>
      </c>
      <c r="E90">
        <f>SUMIF(RawDataRecovered!$B:$B,$A90,RawDataRecovered!H:H)</f>
        <v>0</v>
      </c>
      <c r="F90">
        <f>SUMIF(RawDataRecovered!$B:$B,$A90,RawDataRecovered!I:I)</f>
        <v>0</v>
      </c>
      <c r="G90">
        <f>SUMIF(RawDataRecovered!$B:$B,$A90,RawDataRecovered!J:J)</f>
        <v>0</v>
      </c>
      <c r="H90">
        <f>SUMIF(RawDataRecovered!$B:$B,$A90,RawDataRecovered!K:K)</f>
        <v>0</v>
      </c>
      <c r="I90">
        <f>SUMIF(RawDataRecovered!$B:$B,$A90,RawDataRecovered!L:L)</f>
        <v>0</v>
      </c>
      <c r="J90">
        <f>SUMIF(RawDataRecovered!$B:$B,$A90,RawDataRecovered!M:M)</f>
        <v>0</v>
      </c>
      <c r="K90">
        <f>SUMIF(RawDataRecovered!$B:$B,$A90,RawDataRecovered!N:N)</f>
        <v>0</v>
      </c>
      <c r="L90">
        <f>SUMIF(RawDataRecovered!$B:$B,$A90,RawDataRecovered!O:O)</f>
        <v>0</v>
      </c>
      <c r="M90">
        <f>SUMIF(RawDataRecovered!$B:$B,$A90,RawDataRecovered!P:P)</f>
        <v>0</v>
      </c>
      <c r="N90">
        <f>SUMIF(RawDataRecovered!$B:$B,$A90,RawDataRecovered!Q:Q)</f>
        <v>0</v>
      </c>
      <c r="O90">
        <f>SUMIF(RawDataRecovered!$B:$B,$A90,RawDataRecovered!R:R)</f>
        <v>0</v>
      </c>
      <c r="P90">
        <f>SUMIF(RawDataRecovered!$B:$B,$A90,RawDataRecovered!S:S)</f>
        <v>0</v>
      </c>
      <c r="Q90">
        <f>SUMIF(RawDataRecovered!$B:$B,$A90,RawDataRecovered!T:T)</f>
        <v>0</v>
      </c>
      <c r="R90">
        <f>SUMIF(RawDataRecovered!$B:$B,$A90,RawDataRecovered!U:U)</f>
        <v>0</v>
      </c>
      <c r="S90">
        <f>SUMIF(RawDataRecovered!$B:$B,$A90,RawDataRecovered!V:V)</f>
        <v>1</v>
      </c>
      <c r="T90">
        <f>SUMIF(RawDataRecovered!$B:$B,$A90,RawDataRecovered!W:W)</f>
        <v>1</v>
      </c>
      <c r="U90">
        <f>SUMIF(RawDataRecovered!$B:$B,$A90,RawDataRecovered!X:X)</f>
        <v>1</v>
      </c>
      <c r="V90">
        <f>SUMIF(RawDataRecovered!$B:$B,$A90,RawDataRecovered!Y:Y)</f>
        <v>1</v>
      </c>
      <c r="W90">
        <f>SUMIF(RawDataRecovered!$B:$B,$A90,RawDataRecovered!Z:Z)</f>
        <v>1</v>
      </c>
      <c r="X90">
        <f>SUMIF(RawDataRecovered!$B:$B,$A90,RawDataRecovered!AA:AA)</f>
        <v>1</v>
      </c>
      <c r="Y90">
        <f>SUMIF(RawDataRecovered!$B:$B,$A90,RawDataRecovered!AB:AB)</f>
        <v>1</v>
      </c>
      <c r="Z90">
        <f>SUMIF(RawDataRecovered!$B:$B,$A90,RawDataRecovered!AC:AC)</f>
        <v>1</v>
      </c>
      <c r="AA90">
        <f>SUMIF(RawDataRecovered!$B:$B,$A90,RawDataRecovered!AD:AD)</f>
        <v>1</v>
      </c>
      <c r="AB90">
        <f>SUMIF(RawDataRecovered!$B:$B,$A90,RawDataRecovered!AE:AE)</f>
        <v>1</v>
      </c>
      <c r="AC90">
        <f>SUMIF(RawDataRecovered!$B:$B,$A90,RawDataRecovered!AF:AF)</f>
        <v>1</v>
      </c>
      <c r="AD90">
        <f>SUMIF(RawDataRecovered!$B:$B,$A90,RawDataRecovered!AG:AG)</f>
        <v>1</v>
      </c>
      <c r="AE90">
        <f>SUMIF(RawDataRecovered!$B:$B,$A90,RawDataRecovered!AH:AH)</f>
        <v>1</v>
      </c>
      <c r="AF90">
        <f>SUMIF(RawDataRecovered!$B:$B,$A90,RawDataRecovered!AI:AI)</f>
        <v>1</v>
      </c>
      <c r="AG90">
        <f>SUMIF(RawDataRecovered!$B:$B,$A90,RawDataRecovered!AJ:AJ)</f>
        <v>1</v>
      </c>
      <c r="AH90">
        <f>SUMIF(RawDataRecovered!$B:$B,$A90,RawDataRecovered!AK:AK)</f>
        <v>1</v>
      </c>
      <c r="AI90">
        <f>SUMIF(RawDataRecovered!$B:$B,$A90,RawDataRecovered!AL:AL)</f>
        <v>1</v>
      </c>
      <c r="AJ90">
        <f>SUMIF(RawDataRecovered!$B:$B,$A90,RawDataRecovered!AM:AM)</f>
        <v>1</v>
      </c>
      <c r="AK90">
        <f>SUMIF(RawDataRecovered!$B:$B,$A90,RawDataRecovered!AN:AN)</f>
        <v>1</v>
      </c>
      <c r="AL90">
        <f>SUMIF(RawDataRecovered!$B:$B,$A90,RawDataRecovered!AO:AO)</f>
        <v>1</v>
      </c>
      <c r="AM90">
        <f>SUMIF(RawDataRecovered!$B:$B,$A90,RawDataRecovered!AP:AP)</f>
        <v>1</v>
      </c>
      <c r="AN90">
        <f>SUMIF(RawDataRecovered!$B:$B,$A90,RawDataRecovered!AQ:AQ)</f>
        <v>1</v>
      </c>
      <c r="AO90">
        <f>SUMIF(RawDataRecovered!$B:$B,$A90,RawDataRecovered!AR:AR)</f>
        <v>1</v>
      </c>
      <c r="AP90">
        <f>SUMIF(RawDataRecovered!$B:$B,$A90,RawDataRecovered!AS:AS)</f>
        <v>1</v>
      </c>
      <c r="AQ90">
        <f>SUMIF(RawDataRecovered!$B:$B,$A90,RawDataRecovered!AT:AT)</f>
        <v>1</v>
      </c>
      <c r="AR90">
        <f>SUMIF(RawDataRecovered!$B:$B,$A90,RawDataRecovered!AU:AU)</f>
        <v>1</v>
      </c>
      <c r="AS90">
        <f>SUMIF(RawDataRecovered!$B:$B,$A90,RawDataRecovered!AV:AV)</f>
        <v>1</v>
      </c>
      <c r="AT90">
        <f>SUMIF(RawDataRecovered!$B:$B,$A90,RawDataRecovered!AW:AW)</f>
        <v>1</v>
      </c>
      <c r="AU90">
        <f>SUMIF(RawDataRecovered!$B:$B,$A90,RawDataRecovered!AX:AX)</f>
        <v>1</v>
      </c>
      <c r="AV90">
        <f>SUMIF(RawDataRecovered!$B:$B,$A90,RawDataRecovered!AY:AY)</f>
        <v>1</v>
      </c>
      <c r="AW90">
        <f>SUMIF(RawDataRecovered!$B:$B,$A90,RawDataRecovered!AZ:AZ)</f>
        <v>1</v>
      </c>
      <c r="AX90">
        <f>SUMIF(RawDataRecovered!$B:$B,$A90,RawDataRecovered!BA:BA)</f>
        <v>1</v>
      </c>
      <c r="AY90">
        <f>SUMIF(RawDataRecovered!$B:$B,$A90,RawDataRecovered!BB:BB)</f>
        <v>1</v>
      </c>
      <c r="AZ90">
        <f>SUMIF(RawDataRecovered!$B:$B,$A90,RawDataRecovered!BC:BC)</f>
        <v>1</v>
      </c>
      <c r="BA90">
        <f>SUMIF(RawDataRecovered!$B:$B,$A90,RawDataRecovered!BD:BD)</f>
        <v>1</v>
      </c>
      <c r="BB90">
        <f>SUMIF(RawDataRecovered!$B:$B,$A90,RawDataRecovered!BE:BE)</f>
        <v>1</v>
      </c>
      <c r="BC90">
        <f>SUMIF(RawDataRecovered!$B:$B,$A90,RawDataRecovered!BF:BF)</f>
        <v>1</v>
      </c>
      <c r="BD90">
        <f>SUMIF(RawDataRecovered!$B:$B,$A90,RawDataRecovered!BG:BG)</f>
        <v>1</v>
      </c>
      <c r="BE90">
        <f>SUMIF(RawDataRecovered!$B:$B,$A90,RawDataRecovered!BH:BH)</f>
        <v>1</v>
      </c>
      <c r="BF90">
        <f>SUMIF(RawDataRecovered!$B:$B,$A90,RawDataRecovered!BI:BI)</f>
        <v>0</v>
      </c>
      <c r="BG90">
        <f>SUMIF(RawDataRecovered!$B:$B,$A90,RawDataRecovered!BJ:BJ)</f>
        <v>0</v>
      </c>
      <c r="BH90">
        <f>SUMIF(RawDataRecovered!$B:$B,$A90,RawDataRecovered!BK:BK)</f>
        <v>0</v>
      </c>
      <c r="BI90">
        <f>SUMIF(RawDataRecovered!$B:$B,$A90,RawDataRecovered!BL:BL)</f>
        <v>0</v>
      </c>
      <c r="BJ90">
        <f>SUMIF(RawDataRecovered!$B:$B,$A90,RawDataRecovered!BM:BM)</f>
        <v>0</v>
      </c>
      <c r="BK90">
        <f>SUMIF(RawDataRecovered!$B:$B,$A90,RawDataRecovered!BN:BN)</f>
        <v>0</v>
      </c>
      <c r="BL90">
        <f>SUMIF(RawDataRecovered!$B:$B,$A90,RawDataRecovered!BO:BO)</f>
        <v>0</v>
      </c>
      <c r="BM90">
        <f>SUMIF(RawDataRecovered!$B:$B,$A90,RawDataRecovered!BP:BP)</f>
        <v>0</v>
      </c>
      <c r="BN90">
        <f>SUMIF(RawDataRecovered!$B:$B,$A90,RawDataRecovered!BQ:BQ)</f>
        <v>0</v>
      </c>
      <c r="BO90">
        <f>SUMIF(RawDataRecovered!$B:$B,$A90,RawDataRecovered!BR:BR)</f>
        <v>0</v>
      </c>
      <c r="BP90">
        <f>SUMIF(RawDataRecovered!$B:$B,$A90,RawDataRecovered!BS:BS)</f>
        <v>0</v>
      </c>
      <c r="BQ90">
        <f>SUMIF(RawDataRecovered!$B:$B,$A90,RawDataRecovered!BT:BT)</f>
        <v>0</v>
      </c>
      <c r="BR90">
        <f>SUMIF(RawDataRecovered!$B:$B,$A90,RawDataRecovered!BU:BU)</f>
        <v>0</v>
      </c>
      <c r="BS90">
        <f>SUMIF(RawDataRecovered!$B:$B,$A90,RawDataRecovered!BV:BV)</f>
        <v>0</v>
      </c>
      <c r="BT90">
        <f>SUMIF(RawDataRecovered!$B:$B,$A90,RawDataRecovered!BW:BW)</f>
        <v>0</v>
      </c>
    </row>
    <row r="91" spans="1:72" ht="15" thickBot="1" x14ac:dyDescent="0.35">
      <c r="A91" s="4" t="s">
        <v>78</v>
      </c>
      <c r="B91">
        <f>SUMIF(RawDataRecovered!$B:$B,$A91,RawDataRecovered!E:E)</f>
        <v>0</v>
      </c>
      <c r="C91">
        <f>SUMIF(RawDataRecovered!$B:$B,$A91,RawDataRecovered!F:F)</f>
        <v>0</v>
      </c>
      <c r="D91">
        <f>SUMIF(RawDataRecovered!$B:$B,$A91,RawDataRecovered!G:G)</f>
        <v>0</v>
      </c>
      <c r="E91">
        <f>SUMIF(RawDataRecovered!$B:$B,$A91,RawDataRecovered!H:H)</f>
        <v>0</v>
      </c>
      <c r="F91">
        <f>SUMIF(RawDataRecovered!$B:$B,$A91,RawDataRecovered!I:I)</f>
        <v>0</v>
      </c>
      <c r="G91">
        <f>SUMIF(RawDataRecovered!$B:$B,$A91,RawDataRecovered!J:J)</f>
        <v>0</v>
      </c>
      <c r="H91">
        <f>SUMIF(RawDataRecovered!$B:$B,$A91,RawDataRecovered!K:K)</f>
        <v>0</v>
      </c>
      <c r="I91">
        <f>SUMIF(RawDataRecovered!$B:$B,$A91,RawDataRecovered!L:L)</f>
        <v>0</v>
      </c>
      <c r="J91">
        <f>SUMIF(RawDataRecovered!$B:$B,$A91,RawDataRecovered!M:M)</f>
        <v>0</v>
      </c>
      <c r="K91">
        <f>SUMIF(RawDataRecovered!$B:$B,$A91,RawDataRecovered!N:N)</f>
        <v>0</v>
      </c>
      <c r="L91">
        <f>SUMIF(RawDataRecovered!$B:$B,$A91,RawDataRecovered!O:O)</f>
        <v>0</v>
      </c>
      <c r="M91">
        <f>SUMIF(RawDataRecovered!$B:$B,$A91,RawDataRecovered!P:P)</f>
        <v>0</v>
      </c>
      <c r="N91">
        <f>SUMIF(RawDataRecovered!$B:$B,$A91,RawDataRecovered!Q:Q)</f>
        <v>0</v>
      </c>
      <c r="O91">
        <f>SUMIF(RawDataRecovered!$B:$B,$A91,RawDataRecovered!R:R)</f>
        <v>0</v>
      </c>
      <c r="P91">
        <f>SUMIF(RawDataRecovered!$B:$B,$A91,RawDataRecovered!S:S)</f>
        <v>0</v>
      </c>
      <c r="Q91">
        <f>SUMIF(RawDataRecovered!$B:$B,$A91,RawDataRecovered!T:T)</f>
        <v>0</v>
      </c>
      <c r="R91">
        <f>SUMIF(RawDataRecovered!$B:$B,$A91,RawDataRecovered!U:U)</f>
        <v>0</v>
      </c>
      <c r="S91">
        <f>SUMIF(RawDataRecovered!$B:$B,$A91,RawDataRecovered!V:V)</f>
        <v>0</v>
      </c>
      <c r="T91">
        <f>SUMIF(RawDataRecovered!$B:$B,$A91,RawDataRecovered!W:W)</f>
        <v>0</v>
      </c>
      <c r="U91">
        <f>SUMIF(RawDataRecovered!$B:$B,$A91,RawDataRecovered!X:X)</f>
        <v>0</v>
      </c>
      <c r="V91">
        <f>SUMIF(RawDataRecovered!$B:$B,$A91,RawDataRecovered!Y:Y)</f>
        <v>0</v>
      </c>
      <c r="W91">
        <f>SUMIF(RawDataRecovered!$B:$B,$A91,RawDataRecovered!Z:Z)</f>
        <v>1</v>
      </c>
      <c r="X91">
        <f>SUMIF(RawDataRecovered!$B:$B,$A91,RawDataRecovered!AA:AA)</f>
        <v>1</v>
      </c>
      <c r="Y91">
        <f>SUMIF(RawDataRecovered!$B:$B,$A91,RawDataRecovered!AB:AB)</f>
        <v>1</v>
      </c>
      <c r="Z91">
        <f>SUMIF(RawDataRecovered!$B:$B,$A91,RawDataRecovered!AC:AC)</f>
        <v>1</v>
      </c>
      <c r="AA91">
        <f>SUMIF(RawDataRecovered!$B:$B,$A91,RawDataRecovered!AD:AD)</f>
        <v>1</v>
      </c>
      <c r="AB91">
        <f>SUMIF(RawDataRecovered!$B:$B,$A91,RawDataRecovered!AE:AE)</f>
        <v>1</v>
      </c>
      <c r="AC91">
        <f>SUMIF(RawDataRecovered!$B:$B,$A91,RawDataRecovered!AF:AF)</f>
        <v>1</v>
      </c>
      <c r="AD91">
        <f>SUMIF(RawDataRecovered!$B:$B,$A91,RawDataRecovered!AG:AG)</f>
        <v>1</v>
      </c>
      <c r="AE91">
        <f>SUMIF(RawDataRecovered!$B:$B,$A91,RawDataRecovered!AH:AH)</f>
        <v>1</v>
      </c>
      <c r="AF91">
        <f>SUMIF(RawDataRecovered!$B:$B,$A91,RawDataRecovered!AI:AI)</f>
        <v>1</v>
      </c>
      <c r="AG91">
        <f>SUMIF(RawDataRecovered!$B:$B,$A91,RawDataRecovered!AJ:AJ)</f>
        <v>1</v>
      </c>
      <c r="AH91">
        <f>SUMIF(RawDataRecovered!$B:$B,$A91,RawDataRecovered!AK:AK)</f>
        <v>1</v>
      </c>
      <c r="AI91">
        <f>SUMIF(RawDataRecovered!$B:$B,$A91,RawDataRecovered!AL:AL)</f>
        <v>1</v>
      </c>
      <c r="AJ91">
        <f>SUMIF(RawDataRecovered!$B:$B,$A91,RawDataRecovered!AM:AM)</f>
        <v>1</v>
      </c>
      <c r="AK91">
        <f>SUMIF(RawDataRecovered!$B:$B,$A91,RawDataRecovered!AN:AN)</f>
        <v>1</v>
      </c>
      <c r="AL91">
        <f>SUMIF(RawDataRecovered!$B:$B,$A91,RawDataRecovered!AO:AO)</f>
        <v>1</v>
      </c>
      <c r="AM91">
        <f>SUMIF(RawDataRecovered!$B:$B,$A91,RawDataRecovered!AP:AP)</f>
        <v>1</v>
      </c>
      <c r="AN91">
        <f>SUMIF(RawDataRecovered!$B:$B,$A91,RawDataRecovered!AQ:AQ)</f>
        <v>1</v>
      </c>
      <c r="AO91">
        <f>SUMIF(RawDataRecovered!$B:$B,$A91,RawDataRecovered!AR:AR)</f>
        <v>1</v>
      </c>
      <c r="AP91">
        <f>SUMIF(RawDataRecovered!$B:$B,$A91,RawDataRecovered!AS:AS)</f>
        <v>1</v>
      </c>
      <c r="AQ91">
        <f>SUMIF(RawDataRecovered!$B:$B,$A91,RawDataRecovered!AT:AT)</f>
        <v>1</v>
      </c>
      <c r="AR91">
        <f>SUMIF(RawDataRecovered!$B:$B,$A91,RawDataRecovered!AU:AU)</f>
        <v>1</v>
      </c>
      <c r="AS91">
        <f>SUMIF(RawDataRecovered!$B:$B,$A91,RawDataRecovered!AV:AV)</f>
        <v>1</v>
      </c>
      <c r="AT91">
        <f>SUMIF(RawDataRecovered!$B:$B,$A91,RawDataRecovered!AW:AW)</f>
        <v>1</v>
      </c>
      <c r="AU91">
        <f>SUMIF(RawDataRecovered!$B:$B,$A91,RawDataRecovered!AX:AX)</f>
        <v>1</v>
      </c>
      <c r="AV91">
        <f>SUMIF(RawDataRecovered!$B:$B,$A91,RawDataRecovered!AY:AY)</f>
        <v>1</v>
      </c>
      <c r="AW91">
        <f>SUMIF(RawDataRecovered!$B:$B,$A91,RawDataRecovered!AZ:AZ)</f>
        <v>1</v>
      </c>
      <c r="AX91">
        <f>SUMIF(RawDataRecovered!$B:$B,$A91,RawDataRecovered!BA:BA)</f>
        <v>1</v>
      </c>
      <c r="AY91">
        <f>SUMIF(RawDataRecovered!$B:$B,$A91,RawDataRecovered!BB:BB)</f>
        <v>1</v>
      </c>
      <c r="AZ91">
        <f>SUMIF(RawDataRecovered!$B:$B,$A91,RawDataRecovered!BC:BC)</f>
        <v>1</v>
      </c>
      <c r="BA91">
        <f>SUMIF(RawDataRecovered!$B:$B,$A91,RawDataRecovered!BD:BD)</f>
        <v>1</v>
      </c>
      <c r="BB91">
        <f>SUMIF(RawDataRecovered!$B:$B,$A91,RawDataRecovered!BE:BE)</f>
        <v>1</v>
      </c>
      <c r="BC91">
        <f>SUMIF(RawDataRecovered!$B:$B,$A91,RawDataRecovered!BF:BF)</f>
        <v>1</v>
      </c>
      <c r="BD91">
        <f>SUMIF(RawDataRecovered!$B:$B,$A91,RawDataRecovered!BG:BG)</f>
        <v>1</v>
      </c>
      <c r="BE91">
        <f>SUMIF(RawDataRecovered!$B:$B,$A91,RawDataRecovered!BH:BH)</f>
        <v>1</v>
      </c>
      <c r="BF91">
        <f>SUMIF(RawDataRecovered!$B:$B,$A91,RawDataRecovered!BI:BI)</f>
        <v>0</v>
      </c>
      <c r="BG91">
        <f>SUMIF(RawDataRecovered!$B:$B,$A91,RawDataRecovered!BJ:BJ)</f>
        <v>0</v>
      </c>
      <c r="BH91">
        <f>SUMIF(RawDataRecovered!$B:$B,$A91,RawDataRecovered!BK:BK)</f>
        <v>0</v>
      </c>
      <c r="BI91">
        <f>SUMIF(RawDataRecovered!$B:$B,$A91,RawDataRecovered!BL:BL)</f>
        <v>0</v>
      </c>
      <c r="BJ91">
        <f>SUMIF(RawDataRecovered!$B:$B,$A91,RawDataRecovered!BM:BM)</f>
        <v>0</v>
      </c>
      <c r="BK91">
        <f>SUMIF(RawDataRecovered!$B:$B,$A91,RawDataRecovered!BN:BN)</f>
        <v>0</v>
      </c>
      <c r="BL91">
        <f>SUMIF(RawDataRecovered!$B:$B,$A91,RawDataRecovered!BO:BO)</f>
        <v>0</v>
      </c>
      <c r="BM91">
        <f>SUMIF(RawDataRecovered!$B:$B,$A91,RawDataRecovered!BP:BP)</f>
        <v>0</v>
      </c>
      <c r="BN91">
        <f>SUMIF(RawDataRecovered!$B:$B,$A91,RawDataRecovered!BQ:BQ)</f>
        <v>0</v>
      </c>
      <c r="BO91">
        <f>SUMIF(RawDataRecovered!$B:$B,$A91,RawDataRecovered!BR:BR)</f>
        <v>0</v>
      </c>
      <c r="BP91">
        <f>SUMIF(RawDataRecovered!$B:$B,$A91,RawDataRecovered!BS:BS)</f>
        <v>0</v>
      </c>
      <c r="BQ91">
        <f>SUMIF(RawDataRecovered!$B:$B,$A91,RawDataRecovered!BT:BT)</f>
        <v>0</v>
      </c>
      <c r="BR91">
        <f>SUMIF(RawDataRecovered!$B:$B,$A91,RawDataRecovered!BU:BU)</f>
        <v>0</v>
      </c>
      <c r="BS91">
        <f>SUMIF(RawDataRecovered!$B:$B,$A91,RawDataRecovered!BV:BV)</f>
        <v>0</v>
      </c>
      <c r="BT91">
        <f>SUMIF(RawDataRecovered!$B:$B,$A91,RawDataRecovered!BW:BW)</f>
        <v>0</v>
      </c>
    </row>
    <row r="92" spans="1:72" ht="15" thickBot="1" x14ac:dyDescent="0.35">
      <c r="A92" s="3" t="s">
        <v>133</v>
      </c>
      <c r="B92">
        <f>SUMIF(RawDataRecovered!$B:$B,$A92,RawDataRecovered!E:E)</f>
        <v>0</v>
      </c>
      <c r="C92">
        <f>SUMIF(RawDataRecovered!$B:$B,$A92,RawDataRecovered!F:F)</f>
        <v>0</v>
      </c>
      <c r="D92">
        <f>SUMIF(RawDataRecovered!$B:$B,$A92,RawDataRecovered!G:G)</f>
        <v>0</v>
      </c>
      <c r="E92">
        <f>SUMIF(RawDataRecovered!$B:$B,$A92,RawDataRecovered!H:H)</f>
        <v>0</v>
      </c>
      <c r="F92">
        <f>SUMIF(RawDataRecovered!$B:$B,$A92,RawDataRecovered!I:I)</f>
        <v>0</v>
      </c>
      <c r="G92">
        <f>SUMIF(RawDataRecovered!$B:$B,$A92,RawDataRecovered!J:J)</f>
        <v>0</v>
      </c>
      <c r="H92">
        <f>SUMIF(RawDataRecovered!$B:$B,$A92,RawDataRecovered!K:K)</f>
        <v>0</v>
      </c>
      <c r="I92">
        <f>SUMIF(RawDataRecovered!$B:$B,$A92,RawDataRecovered!L:L)</f>
        <v>0</v>
      </c>
      <c r="J92">
        <f>SUMIF(RawDataRecovered!$B:$B,$A92,RawDataRecovered!M:M)</f>
        <v>0</v>
      </c>
      <c r="K92">
        <f>SUMIF(RawDataRecovered!$B:$B,$A92,RawDataRecovered!N:N)</f>
        <v>0</v>
      </c>
      <c r="L92">
        <f>SUMIF(RawDataRecovered!$B:$B,$A92,RawDataRecovered!O:O)</f>
        <v>0</v>
      </c>
      <c r="M92">
        <f>SUMIF(RawDataRecovered!$B:$B,$A92,RawDataRecovered!P:P)</f>
        <v>0</v>
      </c>
      <c r="N92">
        <f>SUMIF(RawDataRecovered!$B:$B,$A92,RawDataRecovered!Q:Q)</f>
        <v>0</v>
      </c>
      <c r="O92">
        <f>SUMIF(RawDataRecovered!$B:$B,$A92,RawDataRecovered!R:R)</f>
        <v>0</v>
      </c>
      <c r="P92">
        <f>SUMIF(RawDataRecovered!$B:$B,$A92,RawDataRecovered!S:S)</f>
        <v>0</v>
      </c>
      <c r="Q92">
        <f>SUMIF(RawDataRecovered!$B:$B,$A92,RawDataRecovered!T:T)</f>
        <v>0</v>
      </c>
      <c r="R92">
        <f>SUMIF(RawDataRecovered!$B:$B,$A92,RawDataRecovered!U:U)</f>
        <v>0</v>
      </c>
      <c r="S92">
        <f>SUMIF(RawDataRecovered!$B:$B,$A92,RawDataRecovered!V:V)</f>
        <v>0</v>
      </c>
      <c r="T92">
        <f>SUMIF(RawDataRecovered!$B:$B,$A92,RawDataRecovered!W:W)</f>
        <v>0</v>
      </c>
      <c r="U92">
        <f>SUMIF(RawDataRecovered!$B:$B,$A92,RawDataRecovered!X:X)</f>
        <v>0</v>
      </c>
      <c r="V92">
        <f>SUMIF(RawDataRecovered!$B:$B,$A92,RawDataRecovered!Y:Y)</f>
        <v>0</v>
      </c>
      <c r="W92">
        <f>SUMIF(RawDataRecovered!$B:$B,$A92,RawDataRecovered!Z:Z)</f>
        <v>0</v>
      </c>
      <c r="X92">
        <f>SUMIF(RawDataRecovered!$B:$B,$A92,RawDataRecovered!AA:AA)</f>
        <v>0</v>
      </c>
      <c r="Y92">
        <f>SUMIF(RawDataRecovered!$B:$B,$A92,RawDataRecovered!AB:AB)</f>
        <v>0</v>
      </c>
      <c r="Z92">
        <f>SUMIF(RawDataRecovered!$B:$B,$A92,RawDataRecovered!AC:AC)</f>
        <v>0</v>
      </c>
      <c r="AA92">
        <f>SUMIF(RawDataRecovered!$B:$B,$A92,RawDataRecovered!AD:AD)</f>
        <v>0</v>
      </c>
      <c r="AB92">
        <f>SUMIF(RawDataRecovered!$B:$B,$A92,RawDataRecovered!AE:AE)</f>
        <v>0</v>
      </c>
      <c r="AC92">
        <f>SUMIF(RawDataRecovered!$B:$B,$A92,RawDataRecovered!AF:AF)</f>
        <v>0</v>
      </c>
      <c r="AD92">
        <f>SUMIF(RawDataRecovered!$B:$B,$A92,RawDataRecovered!AG:AG)</f>
        <v>0</v>
      </c>
      <c r="AE92">
        <f>SUMIF(RawDataRecovered!$B:$B,$A92,RawDataRecovered!AH:AH)</f>
        <v>0</v>
      </c>
      <c r="AF92">
        <f>SUMIF(RawDataRecovered!$B:$B,$A92,RawDataRecovered!AI:AI)</f>
        <v>0</v>
      </c>
      <c r="AG92">
        <f>SUMIF(RawDataRecovered!$B:$B,$A92,RawDataRecovered!AJ:AJ)</f>
        <v>0</v>
      </c>
      <c r="AH92">
        <f>SUMIF(RawDataRecovered!$B:$B,$A92,RawDataRecovered!AK:AK)</f>
        <v>0</v>
      </c>
      <c r="AI92">
        <f>SUMIF(RawDataRecovered!$B:$B,$A92,RawDataRecovered!AL:AL)</f>
        <v>0</v>
      </c>
      <c r="AJ92">
        <f>SUMIF(RawDataRecovered!$B:$B,$A92,RawDataRecovered!AM:AM)</f>
        <v>0</v>
      </c>
      <c r="AK92">
        <f>SUMIF(RawDataRecovered!$B:$B,$A92,RawDataRecovered!AN:AN)</f>
        <v>0</v>
      </c>
      <c r="AL92">
        <f>SUMIF(RawDataRecovered!$B:$B,$A92,RawDataRecovered!AO:AO)</f>
        <v>0</v>
      </c>
      <c r="AM92">
        <f>SUMIF(RawDataRecovered!$B:$B,$A92,RawDataRecovered!AP:AP)</f>
        <v>0</v>
      </c>
      <c r="AN92">
        <f>SUMIF(RawDataRecovered!$B:$B,$A92,RawDataRecovered!AQ:AQ)</f>
        <v>0</v>
      </c>
      <c r="AO92">
        <f>SUMIF(RawDataRecovered!$B:$B,$A92,RawDataRecovered!AR:AR)</f>
        <v>0</v>
      </c>
      <c r="AP92">
        <f>SUMIF(RawDataRecovered!$B:$B,$A92,RawDataRecovered!AS:AS)</f>
        <v>0</v>
      </c>
      <c r="AQ92">
        <f>SUMIF(RawDataRecovered!$B:$B,$A92,RawDataRecovered!AT:AT)</f>
        <v>0</v>
      </c>
      <c r="AR92">
        <f>SUMIF(RawDataRecovered!$B:$B,$A92,RawDataRecovered!AU:AU)</f>
        <v>0</v>
      </c>
      <c r="AS92">
        <f>SUMIF(RawDataRecovered!$B:$B,$A92,RawDataRecovered!AV:AV)</f>
        <v>0</v>
      </c>
      <c r="AT92">
        <f>SUMIF(RawDataRecovered!$B:$B,$A92,RawDataRecovered!AW:AW)</f>
        <v>0</v>
      </c>
      <c r="AU92">
        <f>SUMIF(RawDataRecovered!$B:$B,$A92,RawDataRecovered!AX:AX)</f>
        <v>0</v>
      </c>
      <c r="AV92">
        <f>SUMIF(RawDataRecovered!$B:$B,$A92,RawDataRecovered!AY:AY)</f>
        <v>0</v>
      </c>
      <c r="AW92">
        <f>SUMIF(RawDataRecovered!$B:$B,$A92,RawDataRecovered!AZ:AZ)</f>
        <v>0</v>
      </c>
      <c r="AX92">
        <f>SUMIF(RawDataRecovered!$B:$B,$A92,RawDataRecovered!BA:BA)</f>
        <v>0</v>
      </c>
      <c r="AY92">
        <f>SUMIF(RawDataRecovered!$B:$B,$A92,RawDataRecovered!BB:BB)</f>
        <v>0</v>
      </c>
      <c r="AZ92">
        <f>SUMIF(RawDataRecovered!$B:$B,$A92,RawDataRecovered!BC:BC)</f>
        <v>0</v>
      </c>
      <c r="BA92">
        <f>SUMIF(RawDataRecovered!$B:$B,$A92,RawDataRecovered!BD:BD)</f>
        <v>0</v>
      </c>
      <c r="BB92">
        <f>SUMIF(RawDataRecovered!$B:$B,$A92,RawDataRecovered!BE:BE)</f>
        <v>0</v>
      </c>
      <c r="BC92">
        <f>SUMIF(RawDataRecovered!$B:$B,$A92,RawDataRecovered!BF:BF)</f>
        <v>0</v>
      </c>
      <c r="BD92">
        <f>SUMIF(RawDataRecovered!$B:$B,$A92,RawDataRecovered!BG:BG)</f>
        <v>0</v>
      </c>
      <c r="BE92">
        <f>SUMIF(RawDataRecovered!$B:$B,$A92,RawDataRecovered!BH:BH)</f>
        <v>0</v>
      </c>
      <c r="BF92">
        <f>SUMIF(RawDataRecovered!$B:$B,$A92,RawDataRecovered!BI:BI)</f>
        <v>0</v>
      </c>
      <c r="BG92">
        <f>SUMIF(RawDataRecovered!$B:$B,$A92,RawDataRecovered!BJ:BJ)</f>
        <v>0</v>
      </c>
      <c r="BH92">
        <f>SUMIF(RawDataRecovered!$B:$B,$A92,RawDataRecovered!BK:BK)</f>
        <v>0</v>
      </c>
      <c r="BI92">
        <f>SUMIF(RawDataRecovered!$B:$B,$A92,RawDataRecovered!BL:BL)</f>
        <v>0</v>
      </c>
      <c r="BJ92">
        <f>SUMIF(RawDataRecovered!$B:$B,$A92,RawDataRecovered!BM:BM)</f>
        <v>0</v>
      </c>
      <c r="BK92">
        <f>SUMIF(RawDataRecovered!$B:$B,$A92,RawDataRecovered!BN:BN)</f>
        <v>0</v>
      </c>
      <c r="BL92">
        <f>SUMIF(RawDataRecovered!$B:$B,$A92,RawDataRecovered!BO:BO)</f>
        <v>0</v>
      </c>
      <c r="BM92">
        <f>SUMIF(RawDataRecovered!$B:$B,$A92,RawDataRecovered!BP:BP)</f>
        <v>0</v>
      </c>
      <c r="BN92">
        <f>SUMIF(RawDataRecovered!$B:$B,$A92,RawDataRecovered!BQ:BQ)</f>
        <v>0</v>
      </c>
      <c r="BO92">
        <f>SUMIF(RawDataRecovered!$B:$B,$A92,RawDataRecovered!BR:BR)</f>
        <v>0</v>
      </c>
      <c r="BP92">
        <f>SUMIF(RawDataRecovered!$B:$B,$A92,RawDataRecovered!BS:BS)</f>
        <v>0</v>
      </c>
      <c r="BQ92">
        <f>SUMIF(RawDataRecovered!$B:$B,$A92,RawDataRecovered!BT:BT)</f>
        <v>0</v>
      </c>
      <c r="BR92">
        <f>SUMIF(RawDataRecovered!$B:$B,$A92,RawDataRecovered!BU:BU)</f>
        <v>0</v>
      </c>
      <c r="BS92">
        <f>SUMIF(RawDataRecovered!$B:$B,$A92,RawDataRecovered!BV:BV)</f>
        <v>0</v>
      </c>
      <c r="BT92">
        <f>SUMIF(RawDataRecovered!$B:$B,$A92,RawDataRecovered!BW:BW)</f>
        <v>0</v>
      </c>
    </row>
    <row r="93" spans="1:72" ht="15" thickBot="1" x14ac:dyDescent="0.35">
      <c r="A93" s="4" t="s">
        <v>203</v>
      </c>
      <c r="B93">
        <f>SUMIF(RawDataRecovered!$B:$B,$A93,RawDataRecovered!E:E)</f>
        <v>0</v>
      </c>
      <c r="C93">
        <f>SUMIF(RawDataRecovered!$B:$B,$A93,RawDataRecovered!F:F)</f>
        <v>0</v>
      </c>
      <c r="D93">
        <f>SUMIF(RawDataRecovered!$B:$B,$A93,RawDataRecovered!G:G)</f>
        <v>0</v>
      </c>
      <c r="E93">
        <f>SUMIF(RawDataRecovered!$B:$B,$A93,RawDataRecovered!H:H)</f>
        <v>0</v>
      </c>
      <c r="F93">
        <f>SUMIF(RawDataRecovered!$B:$B,$A93,RawDataRecovered!I:I)</f>
        <v>0</v>
      </c>
      <c r="G93">
        <f>SUMIF(RawDataRecovered!$B:$B,$A93,RawDataRecovered!J:J)</f>
        <v>0</v>
      </c>
      <c r="H93">
        <f>SUMIF(RawDataRecovered!$B:$B,$A93,RawDataRecovered!K:K)</f>
        <v>0</v>
      </c>
      <c r="I93">
        <f>SUMIF(RawDataRecovered!$B:$B,$A93,RawDataRecovered!L:L)</f>
        <v>0</v>
      </c>
      <c r="J93">
        <f>SUMIF(RawDataRecovered!$B:$B,$A93,RawDataRecovered!M:M)</f>
        <v>0</v>
      </c>
      <c r="K93">
        <f>SUMIF(RawDataRecovered!$B:$B,$A93,RawDataRecovered!N:N)</f>
        <v>0</v>
      </c>
      <c r="L93">
        <f>SUMIF(RawDataRecovered!$B:$B,$A93,RawDataRecovered!O:O)</f>
        <v>0</v>
      </c>
      <c r="M93">
        <f>SUMIF(RawDataRecovered!$B:$B,$A93,RawDataRecovered!P:P)</f>
        <v>0</v>
      </c>
      <c r="N93">
        <f>SUMIF(RawDataRecovered!$B:$B,$A93,RawDataRecovered!Q:Q)</f>
        <v>0</v>
      </c>
      <c r="O93">
        <f>SUMIF(RawDataRecovered!$B:$B,$A93,RawDataRecovered!R:R)</f>
        <v>0</v>
      </c>
      <c r="P93">
        <f>SUMIF(RawDataRecovered!$B:$B,$A93,RawDataRecovered!S:S)</f>
        <v>0</v>
      </c>
      <c r="Q93">
        <f>SUMIF(RawDataRecovered!$B:$B,$A93,RawDataRecovered!T:T)</f>
        <v>0</v>
      </c>
      <c r="R93">
        <f>SUMIF(RawDataRecovered!$B:$B,$A93,RawDataRecovered!U:U)</f>
        <v>0</v>
      </c>
      <c r="S93">
        <f>SUMIF(RawDataRecovered!$B:$B,$A93,RawDataRecovered!V:V)</f>
        <v>0</v>
      </c>
      <c r="T93">
        <f>SUMIF(RawDataRecovered!$B:$B,$A93,RawDataRecovered!W:W)</f>
        <v>0</v>
      </c>
      <c r="U93">
        <f>SUMIF(RawDataRecovered!$B:$B,$A93,RawDataRecovered!X:X)</f>
        <v>0</v>
      </c>
      <c r="V93">
        <f>SUMIF(RawDataRecovered!$B:$B,$A93,RawDataRecovered!Y:Y)</f>
        <v>0</v>
      </c>
      <c r="W93">
        <f>SUMIF(RawDataRecovered!$B:$B,$A93,RawDataRecovered!Z:Z)</f>
        <v>0</v>
      </c>
      <c r="X93">
        <f>SUMIF(RawDataRecovered!$B:$B,$A93,RawDataRecovered!AA:AA)</f>
        <v>0</v>
      </c>
      <c r="Y93">
        <f>SUMIF(RawDataRecovered!$B:$B,$A93,RawDataRecovered!AB:AB)</f>
        <v>0</v>
      </c>
      <c r="Z93">
        <f>SUMIF(RawDataRecovered!$B:$B,$A93,RawDataRecovered!AC:AC)</f>
        <v>0</v>
      </c>
      <c r="AA93">
        <f>SUMIF(RawDataRecovered!$B:$B,$A93,RawDataRecovered!AD:AD)</f>
        <v>0</v>
      </c>
      <c r="AB93">
        <f>SUMIF(RawDataRecovered!$B:$B,$A93,RawDataRecovered!AE:AE)</f>
        <v>0</v>
      </c>
      <c r="AC93">
        <f>SUMIF(RawDataRecovered!$B:$B,$A93,RawDataRecovered!AF:AF)</f>
        <v>0</v>
      </c>
      <c r="AD93">
        <f>SUMIF(RawDataRecovered!$B:$B,$A93,RawDataRecovered!AG:AG)</f>
        <v>0</v>
      </c>
      <c r="AE93">
        <f>SUMIF(RawDataRecovered!$B:$B,$A93,RawDataRecovered!AH:AH)</f>
        <v>0</v>
      </c>
      <c r="AF93">
        <f>SUMIF(RawDataRecovered!$B:$B,$A93,RawDataRecovered!AI:AI)</f>
        <v>0</v>
      </c>
      <c r="AG93">
        <f>SUMIF(RawDataRecovered!$B:$B,$A93,RawDataRecovered!AJ:AJ)</f>
        <v>0</v>
      </c>
      <c r="AH93">
        <f>SUMIF(RawDataRecovered!$B:$B,$A93,RawDataRecovered!AK:AK)</f>
        <v>0</v>
      </c>
      <c r="AI93">
        <f>SUMIF(RawDataRecovered!$B:$B,$A93,RawDataRecovered!AL:AL)</f>
        <v>0</v>
      </c>
      <c r="AJ93">
        <f>SUMIF(RawDataRecovered!$B:$B,$A93,RawDataRecovered!AM:AM)</f>
        <v>0</v>
      </c>
      <c r="AK93">
        <f>SUMIF(RawDataRecovered!$B:$B,$A93,RawDataRecovered!AN:AN)</f>
        <v>0</v>
      </c>
      <c r="AL93">
        <f>SUMIF(RawDataRecovered!$B:$B,$A93,RawDataRecovered!AO:AO)</f>
        <v>0</v>
      </c>
      <c r="AM93">
        <f>SUMIF(RawDataRecovered!$B:$B,$A93,RawDataRecovered!AP:AP)</f>
        <v>0</v>
      </c>
      <c r="AN93">
        <f>SUMIF(RawDataRecovered!$B:$B,$A93,RawDataRecovered!AQ:AQ)</f>
        <v>0</v>
      </c>
      <c r="AO93">
        <f>SUMIF(RawDataRecovered!$B:$B,$A93,RawDataRecovered!AR:AR)</f>
        <v>0</v>
      </c>
      <c r="AP93">
        <f>SUMIF(RawDataRecovered!$B:$B,$A93,RawDataRecovered!AS:AS)</f>
        <v>0</v>
      </c>
      <c r="AQ93">
        <f>SUMIF(RawDataRecovered!$B:$B,$A93,RawDataRecovered!AT:AT)</f>
        <v>0</v>
      </c>
      <c r="AR93">
        <f>SUMIF(RawDataRecovered!$B:$B,$A93,RawDataRecovered!AU:AU)</f>
        <v>0</v>
      </c>
      <c r="AS93">
        <f>SUMIF(RawDataRecovered!$B:$B,$A93,RawDataRecovered!AV:AV)</f>
        <v>0</v>
      </c>
      <c r="AT93">
        <f>SUMIF(RawDataRecovered!$B:$B,$A93,RawDataRecovered!AW:AW)</f>
        <v>0</v>
      </c>
      <c r="AU93">
        <f>SUMIF(RawDataRecovered!$B:$B,$A93,RawDataRecovered!AX:AX)</f>
        <v>0</v>
      </c>
      <c r="AV93">
        <f>SUMIF(RawDataRecovered!$B:$B,$A93,RawDataRecovered!AY:AY)</f>
        <v>0</v>
      </c>
      <c r="AW93">
        <f>SUMIF(RawDataRecovered!$B:$B,$A93,RawDataRecovered!AZ:AZ)</f>
        <v>0</v>
      </c>
      <c r="AX93">
        <f>SUMIF(RawDataRecovered!$B:$B,$A93,RawDataRecovered!BA:BA)</f>
        <v>0</v>
      </c>
      <c r="AY93">
        <f>SUMIF(RawDataRecovered!$B:$B,$A93,RawDataRecovered!BB:BB)</f>
        <v>0</v>
      </c>
      <c r="AZ93">
        <f>SUMIF(RawDataRecovered!$B:$B,$A93,RawDataRecovered!BC:BC)</f>
        <v>0</v>
      </c>
      <c r="BA93">
        <f>SUMIF(RawDataRecovered!$B:$B,$A93,RawDataRecovered!BD:BD)</f>
        <v>0</v>
      </c>
      <c r="BB93">
        <f>SUMIF(RawDataRecovered!$B:$B,$A93,RawDataRecovered!BE:BE)</f>
        <v>0</v>
      </c>
      <c r="BC93">
        <f>SUMIF(RawDataRecovered!$B:$B,$A93,RawDataRecovered!BF:BF)</f>
        <v>0</v>
      </c>
      <c r="BD93">
        <f>SUMIF(RawDataRecovered!$B:$B,$A93,RawDataRecovered!BG:BG)</f>
        <v>0</v>
      </c>
      <c r="BE93">
        <f>SUMIF(RawDataRecovered!$B:$B,$A93,RawDataRecovered!BH:BH)</f>
        <v>0</v>
      </c>
      <c r="BF93">
        <f>SUMIF(RawDataRecovered!$B:$B,$A93,RawDataRecovered!BI:BI)</f>
        <v>0</v>
      </c>
      <c r="BG93">
        <f>SUMIF(RawDataRecovered!$B:$B,$A93,RawDataRecovered!BJ:BJ)</f>
        <v>0</v>
      </c>
      <c r="BH93">
        <f>SUMIF(RawDataRecovered!$B:$B,$A93,RawDataRecovered!BK:BK)</f>
        <v>0</v>
      </c>
      <c r="BI93">
        <f>SUMIF(RawDataRecovered!$B:$B,$A93,RawDataRecovered!BL:BL)</f>
        <v>0</v>
      </c>
      <c r="BJ93">
        <f>SUMIF(RawDataRecovered!$B:$B,$A93,RawDataRecovered!BM:BM)</f>
        <v>0</v>
      </c>
      <c r="BK93">
        <f>SUMIF(RawDataRecovered!$B:$B,$A93,RawDataRecovered!BN:BN)</f>
        <v>0</v>
      </c>
      <c r="BL93">
        <f>SUMIF(RawDataRecovered!$B:$B,$A93,RawDataRecovered!BO:BO)</f>
        <v>0</v>
      </c>
      <c r="BM93">
        <f>SUMIF(RawDataRecovered!$B:$B,$A93,RawDataRecovered!BP:BP)</f>
        <v>0</v>
      </c>
      <c r="BN93">
        <f>SUMIF(RawDataRecovered!$B:$B,$A93,RawDataRecovered!BQ:BQ)</f>
        <v>0</v>
      </c>
      <c r="BO93">
        <f>SUMIF(RawDataRecovered!$B:$B,$A93,RawDataRecovered!BR:BR)</f>
        <v>0</v>
      </c>
      <c r="BP93">
        <f>SUMIF(RawDataRecovered!$B:$B,$A93,RawDataRecovered!BS:BS)</f>
        <v>0</v>
      </c>
      <c r="BQ93">
        <f>SUMIF(RawDataRecovered!$B:$B,$A93,RawDataRecovered!BT:BT)</f>
        <v>0</v>
      </c>
      <c r="BR93">
        <f>SUMIF(RawDataRecovered!$B:$B,$A93,RawDataRecovered!BU:BU)</f>
        <v>0</v>
      </c>
      <c r="BS93">
        <f>SUMIF(RawDataRecovered!$B:$B,$A93,RawDataRecovered!BV:BV)</f>
        <v>0</v>
      </c>
      <c r="BT93">
        <f>SUMIF(RawDataRecovered!$B:$B,$A93,RawDataRecovered!BW:BW)</f>
        <v>0</v>
      </c>
    </row>
    <row r="94" spans="1:72" ht="15" thickBot="1" x14ac:dyDescent="0.35">
      <c r="A94" s="3" t="s">
        <v>122</v>
      </c>
      <c r="B94">
        <f>SUMIF(RawDataRecovered!$B:$B,$A94,RawDataRecovered!E:E)</f>
        <v>0</v>
      </c>
      <c r="C94">
        <f>SUMIF(RawDataRecovered!$B:$B,$A94,RawDataRecovered!F:F)</f>
        <v>0</v>
      </c>
      <c r="D94">
        <f>SUMIF(RawDataRecovered!$B:$B,$A94,RawDataRecovered!G:G)</f>
        <v>0</v>
      </c>
      <c r="E94">
        <f>SUMIF(RawDataRecovered!$B:$B,$A94,RawDataRecovered!H:H)</f>
        <v>0</v>
      </c>
      <c r="F94">
        <f>SUMIF(RawDataRecovered!$B:$B,$A94,RawDataRecovered!I:I)</f>
        <v>0</v>
      </c>
      <c r="G94">
        <f>SUMIF(RawDataRecovered!$B:$B,$A94,RawDataRecovered!J:J)</f>
        <v>0</v>
      </c>
      <c r="H94">
        <f>SUMIF(RawDataRecovered!$B:$B,$A94,RawDataRecovered!K:K)</f>
        <v>0</v>
      </c>
      <c r="I94">
        <f>SUMIF(RawDataRecovered!$B:$B,$A94,RawDataRecovered!L:L)</f>
        <v>0</v>
      </c>
      <c r="J94">
        <f>SUMIF(RawDataRecovered!$B:$B,$A94,RawDataRecovered!M:M)</f>
        <v>0</v>
      </c>
      <c r="K94">
        <f>SUMIF(RawDataRecovered!$B:$B,$A94,RawDataRecovered!N:N)</f>
        <v>0</v>
      </c>
      <c r="L94">
        <f>SUMIF(RawDataRecovered!$B:$B,$A94,RawDataRecovered!O:O)</f>
        <v>0</v>
      </c>
      <c r="M94">
        <f>SUMIF(RawDataRecovered!$B:$B,$A94,RawDataRecovered!P:P)</f>
        <v>0</v>
      </c>
      <c r="N94">
        <f>SUMIF(RawDataRecovered!$B:$B,$A94,RawDataRecovered!Q:Q)</f>
        <v>0</v>
      </c>
      <c r="O94">
        <f>SUMIF(RawDataRecovered!$B:$B,$A94,RawDataRecovered!R:R)</f>
        <v>0</v>
      </c>
      <c r="P94">
        <f>SUMIF(RawDataRecovered!$B:$B,$A94,RawDataRecovered!S:S)</f>
        <v>0</v>
      </c>
      <c r="Q94">
        <f>SUMIF(RawDataRecovered!$B:$B,$A94,RawDataRecovered!T:T)</f>
        <v>0</v>
      </c>
      <c r="R94">
        <f>SUMIF(RawDataRecovered!$B:$B,$A94,RawDataRecovered!U:U)</f>
        <v>0</v>
      </c>
      <c r="S94">
        <f>SUMIF(RawDataRecovered!$B:$B,$A94,RawDataRecovered!V:V)</f>
        <v>0</v>
      </c>
      <c r="T94">
        <f>SUMIF(RawDataRecovered!$B:$B,$A94,RawDataRecovered!W:W)</f>
        <v>0</v>
      </c>
      <c r="U94">
        <f>SUMIF(RawDataRecovered!$B:$B,$A94,RawDataRecovered!X:X)</f>
        <v>0</v>
      </c>
      <c r="V94">
        <f>SUMIF(RawDataRecovered!$B:$B,$A94,RawDataRecovered!Y:Y)</f>
        <v>0</v>
      </c>
      <c r="W94">
        <f>SUMIF(RawDataRecovered!$B:$B,$A94,RawDataRecovered!Z:Z)</f>
        <v>0</v>
      </c>
      <c r="X94">
        <f>SUMIF(RawDataRecovered!$B:$B,$A94,RawDataRecovered!AA:AA)</f>
        <v>0</v>
      </c>
      <c r="Y94">
        <f>SUMIF(RawDataRecovered!$B:$B,$A94,RawDataRecovered!AB:AB)</f>
        <v>0</v>
      </c>
      <c r="Z94">
        <f>SUMIF(RawDataRecovered!$B:$B,$A94,RawDataRecovered!AC:AC)</f>
        <v>0</v>
      </c>
      <c r="AA94">
        <f>SUMIF(RawDataRecovered!$B:$B,$A94,RawDataRecovered!AD:AD)</f>
        <v>0</v>
      </c>
      <c r="AB94">
        <f>SUMIF(RawDataRecovered!$B:$B,$A94,RawDataRecovered!AE:AE)</f>
        <v>0</v>
      </c>
      <c r="AC94">
        <f>SUMIF(RawDataRecovered!$B:$B,$A94,RawDataRecovered!AF:AF)</f>
        <v>0</v>
      </c>
      <c r="AD94">
        <f>SUMIF(RawDataRecovered!$B:$B,$A94,RawDataRecovered!AG:AG)</f>
        <v>0</v>
      </c>
      <c r="AE94">
        <f>SUMIF(RawDataRecovered!$B:$B,$A94,RawDataRecovered!AH:AH)</f>
        <v>0</v>
      </c>
      <c r="AF94">
        <f>SUMIF(RawDataRecovered!$B:$B,$A94,RawDataRecovered!AI:AI)</f>
        <v>0</v>
      </c>
      <c r="AG94">
        <f>SUMIF(RawDataRecovered!$B:$B,$A94,RawDataRecovered!AJ:AJ)</f>
        <v>0</v>
      </c>
      <c r="AH94">
        <f>SUMIF(RawDataRecovered!$B:$B,$A94,RawDataRecovered!AK:AK)</f>
        <v>0</v>
      </c>
      <c r="AI94">
        <f>SUMIF(RawDataRecovered!$B:$B,$A94,RawDataRecovered!AL:AL)</f>
        <v>0</v>
      </c>
      <c r="AJ94">
        <f>SUMIF(RawDataRecovered!$B:$B,$A94,RawDataRecovered!AM:AM)</f>
        <v>0</v>
      </c>
      <c r="AK94">
        <f>SUMIF(RawDataRecovered!$B:$B,$A94,RawDataRecovered!AN:AN)</f>
        <v>0</v>
      </c>
      <c r="AL94">
        <f>SUMIF(RawDataRecovered!$B:$B,$A94,RawDataRecovered!AO:AO)</f>
        <v>0</v>
      </c>
      <c r="AM94">
        <f>SUMIF(RawDataRecovered!$B:$B,$A94,RawDataRecovered!AP:AP)</f>
        <v>0</v>
      </c>
      <c r="AN94">
        <f>SUMIF(RawDataRecovered!$B:$B,$A94,RawDataRecovered!AQ:AQ)</f>
        <v>0</v>
      </c>
      <c r="AO94">
        <f>SUMIF(RawDataRecovered!$B:$B,$A94,RawDataRecovered!AR:AR)</f>
        <v>0</v>
      </c>
      <c r="AP94">
        <f>SUMIF(RawDataRecovered!$B:$B,$A94,RawDataRecovered!AS:AS)</f>
        <v>0</v>
      </c>
      <c r="AQ94">
        <f>SUMIF(RawDataRecovered!$B:$B,$A94,RawDataRecovered!AT:AT)</f>
        <v>0</v>
      </c>
      <c r="AR94">
        <f>SUMIF(RawDataRecovered!$B:$B,$A94,RawDataRecovered!AU:AU)</f>
        <v>0</v>
      </c>
      <c r="AS94">
        <f>SUMIF(RawDataRecovered!$B:$B,$A94,RawDataRecovered!AV:AV)</f>
        <v>0</v>
      </c>
      <c r="AT94">
        <f>SUMIF(RawDataRecovered!$B:$B,$A94,RawDataRecovered!AW:AW)</f>
        <v>0</v>
      </c>
      <c r="AU94">
        <f>SUMIF(RawDataRecovered!$B:$B,$A94,RawDataRecovered!AX:AX)</f>
        <v>0</v>
      </c>
      <c r="AV94">
        <f>SUMIF(RawDataRecovered!$B:$B,$A94,RawDataRecovered!AY:AY)</f>
        <v>0</v>
      </c>
      <c r="AW94">
        <f>SUMIF(RawDataRecovered!$B:$B,$A94,RawDataRecovered!AZ:AZ)</f>
        <v>0</v>
      </c>
      <c r="AX94">
        <f>SUMIF(RawDataRecovered!$B:$B,$A94,RawDataRecovered!BA:BA)</f>
        <v>0</v>
      </c>
      <c r="AY94">
        <f>SUMIF(RawDataRecovered!$B:$B,$A94,RawDataRecovered!BB:BB)</f>
        <v>0</v>
      </c>
      <c r="AZ94">
        <f>SUMIF(RawDataRecovered!$B:$B,$A94,RawDataRecovered!BC:BC)</f>
        <v>0</v>
      </c>
      <c r="BA94">
        <f>SUMIF(RawDataRecovered!$B:$B,$A94,RawDataRecovered!BD:BD)</f>
        <v>0</v>
      </c>
      <c r="BB94">
        <f>SUMIF(RawDataRecovered!$B:$B,$A94,RawDataRecovered!BE:BE)</f>
        <v>0</v>
      </c>
      <c r="BC94">
        <f>SUMIF(RawDataRecovered!$B:$B,$A94,RawDataRecovered!BF:BF)</f>
        <v>0</v>
      </c>
      <c r="BD94">
        <f>SUMIF(RawDataRecovered!$B:$B,$A94,RawDataRecovered!BG:BG)</f>
        <v>0</v>
      </c>
      <c r="BE94">
        <f>SUMIF(RawDataRecovered!$B:$B,$A94,RawDataRecovered!BH:BH)</f>
        <v>0</v>
      </c>
      <c r="BF94">
        <f>SUMIF(RawDataRecovered!$B:$B,$A94,RawDataRecovered!BI:BI)</f>
        <v>0</v>
      </c>
      <c r="BG94">
        <f>SUMIF(RawDataRecovered!$B:$B,$A94,RawDataRecovered!BJ:BJ)</f>
        <v>0</v>
      </c>
      <c r="BH94">
        <f>SUMIF(RawDataRecovered!$B:$B,$A94,RawDataRecovered!BK:BK)</f>
        <v>0</v>
      </c>
      <c r="BI94">
        <f>SUMIF(RawDataRecovered!$B:$B,$A94,RawDataRecovered!BL:BL)</f>
        <v>0</v>
      </c>
      <c r="BJ94">
        <f>SUMIF(RawDataRecovered!$B:$B,$A94,RawDataRecovered!BM:BM)</f>
        <v>0</v>
      </c>
      <c r="BK94">
        <f>SUMIF(RawDataRecovered!$B:$B,$A94,RawDataRecovered!BN:BN)</f>
        <v>0</v>
      </c>
      <c r="BL94">
        <f>SUMIF(RawDataRecovered!$B:$B,$A94,RawDataRecovered!BO:BO)</f>
        <v>0</v>
      </c>
      <c r="BM94">
        <f>SUMIF(RawDataRecovered!$B:$B,$A94,RawDataRecovered!BP:BP)</f>
        <v>0</v>
      </c>
      <c r="BN94">
        <f>SUMIF(RawDataRecovered!$B:$B,$A94,RawDataRecovered!BQ:BQ)</f>
        <v>0</v>
      </c>
      <c r="BO94">
        <f>SUMIF(RawDataRecovered!$B:$B,$A94,RawDataRecovered!BR:BR)</f>
        <v>0</v>
      </c>
      <c r="BP94">
        <f>SUMIF(RawDataRecovered!$B:$B,$A94,RawDataRecovered!BS:BS)</f>
        <v>0</v>
      </c>
      <c r="BQ94">
        <f>SUMIF(RawDataRecovered!$B:$B,$A94,RawDataRecovered!BT:BT)</f>
        <v>0</v>
      </c>
      <c r="BR94">
        <f>SUMIF(RawDataRecovered!$B:$B,$A94,RawDataRecovered!BU:BU)</f>
        <v>0</v>
      </c>
      <c r="BS94">
        <f>SUMIF(RawDataRecovered!$B:$B,$A94,RawDataRecovered!BV:BV)</f>
        <v>0</v>
      </c>
      <c r="BT94">
        <f>SUMIF(RawDataRecovered!$B:$B,$A94,RawDataRecovered!BW:BW)</f>
        <v>0</v>
      </c>
    </row>
    <row r="95" spans="1:72" ht="15" thickBot="1" x14ac:dyDescent="0.35">
      <c r="A95" s="4" t="s">
        <v>382</v>
      </c>
      <c r="B95">
        <f>SUMIF(RawDataRecovered!$B:$B,$A95,RawDataRecovered!E:E)</f>
        <v>0</v>
      </c>
      <c r="C95">
        <f>SUMIF(RawDataRecovered!$B:$B,$A95,RawDataRecovered!F:F)</f>
        <v>0</v>
      </c>
      <c r="D95">
        <f>SUMIF(RawDataRecovered!$B:$B,$A95,RawDataRecovered!G:G)</f>
        <v>0</v>
      </c>
      <c r="E95">
        <f>SUMIF(RawDataRecovered!$B:$B,$A95,RawDataRecovered!H:H)</f>
        <v>0</v>
      </c>
      <c r="F95">
        <f>SUMIF(RawDataRecovered!$B:$B,$A95,RawDataRecovered!I:I)</f>
        <v>0</v>
      </c>
      <c r="G95">
        <f>SUMIF(RawDataRecovered!$B:$B,$A95,RawDataRecovered!J:J)</f>
        <v>0</v>
      </c>
      <c r="H95">
        <f>SUMIF(RawDataRecovered!$B:$B,$A95,RawDataRecovered!K:K)</f>
        <v>0</v>
      </c>
      <c r="I95">
        <f>SUMIF(RawDataRecovered!$B:$B,$A95,RawDataRecovered!L:L)</f>
        <v>0</v>
      </c>
      <c r="J95">
        <f>SUMIF(RawDataRecovered!$B:$B,$A95,RawDataRecovered!M:M)</f>
        <v>0</v>
      </c>
      <c r="K95">
        <f>SUMIF(RawDataRecovered!$B:$B,$A95,RawDataRecovered!N:N)</f>
        <v>0</v>
      </c>
      <c r="L95">
        <f>SUMIF(RawDataRecovered!$B:$B,$A95,RawDataRecovered!O:O)</f>
        <v>0</v>
      </c>
      <c r="M95">
        <f>SUMIF(RawDataRecovered!$B:$B,$A95,RawDataRecovered!P:P)</f>
        <v>0</v>
      </c>
      <c r="N95">
        <f>SUMIF(RawDataRecovered!$B:$B,$A95,RawDataRecovered!Q:Q)</f>
        <v>0</v>
      </c>
      <c r="O95">
        <f>SUMIF(RawDataRecovered!$B:$B,$A95,RawDataRecovered!R:R)</f>
        <v>0</v>
      </c>
      <c r="P95">
        <f>SUMIF(RawDataRecovered!$B:$B,$A95,RawDataRecovered!S:S)</f>
        <v>0</v>
      </c>
      <c r="Q95">
        <f>SUMIF(RawDataRecovered!$B:$B,$A95,RawDataRecovered!T:T)</f>
        <v>0</v>
      </c>
      <c r="R95">
        <f>SUMIF(RawDataRecovered!$B:$B,$A95,RawDataRecovered!U:U)</f>
        <v>0</v>
      </c>
      <c r="S95">
        <f>SUMIF(RawDataRecovered!$B:$B,$A95,RawDataRecovered!V:V)</f>
        <v>0</v>
      </c>
      <c r="T95">
        <f>SUMIF(RawDataRecovered!$B:$B,$A95,RawDataRecovered!W:W)</f>
        <v>0</v>
      </c>
      <c r="U95">
        <f>SUMIF(RawDataRecovered!$B:$B,$A95,RawDataRecovered!X:X)</f>
        <v>0</v>
      </c>
      <c r="V95">
        <f>SUMIF(RawDataRecovered!$B:$B,$A95,RawDataRecovered!Y:Y)</f>
        <v>0</v>
      </c>
      <c r="W95">
        <f>SUMIF(RawDataRecovered!$B:$B,$A95,RawDataRecovered!Z:Z)</f>
        <v>0</v>
      </c>
      <c r="X95">
        <f>SUMIF(RawDataRecovered!$B:$B,$A95,RawDataRecovered!AA:AA)</f>
        <v>0</v>
      </c>
      <c r="Y95">
        <f>SUMIF(RawDataRecovered!$B:$B,$A95,RawDataRecovered!AB:AB)</f>
        <v>0</v>
      </c>
      <c r="Z95">
        <f>SUMIF(RawDataRecovered!$B:$B,$A95,RawDataRecovered!AC:AC)</f>
        <v>0</v>
      </c>
      <c r="AA95">
        <f>SUMIF(RawDataRecovered!$B:$B,$A95,RawDataRecovered!AD:AD)</f>
        <v>0</v>
      </c>
      <c r="AB95">
        <f>SUMIF(RawDataRecovered!$B:$B,$A95,RawDataRecovered!AE:AE)</f>
        <v>0</v>
      </c>
      <c r="AC95">
        <f>SUMIF(RawDataRecovered!$B:$B,$A95,RawDataRecovered!AF:AF)</f>
        <v>0</v>
      </c>
      <c r="AD95">
        <f>SUMIF(RawDataRecovered!$B:$B,$A95,RawDataRecovered!AG:AG)</f>
        <v>0</v>
      </c>
      <c r="AE95">
        <f>SUMIF(RawDataRecovered!$B:$B,$A95,RawDataRecovered!AH:AH)</f>
        <v>0</v>
      </c>
      <c r="AF95">
        <f>SUMIF(RawDataRecovered!$B:$B,$A95,RawDataRecovered!AI:AI)</f>
        <v>0</v>
      </c>
      <c r="AG95">
        <f>SUMIF(RawDataRecovered!$B:$B,$A95,RawDataRecovered!AJ:AJ)</f>
        <v>0</v>
      </c>
      <c r="AH95">
        <f>SUMIF(RawDataRecovered!$B:$B,$A95,RawDataRecovered!AK:AK)</f>
        <v>0</v>
      </c>
      <c r="AI95">
        <f>SUMIF(RawDataRecovered!$B:$B,$A95,RawDataRecovered!AL:AL)</f>
        <v>0</v>
      </c>
      <c r="AJ95">
        <f>SUMIF(RawDataRecovered!$B:$B,$A95,RawDataRecovered!AM:AM)</f>
        <v>0</v>
      </c>
      <c r="AK95">
        <f>SUMIF(RawDataRecovered!$B:$B,$A95,RawDataRecovered!AN:AN)</f>
        <v>0</v>
      </c>
      <c r="AL95">
        <f>SUMIF(RawDataRecovered!$B:$B,$A95,RawDataRecovered!AO:AO)</f>
        <v>0</v>
      </c>
      <c r="AM95">
        <f>SUMIF(RawDataRecovered!$B:$B,$A95,RawDataRecovered!AP:AP)</f>
        <v>0</v>
      </c>
      <c r="AN95">
        <f>SUMIF(RawDataRecovered!$B:$B,$A95,RawDataRecovered!AQ:AQ)</f>
        <v>0</v>
      </c>
      <c r="AO95">
        <f>SUMIF(RawDataRecovered!$B:$B,$A95,RawDataRecovered!AR:AR)</f>
        <v>0</v>
      </c>
      <c r="AP95">
        <f>SUMIF(RawDataRecovered!$B:$B,$A95,RawDataRecovered!AS:AS)</f>
        <v>0</v>
      </c>
      <c r="AQ95">
        <f>SUMIF(RawDataRecovered!$B:$B,$A95,RawDataRecovered!AT:AT)</f>
        <v>0</v>
      </c>
      <c r="AR95">
        <f>SUMIF(RawDataRecovered!$B:$B,$A95,RawDataRecovered!AU:AU)</f>
        <v>0</v>
      </c>
      <c r="AS95">
        <f>SUMIF(RawDataRecovered!$B:$B,$A95,RawDataRecovered!AV:AV)</f>
        <v>0</v>
      </c>
      <c r="AT95">
        <f>SUMIF(RawDataRecovered!$B:$B,$A95,RawDataRecovered!AW:AW)</f>
        <v>0</v>
      </c>
      <c r="AU95">
        <f>SUMIF(RawDataRecovered!$B:$B,$A95,RawDataRecovered!AX:AX)</f>
        <v>0</v>
      </c>
      <c r="AV95">
        <f>SUMIF(RawDataRecovered!$B:$B,$A95,RawDataRecovered!AY:AY)</f>
        <v>0</v>
      </c>
      <c r="AW95">
        <f>SUMIF(RawDataRecovered!$B:$B,$A95,RawDataRecovered!AZ:AZ)</f>
        <v>0</v>
      </c>
      <c r="AX95">
        <f>SUMIF(RawDataRecovered!$B:$B,$A95,RawDataRecovered!BA:BA)</f>
        <v>0</v>
      </c>
      <c r="AY95">
        <f>SUMIF(RawDataRecovered!$B:$B,$A95,RawDataRecovered!BB:BB)</f>
        <v>0</v>
      </c>
      <c r="AZ95">
        <f>SUMIF(RawDataRecovered!$B:$B,$A95,RawDataRecovered!BC:BC)</f>
        <v>0</v>
      </c>
      <c r="BA95">
        <f>SUMIF(RawDataRecovered!$B:$B,$A95,RawDataRecovered!BD:BD)</f>
        <v>0</v>
      </c>
      <c r="BB95">
        <f>SUMIF(RawDataRecovered!$B:$B,$A95,RawDataRecovered!BE:BE)</f>
        <v>0</v>
      </c>
      <c r="BC95">
        <f>SUMIF(RawDataRecovered!$B:$B,$A95,RawDataRecovered!BF:BF)</f>
        <v>0</v>
      </c>
      <c r="BD95">
        <f>SUMIF(RawDataRecovered!$B:$B,$A95,RawDataRecovered!BG:BG)</f>
        <v>0</v>
      </c>
      <c r="BE95">
        <f>SUMIF(RawDataRecovered!$B:$B,$A95,RawDataRecovered!BH:BH)</f>
        <v>0</v>
      </c>
      <c r="BF95">
        <f>SUMIF(RawDataRecovered!$B:$B,$A95,RawDataRecovered!BI:BI)</f>
        <v>0</v>
      </c>
      <c r="BG95">
        <f>SUMIF(RawDataRecovered!$B:$B,$A95,RawDataRecovered!BJ:BJ)</f>
        <v>0</v>
      </c>
      <c r="BH95">
        <f>SUMIF(RawDataRecovered!$B:$B,$A95,RawDataRecovered!BK:BK)</f>
        <v>0</v>
      </c>
      <c r="BI95">
        <f>SUMIF(RawDataRecovered!$B:$B,$A95,RawDataRecovered!BL:BL)</f>
        <v>0</v>
      </c>
      <c r="BJ95">
        <f>SUMIF(RawDataRecovered!$B:$B,$A95,RawDataRecovered!BM:BM)</f>
        <v>0</v>
      </c>
      <c r="BK95">
        <f>SUMIF(RawDataRecovered!$B:$B,$A95,RawDataRecovered!BN:BN)</f>
        <v>0</v>
      </c>
      <c r="BL95">
        <f>SUMIF(RawDataRecovered!$B:$B,$A95,RawDataRecovered!BO:BO)</f>
        <v>0</v>
      </c>
      <c r="BM95">
        <f>SUMIF(RawDataRecovered!$B:$B,$A95,RawDataRecovered!BP:BP)</f>
        <v>0</v>
      </c>
      <c r="BN95">
        <f>SUMIF(RawDataRecovered!$B:$B,$A95,RawDataRecovered!BQ:BQ)</f>
        <v>0</v>
      </c>
      <c r="BO95">
        <f>SUMIF(RawDataRecovered!$B:$B,$A95,RawDataRecovered!BR:BR)</f>
        <v>0</v>
      </c>
      <c r="BP95">
        <f>SUMIF(RawDataRecovered!$B:$B,$A95,RawDataRecovered!BS:BS)</f>
        <v>0</v>
      </c>
      <c r="BQ95">
        <f>SUMIF(RawDataRecovered!$B:$B,$A95,RawDataRecovered!BT:BT)</f>
        <v>0</v>
      </c>
      <c r="BR95">
        <f>SUMIF(RawDataRecovered!$B:$B,$A95,RawDataRecovered!BU:BU)</f>
        <v>0</v>
      </c>
      <c r="BS95">
        <f>SUMIF(RawDataRecovered!$B:$B,$A95,RawDataRecovered!BV:BV)</f>
        <v>0</v>
      </c>
      <c r="BT95">
        <f>SUMIF(RawDataRecovered!$B:$B,$A95,RawDataRecovered!BW:BW)</f>
        <v>0</v>
      </c>
    </row>
    <row r="96" spans="1:72" ht="15" thickBot="1" x14ac:dyDescent="0.35">
      <c r="A96" s="3" t="s">
        <v>383</v>
      </c>
      <c r="B96">
        <f>SUMIF(RawDataRecovered!$B:$B,$A96,RawDataRecovered!E:E)</f>
        <v>0</v>
      </c>
      <c r="C96">
        <f>SUMIF(RawDataRecovered!$B:$B,$A96,RawDataRecovered!F:F)</f>
        <v>0</v>
      </c>
      <c r="D96">
        <f>SUMIF(RawDataRecovered!$B:$B,$A96,RawDataRecovered!G:G)</f>
        <v>0</v>
      </c>
      <c r="E96">
        <f>SUMIF(RawDataRecovered!$B:$B,$A96,RawDataRecovered!H:H)</f>
        <v>0</v>
      </c>
      <c r="F96">
        <f>SUMIF(RawDataRecovered!$B:$B,$A96,RawDataRecovered!I:I)</f>
        <v>0</v>
      </c>
      <c r="G96">
        <f>SUMIF(RawDataRecovered!$B:$B,$A96,RawDataRecovered!J:J)</f>
        <v>0</v>
      </c>
      <c r="H96">
        <f>SUMIF(RawDataRecovered!$B:$B,$A96,RawDataRecovered!K:K)</f>
        <v>0</v>
      </c>
      <c r="I96">
        <f>SUMIF(RawDataRecovered!$B:$B,$A96,RawDataRecovered!L:L)</f>
        <v>0</v>
      </c>
      <c r="J96">
        <f>SUMIF(RawDataRecovered!$B:$B,$A96,RawDataRecovered!M:M)</f>
        <v>0</v>
      </c>
      <c r="K96">
        <f>SUMIF(RawDataRecovered!$B:$B,$A96,RawDataRecovered!N:N)</f>
        <v>0</v>
      </c>
      <c r="L96">
        <f>SUMIF(RawDataRecovered!$B:$B,$A96,RawDataRecovered!O:O)</f>
        <v>0</v>
      </c>
      <c r="M96">
        <f>SUMIF(RawDataRecovered!$B:$B,$A96,RawDataRecovered!P:P)</f>
        <v>0</v>
      </c>
      <c r="N96">
        <f>SUMIF(RawDataRecovered!$B:$B,$A96,RawDataRecovered!Q:Q)</f>
        <v>0</v>
      </c>
      <c r="O96">
        <f>SUMIF(RawDataRecovered!$B:$B,$A96,RawDataRecovered!R:R)</f>
        <v>0</v>
      </c>
      <c r="P96">
        <f>SUMIF(RawDataRecovered!$B:$B,$A96,RawDataRecovered!S:S)</f>
        <v>0</v>
      </c>
      <c r="Q96">
        <f>SUMIF(RawDataRecovered!$B:$B,$A96,RawDataRecovered!T:T)</f>
        <v>0</v>
      </c>
      <c r="R96">
        <f>SUMIF(RawDataRecovered!$B:$B,$A96,RawDataRecovered!U:U)</f>
        <v>0</v>
      </c>
      <c r="S96">
        <f>SUMIF(RawDataRecovered!$B:$B,$A96,RawDataRecovered!V:V)</f>
        <v>0</v>
      </c>
      <c r="T96">
        <f>SUMIF(RawDataRecovered!$B:$B,$A96,RawDataRecovered!W:W)</f>
        <v>0</v>
      </c>
      <c r="U96">
        <f>SUMIF(RawDataRecovered!$B:$B,$A96,RawDataRecovered!X:X)</f>
        <v>0</v>
      </c>
      <c r="V96">
        <f>SUMIF(RawDataRecovered!$B:$B,$A96,RawDataRecovered!Y:Y)</f>
        <v>0</v>
      </c>
      <c r="W96">
        <f>SUMIF(RawDataRecovered!$B:$B,$A96,RawDataRecovered!Z:Z)</f>
        <v>0</v>
      </c>
      <c r="X96">
        <f>SUMIF(RawDataRecovered!$B:$B,$A96,RawDataRecovered!AA:AA)</f>
        <v>0</v>
      </c>
      <c r="Y96">
        <f>SUMIF(RawDataRecovered!$B:$B,$A96,RawDataRecovered!AB:AB)</f>
        <v>0</v>
      </c>
      <c r="Z96">
        <f>SUMIF(RawDataRecovered!$B:$B,$A96,RawDataRecovered!AC:AC)</f>
        <v>0</v>
      </c>
      <c r="AA96">
        <f>SUMIF(RawDataRecovered!$B:$B,$A96,RawDataRecovered!AD:AD)</f>
        <v>0</v>
      </c>
      <c r="AB96">
        <f>SUMIF(RawDataRecovered!$B:$B,$A96,RawDataRecovered!AE:AE)</f>
        <v>0</v>
      </c>
      <c r="AC96">
        <f>SUMIF(RawDataRecovered!$B:$B,$A96,RawDataRecovered!AF:AF)</f>
        <v>0</v>
      </c>
      <c r="AD96">
        <f>SUMIF(RawDataRecovered!$B:$B,$A96,RawDataRecovered!AG:AG)</f>
        <v>0</v>
      </c>
      <c r="AE96">
        <f>SUMIF(RawDataRecovered!$B:$B,$A96,RawDataRecovered!AH:AH)</f>
        <v>0</v>
      </c>
      <c r="AF96">
        <f>SUMIF(RawDataRecovered!$B:$B,$A96,RawDataRecovered!AI:AI)</f>
        <v>0</v>
      </c>
      <c r="AG96">
        <f>SUMIF(RawDataRecovered!$B:$B,$A96,RawDataRecovered!AJ:AJ)</f>
        <v>0</v>
      </c>
      <c r="AH96">
        <f>SUMIF(RawDataRecovered!$B:$B,$A96,RawDataRecovered!AK:AK)</f>
        <v>0</v>
      </c>
      <c r="AI96">
        <f>SUMIF(RawDataRecovered!$B:$B,$A96,RawDataRecovered!AL:AL)</f>
        <v>0</v>
      </c>
      <c r="AJ96">
        <f>SUMIF(RawDataRecovered!$B:$B,$A96,RawDataRecovered!AM:AM)</f>
        <v>0</v>
      </c>
      <c r="AK96">
        <f>SUMIF(RawDataRecovered!$B:$B,$A96,RawDataRecovered!AN:AN)</f>
        <v>0</v>
      </c>
      <c r="AL96">
        <f>SUMIF(RawDataRecovered!$B:$B,$A96,RawDataRecovered!AO:AO)</f>
        <v>0</v>
      </c>
      <c r="AM96">
        <f>SUMIF(RawDataRecovered!$B:$B,$A96,RawDataRecovered!AP:AP)</f>
        <v>0</v>
      </c>
      <c r="AN96">
        <f>SUMIF(RawDataRecovered!$B:$B,$A96,RawDataRecovered!AQ:AQ)</f>
        <v>0</v>
      </c>
      <c r="AO96">
        <f>SUMIF(RawDataRecovered!$B:$B,$A96,RawDataRecovered!AR:AR)</f>
        <v>0</v>
      </c>
      <c r="AP96">
        <f>SUMIF(RawDataRecovered!$B:$B,$A96,RawDataRecovered!AS:AS)</f>
        <v>0</v>
      </c>
      <c r="AQ96">
        <f>SUMIF(RawDataRecovered!$B:$B,$A96,RawDataRecovered!AT:AT)</f>
        <v>0</v>
      </c>
      <c r="AR96">
        <f>SUMIF(RawDataRecovered!$B:$B,$A96,RawDataRecovered!AU:AU)</f>
        <v>0</v>
      </c>
      <c r="AS96">
        <f>SUMIF(RawDataRecovered!$B:$B,$A96,RawDataRecovered!AV:AV)</f>
        <v>0</v>
      </c>
      <c r="AT96">
        <f>SUMIF(RawDataRecovered!$B:$B,$A96,RawDataRecovered!AW:AW)</f>
        <v>0</v>
      </c>
      <c r="AU96">
        <f>SUMIF(RawDataRecovered!$B:$B,$A96,RawDataRecovered!AX:AX)</f>
        <v>0</v>
      </c>
      <c r="AV96">
        <f>SUMIF(RawDataRecovered!$B:$B,$A96,RawDataRecovered!AY:AY)</f>
        <v>0</v>
      </c>
      <c r="AW96">
        <f>SUMIF(RawDataRecovered!$B:$B,$A96,RawDataRecovered!AZ:AZ)</f>
        <v>0</v>
      </c>
      <c r="AX96">
        <f>SUMIF(RawDataRecovered!$B:$B,$A96,RawDataRecovered!BA:BA)</f>
        <v>0</v>
      </c>
      <c r="AY96">
        <f>SUMIF(RawDataRecovered!$B:$B,$A96,RawDataRecovered!BB:BB)</f>
        <v>0</v>
      </c>
      <c r="AZ96">
        <f>SUMIF(RawDataRecovered!$B:$B,$A96,RawDataRecovered!BC:BC)</f>
        <v>0</v>
      </c>
      <c r="BA96">
        <f>SUMIF(RawDataRecovered!$B:$B,$A96,RawDataRecovered!BD:BD)</f>
        <v>0</v>
      </c>
      <c r="BB96">
        <f>SUMIF(RawDataRecovered!$B:$B,$A96,RawDataRecovered!BE:BE)</f>
        <v>0</v>
      </c>
      <c r="BC96">
        <f>SUMIF(RawDataRecovered!$B:$B,$A96,RawDataRecovered!BF:BF)</f>
        <v>0</v>
      </c>
      <c r="BD96">
        <f>SUMIF(RawDataRecovered!$B:$B,$A96,RawDataRecovered!BG:BG)</f>
        <v>0</v>
      </c>
      <c r="BE96">
        <f>SUMIF(RawDataRecovered!$B:$B,$A96,RawDataRecovered!BH:BH)</f>
        <v>0</v>
      </c>
      <c r="BF96">
        <f>SUMIF(RawDataRecovered!$B:$B,$A96,RawDataRecovered!BI:BI)</f>
        <v>0</v>
      </c>
      <c r="BG96">
        <f>SUMIF(RawDataRecovered!$B:$B,$A96,RawDataRecovered!BJ:BJ)</f>
        <v>0</v>
      </c>
      <c r="BH96">
        <f>SUMIF(RawDataRecovered!$B:$B,$A96,RawDataRecovered!BK:BK)</f>
        <v>0</v>
      </c>
      <c r="BI96">
        <f>SUMIF(RawDataRecovered!$B:$B,$A96,RawDataRecovered!BL:BL)</f>
        <v>0</v>
      </c>
      <c r="BJ96">
        <f>SUMIF(RawDataRecovered!$B:$B,$A96,RawDataRecovered!BM:BM)</f>
        <v>0</v>
      </c>
      <c r="BK96">
        <f>SUMIF(RawDataRecovered!$B:$B,$A96,RawDataRecovered!BN:BN)</f>
        <v>0</v>
      </c>
      <c r="BL96">
        <f>SUMIF(RawDataRecovered!$B:$B,$A96,RawDataRecovered!BO:BO)</f>
        <v>0</v>
      </c>
      <c r="BM96">
        <f>SUMIF(RawDataRecovered!$B:$B,$A96,RawDataRecovered!BP:BP)</f>
        <v>0</v>
      </c>
      <c r="BN96">
        <f>SUMIF(RawDataRecovered!$B:$B,$A96,RawDataRecovered!BQ:BQ)</f>
        <v>0</v>
      </c>
      <c r="BO96">
        <f>SUMIF(RawDataRecovered!$B:$B,$A96,RawDataRecovered!BR:BR)</f>
        <v>0</v>
      </c>
      <c r="BP96">
        <f>SUMIF(RawDataRecovered!$B:$B,$A96,RawDataRecovered!BS:BS)</f>
        <v>0</v>
      </c>
      <c r="BQ96">
        <f>SUMIF(RawDataRecovered!$B:$B,$A96,RawDataRecovered!BT:BT)</f>
        <v>0</v>
      </c>
      <c r="BR96">
        <f>SUMIF(RawDataRecovered!$B:$B,$A96,RawDataRecovered!BU:BU)</f>
        <v>0</v>
      </c>
      <c r="BS96">
        <f>SUMIF(RawDataRecovered!$B:$B,$A96,RawDataRecovered!BV:BV)</f>
        <v>0</v>
      </c>
      <c r="BT96">
        <f>SUMIF(RawDataRecovered!$B:$B,$A96,RawDataRecovered!BW:BW)</f>
        <v>0</v>
      </c>
    </row>
    <row r="97" spans="1:72" ht="15" thickBot="1" x14ac:dyDescent="0.35">
      <c r="A97" s="4" t="s">
        <v>438</v>
      </c>
      <c r="B97">
        <f>SUMIF(RawDataRecovered!$B:$B,$A97,RawDataRecovered!E:E)</f>
        <v>0</v>
      </c>
      <c r="C97">
        <f>SUMIF(RawDataRecovered!$B:$B,$A97,RawDataRecovered!F:F)</f>
        <v>0</v>
      </c>
      <c r="D97">
        <f>SUMIF(RawDataRecovered!$B:$B,$A97,RawDataRecovered!G:G)</f>
        <v>0</v>
      </c>
      <c r="E97">
        <f>SUMIF(RawDataRecovered!$B:$B,$A97,RawDataRecovered!H:H)</f>
        <v>0</v>
      </c>
      <c r="F97">
        <f>SUMIF(RawDataRecovered!$B:$B,$A97,RawDataRecovered!I:I)</f>
        <v>0</v>
      </c>
      <c r="G97">
        <f>SUMIF(RawDataRecovered!$B:$B,$A97,RawDataRecovered!J:J)</f>
        <v>0</v>
      </c>
      <c r="H97">
        <f>SUMIF(RawDataRecovered!$B:$B,$A97,RawDataRecovered!K:K)</f>
        <v>0</v>
      </c>
      <c r="I97">
        <f>SUMIF(RawDataRecovered!$B:$B,$A97,RawDataRecovered!L:L)</f>
        <v>0</v>
      </c>
      <c r="J97">
        <f>SUMIF(RawDataRecovered!$B:$B,$A97,RawDataRecovered!M:M)</f>
        <v>0</v>
      </c>
      <c r="K97">
        <f>SUMIF(RawDataRecovered!$B:$B,$A97,RawDataRecovered!N:N)</f>
        <v>0</v>
      </c>
      <c r="L97">
        <f>SUMIF(RawDataRecovered!$B:$B,$A97,RawDataRecovered!O:O)</f>
        <v>0</v>
      </c>
      <c r="M97">
        <f>SUMIF(RawDataRecovered!$B:$B,$A97,RawDataRecovered!P:P)</f>
        <v>0</v>
      </c>
      <c r="N97">
        <f>SUMIF(RawDataRecovered!$B:$B,$A97,RawDataRecovered!Q:Q)</f>
        <v>0</v>
      </c>
      <c r="O97">
        <f>SUMIF(RawDataRecovered!$B:$B,$A97,RawDataRecovered!R:R)</f>
        <v>0</v>
      </c>
      <c r="P97">
        <f>SUMIF(RawDataRecovered!$B:$B,$A97,RawDataRecovered!S:S)</f>
        <v>0</v>
      </c>
      <c r="Q97">
        <f>SUMIF(RawDataRecovered!$B:$B,$A97,RawDataRecovered!T:T)</f>
        <v>0</v>
      </c>
      <c r="R97">
        <f>SUMIF(RawDataRecovered!$B:$B,$A97,RawDataRecovered!U:U)</f>
        <v>0</v>
      </c>
      <c r="S97">
        <f>SUMIF(RawDataRecovered!$B:$B,$A97,RawDataRecovered!V:V)</f>
        <v>0</v>
      </c>
      <c r="T97">
        <f>SUMIF(RawDataRecovered!$B:$B,$A97,RawDataRecovered!W:W)</f>
        <v>0</v>
      </c>
      <c r="U97">
        <f>SUMIF(RawDataRecovered!$B:$B,$A97,RawDataRecovered!X:X)</f>
        <v>0</v>
      </c>
      <c r="V97">
        <f>SUMIF(RawDataRecovered!$B:$B,$A97,RawDataRecovered!Y:Y)</f>
        <v>0</v>
      </c>
      <c r="W97">
        <f>SUMIF(RawDataRecovered!$B:$B,$A97,RawDataRecovered!Z:Z)</f>
        <v>0</v>
      </c>
      <c r="X97">
        <f>SUMIF(RawDataRecovered!$B:$B,$A97,RawDataRecovered!AA:AA)</f>
        <v>0</v>
      </c>
      <c r="Y97">
        <f>SUMIF(RawDataRecovered!$B:$B,$A97,RawDataRecovered!AB:AB)</f>
        <v>0</v>
      </c>
      <c r="Z97">
        <f>SUMIF(RawDataRecovered!$B:$B,$A97,RawDataRecovered!AC:AC)</f>
        <v>0</v>
      </c>
      <c r="AA97">
        <f>SUMIF(RawDataRecovered!$B:$B,$A97,RawDataRecovered!AD:AD)</f>
        <v>0</v>
      </c>
      <c r="AB97">
        <f>SUMIF(RawDataRecovered!$B:$B,$A97,RawDataRecovered!AE:AE)</f>
        <v>0</v>
      </c>
      <c r="AC97">
        <f>SUMIF(RawDataRecovered!$B:$B,$A97,RawDataRecovered!AF:AF)</f>
        <v>0</v>
      </c>
      <c r="AD97">
        <f>SUMIF(RawDataRecovered!$B:$B,$A97,RawDataRecovered!AG:AG)</f>
        <v>0</v>
      </c>
      <c r="AE97">
        <f>SUMIF(RawDataRecovered!$B:$B,$A97,RawDataRecovered!AH:AH)</f>
        <v>0</v>
      </c>
      <c r="AF97">
        <f>SUMIF(RawDataRecovered!$B:$B,$A97,RawDataRecovered!AI:AI)</f>
        <v>0</v>
      </c>
      <c r="AG97">
        <f>SUMIF(RawDataRecovered!$B:$B,$A97,RawDataRecovered!AJ:AJ)</f>
        <v>0</v>
      </c>
      <c r="AH97">
        <f>SUMIF(RawDataRecovered!$B:$B,$A97,RawDataRecovered!AK:AK)</f>
        <v>0</v>
      </c>
      <c r="AI97">
        <f>SUMIF(RawDataRecovered!$B:$B,$A97,RawDataRecovered!AL:AL)</f>
        <v>0</v>
      </c>
      <c r="AJ97">
        <f>SUMIF(RawDataRecovered!$B:$B,$A97,RawDataRecovered!AM:AM)</f>
        <v>0</v>
      </c>
      <c r="AK97">
        <f>SUMIF(RawDataRecovered!$B:$B,$A97,RawDataRecovered!AN:AN)</f>
        <v>0</v>
      </c>
      <c r="AL97">
        <f>SUMIF(RawDataRecovered!$B:$B,$A97,RawDataRecovered!AO:AO)</f>
        <v>0</v>
      </c>
      <c r="AM97">
        <f>SUMIF(RawDataRecovered!$B:$B,$A97,RawDataRecovered!AP:AP)</f>
        <v>0</v>
      </c>
      <c r="AN97">
        <f>SUMIF(RawDataRecovered!$B:$B,$A97,RawDataRecovered!AQ:AQ)</f>
        <v>0</v>
      </c>
      <c r="AO97">
        <f>SUMIF(RawDataRecovered!$B:$B,$A97,RawDataRecovered!AR:AR)</f>
        <v>0</v>
      </c>
      <c r="AP97">
        <f>SUMIF(RawDataRecovered!$B:$B,$A97,RawDataRecovered!AS:AS)</f>
        <v>0</v>
      </c>
      <c r="AQ97">
        <f>SUMIF(RawDataRecovered!$B:$B,$A97,RawDataRecovered!AT:AT)</f>
        <v>0</v>
      </c>
      <c r="AR97">
        <f>SUMIF(RawDataRecovered!$B:$B,$A97,RawDataRecovered!AU:AU)</f>
        <v>0</v>
      </c>
      <c r="AS97">
        <f>SUMIF(RawDataRecovered!$B:$B,$A97,RawDataRecovered!AV:AV)</f>
        <v>0</v>
      </c>
      <c r="AT97">
        <f>SUMIF(RawDataRecovered!$B:$B,$A97,RawDataRecovered!AW:AW)</f>
        <v>0</v>
      </c>
      <c r="AU97">
        <f>SUMIF(RawDataRecovered!$B:$B,$A97,RawDataRecovered!AX:AX)</f>
        <v>0</v>
      </c>
      <c r="AV97">
        <f>SUMIF(RawDataRecovered!$B:$B,$A97,RawDataRecovered!AY:AY)</f>
        <v>0</v>
      </c>
      <c r="AW97">
        <f>SUMIF(RawDataRecovered!$B:$B,$A97,RawDataRecovered!AZ:AZ)</f>
        <v>0</v>
      </c>
      <c r="AX97">
        <f>SUMIF(RawDataRecovered!$B:$B,$A97,RawDataRecovered!BA:BA)</f>
        <v>0</v>
      </c>
      <c r="AY97">
        <f>SUMIF(RawDataRecovered!$B:$B,$A97,RawDataRecovered!BB:BB)</f>
        <v>0</v>
      </c>
      <c r="AZ97">
        <f>SUMIF(RawDataRecovered!$B:$B,$A97,RawDataRecovered!BC:BC)</f>
        <v>0</v>
      </c>
      <c r="BA97">
        <f>SUMIF(RawDataRecovered!$B:$B,$A97,RawDataRecovered!BD:BD)</f>
        <v>0</v>
      </c>
      <c r="BB97">
        <f>SUMIF(RawDataRecovered!$B:$B,$A97,RawDataRecovered!BE:BE)</f>
        <v>0</v>
      </c>
      <c r="BC97">
        <f>SUMIF(RawDataRecovered!$B:$B,$A97,RawDataRecovered!BF:BF)</f>
        <v>0</v>
      </c>
      <c r="BD97">
        <f>SUMIF(RawDataRecovered!$B:$B,$A97,RawDataRecovered!BG:BG)</f>
        <v>0</v>
      </c>
      <c r="BE97">
        <f>SUMIF(RawDataRecovered!$B:$B,$A97,RawDataRecovered!BH:BH)</f>
        <v>0</v>
      </c>
      <c r="BF97">
        <f>SUMIF(RawDataRecovered!$B:$B,$A97,RawDataRecovered!BI:BI)</f>
        <v>0</v>
      </c>
      <c r="BG97">
        <f>SUMIF(RawDataRecovered!$B:$B,$A97,RawDataRecovered!BJ:BJ)</f>
        <v>0</v>
      </c>
      <c r="BH97">
        <f>SUMIF(RawDataRecovered!$B:$B,$A97,RawDataRecovered!BK:BK)</f>
        <v>0</v>
      </c>
      <c r="BI97">
        <f>SUMIF(RawDataRecovered!$B:$B,$A97,RawDataRecovered!BL:BL)</f>
        <v>0</v>
      </c>
      <c r="BJ97">
        <f>SUMIF(RawDataRecovered!$B:$B,$A97,RawDataRecovered!BM:BM)</f>
        <v>0</v>
      </c>
      <c r="BK97">
        <f>SUMIF(RawDataRecovered!$B:$B,$A97,RawDataRecovered!BN:BN)</f>
        <v>0</v>
      </c>
      <c r="BL97">
        <f>SUMIF(RawDataRecovered!$B:$B,$A97,RawDataRecovered!BO:BO)</f>
        <v>0</v>
      </c>
      <c r="BM97">
        <f>SUMIF(RawDataRecovered!$B:$B,$A97,RawDataRecovered!BP:BP)</f>
        <v>0</v>
      </c>
      <c r="BN97">
        <f>SUMIF(RawDataRecovered!$B:$B,$A97,RawDataRecovered!BQ:BQ)</f>
        <v>0</v>
      </c>
      <c r="BO97">
        <f>SUMIF(RawDataRecovered!$B:$B,$A97,RawDataRecovered!BR:BR)</f>
        <v>0</v>
      </c>
      <c r="BP97">
        <f>SUMIF(RawDataRecovered!$B:$B,$A97,RawDataRecovered!BS:BS)</f>
        <v>0</v>
      </c>
      <c r="BQ97">
        <f>SUMIF(RawDataRecovered!$B:$B,$A97,RawDataRecovered!BT:BT)</f>
        <v>0</v>
      </c>
      <c r="BR97">
        <f>SUMIF(RawDataRecovered!$B:$B,$A97,RawDataRecovered!BU:BU)</f>
        <v>0</v>
      </c>
      <c r="BS97">
        <f>SUMIF(RawDataRecovered!$B:$B,$A97,RawDataRecovered!BV:BV)</f>
        <v>0</v>
      </c>
      <c r="BT97">
        <f>SUMIF(RawDataRecovered!$B:$B,$A97,RawDataRecovered!BW:BW)</f>
        <v>0</v>
      </c>
    </row>
    <row r="98" spans="1:72" ht="15" thickBot="1" x14ac:dyDescent="0.35">
      <c r="A98" s="4" t="s">
        <v>441</v>
      </c>
      <c r="B98">
        <f>SUMIF(RawDataRecovered!$B:$B,$A98,RawDataRecovered!E:E)</f>
        <v>0</v>
      </c>
      <c r="C98">
        <f>SUMIF(RawDataRecovered!$B:$B,$A98,RawDataRecovered!F:F)</f>
        <v>0</v>
      </c>
      <c r="D98">
        <f>SUMIF(RawDataRecovered!$B:$B,$A98,RawDataRecovered!G:G)</f>
        <v>0</v>
      </c>
      <c r="E98">
        <f>SUMIF(RawDataRecovered!$B:$B,$A98,RawDataRecovered!H:H)</f>
        <v>0</v>
      </c>
      <c r="F98">
        <f>SUMIF(RawDataRecovered!$B:$B,$A98,RawDataRecovered!I:I)</f>
        <v>0</v>
      </c>
      <c r="G98">
        <f>SUMIF(RawDataRecovered!$B:$B,$A98,RawDataRecovered!J:J)</f>
        <v>0</v>
      </c>
      <c r="H98">
        <f>SUMIF(RawDataRecovered!$B:$B,$A98,RawDataRecovered!K:K)</f>
        <v>0</v>
      </c>
      <c r="I98">
        <f>SUMIF(RawDataRecovered!$B:$B,$A98,RawDataRecovered!L:L)</f>
        <v>0</v>
      </c>
      <c r="J98">
        <f>SUMIF(RawDataRecovered!$B:$B,$A98,RawDataRecovered!M:M)</f>
        <v>0</v>
      </c>
      <c r="K98">
        <f>SUMIF(RawDataRecovered!$B:$B,$A98,RawDataRecovered!N:N)</f>
        <v>0</v>
      </c>
      <c r="L98">
        <f>SUMIF(RawDataRecovered!$B:$B,$A98,RawDataRecovered!O:O)</f>
        <v>0</v>
      </c>
      <c r="M98">
        <f>SUMIF(RawDataRecovered!$B:$B,$A98,RawDataRecovered!P:P)</f>
        <v>0</v>
      </c>
      <c r="N98">
        <f>SUMIF(RawDataRecovered!$B:$B,$A98,RawDataRecovered!Q:Q)</f>
        <v>0</v>
      </c>
      <c r="O98">
        <f>SUMIF(RawDataRecovered!$B:$B,$A98,RawDataRecovered!R:R)</f>
        <v>0</v>
      </c>
      <c r="P98">
        <f>SUMIF(RawDataRecovered!$B:$B,$A98,RawDataRecovered!S:S)</f>
        <v>0</v>
      </c>
      <c r="Q98">
        <f>SUMIF(RawDataRecovered!$B:$B,$A98,RawDataRecovered!T:T)</f>
        <v>0</v>
      </c>
      <c r="R98">
        <f>SUMIF(RawDataRecovered!$B:$B,$A98,RawDataRecovered!U:U)</f>
        <v>0</v>
      </c>
      <c r="S98">
        <f>SUMIF(RawDataRecovered!$B:$B,$A98,RawDataRecovered!V:V)</f>
        <v>0</v>
      </c>
      <c r="T98">
        <f>SUMIF(RawDataRecovered!$B:$B,$A98,RawDataRecovered!W:W)</f>
        <v>0</v>
      </c>
      <c r="U98">
        <f>SUMIF(RawDataRecovered!$B:$B,$A98,RawDataRecovered!X:X)</f>
        <v>0</v>
      </c>
      <c r="V98">
        <f>SUMIF(RawDataRecovered!$B:$B,$A98,RawDataRecovered!Y:Y)</f>
        <v>0</v>
      </c>
      <c r="W98">
        <f>SUMIF(RawDataRecovered!$B:$B,$A98,RawDataRecovered!Z:Z)</f>
        <v>0</v>
      </c>
      <c r="X98">
        <f>SUMIF(RawDataRecovered!$B:$B,$A98,RawDataRecovered!AA:AA)</f>
        <v>0</v>
      </c>
      <c r="Y98">
        <f>SUMIF(RawDataRecovered!$B:$B,$A98,RawDataRecovered!AB:AB)</f>
        <v>0</v>
      </c>
      <c r="Z98">
        <f>SUMIF(RawDataRecovered!$B:$B,$A98,RawDataRecovered!AC:AC)</f>
        <v>0</v>
      </c>
      <c r="AA98">
        <f>SUMIF(RawDataRecovered!$B:$B,$A98,RawDataRecovered!AD:AD)</f>
        <v>0</v>
      </c>
      <c r="AB98">
        <f>SUMIF(RawDataRecovered!$B:$B,$A98,RawDataRecovered!AE:AE)</f>
        <v>0</v>
      </c>
      <c r="AC98">
        <f>SUMIF(RawDataRecovered!$B:$B,$A98,RawDataRecovered!AF:AF)</f>
        <v>0</v>
      </c>
      <c r="AD98">
        <f>SUMIF(RawDataRecovered!$B:$B,$A98,RawDataRecovered!AG:AG)</f>
        <v>0</v>
      </c>
      <c r="AE98">
        <f>SUMIF(RawDataRecovered!$B:$B,$A98,RawDataRecovered!AH:AH)</f>
        <v>0</v>
      </c>
      <c r="AF98">
        <f>SUMIF(RawDataRecovered!$B:$B,$A98,RawDataRecovered!AI:AI)</f>
        <v>0</v>
      </c>
      <c r="AG98">
        <f>SUMIF(RawDataRecovered!$B:$B,$A98,RawDataRecovered!AJ:AJ)</f>
        <v>0</v>
      </c>
      <c r="AH98">
        <f>SUMIF(RawDataRecovered!$B:$B,$A98,RawDataRecovered!AK:AK)</f>
        <v>0</v>
      </c>
      <c r="AI98">
        <f>SUMIF(RawDataRecovered!$B:$B,$A98,RawDataRecovered!AL:AL)</f>
        <v>0</v>
      </c>
      <c r="AJ98">
        <f>SUMIF(RawDataRecovered!$B:$B,$A98,RawDataRecovered!AM:AM)</f>
        <v>0</v>
      </c>
      <c r="AK98">
        <f>SUMIF(RawDataRecovered!$B:$B,$A98,RawDataRecovered!AN:AN)</f>
        <v>0</v>
      </c>
      <c r="AL98">
        <f>SUMIF(RawDataRecovered!$B:$B,$A98,RawDataRecovered!AO:AO)</f>
        <v>0</v>
      </c>
      <c r="AM98">
        <f>SUMIF(RawDataRecovered!$B:$B,$A98,RawDataRecovered!AP:AP)</f>
        <v>0</v>
      </c>
      <c r="AN98">
        <f>SUMIF(RawDataRecovered!$B:$B,$A98,RawDataRecovered!AQ:AQ)</f>
        <v>0</v>
      </c>
      <c r="AO98">
        <f>SUMIF(RawDataRecovered!$B:$B,$A98,RawDataRecovered!AR:AR)</f>
        <v>0</v>
      </c>
      <c r="AP98">
        <f>SUMIF(RawDataRecovered!$B:$B,$A98,RawDataRecovered!AS:AS)</f>
        <v>0</v>
      </c>
      <c r="AQ98">
        <f>SUMIF(RawDataRecovered!$B:$B,$A98,RawDataRecovered!AT:AT)</f>
        <v>0</v>
      </c>
      <c r="AR98">
        <f>SUMIF(RawDataRecovered!$B:$B,$A98,RawDataRecovered!AU:AU)</f>
        <v>0</v>
      </c>
      <c r="AS98">
        <f>SUMIF(RawDataRecovered!$B:$B,$A98,RawDataRecovered!AV:AV)</f>
        <v>0</v>
      </c>
      <c r="AT98">
        <f>SUMIF(RawDataRecovered!$B:$B,$A98,RawDataRecovered!AW:AW)</f>
        <v>0</v>
      </c>
      <c r="AU98">
        <f>SUMIF(RawDataRecovered!$B:$B,$A98,RawDataRecovered!AX:AX)</f>
        <v>0</v>
      </c>
      <c r="AV98">
        <f>SUMIF(RawDataRecovered!$B:$B,$A98,RawDataRecovered!AY:AY)</f>
        <v>0</v>
      </c>
      <c r="AW98">
        <f>SUMIF(RawDataRecovered!$B:$B,$A98,RawDataRecovered!AZ:AZ)</f>
        <v>0</v>
      </c>
      <c r="AX98">
        <f>SUMIF(RawDataRecovered!$B:$B,$A98,RawDataRecovered!BA:BA)</f>
        <v>0</v>
      </c>
      <c r="AY98">
        <f>SUMIF(RawDataRecovered!$B:$B,$A98,RawDataRecovered!BB:BB)</f>
        <v>0</v>
      </c>
      <c r="AZ98">
        <f>SUMIF(RawDataRecovered!$B:$B,$A98,RawDataRecovered!BC:BC)</f>
        <v>0</v>
      </c>
      <c r="BA98">
        <f>SUMIF(RawDataRecovered!$B:$B,$A98,RawDataRecovered!BD:BD)</f>
        <v>0</v>
      </c>
      <c r="BB98">
        <f>SUMIF(RawDataRecovered!$B:$B,$A98,RawDataRecovered!BE:BE)</f>
        <v>0</v>
      </c>
      <c r="BC98">
        <f>SUMIF(RawDataRecovered!$B:$B,$A98,RawDataRecovered!BF:BF)</f>
        <v>0</v>
      </c>
      <c r="BD98">
        <f>SUMIF(RawDataRecovered!$B:$B,$A98,RawDataRecovered!BG:BG)</f>
        <v>0</v>
      </c>
      <c r="BE98">
        <f>SUMIF(RawDataRecovered!$B:$B,$A98,RawDataRecovered!BH:BH)</f>
        <v>0</v>
      </c>
      <c r="BF98">
        <f>SUMIF(RawDataRecovered!$B:$B,$A98,RawDataRecovered!BI:BI)</f>
        <v>0</v>
      </c>
      <c r="BG98">
        <f>SUMIF(RawDataRecovered!$B:$B,$A98,RawDataRecovered!BJ:BJ)</f>
        <v>0</v>
      </c>
      <c r="BH98">
        <f>SUMIF(RawDataRecovered!$B:$B,$A98,RawDataRecovered!BK:BK)</f>
        <v>0</v>
      </c>
      <c r="BI98">
        <f>SUMIF(RawDataRecovered!$B:$B,$A98,RawDataRecovered!BL:BL)</f>
        <v>0</v>
      </c>
      <c r="BJ98">
        <f>SUMIF(RawDataRecovered!$B:$B,$A98,RawDataRecovered!BM:BM)</f>
        <v>0</v>
      </c>
      <c r="BK98">
        <f>SUMIF(RawDataRecovered!$B:$B,$A98,RawDataRecovered!BN:BN)</f>
        <v>0</v>
      </c>
      <c r="BL98">
        <f>SUMIF(RawDataRecovered!$B:$B,$A98,RawDataRecovered!BO:BO)</f>
        <v>0</v>
      </c>
      <c r="BM98">
        <f>SUMIF(RawDataRecovered!$B:$B,$A98,RawDataRecovered!BP:BP)</f>
        <v>0</v>
      </c>
      <c r="BN98">
        <f>SUMIF(RawDataRecovered!$B:$B,$A98,RawDataRecovered!BQ:BQ)</f>
        <v>0</v>
      </c>
      <c r="BO98">
        <f>SUMIF(RawDataRecovered!$B:$B,$A98,RawDataRecovered!BR:BR)</f>
        <v>0</v>
      </c>
      <c r="BP98">
        <f>SUMIF(RawDataRecovered!$B:$B,$A98,RawDataRecovered!BS:BS)</f>
        <v>0</v>
      </c>
      <c r="BQ98">
        <f>SUMIF(RawDataRecovered!$B:$B,$A98,RawDataRecovered!BT:BT)</f>
        <v>0</v>
      </c>
      <c r="BR98">
        <f>SUMIF(RawDataRecovered!$B:$B,$A98,RawDataRecovered!BU:BU)</f>
        <v>0</v>
      </c>
      <c r="BS98">
        <f>SUMIF(RawDataRecovered!$B:$B,$A98,RawDataRecovered!BV:BV)</f>
        <v>0</v>
      </c>
      <c r="BT98">
        <f>SUMIF(RawDataRecovered!$B:$B,$A98,RawDataRecovered!BW:BW)</f>
        <v>0</v>
      </c>
    </row>
    <row r="99" spans="1:72" ht="15" thickBot="1" x14ac:dyDescent="0.35">
      <c r="A99" s="3" t="s">
        <v>229</v>
      </c>
      <c r="B99">
        <f>SUMIF(RawDataRecovered!$B:$B,$A99,RawDataRecovered!E:E)</f>
        <v>0</v>
      </c>
      <c r="C99">
        <f>SUMIF(RawDataRecovered!$B:$B,$A99,RawDataRecovered!F:F)</f>
        <v>0</v>
      </c>
      <c r="D99">
        <f>SUMIF(RawDataRecovered!$B:$B,$A99,RawDataRecovered!G:G)</f>
        <v>0</v>
      </c>
      <c r="E99">
        <f>SUMIF(RawDataRecovered!$B:$B,$A99,RawDataRecovered!H:H)</f>
        <v>0</v>
      </c>
      <c r="F99">
        <f>SUMIF(RawDataRecovered!$B:$B,$A99,RawDataRecovered!I:I)</f>
        <v>0</v>
      </c>
      <c r="G99">
        <f>SUMIF(RawDataRecovered!$B:$B,$A99,RawDataRecovered!J:J)</f>
        <v>0</v>
      </c>
      <c r="H99">
        <f>SUMIF(RawDataRecovered!$B:$B,$A99,RawDataRecovered!K:K)</f>
        <v>0</v>
      </c>
      <c r="I99">
        <f>SUMIF(RawDataRecovered!$B:$B,$A99,RawDataRecovered!L:L)</f>
        <v>0</v>
      </c>
      <c r="J99">
        <f>SUMIF(RawDataRecovered!$B:$B,$A99,RawDataRecovered!M:M)</f>
        <v>0</v>
      </c>
      <c r="K99">
        <f>SUMIF(RawDataRecovered!$B:$B,$A99,RawDataRecovered!N:N)</f>
        <v>0</v>
      </c>
      <c r="L99">
        <f>SUMIF(RawDataRecovered!$B:$B,$A99,RawDataRecovered!O:O)</f>
        <v>0</v>
      </c>
      <c r="M99">
        <f>SUMIF(RawDataRecovered!$B:$B,$A99,RawDataRecovered!P:P)</f>
        <v>0</v>
      </c>
      <c r="N99">
        <f>SUMIF(RawDataRecovered!$B:$B,$A99,RawDataRecovered!Q:Q)</f>
        <v>0</v>
      </c>
      <c r="O99">
        <f>SUMIF(RawDataRecovered!$B:$B,$A99,RawDataRecovered!R:R)</f>
        <v>0</v>
      </c>
      <c r="P99">
        <f>SUMIF(RawDataRecovered!$B:$B,$A99,RawDataRecovered!S:S)</f>
        <v>0</v>
      </c>
      <c r="Q99">
        <f>SUMIF(RawDataRecovered!$B:$B,$A99,RawDataRecovered!T:T)</f>
        <v>0</v>
      </c>
      <c r="R99">
        <f>SUMIF(RawDataRecovered!$B:$B,$A99,RawDataRecovered!U:U)</f>
        <v>0</v>
      </c>
      <c r="S99">
        <f>SUMIF(RawDataRecovered!$B:$B,$A99,RawDataRecovered!V:V)</f>
        <v>0</v>
      </c>
      <c r="T99">
        <f>SUMIF(RawDataRecovered!$B:$B,$A99,RawDataRecovered!W:W)</f>
        <v>0</v>
      </c>
      <c r="U99">
        <f>SUMIF(RawDataRecovered!$B:$B,$A99,RawDataRecovered!X:X)</f>
        <v>0</v>
      </c>
      <c r="V99">
        <f>SUMIF(RawDataRecovered!$B:$B,$A99,RawDataRecovered!Y:Y)</f>
        <v>0</v>
      </c>
      <c r="W99">
        <f>SUMIF(RawDataRecovered!$B:$B,$A99,RawDataRecovered!Z:Z)</f>
        <v>0</v>
      </c>
      <c r="X99">
        <f>SUMIF(RawDataRecovered!$B:$B,$A99,RawDataRecovered!AA:AA)</f>
        <v>0</v>
      </c>
      <c r="Y99">
        <f>SUMIF(RawDataRecovered!$B:$B,$A99,RawDataRecovered!AB:AB)</f>
        <v>0</v>
      </c>
      <c r="Z99">
        <f>SUMIF(RawDataRecovered!$B:$B,$A99,RawDataRecovered!AC:AC)</f>
        <v>0</v>
      </c>
      <c r="AA99">
        <f>SUMIF(RawDataRecovered!$B:$B,$A99,RawDataRecovered!AD:AD)</f>
        <v>0</v>
      </c>
      <c r="AB99">
        <f>SUMIF(RawDataRecovered!$B:$B,$A99,RawDataRecovered!AE:AE)</f>
        <v>0</v>
      </c>
      <c r="AC99">
        <f>SUMIF(RawDataRecovered!$B:$B,$A99,RawDataRecovered!AF:AF)</f>
        <v>0</v>
      </c>
      <c r="AD99">
        <f>SUMIF(RawDataRecovered!$B:$B,$A99,RawDataRecovered!AG:AG)</f>
        <v>0</v>
      </c>
      <c r="AE99">
        <f>SUMIF(RawDataRecovered!$B:$B,$A99,RawDataRecovered!AH:AH)</f>
        <v>0</v>
      </c>
      <c r="AF99">
        <f>SUMIF(RawDataRecovered!$B:$B,$A99,RawDataRecovered!AI:AI)</f>
        <v>0</v>
      </c>
      <c r="AG99">
        <f>SUMIF(RawDataRecovered!$B:$B,$A99,RawDataRecovered!AJ:AJ)</f>
        <v>0</v>
      </c>
      <c r="AH99">
        <f>SUMIF(RawDataRecovered!$B:$B,$A99,RawDataRecovered!AK:AK)</f>
        <v>0</v>
      </c>
      <c r="AI99">
        <f>SUMIF(RawDataRecovered!$B:$B,$A99,RawDataRecovered!AL:AL)</f>
        <v>0</v>
      </c>
      <c r="AJ99">
        <f>SUMIF(RawDataRecovered!$B:$B,$A99,RawDataRecovered!AM:AM)</f>
        <v>0</v>
      </c>
      <c r="AK99">
        <f>SUMIF(RawDataRecovered!$B:$B,$A99,RawDataRecovered!AN:AN)</f>
        <v>0</v>
      </c>
      <c r="AL99">
        <f>SUMIF(RawDataRecovered!$B:$B,$A99,RawDataRecovered!AO:AO)</f>
        <v>0</v>
      </c>
      <c r="AM99">
        <f>SUMIF(RawDataRecovered!$B:$B,$A99,RawDataRecovered!AP:AP)</f>
        <v>0</v>
      </c>
      <c r="AN99">
        <f>SUMIF(RawDataRecovered!$B:$B,$A99,RawDataRecovered!AQ:AQ)</f>
        <v>0</v>
      </c>
      <c r="AO99">
        <f>SUMIF(RawDataRecovered!$B:$B,$A99,RawDataRecovered!AR:AR)</f>
        <v>0</v>
      </c>
      <c r="AP99">
        <f>SUMIF(RawDataRecovered!$B:$B,$A99,RawDataRecovered!AS:AS)</f>
        <v>0</v>
      </c>
      <c r="AQ99">
        <f>SUMIF(RawDataRecovered!$B:$B,$A99,RawDataRecovered!AT:AT)</f>
        <v>0</v>
      </c>
      <c r="AR99">
        <f>SUMIF(RawDataRecovered!$B:$B,$A99,RawDataRecovered!AU:AU)</f>
        <v>0</v>
      </c>
      <c r="AS99">
        <f>SUMIF(RawDataRecovered!$B:$B,$A99,RawDataRecovered!AV:AV)</f>
        <v>0</v>
      </c>
      <c r="AT99">
        <f>SUMIF(RawDataRecovered!$B:$B,$A99,RawDataRecovered!AW:AW)</f>
        <v>0</v>
      </c>
      <c r="AU99">
        <f>SUMIF(RawDataRecovered!$B:$B,$A99,RawDataRecovered!AX:AX)</f>
        <v>0</v>
      </c>
      <c r="AV99">
        <f>SUMIF(RawDataRecovered!$B:$B,$A99,RawDataRecovered!AY:AY)</f>
        <v>0</v>
      </c>
      <c r="AW99">
        <f>SUMIF(RawDataRecovered!$B:$B,$A99,RawDataRecovered!AZ:AZ)</f>
        <v>0</v>
      </c>
      <c r="AX99">
        <f>SUMIF(RawDataRecovered!$B:$B,$A99,RawDataRecovered!BA:BA)</f>
        <v>0</v>
      </c>
      <c r="AY99">
        <f>SUMIF(RawDataRecovered!$B:$B,$A99,RawDataRecovered!BB:BB)</f>
        <v>0</v>
      </c>
      <c r="AZ99">
        <f>SUMIF(RawDataRecovered!$B:$B,$A99,RawDataRecovered!BC:BC)</f>
        <v>0</v>
      </c>
      <c r="BA99">
        <f>SUMIF(RawDataRecovered!$B:$B,$A99,RawDataRecovered!BD:BD)</f>
        <v>0</v>
      </c>
      <c r="BB99">
        <f>SUMIF(RawDataRecovered!$B:$B,$A99,RawDataRecovered!BE:BE)</f>
        <v>0</v>
      </c>
      <c r="BC99">
        <f>SUMIF(RawDataRecovered!$B:$B,$A99,RawDataRecovered!BF:BF)</f>
        <v>0</v>
      </c>
      <c r="BD99">
        <f>SUMIF(RawDataRecovered!$B:$B,$A99,RawDataRecovered!BG:BG)</f>
        <v>2</v>
      </c>
      <c r="BE99">
        <f>SUMIF(RawDataRecovered!$B:$B,$A99,RawDataRecovered!BH:BH)</f>
        <v>3</v>
      </c>
      <c r="BF99">
        <f>SUMIF(RawDataRecovered!$B:$B,$A99,RawDataRecovered!BI:BI)</f>
        <v>0</v>
      </c>
      <c r="BG99">
        <f>SUMIF(RawDataRecovered!$B:$B,$A99,RawDataRecovered!BJ:BJ)</f>
        <v>0</v>
      </c>
      <c r="BH99">
        <f>SUMIF(RawDataRecovered!$B:$B,$A99,RawDataRecovered!BK:BK)</f>
        <v>0</v>
      </c>
      <c r="BI99">
        <f>SUMIF(RawDataRecovered!$B:$B,$A99,RawDataRecovered!BL:BL)</f>
        <v>0</v>
      </c>
      <c r="BJ99">
        <f>SUMIF(RawDataRecovered!$B:$B,$A99,RawDataRecovered!BM:BM)</f>
        <v>0</v>
      </c>
      <c r="BK99">
        <f>SUMIF(RawDataRecovered!$B:$B,$A99,RawDataRecovered!BN:BN)</f>
        <v>0</v>
      </c>
      <c r="BL99">
        <f>SUMIF(RawDataRecovered!$B:$B,$A99,RawDataRecovered!BO:BO)</f>
        <v>0</v>
      </c>
      <c r="BM99">
        <f>SUMIF(RawDataRecovered!$B:$B,$A99,RawDataRecovered!BP:BP)</f>
        <v>0</v>
      </c>
      <c r="BN99">
        <f>SUMIF(RawDataRecovered!$B:$B,$A99,RawDataRecovered!BQ:BQ)</f>
        <v>0</v>
      </c>
      <c r="BO99">
        <f>SUMIF(RawDataRecovered!$B:$B,$A99,RawDataRecovered!BR:BR)</f>
        <v>0</v>
      </c>
      <c r="BP99">
        <f>SUMIF(RawDataRecovered!$B:$B,$A99,RawDataRecovered!BS:BS)</f>
        <v>0</v>
      </c>
      <c r="BQ99">
        <f>SUMIF(RawDataRecovered!$B:$B,$A99,RawDataRecovered!BT:BT)</f>
        <v>0</v>
      </c>
      <c r="BR99">
        <f>SUMIF(RawDataRecovered!$B:$B,$A99,RawDataRecovered!BU:BU)</f>
        <v>0</v>
      </c>
      <c r="BS99">
        <f>SUMIF(RawDataRecovered!$B:$B,$A99,RawDataRecovered!BV:BV)</f>
        <v>0</v>
      </c>
      <c r="BT99">
        <f>SUMIF(RawDataRecovered!$B:$B,$A99,RawDataRecovered!BW:BW)</f>
        <v>0</v>
      </c>
    </row>
    <row r="100" spans="1:72" ht="15" thickBot="1" x14ac:dyDescent="0.35">
      <c r="A100" s="3" t="s">
        <v>374</v>
      </c>
      <c r="B100">
        <f>SUMIF(RawDataRecovered!$B:$B,$A100,RawDataRecovered!E:E)</f>
        <v>0</v>
      </c>
      <c r="C100">
        <f>SUMIF(RawDataRecovered!$B:$B,$A100,RawDataRecovered!F:F)</f>
        <v>0</v>
      </c>
      <c r="D100">
        <f>SUMIF(RawDataRecovered!$B:$B,$A100,RawDataRecovered!G:G)</f>
        <v>0</v>
      </c>
      <c r="E100">
        <f>SUMIF(RawDataRecovered!$B:$B,$A100,RawDataRecovered!H:H)</f>
        <v>0</v>
      </c>
      <c r="F100">
        <f>SUMIF(RawDataRecovered!$B:$B,$A100,RawDataRecovered!I:I)</f>
        <v>0</v>
      </c>
      <c r="G100">
        <f>SUMIF(RawDataRecovered!$B:$B,$A100,RawDataRecovered!J:J)</f>
        <v>0</v>
      </c>
      <c r="H100">
        <f>SUMIF(RawDataRecovered!$B:$B,$A100,RawDataRecovered!K:K)</f>
        <v>0</v>
      </c>
      <c r="I100">
        <f>SUMIF(RawDataRecovered!$B:$B,$A100,RawDataRecovered!L:L)</f>
        <v>0</v>
      </c>
      <c r="J100">
        <f>SUMIF(RawDataRecovered!$B:$B,$A100,RawDataRecovered!M:M)</f>
        <v>0</v>
      </c>
      <c r="K100">
        <f>SUMIF(RawDataRecovered!$B:$B,$A100,RawDataRecovered!N:N)</f>
        <v>0</v>
      </c>
      <c r="L100">
        <f>SUMIF(RawDataRecovered!$B:$B,$A100,RawDataRecovered!O:O)</f>
        <v>0</v>
      </c>
      <c r="M100">
        <f>SUMIF(RawDataRecovered!$B:$B,$A100,RawDataRecovered!P:P)</f>
        <v>0</v>
      </c>
      <c r="N100">
        <f>SUMIF(RawDataRecovered!$B:$B,$A100,RawDataRecovered!Q:Q)</f>
        <v>0</v>
      </c>
      <c r="O100">
        <f>SUMIF(RawDataRecovered!$B:$B,$A100,RawDataRecovered!R:R)</f>
        <v>0</v>
      </c>
      <c r="P100">
        <f>SUMIF(RawDataRecovered!$B:$B,$A100,RawDataRecovered!S:S)</f>
        <v>0</v>
      </c>
      <c r="Q100">
        <f>SUMIF(RawDataRecovered!$B:$B,$A100,RawDataRecovered!T:T)</f>
        <v>0</v>
      </c>
      <c r="R100">
        <f>SUMIF(RawDataRecovered!$B:$B,$A100,RawDataRecovered!U:U)</f>
        <v>0</v>
      </c>
      <c r="S100">
        <f>SUMIF(RawDataRecovered!$B:$B,$A100,RawDataRecovered!V:V)</f>
        <v>0</v>
      </c>
      <c r="T100">
        <f>SUMIF(RawDataRecovered!$B:$B,$A100,RawDataRecovered!W:W)</f>
        <v>0</v>
      </c>
      <c r="U100">
        <f>SUMIF(RawDataRecovered!$B:$B,$A100,RawDataRecovered!X:X)</f>
        <v>0</v>
      </c>
      <c r="V100">
        <f>SUMIF(RawDataRecovered!$B:$B,$A100,RawDataRecovered!Y:Y)</f>
        <v>0</v>
      </c>
      <c r="W100">
        <f>SUMIF(RawDataRecovered!$B:$B,$A100,RawDataRecovered!Z:Z)</f>
        <v>0</v>
      </c>
      <c r="X100">
        <f>SUMIF(RawDataRecovered!$B:$B,$A100,RawDataRecovered!AA:AA)</f>
        <v>0</v>
      </c>
      <c r="Y100">
        <f>SUMIF(RawDataRecovered!$B:$B,$A100,RawDataRecovered!AB:AB)</f>
        <v>0</v>
      </c>
      <c r="Z100">
        <f>SUMIF(RawDataRecovered!$B:$B,$A100,RawDataRecovered!AC:AC)</f>
        <v>0</v>
      </c>
      <c r="AA100">
        <f>SUMIF(RawDataRecovered!$B:$B,$A100,RawDataRecovered!AD:AD)</f>
        <v>0</v>
      </c>
      <c r="AB100">
        <f>SUMIF(RawDataRecovered!$B:$B,$A100,RawDataRecovered!AE:AE)</f>
        <v>0</v>
      </c>
      <c r="AC100">
        <f>SUMIF(RawDataRecovered!$B:$B,$A100,RawDataRecovered!AF:AF)</f>
        <v>0</v>
      </c>
      <c r="AD100">
        <f>SUMIF(RawDataRecovered!$B:$B,$A100,RawDataRecovered!AG:AG)</f>
        <v>0</v>
      </c>
      <c r="AE100">
        <f>SUMIF(RawDataRecovered!$B:$B,$A100,RawDataRecovered!AH:AH)</f>
        <v>0</v>
      </c>
      <c r="AF100">
        <f>SUMIF(RawDataRecovered!$B:$B,$A100,RawDataRecovered!AI:AI)</f>
        <v>0</v>
      </c>
      <c r="AG100">
        <f>SUMIF(RawDataRecovered!$B:$B,$A100,RawDataRecovered!AJ:AJ)</f>
        <v>0</v>
      </c>
      <c r="AH100">
        <f>SUMIF(RawDataRecovered!$B:$B,$A100,RawDataRecovered!AK:AK)</f>
        <v>0</v>
      </c>
      <c r="AI100">
        <f>SUMIF(RawDataRecovered!$B:$B,$A100,RawDataRecovered!AL:AL)</f>
        <v>0</v>
      </c>
      <c r="AJ100">
        <f>SUMIF(RawDataRecovered!$B:$B,$A100,RawDataRecovered!AM:AM)</f>
        <v>0</v>
      </c>
      <c r="AK100">
        <f>SUMIF(RawDataRecovered!$B:$B,$A100,RawDataRecovered!AN:AN)</f>
        <v>0</v>
      </c>
      <c r="AL100">
        <f>SUMIF(RawDataRecovered!$B:$B,$A100,RawDataRecovered!AO:AO)</f>
        <v>0</v>
      </c>
      <c r="AM100">
        <f>SUMIF(RawDataRecovered!$B:$B,$A100,RawDataRecovered!AP:AP)</f>
        <v>0</v>
      </c>
      <c r="AN100">
        <f>SUMIF(RawDataRecovered!$B:$B,$A100,RawDataRecovered!AQ:AQ)</f>
        <v>0</v>
      </c>
      <c r="AO100">
        <f>SUMIF(RawDataRecovered!$B:$B,$A100,RawDataRecovered!AR:AR)</f>
        <v>0</v>
      </c>
      <c r="AP100">
        <f>SUMIF(RawDataRecovered!$B:$B,$A100,RawDataRecovered!AS:AS)</f>
        <v>0</v>
      </c>
      <c r="AQ100">
        <f>SUMIF(RawDataRecovered!$B:$B,$A100,RawDataRecovered!AT:AT)</f>
        <v>0</v>
      </c>
      <c r="AR100">
        <f>SUMIF(RawDataRecovered!$B:$B,$A100,RawDataRecovered!AU:AU)</f>
        <v>0</v>
      </c>
      <c r="AS100">
        <f>SUMIF(RawDataRecovered!$B:$B,$A100,RawDataRecovered!AV:AV)</f>
        <v>0</v>
      </c>
      <c r="AT100">
        <f>SUMIF(RawDataRecovered!$B:$B,$A100,RawDataRecovered!AW:AW)</f>
        <v>0</v>
      </c>
      <c r="AU100">
        <f>SUMIF(RawDataRecovered!$B:$B,$A100,RawDataRecovered!AX:AX)</f>
        <v>0</v>
      </c>
      <c r="AV100">
        <f>SUMIF(RawDataRecovered!$B:$B,$A100,RawDataRecovered!AY:AY)</f>
        <v>0</v>
      </c>
      <c r="AW100">
        <f>SUMIF(RawDataRecovered!$B:$B,$A100,RawDataRecovered!AZ:AZ)</f>
        <v>0</v>
      </c>
      <c r="AX100">
        <f>SUMIF(RawDataRecovered!$B:$B,$A100,RawDataRecovered!BA:BA)</f>
        <v>0</v>
      </c>
      <c r="AY100">
        <f>SUMIF(RawDataRecovered!$B:$B,$A100,RawDataRecovered!BB:BB)</f>
        <v>0</v>
      </c>
      <c r="AZ100">
        <f>SUMIF(RawDataRecovered!$B:$B,$A100,RawDataRecovered!BC:BC)</f>
        <v>0</v>
      </c>
      <c r="BA100">
        <f>SUMIF(RawDataRecovered!$B:$B,$A100,RawDataRecovered!BD:BD)</f>
        <v>0</v>
      </c>
      <c r="BB100">
        <f>SUMIF(RawDataRecovered!$B:$B,$A100,RawDataRecovered!BE:BE)</f>
        <v>0</v>
      </c>
      <c r="BC100">
        <f>SUMIF(RawDataRecovered!$B:$B,$A100,RawDataRecovered!BF:BF)</f>
        <v>0</v>
      </c>
      <c r="BD100">
        <f>SUMIF(RawDataRecovered!$B:$B,$A100,RawDataRecovered!BG:BG)</f>
        <v>0</v>
      </c>
      <c r="BE100">
        <f>SUMIF(RawDataRecovered!$B:$B,$A100,RawDataRecovered!BH:BH)</f>
        <v>0</v>
      </c>
      <c r="BF100">
        <f>SUMIF(RawDataRecovered!$B:$B,$A100,RawDataRecovered!BI:BI)</f>
        <v>0</v>
      </c>
      <c r="BG100">
        <f>SUMIF(RawDataRecovered!$B:$B,$A100,RawDataRecovered!BJ:BJ)</f>
        <v>0</v>
      </c>
      <c r="BH100">
        <f>SUMIF(RawDataRecovered!$B:$B,$A100,RawDataRecovered!BK:BK)</f>
        <v>0</v>
      </c>
      <c r="BI100">
        <f>SUMIF(RawDataRecovered!$B:$B,$A100,RawDataRecovered!BL:BL)</f>
        <v>0</v>
      </c>
      <c r="BJ100">
        <f>SUMIF(RawDataRecovered!$B:$B,$A100,RawDataRecovered!BM:BM)</f>
        <v>0</v>
      </c>
      <c r="BK100">
        <f>SUMIF(RawDataRecovered!$B:$B,$A100,RawDataRecovered!BN:BN)</f>
        <v>0</v>
      </c>
      <c r="BL100">
        <f>SUMIF(RawDataRecovered!$B:$B,$A100,RawDataRecovered!BO:BO)</f>
        <v>0</v>
      </c>
      <c r="BM100">
        <f>SUMIF(RawDataRecovered!$B:$B,$A100,RawDataRecovered!BP:BP)</f>
        <v>0</v>
      </c>
      <c r="BN100">
        <f>SUMIF(RawDataRecovered!$B:$B,$A100,RawDataRecovered!BQ:BQ)</f>
        <v>0</v>
      </c>
      <c r="BO100">
        <f>SUMIF(RawDataRecovered!$B:$B,$A100,RawDataRecovered!BR:BR)</f>
        <v>0</v>
      </c>
      <c r="BP100">
        <f>SUMIF(RawDataRecovered!$B:$B,$A100,RawDataRecovered!BS:BS)</f>
        <v>0</v>
      </c>
      <c r="BQ100">
        <f>SUMIF(RawDataRecovered!$B:$B,$A100,RawDataRecovered!BT:BT)</f>
        <v>0</v>
      </c>
      <c r="BR100">
        <f>SUMIF(RawDataRecovered!$B:$B,$A100,RawDataRecovered!BU:BU)</f>
        <v>0</v>
      </c>
      <c r="BS100">
        <f>SUMIF(RawDataRecovered!$B:$B,$A100,RawDataRecovered!BV:BV)</f>
        <v>0</v>
      </c>
      <c r="BT100">
        <f>SUMIF(RawDataRecovered!$B:$B,$A100,RawDataRecovered!BW:BW)</f>
        <v>0</v>
      </c>
    </row>
    <row r="101" spans="1:72" ht="15" thickBot="1" x14ac:dyDescent="0.35">
      <c r="A101" s="4" t="s">
        <v>207</v>
      </c>
      <c r="B101">
        <f>SUMIF(RawDataRecovered!$B:$B,$A101,RawDataRecovered!E:E)</f>
        <v>0</v>
      </c>
      <c r="C101">
        <f>SUMIF(RawDataRecovered!$B:$B,$A101,RawDataRecovered!F:F)</f>
        <v>0</v>
      </c>
      <c r="D101">
        <f>SUMIF(RawDataRecovered!$B:$B,$A101,RawDataRecovered!G:G)</f>
        <v>0</v>
      </c>
      <c r="E101">
        <f>SUMIF(RawDataRecovered!$B:$B,$A101,RawDataRecovered!H:H)</f>
        <v>0</v>
      </c>
      <c r="F101">
        <f>SUMIF(RawDataRecovered!$B:$B,$A101,RawDataRecovered!I:I)</f>
        <v>0</v>
      </c>
      <c r="G101">
        <f>SUMIF(RawDataRecovered!$B:$B,$A101,RawDataRecovered!J:J)</f>
        <v>0</v>
      </c>
      <c r="H101">
        <f>SUMIF(RawDataRecovered!$B:$B,$A101,RawDataRecovered!K:K)</f>
        <v>0</v>
      </c>
      <c r="I101">
        <f>SUMIF(RawDataRecovered!$B:$B,$A101,RawDataRecovered!L:L)</f>
        <v>0</v>
      </c>
      <c r="J101">
        <f>SUMIF(RawDataRecovered!$B:$B,$A101,RawDataRecovered!M:M)</f>
        <v>0</v>
      </c>
      <c r="K101">
        <f>SUMIF(RawDataRecovered!$B:$B,$A101,RawDataRecovered!N:N)</f>
        <v>0</v>
      </c>
      <c r="L101">
        <f>SUMIF(RawDataRecovered!$B:$B,$A101,RawDataRecovered!O:O)</f>
        <v>0</v>
      </c>
      <c r="M101">
        <f>SUMIF(RawDataRecovered!$B:$B,$A101,RawDataRecovered!P:P)</f>
        <v>0</v>
      </c>
      <c r="N101">
        <f>SUMIF(RawDataRecovered!$B:$B,$A101,RawDataRecovered!Q:Q)</f>
        <v>0</v>
      </c>
      <c r="O101">
        <f>SUMIF(RawDataRecovered!$B:$B,$A101,RawDataRecovered!R:R)</f>
        <v>0</v>
      </c>
      <c r="P101">
        <f>SUMIF(RawDataRecovered!$B:$B,$A101,RawDataRecovered!S:S)</f>
        <v>0</v>
      </c>
      <c r="Q101">
        <f>SUMIF(RawDataRecovered!$B:$B,$A101,RawDataRecovered!T:T)</f>
        <v>0</v>
      </c>
      <c r="R101">
        <f>SUMIF(RawDataRecovered!$B:$B,$A101,RawDataRecovered!U:U)</f>
        <v>0</v>
      </c>
      <c r="S101">
        <f>SUMIF(RawDataRecovered!$B:$B,$A101,RawDataRecovered!V:V)</f>
        <v>0</v>
      </c>
      <c r="T101">
        <f>SUMIF(RawDataRecovered!$B:$B,$A101,RawDataRecovered!W:W)</f>
        <v>0</v>
      </c>
      <c r="U101">
        <f>SUMIF(RawDataRecovered!$B:$B,$A101,RawDataRecovered!X:X)</f>
        <v>0</v>
      </c>
      <c r="V101">
        <f>SUMIF(RawDataRecovered!$B:$B,$A101,RawDataRecovered!Y:Y)</f>
        <v>0</v>
      </c>
      <c r="W101">
        <f>SUMIF(RawDataRecovered!$B:$B,$A101,RawDataRecovered!Z:Z)</f>
        <v>0</v>
      </c>
      <c r="X101">
        <f>SUMIF(RawDataRecovered!$B:$B,$A101,RawDataRecovered!AA:AA)</f>
        <v>0</v>
      </c>
      <c r="Y101">
        <f>SUMIF(RawDataRecovered!$B:$B,$A101,RawDataRecovered!AB:AB)</f>
        <v>0</v>
      </c>
      <c r="Z101">
        <f>SUMIF(RawDataRecovered!$B:$B,$A101,RawDataRecovered!AC:AC)</f>
        <v>0</v>
      </c>
      <c r="AA101">
        <f>SUMIF(RawDataRecovered!$B:$B,$A101,RawDataRecovered!AD:AD)</f>
        <v>0</v>
      </c>
      <c r="AB101">
        <f>SUMIF(RawDataRecovered!$B:$B,$A101,RawDataRecovered!AE:AE)</f>
        <v>0</v>
      </c>
      <c r="AC101">
        <f>SUMIF(RawDataRecovered!$B:$B,$A101,RawDataRecovered!AF:AF)</f>
        <v>0</v>
      </c>
      <c r="AD101">
        <f>SUMIF(RawDataRecovered!$B:$B,$A101,RawDataRecovered!AG:AG)</f>
        <v>0</v>
      </c>
      <c r="AE101">
        <f>SUMIF(RawDataRecovered!$B:$B,$A101,RawDataRecovered!AH:AH)</f>
        <v>0</v>
      </c>
      <c r="AF101">
        <f>SUMIF(RawDataRecovered!$B:$B,$A101,RawDataRecovered!AI:AI)</f>
        <v>0</v>
      </c>
      <c r="AG101">
        <f>SUMIF(RawDataRecovered!$B:$B,$A101,RawDataRecovered!AJ:AJ)</f>
        <v>0</v>
      </c>
      <c r="AH101">
        <f>SUMIF(RawDataRecovered!$B:$B,$A101,RawDataRecovered!AK:AK)</f>
        <v>0</v>
      </c>
      <c r="AI101">
        <f>SUMIF(RawDataRecovered!$B:$B,$A101,RawDataRecovered!AL:AL)</f>
        <v>0</v>
      </c>
      <c r="AJ101">
        <f>SUMIF(RawDataRecovered!$B:$B,$A101,RawDataRecovered!AM:AM)</f>
        <v>0</v>
      </c>
      <c r="AK101">
        <f>SUMIF(RawDataRecovered!$B:$B,$A101,RawDataRecovered!AN:AN)</f>
        <v>0</v>
      </c>
      <c r="AL101">
        <f>SUMIF(RawDataRecovered!$B:$B,$A101,RawDataRecovered!AO:AO)</f>
        <v>0</v>
      </c>
      <c r="AM101">
        <f>SUMIF(RawDataRecovered!$B:$B,$A101,RawDataRecovered!AP:AP)</f>
        <v>0</v>
      </c>
      <c r="AN101">
        <f>SUMIF(RawDataRecovered!$B:$B,$A101,RawDataRecovered!AQ:AQ)</f>
        <v>0</v>
      </c>
      <c r="AO101">
        <f>SUMIF(RawDataRecovered!$B:$B,$A101,RawDataRecovered!AR:AR)</f>
        <v>0</v>
      </c>
      <c r="AP101">
        <f>SUMIF(RawDataRecovered!$B:$B,$A101,RawDataRecovered!AS:AS)</f>
        <v>0</v>
      </c>
      <c r="AQ101">
        <f>SUMIF(RawDataRecovered!$B:$B,$A101,RawDataRecovered!AT:AT)</f>
        <v>0</v>
      </c>
      <c r="AR101">
        <f>SUMIF(RawDataRecovered!$B:$B,$A101,RawDataRecovered!AU:AU)</f>
        <v>0</v>
      </c>
      <c r="AS101">
        <f>SUMIF(RawDataRecovered!$B:$B,$A101,RawDataRecovered!AV:AV)</f>
        <v>0</v>
      </c>
      <c r="AT101">
        <f>SUMIF(RawDataRecovered!$B:$B,$A101,RawDataRecovered!AW:AW)</f>
        <v>0</v>
      </c>
      <c r="AU101">
        <f>SUMIF(RawDataRecovered!$B:$B,$A101,RawDataRecovered!AX:AX)</f>
        <v>0</v>
      </c>
      <c r="AV101">
        <f>SUMIF(RawDataRecovered!$B:$B,$A101,RawDataRecovered!AY:AY)</f>
        <v>0</v>
      </c>
      <c r="AW101">
        <f>SUMIF(RawDataRecovered!$B:$B,$A101,RawDataRecovered!AZ:AZ)</f>
        <v>0</v>
      </c>
      <c r="AX101">
        <f>SUMIF(RawDataRecovered!$B:$B,$A101,RawDataRecovered!BA:BA)</f>
        <v>0</v>
      </c>
      <c r="AY101">
        <f>SUMIF(RawDataRecovered!$B:$B,$A101,RawDataRecovered!BB:BB)</f>
        <v>0</v>
      </c>
      <c r="AZ101">
        <f>SUMIF(RawDataRecovered!$B:$B,$A101,RawDataRecovered!BC:BC)</f>
        <v>0</v>
      </c>
      <c r="BA101">
        <f>SUMIF(RawDataRecovered!$B:$B,$A101,RawDataRecovered!BD:BD)</f>
        <v>0</v>
      </c>
      <c r="BB101">
        <f>SUMIF(RawDataRecovered!$B:$B,$A101,RawDataRecovered!BE:BE)</f>
        <v>0</v>
      </c>
      <c r="BC101">
        <f>SUMIF(RawDataRecovered!$B:$B,$A101,RawDataRecovered!BF:BF)</f>
        <v>0</v>
      </c>
      <c r="BD101">
        <f>SUMIF(RawDataRecovered!$B:$B,$A101,RawDataRecovered!BG:BG)</f>
        <v>0</v>
      </c>
      <c r="BE101">
        <f>SUMIF(RawDataRecovered!$B:$B,$A101,RawDataRecovered!BH:BH)</f>
        <v>0</v>
      </c>
      <c r="BF101">
        <f>SUMIF(RawDataRecovered!$B:$B,$A101,RawDataRecovered!BI:BI)</f>
        <v>0</v>
      </c>
      <c r="BG101">
        <f>SUMIF(RawDataRecovered!$B:$B,$A101,RawDataRecovered!BJ:BJ)</f>
        <v>0</v>
      </c>
      <c r="BH101">
        <f>SUMIF(RawDataRecovered!$B:$B,$A101,RawDataRecovered!BK:BK)</f>
        <v>0</v>
      </c>
      <c r="BI101">
        <f>SUMIF(RawDataRecovered!$B:$B,$A101,RawDataRecovered!BL:BL)</f>
        <v>0</v>
      </c>
      <c r="BJ101">
        <f>SUMIF(RawDataRecovered!$B:$B,$A101,RawDataRecovered!BM:BM)</f>
        <v>0</v>
      </c>
      <c r="BK101">
        <f>SUMIF(RawDataRecovered!$B:$B,$A101,RawDataRecovered!BN:BN)</f>
        <v>0</v>
      </c>
      <c r="BL101">
        <f>SUMIF(RawDataRecovered!$B:$B,$A101,RawDataRecovered!BO:BO)</f>
        <v>0</v>
      </c>
      <c r="BM101">
        <f>SUMIF(RawDataRecovered!$B:$B,$A101,RawDataRecovered!BP:BP)</f>
        <v>0</v>
      </c>
      <c r="BN101">
        <f>SUMIF(RawDataRecovered!$B:$B,$A101,RawDataRecovered!BQ:BQ)</f>
        <v>0</v>
      </c>
      <c r="BO101">
        <f>SUMIF(RawDataRecovered!$B:$B,$A101,RawDataRecovered!BR:BR)</f>
        <v>0</v>
      </c>
      <c r="BP101">
        <f>SUMIF(RawDataRecovered!$B:$B,$A101,RawDataRecovered!BS:BS)</f>
        <v>0</v>
      </c>
      <c r="BQ101">
        <f>SUMIF(RawDataRecovered!$B:$B,$A101,RawDataRecovered!BT:BT)</f>
        <v>0</v>
      </c>
      <c r="BR101">
        <f>SUMIF(RawDataRecovered!$B:$B,$A101,RawDataRecovered!BU:BU)</f>
        <v>0</v>
      </c>
      <c r="BS101">
        <f>SUMIF(RawDataRecovered!$B:$B,$A101,RawDataRecovered!BV:BV)</f>
        <v>0</v>
      </c>
      <c r="BT101">
        <f>SUMIF(RawDataRecovered!$B:$B,$A101,RawDataRecovered!BW:BW)</f>
        <v>0</v>
      </c>
    </row>
    <row r="102" spans="1:72" ht="15" thickBot="1" x14ac:dyDescent="0.35">
      <c r="A102" s="3" t="s">
        <v>156</v>
      </c>
      <c r="B102">
        <f>SUMIF(RawDataRecovered!$B:$B,$A102,RawDataRecovered!E:E)</f>
        <v>0</v>
      </c>
      <c r="C102">
        <f>SUMIF(RawDataRecovered!$B:$B,$A102,RawDataRecovered!F:F)</f>
        <v>0</v>
      </c>
      <c r="D102">
        <f>SUMIF(RawDataRecovered!$B:$B,$A102,RawDataRecovered!G:G)</f>
        <v>0</v>
      </c>
      <c r="E102">
        <f>SUMIF(RawDataRecovered!$B:$B,$A102,RawDataRecovered!H:H)</f>
        <v>0</v>
      </c>
      <c r="F102">
        <f>SUMIF(RawDataRecovered!$B:$B,$A102,RawDataRecovered!I:I)</f>
        <v>0</v>
      </c>
      <c r="G102">
        <f>SUMIF(RawDataRecovered!$B:$B,$A102,RawDataRecovered!J:J)</f>
        <v>0</v>
      </c>
      <c r="H102">
        <f>SUMIF(RawDataRecovered!$B:$B,$A102,RawDataRecovered!K:K)</f>
        <v>0</v>
      </c>
      <c r="I102">
        <f>SUMIF(RawDataRecovered!$B:$B,$A102,RawDataRecovered!L:L)</f>
        <v>0</v>
      </c>
      <c r="J102">
        <f>SUMIF(RawDataRecovered!$B:$B,$A102,RawDataRecovered!M:M)</f>
        <v>0</v>
      </c>
      <c r="K102">
        <f>SUMIF(RawDataRecovered!$B:$B,$A102,RawDataRecovered!N:N)</f>
        <v>0</v>
      </c>
      <c r="L102">
        <f>SUMIF(RawDataRecovered!$B:$B,$A102,RawDataRecovered!O:O)</f>
        <v>0</v>
      </c>
      <c r="M102">
        <f>SUMIF(RawDataRecovered!$B:$B,$A102,RawDataRecovered!P:P)</f>
        <v>0</v>
      </c>
      <c r="N102">
        <f>SUMIF(RawDataRecovered!$B:$B,$A102,RawDataRecovered!Q:Q)</f>
        <v>0</v>
      </c>
      <c r="O102">
        <f>SUMIF(RawDataRecovered!$B:$B,$A102,RawDataRecovered!R:R)</f>
        <v>0</v>
      </c>
      <c r="P102">
        <f>SUMIF(RawDataRecovered!$B:$B,$A102,RawDataRecovered!S:S)</f>
        <v>0</v>
      </c>
      <c r="Q102">
        <f>SUMIF(RawDataRecovered!$B:$B,$A102,RawDataRecovered!T:T)</f>
        <v>0</v>
      </c>
      <c r="R102">
        <f>SUMIF(RawDataRecovered!$B:$B,$A102,RawDataRecovered!U:U)</f>
        <v>0</v>
      </c>
      <c r="S102">
        <f>SUMIF(RawDataRecovered!$B:$B,$A102,RawDataRecovered!V:V)</f>
        <v>0</v>
      </c>
      <c r="T102">
        <f>SUMIF(RawDataRecovered!$B:$B,$A102,RawDataRecovered!W:W)</f>
        <v>0</v>
      </c>
      <c r="U102">
        <f>SUMIF(RawDataRecovered!$B:$B,$A102,RawDataRecovered!X:X)</f>
        <v>0</v>
      </c>
      <c r="V102">
        <f>SUMIF(RawDataRecovered!$B:$B,$A102,RawDataRecovered!Y:Y)</f>
        <v>0</v>
      </c>
      <c r="W102">
        <f>SUMIF(RawDataRecovered!$B:$B,$A102,RawDataRecovered!Z:Z)</f>
        <v>0</v>
      </c>
      <c r="X102">
        <f>SUMIF(RawDataRecovered!$B:$B,$A102,RawDataRecovered!AA:AA)</f>
        <v>0</v>
      </c>
      <c r="Y102">
        <f>SUMIF(RawDataRecovered!$B:$B,$A102,RawDataRecovered!AB:AB)</f>
        <v>0</v>
      </c>
      <c r="Z102">
        <f>SUMIF(RawDataRecovered!$B:$B,$A102,RawDataRecovered!AC:AC)</f>
        <v>0</v>
      </c>
      <c r="AA102">
        <f>SUMIF(RawDataRecovered!$B:$B,$A102,RawDataRecovered!AD:AD)</f>
        <v>0</v>
      </c>
      <c r="AB102">
        <f>SUMIF(RawDataRecovered!$B:$B,$A102,RawDataRecovered!AE:AE)</f>
        <v>0</v>
      </c>
      <c r="AC102">
        <f>SUMIF(RawDataRecovered!$B:$B,$A102,RawDataRecovered!AF:AF)</f>
        <v>0</v>
      </c>
      <c r="AD102">
        <f>SUMIF(RawDataRecovered!$B:$B,$A102,RawDataRecovered!AG:AG)</f>
        <v>0</v>
      </c>
      <c r="AE102">
        <f>SUMIF(RawDataRecovered!$B:$B,$A102,RawDataRecovered!AH:AH)</f>
        <v>0</v>
      </c>
      <c r="AF102">
        <f>SUMIF(RawDataRecovered!$B:$B,$A102,RawDataRecovered!AI:AI)</f>
        <v>0</v>
      </c>
      <c r="AG102">
        <f>SUMIF(RawDataRecovered!$B:$B,$A102,RawDataRecovered!AJ:AJ)</f>
        <v>0</v>
      </c>
      <c r="AH102">
        <f>SUMIF(RawDataRecovered!$B:$B,$A102,RawDataRecovered!AK:AK)</f>
        <v>0</v>
      </c>
      <c r="AI102">
        <f>SUMIF(RawDataRecovered!$B:$B,$A102,RawDataRecovered!AL:AL)</f>
        <v>0</v>
      </c>
      <c r="AJ102">
        <f>SUMIF(RawDataRecovered!$B:$B,$A102,RawDataRecovered!AM:AM)</f>
        <v>0</v>
      </c>
      <c r="AK102">
        <f>SUMIF(RawDataRecovered!$B:$B,$A102,RawDataRecovered!AN:AN)</f>
        <v>0</v>
      </c>
      <c r="AL102">
        <f>SUMIF(RawDataRecovered!$B:$B,$A102,RawDataRecovered!AO:AO)</f>
        <v>0</v>
      </c>
      <c r="AM102">
        <f>SUMIF(RawDataRecovered!$B:$B,$A102,RawDataRecovered!AP:AP)</f>
        <v>0</v>
      </c>
      <c r="AN102">
        <f>SUMIF(RawDataRecovered!$B:$B,$A102,RawDataRecovered!AQ:AQ)</f>
        <v>0</v>
      </c>
      <c r="AO102">
        <f>SUMIF(RawDataRecovered!$B:$B,$A102,RawDataRecovered!AR:AR)</f>
        <v>0</v>
      </c>
      <c r="AP102">
        <f>SUMIF(RawDataRecovered!$B:$B,$A102,RawDataRecovered!AS:AS)</f>
        <v>0</v>
      </c>
      <c r="AQ102">
        <f>SUMIF(RawDataRecovered!$B:$B,$A102,RawDataRecovered!AT:AT)</f>
        <v>0</v>
      </c>
      <c r="AR102">
        <f>SUMIF(RawDataRecovered!$B:$B,$A102,RawDataRecovered!AU:AU)</f>
        <v>0</v>
      </c>
      <c r="AS102">
        <f>SUMIF(RawDataRecovered!$B:$B,$A102,RawDataRecovered!AV:AV)</f>
        <v>0</v>
      </c>
      <c r="AT102">
        <f>SUMIF(RawDataRecovered!$B:$B,$A102,RawDataRecovered!AW:AW)</f>
        <v>0</v>
      </c>
      <c r="AU102">
        <f>SUMIF(RawDataRecovered!$B:$B,$A102,RawDataRecovered!AX:AX)</f>
        <v>0</v>
      </c>
      <c r="AV102">
        <f>SUMIF(RawDataRecovered!$B:$B,$A102,RawDataRecovered!AY:AY)</f>
        <v>0</v>
      </c>
      <c r="AW102">
        <f>SUMIF(RawDataRecovered!$B:$B,$A102,RawDataRecovered!AZ:AZ)</f>
        <v>0</v>
      </c>
      <c r="AX102">
        <f>SUMIF(RawDataRecovered!$B:$B,$A102,RawDataRecovered!BA:BA)</f>
        <v>0</v>
      </c>
      <c r="AY102">
        <f>SUMIF(RawDataRecovered!$B:$B,$A102,RawDataRecovered!BB:BB)</f>
        <v>0</v>
      </c>
      <c r="AZ102">
        <f>SUMIF(RawDataRecovered!$B:$B,$A102,RawDataRecovered!BC:BC)</f>
        <v>0</v>
      </c>
      <c r="BA102">
        <f>SUMIF(RawDataRecovered!$B:$B,$A102,RawDataRecovered!BD:BD)</f>
        <v>0</v>
      </c>
      <c r="BB102">
        <f>SUMIF(RawDataRecovered!$B:$B,$A102,RawDataRecovered!BE:BE)</f>
        <v>0</v>
      </c>
      <c r="BC102">
        <f>SUMIF(RawDataRecovered!$B:$B,$A102,RawDataRecovered!BF:BF)</f>
        <v>0</v>
      </c>
      <c r="BD102">
        <f>SUMIF(RawDataRecovered!$B:$B,$A102,RawDataRecovered!BG:BG)</f>
        <v>0</v>
      </c>
      <c r="BE102">
        <f>SUMIF(RawDataRecovered!$B:$B,$A102,RawDataRecovered!BH:BH)</f>
        <v>0</v>
      </c>
      <c r="BF102">
        <f>SUMIF(RawDataRecovered!$B:$B,$A102,RawDataRecovered!BI:BI)</f>
        <v>0</v>
      </c>
      <c r="BG102">
        <f>SUMIF(RawDataRecovered!$B:$B,$A102,RawDataRecovered!BJ:BJ)</f>
        <v>0</v>
      </c>
      <c r="BH102">
        <f>SUMIF(RawDataRecovered!$B:$B,$A102,RawDataRecovered!BK:BK)</f>
        <v>0</v>
      </c>
      <c r="BI102">
        <f>SUMIF(RawDataRecovered!$B:$B,$A102,RawDataRecovered!BL:BL)</f>
        <v>0</v>
      </c>
      <c r="BJ102">
        <f>SUMIF(RawDataRecovered!$B:$B,$A102,RawDataRecovered!BM:BM)</f>
        <v>0</v>
      </c>
      <c r="BK102">
        <f>SUMIF(RawDataRecovered!$B:$B,$A102,RawDataRecovered!BN:BN)</f>
        <v>0</v>
      </c>
      <c r="BL102">
        <f>SUMIF(RawDataRecovered!$B:$B,$A102,RawDataRecovered!BO:BO)</f>
        <v>0</v>
      </c>
      <c r="BM102">
        <f>SUMIF(RawDataRecovered!$B:$B,$A102,RawDataRecovered!BP:BP)</f>
        <v>0</v>
      </c>
      <c r="BN102">
        <f>SUMIF(RawDataRecovered!$B:$B,$A102,RawDataRecovered!BQ:BQ)</f>
        <v>0</v>
      </c>
      <c r="BO102">
        <f>SUMIF(RawDataRecovered!$B:$B,$A102,RawDataRecovered!BR:BR)</f>
        <v>0</v>
      </c>
      <c r="BP102">
        <f>SUMIF(RawDataRecovered!$B:$B,$A102,RawDataRecovered!BS:BS)</f>
        <v>0</v>
      </c>
      <c r="BQ102">
        <f>SUMIF(RawDataRecovered!$B:$B,$A102,RawDataRecovered!BT:BT)</f>
        <v>0</v>
      </c>
      <c r="BR102">
        <f>SUMIF(RawDataRecovered!$B:$B,$A102,RawDataRecovered!BU:BU)</f>
        <v>0</v>
      </c>
      <c r="BS102">
        <f>SUMIF(RawDataRecovered!$B:$B,$A102,RawDataRecovered!BV:BV)</f>
        <v>0</v>
      </c>
      <c r="BT102">
        <f>SUMIF(RawDataRecovered!$B:$B,$A102,RawDataRecovered!BW:BW)</f>
        <v>0</v>
      </c>
    </row>
    <row r="103" spans="1:72" ht="15" thickBot="1" x14ac:dyDescent="0.35">
      <c r="A103" s="3" t="s">
        <v>450</v>
      </c>
      <c r="B103">
        <f>SUMIF(RawDataRecovered!$B:$B,$A103,RawDataRecovered!E:E)</f>
        <v>0</v>
      </c>
      <c r="C103">
        <f>SUMIF(RawDataRecovered!$B:$B,$A103,RawDataRecovered!F:F)</f>
        <v>0</v>
      </c>
      <c r="D103">
        <f>SUMIF(RawDataRecovered!$B:$B,$A103,RawDataRecovered!G:G)</f>
        <v>0</v>
      </c>
      <c r="E103">
        <f>SUMIF(RawDataRecovered!$B:$B,$A103,RawDataRecovered!H:H)</f>
        <v>0</v>
      </c>
      <c r="F103">
        <f>SUMIF(RawDataRecovered!$B:$B,$A103,RawDataRecovered!I:I)</f>
        <v>0</v>
      </c>
      <c r="G103">
        <f>SUMIF(RawDataRecovered!$B:$B,$A103,RawDataRecovered!J:J)</f>
        <v>0</v>
      </c>
      <c r="H103">
        <f>SUMIF(RawDataRecovered!$B:$B,$A103,RawDataRecovered!K:K)</f>
        <v>0</v>
      </c>
      <c r="I103">
        <f>SUMIF(RawDataRecovered!$B:$B,$A103,RawDataRecovered!L:L)</f>
        <v>0</v>
      </c>
      <c r="J103">
        <f>SUMIF(RawDataRecovered!$B:$B,$A103,RawDataRecovered!M:M)</f>
        <v>0</v>
      </c>
      <c r="K103">
        <f>SUMIF(RawDataRecovered!$B:$B,$A103,RawDataRecovered!N:N)</f>
        <v>0</v>
      </c>
      <c r="L103">
        <f>SUMIF(RawDataRecovered!$B:$B,$A103,RawDataRecovered!O:O)</f>
        <v>0</v>
      </c>
      <c r="M103">
        <f>SUMIF(RawDataRecovered!$B:$B,$A103,RawDataRecovered!P:P)</f>
        <v>0</v>
      </c>
      <c r="N103">
        <f>SUMIF(RawDataRecovered!$B:$B,$A103,RawDataRecovered!Q:Q)</f>
        <v>0</v>
      </c>
      <c r="O103">
        <f>SUMIF(RawDataRecovered!$B:$B,$A103,RawDataRecovered!R:R)</f>
        <v>0</v>
      </c>
      <c r="P103">
        <f>SUMIF(RawDataRecovered!$B:$B,$A103,RawDataRecovered!S:S)</f>
        <v>0</v>
      </c>
      <c r="Q103">
        <f>SUMIF(RawDataRecovered!$B:$B,$A103,RawDataRecovered!T:T)</f>
        <v>0</v>
      </c>
      <c r="R103">
        <f>SUMIF(RawDataRecovered!$B:$B,$A103,RawDataRecovered!U:U)</f>
        <v>0</v>
      </c>
      <c r="S103">
        <f>SUMIF(RawDataRecovered!$B:$B,$A103,RawDataRecovered!V:V)</f>
        <v>0</v>
      </c>
      <c r="T103">
        <f>SUMIF(RawDataRecovered!$B:$B,$A103,RawDataRecovered!W:W)</f>
        <v>0</v>
      </c>
      <c r="U103">
        <f>SUMIF(RawDataRecovered!$B:$B,$A103,RawDataRecovered!X:X)</f>
        <v>0</v>
      </c>
      <c r="V103">
        <f>SUMIF(RawDataRecovered!$B:$B,$A103,RawDataRecovered!Y:Y)</f>
        <v>0</v>
      </c>
      <c r="W103">
        <f>SUMIF(RawDataRecovered!$B:$B,$A103,RawDataRecovered!Z:Z)</f>
        <v>0</v>
      </c>
      <c r="X103">
        <f>SUMIF(RawDataRecovered!$B:$B,$A103,RawDataRecovered!AA:AA)</f>
        <v>0</v>
      </c>
      <c r="Y103">
        <f>SUMIF(RawDataRecovered!$B:$B,$A103,RawDataRecovered!AB:AB)</f>
        <v>0</v>
      </c>
      <c r="Z103">
        <f>SUMIF(RawDataRecovered!$B:$B,$A103,RawDataRecovered!AC:AC)</f>
        <v>0</v>
      </c>
      <c r="AA103">
        <f>SUMIF(RawDataRecovered!$B:$B,$A103,RawDataRecovered!AD:AD)</f>
        <v>0</v>
      </c>
      <c r="AB103">
        <f>SUMIF(RawDataRecovered!$B:$B,$A103,RawDataRecovered!AE:AE)</f>
        <v>0</v>
      </c>
      <c r="AC103">
        <f>SUMIF(RawDataRecovered!$B:$B,$A103,RawDataRecovered!AF:AF)</f>
        <v>0</v>
      </c>
      <c r="AD103">
        <f>SUMIF(RawDataRecovered!$B:$B,$A103,RawDataRecovered!AG:AG)</f>
        <v>0</v>
      </c>
      <c r="AE103">
        <f>SUMIF(RawDataRecovered!$B:$B,$A103,RawDataRecovered!AH:AH)</f>
        <v>0</v>
      </c>
      <c r="AF103">
        <f>SUMIF(RawDataRecovered!$B:$B,$A103,RawDataRecovered!AI:AI)</f>
        <v>0</v>
      </c>
      <c r="AG103">
        <f>SUMIF(RawDataRecovered!$B:$B,$A103,RawDataRecovered!AJ:AJ)</f>
        <v>0</v>
      </c>
      <c r="AH103">
        <f>SUMIF(RawDataRecovered!$B:$B,$A103,RawDataRecovered!AK:AK)</f>
        <v>0</v>
      </c>
      <c r="AI103">
        <f>SUMIF(RawDataRecovered!$B:$B,$A103,RawDataRecovered!AL:AL)</f>
        <v>0</v>
      </c>
      <c r="AJ103">
        <f>SUMIF(RawDataRecovered!$B:$B,$A103,RawDataRecovered!AM:AM)</f>
        <v>0</v>
      </c>
      <c r="AK103">
        <f>SUMIF(RawDataRecovered!$B:$B,$A103,RawDataRecovered!AN:AN)</f>
        <v>0</v>
      </c>
      <c r="AL103">
        <f>SUMIF(RawDataRecovered!$B:$B,$A103,RawDataRecovered!AO:AO)</f>
        <v>0</v>
      </c>
      <c r="AM103">
        <f>SUMIF(RawDataRecovered!$B:$B,$A103,RawDataRecovered!AP:AP)</f>
        <v>0</v>
      </c>
      <c r="AN103">
        <f>SUMIF(RawDataRecovered!$B:$B,$A103,RawDataRecovered!AQ:AQ)</f>
        <v>0</v>
      </c>
      <c r="AO103">
        <f>SUMIF(RawDataRecovered!$B:$B,$A103,RawDataRecovered!AR:AR)</f>
        <v>0</v>
      </c>
      <c r="AP103">
        <f>SUMIF(RawDataRecovered!$B:$B,$A103,RawDataRecovered!AS:AS)</f>
        <v>0</v>
      </c>
      <c r="AQ103">
        <f>SUMIF(RawDataRecovered!$B:$B,$A103,RawDataRecovered!AT:AT)</f>
        <v>0</v>
      </c>
      <c r="AR103">
        <f>SUMIF(RawDataRecovered!$B:$B,$A103,RawDataRecovered!AU:AU)</f>
        <v>0</v>
      </c>
      <c r="AS103">
        <f>SUMIF(RawDataRecovered!$B:$B,$A103,RawDataRecovered!AV:AV)</f>
        <v>0</v>
      </c>
      <c r="AT103">
        <f>SUMIF(RawDataRecovered!$B:$B,$A103,RawDataRecovered!AW:AW)</f>
        <v>0</v>
      </c>
      <c r="AU103">
        <f>SUMIF(RawDataRecovered!$B:$B,$A103,RawDataRecovered!AX:AX)</f>
        <v>0</v>
      </c>
      <c r="AV103">
        <f>SUMIF(RawDataRecovered!$B:$B,$A103,RawDataRecovered!AY:AY)</f>
        <v>0</v>
      </c>
      <c r="AW103">
        <f>SUMIF(RawDataRecovered!$B:$B,$A103,RawDataRecovered!AZ:AZ)</f>
        <v>0</v>
      </c>
      <c r="AX103">
        <f>SUMIF(RawDataRecovered!$B:$B,$A103,RawDataRecovered!BA:BA)</f>
        <v>0</v>
      </c>
      <c r="AY103">
        <f>SUMIF(RawDataRecovered!$B:$B,$A103,RawDataRecovered!BB:BB)</f>
        <v>0</v>
      </c>
      <c r="AZ103">
        <f>SUMIF(RawDataRecovered!$B:$B,$A103,RawDataRecovered!BC:BC)</f>
        <v>0</v>
      </c>
      <c r="BA103">
        <f>SUMIF(RawDataRecovered!$B:$B,$A103,RawDataRecovered!BD:BD)</f>
        <v>0</v>
      </c>
      <c r="BB103">
        <f>SUMIF(RawDataRecovered!$B:$B,$A103,RawDataRecovered!BE:BE)</f>
        <v>0</v>
      </c>
      <c r="BC103">
        <f>SUMIF(RawDataRecovered!$B:$B,$A103,RawDataRecovered!BF:BF)</f>
        <v>0</v>
      </c>
      <c r="BD103">
        <f>SUMIF(RawDataRecovered!$B:$B,$A103,RawDataRecovered!BG:BG)</f>
        <v>0</v>
      </c>
      <c r="BE103">
        <f>SUMIF(RawDataRecovered!$B:$B,$A103,RawDataRecovered!BH:BH)</f>
        <v>0</v>
      </c>
      <c r="BF103">
        <f>SUMIF(RawDataRecovered!$B:$B,$A103,RawDataRecovered!BI:BI)</f>
        <v>0</v>
      </c>
      <c r="BG103">
        <f>SUMIF(RawDataRecovered!$B:$B,$A103,RawDataRecovered!BJ:BJ)</f>
        <v>0</v>
      </c>
      <c r="BH103">
        <f>SUMIF(RawDataRecovered!$B:$B,$A103,RawDataRecovered!BK:BK)</f>
        <v>0</v>
      </c>
      <c r="BI103">
        <f>SUMIF(RawDataRecovered!$B:$B,$A103,RawDataRecovered!BL:BL)</f>
        <v>0</v>
      </c>
      <c r="BJ103">
        <f>SUMIF(RawDataRecovered!$B:$B,$A103,RawDataRecovered!BM:BM)</f>
        <v>0</v>
      </c>
      <c r="BK103">
        <f>SUMIF(RawDataRecovered!$B:$B,$A103,RawDataRecovered!BN:BN)</f>
        <v>0</v>
      </c>
      <c r="BL103">
        <f>SUMIF(RawDataRecovered!$B:$B,$A103,RawDataRecovered!BO:BO)</f>
        <v>0</v>
      </c>
      <c r="BM103">
        <f>SUMIF(RawDataRecovered!$B:$B,$A103,RawDataRecovered!BP:BP)</f>
        <v>0</v>
      </c>
      <c r="BN103">
        <f>SUMIF(RawDataRecovered!$B:$B,$A103,RawDataRecovered!BQ:BQ)</f>
        <v>0</v>
      </c>
      <c r="BO103">
        <f>SUMIF(RawDataRecovered!$B:$B,$A103,RawDataRecovered!BR:BR)</f>
        <v>0</v>
      </c>
      <c r="BP103">
        <f>SUMIF(RawDataRecovered!$B:$B,$A103,RawDataRecovered!BS:BS)</f>
        <v>0</v>
      </c>
      <c r="BQ103">
        <f>SUMIF(RawDataRecovered!$B:$B,$A103,RawDataRecovered!BT:BT)</f>
        <v>0</v>
      </c>
      <c r="BR103">
        <f>SUMIF(RawDataRecovered!$B:$B,$A103,RawDataRecovered!BU:BU)</f>
        <v>0</v>
      </c>
      <c r="BS103">
        <f>SUMIF(RawDataRecovered!$B:$B,$A103,RawDataRecovered!BV:BV)</f>
        <v>0</v>
      </c>
      <c r="BT103">
        <f>SUMIF(RawDataRecovered!$B:$B,$A103,RawDataRecovered!BW:BW)</f>
        <v>0</v>
      </c>
    </row>
    <row r="104" spans="1:72" ht="15" thickBot="1" x14ac:dyDescent="0.35">
      <c r="A104" s="4" t="s">
        <v>306</v>
      </c>
      <c r="B104">
        <f>SUMIF(RawDataRecovered!$B:$B,$A104,RawDataRecovered!E:E)</f>
        <v>0</v>
      </c>
      <c r="C104">
        <f>SUMIF(RawDataRecovered!$B:$B,$A104,RawDataRecovered!F:F)</f>
        <v>0</v>
      </c>
      <c r="D104">
        <f>SUMIF(RawDataRecovered!$B:$B,$A104,RawDataRecovered!G:G)</f>
        <v>0</v>
      </c>
      <c r="E104">
        <f>SUMIF(RawDataRecovered!$B:$B,$A104,RawDataRecovered!H:H)</f>
        <v>0</v>
      </c>
      <c r="F104">
        <f>SUMIF(RawDataRecovered!$B:$B,$A104,RawDataRecovered!I:I)</f>
        <v>0</v>
      </c>
      <c r="G104">
        <f>SUMIF(RawDataRecovered!$B:$B,$A104,RawDataRecovered!J:J)</f>
        <v>0</v>
      </c>
      <c r="H104">
        <f>SUMIF(RawDataRecovered!$B:$B,$A104,RawDataRecovered!K:K)</f>
        <v>0</v>
      </c>
      <c r="I104">
        <f>SUMIF(RawDataRecovered!$B:$B,$A104,RawDataRecovered!L:L)</f>
        <v>0</v>
      </c>
      <c r="J104">
        <f>SUMIF(RawDataRecovered!$B:$B,$A104,RawDataRecovered!M:M)</f>
        <v>0</v>
      </c>
      <c r="K104">
        <f>SUMIF(RawDataRecovered!$B:$B,$A104,RawDataRecovered!N:N)</f>
        <v>0</v>
      </c>
      <c r="L104">
        <f>SUMIF(RawDataRecovered!$B:$B,$A104,RawDataRecovered!O:O)</f>
        <v>0</v>
      </c>
      <c r="M104">
        <f>SUMIF(RawDataRecovered!$B:$B,$A104,RawDataRecovered!P:P)</f>
        <v>0</v>
      </c>
      <c r="N104">
        <f>SUMIF(RawDataRecovered!$B:$B,$A104,RawDataRecovered!Q:Q)</f>
        <v>0</v>
      </c>
      <c r="O104">
        <f>SUMIF(RawDataRecovered!$B:$B,$A104,RawDataRecovered!R:R)</f>
        <v>0</v>
      </c>
      <c r="P104">
        <f>SUMIF(RawDataRecovered!$B:$B,$A104,RawDataRecovered!S:S)</f>
        <v>0</v>
      </c>
      <c r="Q104">
        <f>SUMIF(RawDataRecovered!$B:$B,$A104,RawDataRecovered!T:T)</f>
        <v>0</v>
      </c>
      <c r="R104">
        <f>SUMIF(RawDataRecovered!$B:$B,$A104,RawDataRecovered!U:U)</f>
        <v>0</v>
      </c>
      <c r="S104">
        <f>SUMIF(RawDataRecovered!$B:$B,$A104,RawDataRecovered!V:V)</f>
        <v>0</v>
      </c>
      <c r="T104">
        <f>SUMIF(RawDataRecovered!$B:$B,$A104,RawDataRecovered!W:W)</f>
        <v>0</v>
      </c>
      <c r="U104">
        <f>SUMIF(RawDataRecovered!$B:$B,$A104,RawDataRecovered!X:X)</f>
        <v>0</v>
      </c>
      <c r="V104">
        <f>SUMIF(RawDataRecovered!$B:$B,$A104,RawDataRecovered!Y:Y)</f>
        <v>0</v>
      </c>
      <c r="W104">
        <f>SUMIF(RawDataRecovered!$B:$B,$A104,RawDataRecovered!Z:Z)</f>
        <v>0</v>
      </c>
      <c r="X104">
        <f>SUMIF(RawDataRecovered!$B:$B,$A104,RawDataRecovered!AA:AA)</f>
        <v>0</v>
      </c>
      <c r="Y104">
        <f>SUMIF(RawDataRecovered!$B:$B,$A104,RawDataRecovered!AB:AB)</f>
        <v>0</v>
      </c>
      <c r="Z104">
        <f>SUMIF(RawDataRecovered!$B:$B,$A104,RawDataRecovered!AC:AC)</f>
        <v>0</v>
      </c>
      <c r="AA104">
        <f>SUMIF(RawDataRecovered!$B:$B,$A104,RawDataRecovered!AD:AD)</f>
        <v>0</v>
      </c>
      <c r="AB104">
        <f>SUMIF(RawDataRecovered!$B:$B,$A104,RawDataRecovered!AE:AE)</f>
        <v>0</v>
      </c>
      <c r="AC104">
        <f>SUMIF(RawDataRecovered!$B:$B,$A104,RawDataRecovered!AF:AF)</f>
        <v>0</v>
      </c>
      <c r="AD104">
        <f>SUMIF(RawDataRecovered!$B:$B,$A104,RawDataRecovered!AG:AG)</f>
        <v>0</v>
      </c>
      <c r="AE104">
        <f>SUMIF(RawDataRecovered!$B:$B,$A104,RawDataRecovered!AH:AH)</f>
        <v>0</v>
      </c>
      <c r="AF104">
        <f>SUMIF(RawDataRecovered!$B:$B,$A104,RawDataRecovered!AI:AI)</f>
        <v>0</v>
      </c>
      <c r="AG104">
        <f>SUMIF(RawDataRecovered!$B:$B,$A104,RawDataRecovered!AJ:AJ)</f>
        <v>0</v>
      </c>
      <c r="AH104">
        <f>SUMIF(RawDataRecovered!$B:$B,$A104,RawDataRecovered!AK:AK)</f>
        <v>0</v>
      </c>
      <c r="AI104">
        <f>SUMIF(RawDataRecovered!$B:$B,$A104,RawDataRecovered!AL:AL)</f>
        <v>0</v>
      </c>
      <c r="AJ104">
        <f>SUMIF(RawDataRecovered!$B:$B,$A104,RawDataRecovered!AM:AM)</f>
        <v>0</v>
      </c>
      <c r="AK104">
        <f>SUMIF(RawDataRecovered!$B:$B,$A104,RawDataRecovered!AN:AN)</f>
        <v>0</v>
      </c>
      <c r="AL104">
        <f>SUMIF(RawDataRecovered!$B:$B,$A104,RawDataRecovered!AO:AO)</f>
        <v>0</v>
      </c>
      <c r="AM104">
        <f>SUMIF(RawDataRecovered!$B:$B,$A104,RawDataRecovered!AP:AP)</f>
        <v>0</v>
      </c>
      <c r="AN104">
        <f>SUMIF(RawDataRecovered!$B:$B,$A104,RawDataRecovered!AQ:AQ)</f>
        <v>0</v>
      </c>
      <c r="AO104">
        <f>SUMIF(RawDataRecovered!$B:$B,$A104,RawDataRecovered!AR:AR)</f>
        <v>0</v>
      </c>
      <c r="AP104">
        <f>SUMIF(RawDataRecovered!$B:$B,$A104,RawDataRecovered!AS:AS)</f>
        <v>0</v>
      </c>
      <c r="AQ104">
        <f>SUMIF(RawDataRecovered!$B:$B,$A104,RawDataRecovered!AT:AT)</f>
        <v>0</v>
      </c>
      <c r="AR104">
        <f>SUMIF(RawDataRecovered!$B:$B,$A104,RawDataRecovered!AU:AU)</f>
        <v>0</v>
      </c>
      <c r="AS104">
        <f>SUMIF(RawDataRecovered!$B:$B,$A104,RawDataRecovered!AV:AV)</f>
        <v>0</v>
      </c>
      <c r="AT104">
        <f>SUMIF(RawDataRecovered!$B:$B,$A104,RawDataRecovered!AW:AW)</f>
        <v>0</v>
      </c>
      <c r="AU104">
        <f>SUMIF(RawDataRecovered!$B:$B,$A104,RawDataRecovered!AX:AX)</f>
        <v>0</v>
      </c>
      <c r="AV104">
        <f>SUMIF(RawDataRecovered!$B:$B,$A104,RawDataRecovered!AY:AY)</f>
        <v>0</v>
      </c>
      <c r="AW104">
        <f>SUMIF(RawDataRecovered!$B:$B,$A104,RawDataRecovered!AZ:AZ)</f>
        <v>0</v>
      </c>
      <c r="AX104">
        <f>SUMIF(RawDataRecovered!$B:$B,$A104,RawDataRecovered!BA:BA)</f>
        <v>0</v>
      </c>
      <c r="AY104">
        <f>SUMIF(RawDataRecovered!$B:$B,$A104,RawDataRecovered!BB:BB)</f>
        <v>0</v>
      </c>
      <c r="AZ104">
        <f>SUMIF(RawDataRecovered!$B:$B,$A104,RawDataRecovered!BC:BC)</f>
        <v>0</v>
      </c>
      <c r="BA104">
        <f>SUMIF(RawDataRecovered!$B:$B,$A104,RawDataRecovered!BD:BD)</f>
        <v>0</v>
      </c>
      <c r="BB104">
        <f>SUMIF(RawDataRecovered!$B:$B,$A104,RawDataRecovered!BE:BE)</f>
        <v>0</v>
      </c>
      <c r="BC104">
        <f>SUMIF(RawDataRecovered!$B:$B,$A104,RawDataRecovered!BF:BF)</f>
        <v>0</v>
      </c>
      <c r="BD104">
        <f>SUMIF(RawDataRecovered!$B:$B,$A104,RawDataRecovered!BG:BG)</f>
        <v>0</v>
      </c>
      <c r="BE104">
        <f>SUMIF(RawDataRecovered!$B:$B,$A104,RawDataRecovered!BH:BH)</f>
        <v>0</v>
      </c>
      <c r="BF104">
        <f>SUMIF(RawDataRecovered!$B:$B,$A104,RawDataRecovered!BI:BI)</f>
        <v>0</v>
      </c>
      <c r="BG104">
        <f>SUMIF(RawDataRecovered!$B:$B,$A104,RawDataRecovered!BJ:BJ)</f>
        <v>0</v>
      </c>
      <c r="BH104">
        <f>SUMIF(RawDataRecovered!$B:$B,$A104,RawDataRecovered!BK:BK)</f>
        <v>0</v>
      </c>
      <c r="BI104">
        <f>SUMIF(RawDataRecovered!$B:$B,$A104,RawDataRecovered!BL:BL)</f>
        <v>0</v>
      </c>
      <c r="BJ104">
        <f>SUMIF(RawDataRecovered!$B:$B,$A104,RawDataRecovered!BM:BM)</f>
        <v>0</v>
      </c>
      <c r="BK104">
        <f>SUMIF(RawDataRecovered!$B:$B,$A104,RawDataRecovered!BN:BN)</f>
        <v>0</v>
      </c>
      <c r="BL104">
        <f>SUMIF(RawDataRecovered!$B:$B,$A104,RawDataRecovered!BO:BO)</f>
        <v>0</v>
      </c>
      <c r="BM104">
        <f>SUMIF(RawDataRecovered!$B:$B,$A104,RawDataRecovered!BP:BP)</f>
        <v>0</v>
      </c>
      <c r="BN104">
        <f>SUMIF(RawDataRecovered!$B:$B,$A104,RawDataRecovered!BQ:BQ)</f>
        <v>0</v>
      </c>
      <c r="BO104">
        <f>SUMIF(RawDataRecovered!$B:$B,$A104,RawDataRecovered!BR:BR)</f>
        <v>0</v>
      </c>
      <c r="BP104">
        <f>SUMIF(RawDataRecovered!$B:$B,$A104,RawDataRecovered!BS:BS)</f>
        <v>0</v>
      </c>
      <c r="BQ104">
        <f>SUMIF(RawDataRecovered!$B:$B,$A104,RawDataRecovered!BT:BT)</f>
        <v>0</v>
      </c>
      <c r="BR104">
        <f>SUMIF(RawDataRecovered!$B:$B,$A104,RawDataRecovered!BU:BU)</f>
        <v>0</v>
      </c>
      <c r="BS104">
        <f>SUMIF(RawDataRecovered!$B:$B,$A104,RawDataRecovered!BV:BV)</f>
        <v>0</v>
      </c>
      <c r="BT104">
        <f>SUMIF(RawDataRecovered!$B:$B,$A104,RawDataRecovered!BW:BW)</f>
        <v>0</v>
      </c>
    </row>
    <row r="105" spans="1:72" ht="15" thickBot="1" x14ac:dyDescent="0.35">
      <c r="A105" s="3" t="s">
        <v>184</v>
      </c>
      <c r="B105">
        <f>SUMIF(RawDataRecovered!$B:$B,$A105,RawDataRecovered!E:E)</f>
        <v>0</v>
      </c>
      <c r="C105">
        <f>SUMIF(RawDataRecovered!$B:$B,$A105,RawDataRecovered!F:F)</f>
        <v>0</v>
      </c>
      <c r="D105">
        <f>SUMIF(RawDataRecovered!$B:$B,$A105,RawDataRecovered!G:G)</f>
        <v>0</v>
      </c>
      <c r="E105">
        <f>SUMIF(RawDataRecovered!$B:$B,$A105,RawDataRecovered!H:H)</f>
        <v>0</v>
      </c>
      <c r="F105">
        <f>SUMIF(RawDataRecovered!$B:$B,$A105,RawDataRecovered!I:I)</f>
        <v>0</v>
      </c>
      <c r="G105">
        <f>SUMIF(RawDataRecovered!$B:$B,$A105,RawDataRecovered!J:J)</f>
        <v>0</v>
      </c>
      <c r="H105">
        <f>SUMIF(RawDataRecovered!$B:$B,$A105,RawDataRecovered!K:K)</f>
        <v>0</v>
      </c>
      <c r="I105">
        <f>SUMIF(RawDataRecovered!$B:$B,$A105,RawDataRecovered!L:L)</f>
        <v>0</v>
      </c>
      <c r="J105">
        <f>SUMIF(RawDataRecovered!$B:$B,$A105,RawDataRecovered!M:M)</f>
        <v>0</v>
      </c>
      <c r="K105">
        <f>SUMIF(RawDataRecovered!$B:$B,$A105,RawDataRecovered!N:N)</f>
        <v>0</v>
      </c>
      <c r="L105">
        <f>SUMIF(RawDataRecovered!$B:$B,$A105,RawDataRecovered!O:O)</f>
        <v>0</v>
      </c>
      <c r="M105">
        <f>SUMIF(RawDataRecovered!$B:$B,$A105,RawDataRecovered!P:P)</f>
        <v>0</v>
      </c>
      <c r="N105">
        <f>SUMIF(RawDataRecovered!$B:$B,$A105,RawDataRecovered!Q:Q)</f>
        <v>0</v>
      </c>
      <c r="O105">
        <f>SUMIF(RawDataRecovered!$B:$B,$A105,RawDataRecovered!R:R)</f>
        <v>0</v>
      </c>
      <c r="P105">
        <f>SUMIF(RawDataRecovered!$B:$B,$A105,RawDataRecovered!S:S)</f>
        <v>0</v>
      </c>
      <c r="Q105">
        <f>SUMIF(RawDataRecovered!$B:$B,$A105,RawDataRecovered!T:T)</f>
        <v>0</v>
      </c>
      <c r="R105">
        <f>SUMIF(RawDataRecovered!$B:$B,$A105,RawDataRecovered!U:U)</f>
        <v>0</v>
      </c>
      <c r="S105">
        <f>SUMIF(RawDataRecovered!$B:$B,$A105,RawDataRecovered!V:V)</f>
        <v>0</v>
      </c>
      <c r="T105">
        <f>SUMIF(RawDataRecovered!$B:$B,$A105,RawDataRecovered!W:W)</f>
        <v>0</v>
      </c>
      <c r="U105">
        <f>SUMIF(RawDataRecovered!$B:$B,$A105,RawDataRecovered!X:X)</f>
        <v>0</v>
      </c>
      <c r="V105">
        <f>SUMIF(RawDataRecovered!$B:$B,$A105,RawDataRecovered!Y:Y)</f>
        <v>0</v>
      </c>
      <c r="W105">
        <f>SUMIF(RawDataRecovered!$B:$B,$A105,RawDataRecovered!Z:Z)</f>
        <v>0</v>
      </c>
      <c r="X105">
        <f>SUMIF(RawDataRecovered!$B:$B,$A105,RawDataRecovered!AA:AA)</f>
        <v>0</v>
      </c>
      <c r="Y105">
        <f>SUMIF(RawDataRecovered!$B:$B,$A105,RawDataRecovered!AB:AB)</f>
        <v>0</v>
      </c>
      <c r="Z105">
        <f>SUMIF(RawDataRecovered!$B:$B,$A105,RawDataRecovered!AC:AC)</f>
        <v>0</v>
      </c>
      <c r="AA105">
        <f>SUMIF(RawDataRecovered!$B:$B,$A105,RawDataRecovered!AD:AD)</f>
        <v>0</v>
      </c>
      <c r="AB105">
        <f>SUMIF(RawDataRecovered!$B:$B,$A105,RawDataRecovered!AE:AE)</f>
        <v>0</v>
      </c>
      <c r="AC105">
        <f>SUMIF(RawDataRecovered!$B:$B,$A105,RawDataRecovered!AF:AF)</f>
        <v>0</v>
      </c>
      <c r="AD105">
        <f>SUMIF(RawDataRecovered!$B:$B,$A105,RawDataRecovered!AG:AG)</f>
        <v>0</v>
      </c>
      <c r="AE105">
        <f>SUMIF(RawDataRecovered!$B:$B,$A105,RawDataRecovered!AH:AH)</f>
        <v>0</v>
      </c>
      <c r="AF105">
        <f>SUMIF(RawDataRecovered!$B:$B,$A105,RawDataRecovered!AI:AI)</f>
        <v>0</v>
      </c>
      <c r="AG105">
        <f>SUMIF(RawDataRecovered!$B:$B,$A105,RawDataRecovered!AJ:AJ)</f>
        <v>0</v>
      </c>
      <c r="AH105">
        <f>SUMIF(RawDataRecovered!$B:$B,$A105,RawDataRecovered!AK:AK)</f>
        <v>0</v>
      </c>
      <c r="AI105">
        <f>SUMIF(RawDataRecovered!$B:$B,$A105,RawDataRecovered!AL:AL)</f>
        <v>0</v>
      </c>
      <c r="AJ105">
        <f>SUMIF(RawDataRecovered!$B:$B,$A105,RawDataRecovered!AM:AM)</f>
        <v>0</v>
      </c>
      <c r="AK105">
        <f>SUMIF(RawDataRecovered!$B:$B,$A105,RawDataRecovered!AN:AN)</f>
        <v>0</v>
      </c>
      <c r="AL105">
        <f>SUMIF(RawDataRecovered!$B:$B,$A105,RawDataRecovered!AO:AO)</f>
        <v>0</v>
      </c>
      <c r="AM105">
        <f>SUMIF(RawDataRecovered!$B:$B,$A105,RawDataRecovered!AP:AP)</f>
        <v>0</v>
      </c>
      <c r="AN105">
        <f>SUMIF(RawDataRecovered!$B:$B,$A105,RawDataRecovered!AQ:AQ)</f>
        <v>0</v>
      </c>
      <c r="AO105">
        <f>SUMIF(RawDataRecovered!$B:$B,$A105,RawDataRecovered!AR:AR)</f>
        <v>0</v>
      </c>
      <c r="AP105">
        <f>SUMIF(RawDataRecovered!$B:$B,$A105,RawDataRecovered!AS:AS)</f>
        <v>0</v>
      </c>
      <c r="AQ105">
        <f>SUMIF(RawDataRecovered!$B:$B,$A105,RawDataRecovered!AT:AT)</f>
        <v>0</v>
      </c>
      <c r="AR105">
        <f>SUMIF(RawDataRecovered!$B:$B,$A105,RawDataRecovered!AU:AU)</f>
        <v>0</v>
      </c>
      <c r="AS105">
        <f>SUMIF(RawDataRecovered!$B:$B,$A105,RawDataRecovered!AV:AV)</f>
        <v>0</v>
      </c>
      <c r="AT105">
        <f>SUMIF(RawDataRecovered!$B:$B,$A105,RawDataRecovered!AW:AW)</f>
        <v>0</v>
      </c>
      <c r="AU105">
        <f>SUMIF(RawDataRecovered!$B:$B,$A105,RawDataRecovered!AX:AX)</f>
        <v>0</v>
      </c>
      <c r="AV105">
        <f>SUMIF(RawDataRecovered!$B:$B,$A105,RawDataRecovered!AY:AY)</f>
        <v>0</v>
      </c>
      <c r="AW105">
        <f>SUMIF(RawDataRecovered!$B:$B,$A105,RawDataRecovered!AZ:AZ)</f>
        <v>0</v>
      </c>
      <c r="AX105">
        <f>SUMIF(RawDataRecovered!$B:$B,$A105,RawDataRecovered!BA:BA)</f>
        <v>0</v>
      </c>
      <c r="AY105">
        <f>SUMIF(RawDataRecovered!$B:$B,$A105,RawDataRecovered!BB:BB)</f>
        <v>0</v>
      </c>
      <c r="AZ105">
        <f>SUMIF(RawDataRecovered!$B:$B,$A105,RawDataRecovered!BC:BC)</f>
        <v>0</v>
      </c>
      <c r="BA105">
        <f>SUMIF(RawDataRecovered!$B:$B,$A105,RawDataRecovered!BD:BD)</f>
        <v>0</v>
      </c>
      <c r="BB105">
        <f>SUMIF(RawDataRecovered!$B:$B,$A105,RawDataRecovered!BE:BE)</f>
        <v>0</v>
      </c>
      <c r="BC105">
        <f>SUMIF(RawDataRecovered!$B:$B,$A105,RawDataRecovered!BF:BF)</f>
        <v>0</v>
      </c>
      <c r="BD105">
        <f>SUMIF(RawDataRecovered!$B:$B,$A105,RawDataRecovered!BG:BG)</f>
        <v>0</v>
      </c>
      <c r="BE105">
        <f>SUMIF(RawDataRecovered!$B:$B,$A105,RawDataRecovered!BH:BH)</f>
        <v>0</v>
      </c>
      <c r="BF105">
        <f>SUMIF(RawDataRecovered!$B:$B,$A105,RawDataRecovered!BI:BI)</f>
        <v>0</v>
      </c>
      <c r="BG105">
        <f>SUMIF(RawDataRecovered!$B:$B,$A105,RawDataRecovered!BJ:BJ)</f>
        <v>0</v>
      </c>
      <c r="BH105">
        <f>SUMIF(RawDataRecovered!$B:$B,$A105,RawDataRecovered!BK:BK)</f>
        <v>0</v>
      </c>
      <c r="BI105">
        <f>SUMIF(RawDataRecovered!$B:$B,$A105,RawDataRecovered!BL:BL)</f>
        <v>0</v>
      </c>
      <c r="BJ105">
        <f>SUMIF(RawDataRecovered!$B:$B,$A105,RawDataRecovered!BM:BM)</f>
        <v>0</v>
      </c>
      <c r="BK105">
        <f>SUMIF(RawDataRecovered!$B:$B,$A105,RawDataRecovered!BN:BN)</f>
        <v>0</v>
      </c>
      <c r="BL105">
        <f>SUMIF(RawDataRecovered!$B:$B,$A105,RawDataRecovered!BO:BO)</f>
        <v>0</v>
      </c>
      <c r="BM105">
        <f>SUMIF(RawDataRecovered!$B:$B,$A105,RawDataRecovered!BP:BP)</f>
        <v>0</v>
      </c>
      <c r="BN105">
        <f>SUMIF(RawDataRecovered!$B:$B,$A105,RawDataRecovered!BQ:BQ)</f>
        <v>0</v>
      </c>
      <c r="BO105">
        <f>SUMIF(RawDataRecovered!$B:$B,$A105,RawDataRecovered!BR:BR)</f>
        <v>0</v>
      </c>
      <c r="BP105">
        <f>SUMIF(RawDataRecovered!$B:$B,$A105,RawDataRecovered!BS:BS)</f>
        <v>0</v>
      </c>
      <c r="BQ105">
        <f>SUMIF(RawDataRecovered!$B:$B,$A105,RawDataRecovered!BT:BT)</f>
        <v>0</v>
      </c>
      <c r="BR105">
        <f>SUMIF(RawDataRecovered!$B:$B,$A105,RawDataRecovered!BU:BU)</f>
        <v>0</v>
      </c>
      <c r="BS105">
        <f>SUMIF(RawDataRecovered!$B:$B,$A105,RawDataRecovered!BV:BV)</f>
        <v>0</v>
      </c>
      <c r="BT105">
        <f>SUMIF(RawDataRecovered!$B:$B,$A105,RawDataRecovered!BW:BW)</f>
        <v>0</v>
      </c>
    </row>
    <row r="106" spans="1:72" ht="15" thickBot="1" x14ac:dyDescent="0.35">
      <c r="A106" s="4" t="s">
        <v>379</v>
      </c>
      <c r="B106">
        <f>SUMIF(RawDataRecovered!$B:$B,$A106,RawDataRecovered!E:E)</f>
        <v>0</v>
      </c>
      <c r="C106">
        <f>SUMIF(RawDataRecovered!$B:$B,$A106,RawDataRecovered!F:F)</f>
        <v>0</v>
      </c>
      <c r="D106">
        <f>SUMIF(RawDataRecovered!$B:$B,$A106,RawDataRecovered!G:G)</f>
        <v>0</v>
      </c>
      <c r="E106">
        <f>SUMIF(RawDataRecovered!$B:$B,$A106,RawDataRecovered!H:H)</f>
        <v>0</v>
      </c>
      <c r="F106">
        <f>SUMIF(RawDataRecovered!$B:$B,$A106,RawDataRecovered!I:I)</f>
        <v>0</v>
      </c>
      <c r="G106">
        <f>SUMIF(RawDataRecovered!$B:$B,$A106,RawDataRecovered!J:J)</f>
        <v>0</v>
      </c>
      <c r="H106">
        <f>SUMIF(RawDataRecovered!$B:$B,$A106,RawDataRecovered!K:K)</f>
        <v>0</v>
      </c>
      <c r="I106">
        <f>SUMIF(RawDataRecovered!$B:$B,$A106,RawDataRecovered!L:L)</f>
        <v>0</v>
      </c>
      <c r="J106">
        <f>SUMIF(RawDataRecovered!$B:$B,$A106,RawDataRecovered!M:M)</f>
        <v>0</v>
      </c>
      <c r="K106">
        <f>SUMIF(RawDataRecovered!$B:$B,$A106,RawDataRecovered!N:N)</f>
        <v>0</v>
      </c>
      <c r="L106">
        <f>SUMIF(RawDataRecovered!$B:$B,$A106,RawDataRecovered!O:O)</f>
        <v>0</v>
      </c>
      <c r="M106">
        <f>SUMIF(RawDataRecovered!$B:$B,$A106,RawDataRecovered!P:P)</f>
        <v>0</v>
      </c>
      <c r="N106">
        <f>SUMIF(RawDataRecovered!$B:$B,$A106,RawDataRecovered!Q:Q)</f>
        <v>0</v>
      </c>
      <c r="O106">
        <f>SUMIF(RawDataRecovered!$B:$B,$A106,RawDataRecovered!R:R)</f>
        <v>0</v>
      </c>
      <c r="P106">
        <f>SUMIF(RawDataRecovered!$B:$B,$A106,RawDataRecovered!S:S)</f>
        <v>0</v>
      </c>
      <c r="Q106">
        <f>SUMIF(RawDataRecovered!$B:$B,$A106,RawDataRecovered!T:T)</f>
        <v>0</v>
      </c>
      <c r="R106">
        <f>SUMIF(RawDataRecovered!$B:$B,$A106,RawDataRecovered!U:U)</f>
        <v>0</v>
      </c>
      <c r="S106">
        <f>SUMIF(RawDataRecovered!$B:$B,$A106,RawDataRecovered!V:V)</f>
        <v>0</v>
      </c>
      <c r="T106">
        <f>SUMIF(RawDataRecovered!$B:$B,$A106,RawDataRecovered!W:W)</f>
        <v>0</v>
      </c>
      <c r="U106">
        <f>SUMIF(RawDataRecovered!$B:$B,$A106,RawDataRecovered!X:X)</f>
        <v>0</v>
      </c>
      <c r="V106">
        <f>SUMIF(RawDataRecovered!$B:$B,$A106,RawDataRecovered!Y:Y)</f>
        <v>0</v>
      </c>
      <c r="W106">
        <f>SUMIF(RawDataRecovered!$B:$B,$A106,RawDataRecovered!Z:Z)</f>
        <v>0</v>
      </c>
      <c r="X106">
        <f>SUMIF(RawDataRecovered!$B:$B,$A106,RawDataRecovered!AA:AA)</f>
        <v>0</v>
      </c>
      <c r="Y106">
        <f>SUMIF(RawDataRecovered!$B:$B,$A106,RawDataRecovered!AB:AB)</f>
        <v>0</v>
      </c>
      <c r="Z106">
        <f>SUMIF(RawDataRecovered!$B:$B,$A106,RawDataRecovered!AC:AC)</f>
        <v>0</v>
      </c>
      <c r="AA106">
        <f>SUMIF(RawDataRecovered!$B:$B,$A106,RawDataRecovered!AD:AD)</f>
        <v>0</v>
      </c>
      <c r="AB106">
        <f>SUMIF(RawDataRecovered!$B:$B,$A106,RawDataRecovered!AE:AE)</f>
        <v>0</v>
      </c>
      <c r="AC106">
        <f>SUMIF(RawDataRecovered!$B:$B,$A106,RawDataRecovered!AF:AF)</f>
        <v>0</v>
      </c>
      <c r="AD106">
        <f>SUMIF(RawDataRecovered!$B:$B,$A106,RawDataRecovered!AG:AG)</f>
        <v>0</v>
      </c>
      <c r="AE106">
        <f>SUMIF(RawDataRecovered!$B:$B,$A106,RawDataRecovered!AH:AH)</f>
        <v>0</v>
      </c>
      <c r="AF106">
        <f>SUMIF(RawDataRecovered!$B:$B,$A106,RawDataRecovered!AI:AI)</f>
        <v>0</v>
      </c>
      <c r="AG106">
        <f>SUMIF(RawDataRecovered!$B:$B,$A106,RawDataRecovered!AJ:AJ)</f>
        <v>0</v>
      </c>
      <c r="AH106">
        <f>SUMIF(RawDataRecovered!$B:$B,$A106,RawDataRecovered!AK:AK)</f>
        <v>0</v>
      </c>
      <c r="AI106">
        <f>SUMIF(RawDataRecovered!$B:$B,$A106,RawDataRecovered!AL:AL)</f>
        <v>0</v>
      </c>
      <c r="AJ106">
        <f>SUMIF(RawDataRecovered!$B:$B,$A106,RawDataRecovered!AM:AM)</f>
        <v>0</v>
      </c>
      <c r="AK106">
        <f>SUMIF(RawDataRecovered!$B:$B,$A106,RawDataRecovered!AN:AN)</f>
        <v>0</v>
      </c>
      <c r="AL106">
        <f>SUMIF(RawDataRecovered!$B:$B,$A106,RawDataRecovered!AO:AO)</f>
        <v>0</v>
      </c>
      <c r="AM106">
        <f>SUMIF(RawDataRecovered!$B:$B,$A106,RawDataRecovered!AP:AP)</f>
        <v>0</v>
      </c>
      <c r="AN106">
        <f>SUMIF(RawDataRecovered!$B:$B,$A106,RawDataRecovered!AQ:AQ)</f>
        <v>0</v>
      </c>
      <c r="AO106">
        <f>SUMIF(RawDataRecovered!$B:$B,$A106,RawDataRecovered!AR:AR)</f>
        <v>0</v>
      </c>
      <c r="AP106">
        <f>SUMIF(RawDataRecovered!$B:$B,$A106,RawDataRecovered!AS:AS)</f>
        <v>0</v>
      </c>
      <c r="AQ106">
        <f>SUMIF(RawDataRecovered!$B:$B,$A106,RawDataRecovered!AT:AT)</f>
        <v>0</v>
      </c>
      <c r="AR106">
        <f>SUMIF(RawDataRecovered!$B:$B,$A106,RawDataRecovered!AU:AU)</f>
        <v>0</v>
      </c>
      <c r="AS106">
        <f>SUMIF(RawDataRecovered!$B:$B,$A106,RawDataRecovered!AV:AV)</f>
        <v>0</v>
      </c>
      <c r="AT106">
        <f>SUMIF(RawDataRecovered!$B:$B,$A106,RawDataRecovered!AW:AW)</f>
        <v>0</v>
      </c>
      <c r="AU106">
        <f>SUMIF(RawDataRecovered!$B:$B,$A106,RawDataRecovered!AX:AX)</f>
        <v>0</v>
      </c>
      <c r="AV106">
        <f>SUMIF(RawDataRecovered!$B:$B,$A106,RawDataRecovered!AY:AY)</f>
        <v>0</v>
      </c>
      <c r="AW106">
        <f>SUMIF(RawDataRecovered!$B:$B,$A106,RawDataRecovered!AZ:AZ)</f>
        <v>0</v>
      </c>
      <c r="AX106">
        <f>SUMIF(RawDataRecovered!$B:$B,$A106,RawDataRecovered!BA:BA)</f>
        <v>0</v>
      </c>
      <c r="AY106">
        <f>SUMIF(RawDataRecovered!$B:$B,$A106,RawDataRecovered!BB:BB)</f>
        <v>0</v>
      </c>
      <c r="AZ106">
        <f>SUMIF(RawDataRecovered!$B:$B,$A106,RawDataRecovered!BC:BC)</f>
        <v>0</v>
      </c>
      <c r="BA106">
        <f>SUMIF(RawDataRecovered!$B:$B,$A106,RawDataRecovered!BD:BD)</f>
        <v>0</v>
      </c>
      <c r="BB106">
        <f>SUMIF(RawDataRecovered!$B:$B,$A106,RawDataRecovered!BE:BE)</f>
        <v>0</v>
      </c>
      <c r="BC106">
        <f>SUMIF(RawDataRecovered!$B:$B,$A106,RawDataRecovered!BF:BF)</f>
        <v>0</v>
      </c>
      <c r="BD106">
        <f>SUMIF(RawDataRecovered!$B:$B,$A106,RawDataRecovered!BG:BG)</f>
        <v>0</v>
      </c>
      <c r="BE106">
        <f>SUMIF(RawDataRecovered!$B:$B,$A106,RawDataRecovered!BH:BH)</f>
        <v>0</v>
      </c>
      <c r="BF106">
        <f>SUMIF(RawDataRecovered!$B:$B,$A106,RawDataRecovered!BI:BI)</f>
        <v>0</v>
      </c>
      <c r="BG106">
        <f>SUMIF(RawDataRecovered!$B:$B,$A106,RawDataRecovered!BJ:BJ)</f>
        <v>0</v>
      </c>
      <c r="BH106">
        <f>SUMIF(RawDataRecovered!$B:$B,$A106,RawDataRecovered!BK:BK)</f>
        <v>0</v>
      </c>
      <c r="BI106">
        <f>SUMIF(RawDataRecovered!$B:$B,$A106,RawDataRecovered!BL:BL)</f>
        <v>0</v>
      </c>
      <c r="BJ106">
        <f>SUMIF(RawDataRecovered!$B:$B,$A106,RawDataRecovered!BM:BM)</f>
        <v>0</v>
      </c>
      <c r="BK106">
        <f>SUMIF(RawDataRecovered!$B:$B,$A106,RawDataRecovered!BN:BN)</f>
        <v>0</v>
      </c>
      <c r="BL106">
        <f>SUMIF(RawDataRecovered!$B:$B,$A106,RawDataRecovered!BO:BO)</f>
        <v>0</v>
      </c>
      <c r="BM106">
        <f>SUMIF(RawDataRecovered!$B:$B,$A106,RawDataRecovered!BP:BP)</f>
        <v>0</v>
      </c>
      <c r="BN106">
        <f>SUMIF(RawDataRecovered!$B:$B,$A106,RawDataRecovered!BQ:BQ)</f>
        <v>0</v>
      </c>
      <c r="BO106">
        <f>SUMIF(RawDataRecovered!$B:$B,$A106,RawDataRecovered!BR:BR)</f>
        <v>0</v>
      </c>
      <c r="BP106">
        <f>SUMIF(RawDataRecovered!$B:$B,$A106,RawDataRecovered!BS:BS)</f>
        <v>0</v>
      </c>
      <c r="BQ106">
        <f>SUMIF(RawDataRecovered!$B:$B,$A106,RawDataRecovered!BT:BT)</f>
        <v>0</v>
      </c>
      <c r="BR106">
        <f>SUMIF(RawDataRecovered!$B:$B,$A106,RawDataRecovered!BU:BU)</f>
        <v>0</v>
      </c>
      <c r="BS106">
        <f>SUMIF(RawDataRecovered!$B:$B,$A106,RawDataRecovered!BV:BV)</f>
        <v>0</v>
      </c>
      <c r="BT106">
        <f>SUMIF(RawDataRecovered!$B:$B,$A106,RawDataRecovered!BW:BW)</f>
        <v>0</v>
      </c>
    </row>
    <row r="107" spans="1:72" ht="15" thickBot="1" x14ac:dyDescent="0.35">
      <c r="A107" s="4" t="s">
        <v>376</v>
      </c>
      <c r="B107">
        <f>SUMIF(RawDataRecovered!$B:$B,$A107,RawDataRecovered!E:E)</f>
        <v>0</v>
      </c>
      <c r="C107">
        <f>SUMIF(RawDataRecovered!$B:$B,$A107,RawDataRecovered!F:F)</f>
        <v>0</v>
      </c>
      <c r="D107">
        <f>SUMIF(RawDataRecovered!$B:$B,$A107,RawDataRecovered!G:G)</f>
        <v>0</v>
      </c>
      <c r="E107">
        <f>SUMIF(RawDataRecovered!$B:$B,$A107,RawDataRecovered!H:H)</f>
        <v>0</v>
      </c>
      <c r="F107">
        <f>SUMIF(RawDataRecovered!$B:$B,$A107,RawDataRecovered!I:I)</f>
        <v>0</v>
      </c>
      <c r="G107">
        <f>SUMIF(RawDataRecovered!$B:$B,$A107,RawDataRecovered!J:J)</f>
        <v>0</v>
      </c>
      <c r="H107">
        <f>SUMIF(RawDataRecovered!$B:$B,$A107,RawDataRecovered!K:K)</f>
        <v>0</v>
      </c>
      <c r="I107">
        <f>SUMIF(RawDataRecovered!$B:$B,$A107,RawDataRecovered!L:L)</f>
        <v>0</v>
      </c>
      <c r="J107">
        <f>SUMIF(RawDataRecovered!$B:$B,$A107,RawDataRecovered!M:M)</f>
        <v>0</v>
      </c>
      <c r="K107">
        <f>SUMIF(RawDataRecovered!$B:$B,$A107,RawDataRecovered!N:N)</f>
        <v>0</v>
      </c>
      <c r="L107">
        <f>SUMIF(RawDataRecovered!$B:$B,$A107,RawDataRecovered!O:O)</f>
        <v>0</v>
      </c>
      <c r="M107">
        <f>SUMIF(RawDataRecovered!$B:$B,$A107,RawDataRecovered!P:P)</f>
        <v>0</v>
      </c>
      <c r="N107">
        <f>SUMIF(RawDataRecovered!$B:$B,$A107,RawDataRecovered!Q:Q)</f>
        <v>0</v>
      </c>
      <c r="O107">
        <f>SUMIF(RawDataRecovered!$B:$B,$A107,RawDataRecovered!R:R)</f>
        <v>0</v>
      </c>
      <c r="P107">
        <f>SUMIF(RawDataRecovered!$B:$B,$A107,RawDataRecovered!S:S)</f>
        <v>0</v>
      </c>
      <c r="Q107">
        <f>SUMIF(RawDataRecovered!$B:$B,$A107,RawDataRecovered!T:T)</f>
        <v>0</v>
      </c>
      <c r="R107">
        <f>SUMIF(RawDataRecovered!$B:$B,$A107,RawDataRecovered!U:U)</f>
        <v>0</v>
      </c>
      <c r="S107">
        <f>SUMIF(RawDataRecovered!$B:$B,$A107,RawDataRecovered!V:V)</f>
        <v>0</v>
      </c>
      <c r="T107">
        <f>SUMIF(RawDataRecovered!$B:$B,$A107,RawDataRecovered!W:W)</f>
        <v>0</v>
      </c>
      <c r="U107">
        <f>SUMIF(RawDataRecovered!$B:$B,$A107,RawDataRecovered!X:X)</f>
        <v>0</v>
      </c>
      <c r="V107">
        <f>SUMIF(RawDataRecovered!$B:$B,$A107,RawDataRecovered!Y:Y)</f>
        <v>0</v>
      </c>
      <c r="W107">
        <f>SUMIF(RawDataRecovered!$B:$B,$A107,RawDataRecovered!Z:Z)</f>
        <v>0</v>
      </c>
      <c r="X107">
        <f>SUMIF(RawDataRecovered!$B:$B,$A107,RawDataRecovered!AA:AA)</f>
        <v>0</v>
      </c>
      <c r="Y107">
        <f>SUMIF(RawDataRecovered!$B:$B,$A107,RawDataRecovered!AB:AB)</f>
        <v>0</v>
      </c>
      <c r="Z107">
        <f>SUMIF(RawDataRecovered!$B:$B,$A107,RawDataRecovered!AC:AC)</f>
        <v>0</v>
      </c>
      <c r="AA107">
        <f>SUMIF(RawDataRecovered!$B:$B,$A107,RawDataRecovered!AD:AD)</f>
        <v>0</v>
      </c>
      <c r="AB107">
        <f>SUMIF(RawDataRecovered!$B:$B,$A107,RawDataRecovered!AE:AE)</f>
        <v>0</v>
      </c>
      <c r="AC107">
        <f>SUMIF(RawDataRecovered!$B:$B,$A107,RawDataRecovered!AF:AF)</f>
        <v>0</v>
      </c>
      <c r="AD107">
        <f>SUMIF(RawDataRecovered!$B:$B,$A107,RawDataRecovered!AG:AG)</f>
        <v>0</v>
      </c>
      <c r="AE107">
        <f>SUMIF(RawDataRecovered!$B:$B,$A107,RawDataRecovered!AH:AH)</f>
        <v>0</v>
      </c>
      <c r="AF107">
        <f>SUMIF(RawDataRecovered!$B:$B,$A107,RawDataRecovered!AI:AI)</f>
        <v>0</v>
      </c>
      <c r="AG107">
        <f>SUMIF(RawDataRecovered!$B:$B,$A107,RawDataRecovered!AJ:AJ)</f>
        <v>0</v>
      </c>
      <c r="AH107">
        <f>SUMIF(RawDataRecovered!$B:$B,$A107,RawDataRecovered!AK:AK)</f>
        <v>0</v>
      </c>
      <c r="AI107">
        <f>SUMIF(RawDataRecovered!$B:$B,$A107,RawDataRecovered!AL:AL)</f>
        <v>0</v>
      </c>
      <c r="AJ107">
        <f>SUMIF(RawDataRecovered!$B:$B,$A107,RawDataRecovered!AM:AM)</f>
        <v>0</v>
      </c>
      <c r="AK107">
        <f>SUMIF(RawDataRecovered!$B:$B,$A107,RawDataRecovered!AN:AN)</f>
        <v>0</v>
      </c>
      <c r="AL107">
        <f>SUMIF(RawDataRecovered!$B:$B,$A107,RawDataRecovered!AO:AO)</f>
        <v>0</v>
      </c>
      <c r="AM107">
        <f>SUMIF(RawDataRecovered!$B:$B,$A107,RawDataRecovered!AP:AP)</f>
        <v>0</v>
      </c>
      <c r="AN107">
        <f>SUMIF(RawDataRecovered!$B:$B,$A107,RawDataRecovered!AQ:AQ)</f>
        <v>0</v>
      </c>
      <c r="AO107">
        <f>SUMIF(RawDataRecovered!$B:$B,$A107,RawDataRecovered!AR:AR)</f>
        <v>0</v>
      </c>
      <c r="AP107">
        <f>SUMIF(RawDataRecovered!$B:$B,$A107,RawDataRecovered!AS:AS)</f>
        <v>0</v>
      </c>
      <c r="AQ107">
        <f>SUMIF(RawDataRecovered!$B:$B,$A107,RawDataRecovered!AT:AT)</f>
        <v>0</v>
      </c>
      <c r="AR107">
        <f>SUMIF(RawDataRecovered!$B:$B,$A107,RawDataRecovered!AU:AU)</f>
        <v>0</v>
      </c>
      <c r="AS107">
        <f>SUMIF(RawDataRecovered!$B:$B,$A107,RawDataRecovered!AV:AV)</f>
        <v>0</v>
      </c>
      <c r="AT107">
        <f>SUMIF(RawDataRecovered!$B:$B,$A107,RawDataRecovered!AW:AW)</f>
        <v>0</v>
      </c>
      <c r="AU107">
        <f>SUMIF(RawDataRecovered!$B:$B,$A107,RawDataRecovered!AX:AX)</f>
        <v>0</v>
      </c>
      <c r="AV107">
        <f>SUMIF(RawDataRecovered!$B:$B,$A107,RawDataRecovered!AY:AY)</f>
        <v>0</v>
      </c>
      <c r="AW107">
        <f>SUMIF(RawDataRecovered!$B:$B,$A107,RawDataRecovered!AZ:AZ)</f>
        <v>0</v>
      </c>
      <c r="AX107">
        <f>SUMIF(RawDataRecovered!$B:$B,$A107,RawDataRecovered!BA:BA)</f>
        <v>0</v>
      </c>
      <c r="AY107">
        <f>SUMIF(RawDataRecovered!$B:$B,$A107,RawDataRecovered!BB:BB)</f>
        <v>0</v>
      </c>
      <c r="AZ107">
        <f>SUMIF(RawDataRecovered!$B:$B,$A107,RawDataRecovered!BC:BC)</f>
        <v>0</v>
      </c>
      <c r="BA107">
        <f>SUMIF(RawDataRecovered!$B:$B,$A107,RawDataRecovered!BD:BD)</f>
        <v>0</v>
      </c>
      <c r="BB107">
        <f>SUMIF(RawDataRecovered!$B:$B,$A107,RawDataRecovered!BE:BE)</f>
        <v>0</v>
      </c>
      <c r="BC107">
        <f>SUMIF(RawDataRecovered!$B:$B,$A107,RawDataRecovered!BF:BF)</f>
        <v>0</v>
      </c>
      <c r="BD107">
        <f>SUMIF(RawDataRecovered!$B:$B,$A107,RawDataRecovered!BG:BG)</f>
        <v>0</v>
      </c>
      <c r="BE107">
        <f>SUMIF(RawDataRecovered!$B:$B,$A107,RawDataRecovered!BH:BH)</f>
        <v>0</v>
      </c>
      <c r="BF107">
        <f>SUMIF(RawDataRecovered!$B:$B,$A107,RawDataRecovered!BI:BI)</f>
        <v>0</v>
      </c>
      <c r="BG107">
        <f>SUMIF(RawDataRecovered!$B:$B,$A107,RawDataRecovered!BJ:BJ)</f>
        <v>0</v>
      </c>
      <c r="BH107">
        <f>SUMIF(RawDataRecovered!$B:$B,$A107,RawDataRecovered!BK:BK)</f>
        <v>0</v>
      </c>
      <c r="BI107">
        <f>SUMIF(RawDataRecovered!$B:$B,$A107,RawDataRecovered!BL:BL)</f>
        <v>0</v>
      </c>
      <c r="BJ107">
        <f>SUMIF(RawDataRecovered!$B:$B,$A107,RawDataRecovered!BM:BM)</f>
        <v>0</v>
      </c>
      <c r="BK107">
        <f>SUMIF(RawDataRecovered!$B:$B,$A107,RawDataRecovered!BN:BN)</f>
        <v>0</v>
      </c>
      <c r="BL107">
        <f>SUMIF(RawDataRecovered!$B:$B,$A107,RawDataRecovered!BO:BO)</f>
        <v>0</v>
      </c>
      <c r="BM107">
        <f>SUMIF(RawDataRecovered!$B:$B,$A107,RawDataRecovered!BP:BP)</f>
        <v>0</v>
      </c>
      <c r="BN107">
        <f>SUMIF(RawDataRecovered!$B:$B,$A107,RawDataRecovered!BQ:BQ)</f>
        <v>0</v>
      </c>
      <c r="BO107">
        <f>SUMIF(RawDataRecovered!$B:$B,$A107,RawDataRecovered!BR:BR)</f>
        <v>0</v>
      </c>
      <c r="BP107">
        <f>SUMIF(RawDataRecovered!$B:$B,$A107,RawDataRecovered!BS:BS)</f>
        <v>0</v>
      </c>
      <c r="BQ107">
        <f>SUMIF(RawDataRecovered!$B:$B,$A107,RawDataRecovered!BT:BT)</f>
        <v>0</v>
      </c>
      <c r="BR107">
        <f>SUMIF(RawDataRecovered!$B:$B,$A107,RawDataRecovered!BU:BU)</f>
        <v>0</v>
      </c>
      <c r="BS107">
        <f>SUMIF(RawDataRecovered!$B:$B,$A107,RawDataRecovered!BV:BV)</f>
        <v>0</v>
      </c>
      <c r="BT107">
        <f>SUMIF(RawDataRecovered!$B:$B,$A107,RawDataRecovered!BW:BW)</f>
        <v>0</v>
      </c>
    </row>
    <row r="108" spans="1:72" ht="15" thickBot="1" x14ac:dyDescent="0.35">
      <c r="A108" s="4" t="s">
        <v>127</v>
      </c>
      <c r="B108">
        <f>SUMIF(RawDataRecovered!$B:$B,$A108,RawDataRecovered!E:E)</f>
        <v>0</v>
      </c>
      <c r="C108">
        <f>SUMIF(RawDataRecovered!$B:$B,$A108,RawDataRecovered!F:F)</f>
        <v>0</v>
      </c>
      <c r="D108">
        <f>SUMIF(RawDataRecovered!$B:$B,$A108,RawDataRecovered!G:G)</f>
        <v>0</v>
      </c>
      <c r="E108">
        <f>SUMIF(RawDataRecovered!$B:$B,$A108,RawDataRecovered!H:H)</f>
        <v>0</v>
      </c>
      <c r="F108">
        <f>SUMIF(RawDataRecovered!$B:$B,$A108,RawDataRecovered!I:I)</f>
        <v>0</v>
      </c>
      <c r="G108">
        <f>SUMIF(RawDataRecovered!$B:$B,$A108,RawDataRecovered!J:J)</f>
        <v>0</v>
      </c>
      <c r="H108">
        <f>SUMIF(RawDataRecovered!$B:$B,$A108,RawDataRecovered!K:K)</f>
        <v>0</v>
      </c>
      <c r="I108">
        <f>SUMIF(RawDataRecovered!$B:$B,$A108,RawDataRecovered!L:L)</f>
        <v>0</v>
      </c>
      <c r="J108">
        <f>SUMIF(RawDataRecovered!$B:$B,$A108,RawDataRecovered!M:M)</f>
        <v>0</v>
      </c>
      <c r="K108">
        <f>SUMIF(RawDataRecovered!$B:$B,$A108,RawDataRecovered!N:N)</f>
        <v>0</v>
      </c>
      <c r="L108">
        <f>SUMIF(RawDataRecovered!$B:$B,$A108,RawDataRecovered!O:O)</f>
        <v>0</v>
      </c>
      <c r="M108">
        <f>SUMIF(RawDataRecovered!$B:$B,$A108,RawDataRecovered!P:P)</f>
        <v>0</v>
      </c>
      <c r="N108">
        <f>SUMIF(RawDataRecovered!$B:$B,$A108,RawDataRecovered!Q:Q)</f>
        <v>0</v>
      </c>
      <c r="O108">
        <f>SUMIF(RawDataRecovered!$B:$B,$A108,RawDataRecovered!R:R)</f>
        <v>0</v>
      </c>
      <c r="P108">
        <f>SUMIF(RawDataRecovered!$B:$B,$A108,RawDataRecovered!S:S)</f>
        <v>0</v>
      </c>
      <c r="Q108">
        <f>SUMIF(RawDataRecovered!$B:$B,$A108,RawDataRecovered!T:T)</f>
        <v>0</v>
      </c>
      <c r="R108">
        <f>SUMIF(RawDataRecovered!$B:$B,$A108,RawDataRecovered!U:U)</f>
        <v>0</v>
      </c>
      <c r="S108">
        <f>SUMIF(RawDataRecovered!$B:$B,$A108,RawDataRecovered!V:V)</f>
        <v>0</v>
      </c>
      <c r="T108">
        <f>SUMIF(RawDataRecovered!$B:$B,$A108,RawDataRecovered!W:W)</f>
        <v>0</v>
      </c>
      <c r="U108">
        <f>SUMIF(RawDataRecovered!$B:$B,$A108,RawDataRecovered!X:X)</f>
        <v>0</v>
      </c>
      <c r="V108">
        <f>SUMIF(RawDataRecovered!$B:$B,$A108,RawDataRecovered!Y:Y)</f>
        <v>0</v>
      </c>
      <c r="W108">
        <f>SUMIF(RawDataRecovered!$B:$B,$A108,RawDataRecovered!Z:Z)</f>
        <v>0</v>
      </c>
      <c r="X108">
        <f>SUMIF(RawDataRecovered!$B:$B,$A108,RawDataRecovered!AA:AA)</f>
        <v>0</v>
      </c>
      <c r="Y108">
        <f>SUMIF(RawDataRecovered!$B:$B,$A108,RawDataRecovered!AB:AB)</f>
        <v>0</v>
      </c>
      <c r="Z108">
        <f>SUMIF(RawDataRecovered!$B:$B,$A108,RawDataRecovered!AC:AC)</f>
        <v>0</v>
      </c>
      <c r="AA108">
        <f>SUMIF(RawDataRecovered!$B:$B,$A108,RawDataRecovered!AD:AD)</f>
        <v>0</v>
      </c>
      <c r="AB108">
        <f>SUMIF(RawDataRecovered!$B:$B,$A108,RawDataRecovered!AE:AE)</f>
        <v>0</v>
      </c>
      <c r="AC108">
        <f>SUMIF(RawDataRecovered!$B:$B,$A108,RawDataRecovered!AF:AF)</f>
        <v>0</v>
      </c>
      <c r="AD108">
        <f>SUMIF(RawDataRecovered!$B:$B,$A108,RawDataRecovered!AG:AG)</f>
        <v>0</v>
      </c>
      <c r="AE108">
        <f>SUMIF(RawDataRecovered!$B:$B,$A108,RawDataRecovered!AH:AH)</f>
        <v>0</v>
      </c>
      <c r="AF108">
        <f>SUMIF(RawDataRecovered!$B:$B,$A108,RawDataRecovered!AI:AI)</f>
        <v>0</v>
      </c>
      <c r="AG108">
        <f>SUMIF(RawDataRecovered!$B:$B,$A108,RawDataRecovered!AJ:AJ)</f>
        <v>0</v>
      </c>
      <c r="AH108">
        <f>SUMIF(RawDataRecovered!$B:$B,$A108,RawDataRecovered!AK:AK)</f>
        <v>0</v>
      </c>
      <c r="AI108">
        <f>SUMIF(RawDataRecovered!$B:$B,$A108,RawDataRecovered!AL:AL)</f>
        <v>0</v>
      </c>
      <c r="AJ108">
        <f>SUMIF(RawDataRecovered!$B:$B,$A108,RawDataRecovered!AM:AM)</f>
        <v>0</v>
      </c>
      <c r="AK108">
        <f>SUMIF(RawDataRecovered!$B:$B,$A108,RawDataRecovered!AN:AN)</f>
        <v>0</v>
      </c>
      <c r="AL108">
        <f>SUMIF(RawDataRecovered!$B:$B,$A108,RawDataRecovered!AO:AO)</f>
        <v>0</v>
      </c>
      <c r="AM108">
        <f>SUMIF(RawDataRecovered!$B:$B,$A108,RawDataRecovered!AP:AP)</f>
        <v>0</v>
      </c>
      <c r="AN108">
        <f>SUMIF(RawDataRecovered!$B:$B,$A108,RawDataRecovered!AQ:AQ)</f>
        <v>0</v>
      </c>
      <c r="AO108">
        <f>SUMIF(RawDataRecovered!$B:$B,$A108,RawDataRecovered!AR:AR)</f>
        <v>0</v>
      </c>
      <c r="AP108">
        <f>SUMIF(RawDataRecovered!$B:$B,$A108,RawDataRecovered!AS:AS)</f>
        <v>0</v>
      </c>
      <c r="AQ108">
        <f>SUMIF(RawDataRecovered!$B:$B,$A108,RawDataRecovered!AT:AT)</f>
        <v>0</v>
      </c>
      <c r="AR108">
        <f>SUMIF(RawDataRecovered!$B:$B,$A108,RawDataRecovered!AU:AU)</f>
        <v>0</v>
      </c>
      <c r="AS108">
        <f>SUMIF(RawDataRecovered!$B:$B,$A108,RawDataRecovered!AV:AV)</f>
        <v>0</v>
      </c>
      <c r="AT108">
        <f>SUMIF(RawDataRecovered!$B:$B,$A108,RawDataRecovered!AW:AW)</f>
        <v>0</v>
      </c>
      <c r="AU108">
        <f>SUMIF(RawDataRecovered!$B:$B,$A108,RawDataRecovered!AX:AX)</f>
        <v>0</v>
      </c>
      <c r="AV108">
        <f>SUMIF(RawDataRecovered!$B:$B,$A108,RawDataRecovered!AY:AY)</f>
        <v>0</v>
      </c>
      <c r="AW108">
        <f>SUMIF(RawDataRecovered!$B:$B,$A108,RawDataRecovered!AZ:AZ)</f>
        <v>0</v>
      </c>
      <c r="AX108">
        <f>SUMIF(RawDataRecovered!$B:$B,$A108,RawDataRecovered!BA:BA)</f>
        <v>0</v>
      </c>
      <c r="AY108">
        <f>SUMIF(RawDataRecovered!$B:$B,$A108,RawDataRecovered!BB:BB)</f>
        <v>0</v>
      </c>
      <c r="AZ108">
        <f>SUMIF(RawDataRecovered!$B:$B,$A108,RawDataRecovered!BC:BC)</f>
        <v>0</v>
      </c>
      <c r="BA108">
        <f>SUMIF(RawDataRecovered!$B:$B,$A108,RawDataRecovered!BD:BD)</f>
        <v>0</v>
      </c>
      <c r="BB108">
        <f>SUMIF(RawDataRecovered!$B:$B,$A108,RawDataRecovered!BE:BE)</f>
        <v>0</v>
      </c>
      <c r="BC108">
        <f>SUMIF(RawDataRecovered!$B:$B,$A108,RawDataRecovered!BF:BF)</f>
        <v>0</v>
      </c>
      <c r="BD108">
        <f>SUMIF(RawDataRecovered!$B:$B,$A108,RawDataRecovered!BG:BG)</f>
        <v>0</v>
      </c>
      <c r="BE108">
        <f>SUMIF(RawDataRecovered!$B:$B,$A108,RawDataRecovered!BH:BH)</f>
        <v>0</v>
      </c>
      <c r="BF108">
        <f>SUMIF(RawDataRecovered!$B:$B,$A108,RawDataRecovered!BI:BI)</f>
        <v>0</v>
      </c>
      <c r="BG108">
        <f>SUMIF(RawDataRecovered!$B:$B,$A108,RawDataRecovered!BJ:BJ)</f>
        <v>0</v>
      </c>
      <c r="BH108">
        <f>SUMIF(RawDataRecovered!$B:$B,$A108,RawDataRecovered!BK:BK)</f>
        <v>0</v>
      </c>
      <c r="BI108">
        <f>SUMIF(RawDataRecovered!$B:$B,$A108,RawDataRecovered!BL:BL)</f>
        <v>0</v>
      </c>
      <c r="BJ108">
        <f>SUMIF(RawDataRecovered!$B:$B,$A108,RawDataRecovered!BM:BM)</f>
        <v>0</v>
      </c>
      <c r="BK108">
        <f>SUMIF(RawDataRecovered!$B:$B,$A108,RawDataRecovered!BN:BN)</f>
        <v>0</v>
      </c>
      <c r="BL108">
        <f>SUMIF(RawDataRecovered!$B:$B,$A108,RawDataRecovered!BO:BO)</f>
        <v>0</v>
      </c>
      <c r="BM108">
        <f>SUMIF(RawDataRecovered!$B:$B,$A108,RawDataRecovered!BP:BP)</f>
        <v>0</v>
      </c>
      <c r="BN108">
        <f>SUMIF(RawDataRecovered!$B:$B,$A108,RawDataRecovered!BQ:BQ)</f>
        <v>0</v>
      </c>
      <c r="BO108">
        <f>SUMIF(RawDataRecovered!$B:$B,$A108,RawDataRecovered!BR:BR)</f>
        <v>0</v>
      </c>
      <c r="BP108">
        <f>SUMIF(RawDataRecovered!$B:$B,$A108,RawDataRecovered!BS:BS)</f>
        <v>0</v>
      </c>
      <c r="BQ108">
        <f>SUMIF(RawDataRecovered!$B:$B,$A108,RawDataRecovered!BT:BT)</f>
        <v>0</v>
      </c>
      <c r="BR108">
        <f>SUMIF(RawDataRecovered!$B:$B,$A108,RawDataRecovered!BU:BU)</f>
        <v>0</v>
      </c>
      <c r="BS108">
        <f>SUMIF(RawDataRecovered!$B:$B,$A108,RawDataRecovered!BV:BV)</f>
        <v>0</v>
      </c>
      <c r="BT108">
        <f>SUMIF(RawDataRecovered!$B:$B,$A108,RawDataRecovered!BW:BW)</f>
        <v>0</v>
      </c>
    </row>
    <row r="109" spans="1:72" ht="15" thickBot="1" x14ac:dyDescent="0.35">
      <c r="A109" s="4" t="s">
        <v>123</v>
      </c>
      <c r="B109">
        <f>SUMIF(RawDataRecovered!$B:$B,$A109,RawDataRecovered!E:E)</f>
        <v>0</v>
      </c>
      <c r="C109">
        <f>SUMIF(RawDataRecovered!$B:$B,$A109,RawDataRecovered!F:F)</f>
        <v>0</v>
      </c>
      <c r="D109">
        <f>SUMIF(RawDataRecovered!$B:$B,$A109,RawDataRecovered!G:G)</f>
        <v>0</v>
      </c>
      <c r="E109">
        <f>SUMIF(RawDataRecovered!$B:$B,$A109,RawDataRecovered!H:H)</f>
        <v>0</v>
      </c>
      <c r="F109">
        <f>SUMIF(RawDataRecovered!$B:$B,$A109,RawDataRecovered!I:I)</f>
        <v>0</v>
      </c>
      <c r="G109">
        <f>SUMIF(RawDataRecovered!$B:$B,$A109,RawDataRecovered!J:J)</f>
        <v>0</v>
      </c>
      <c r="H109">
        <f>SUMIF(RawDataRecovered!$B:$B,$A109,RawDataRecovered!K:K)</f>
        <v>0</v>
      </c>
      <c r="I109">
        <f>SUMIF(RawDataRecovered!$B:$B,$A109,RawDataRecovered!L:L)</f>
        <v>0</v>
      </c>
      <c r="J109">
        <f>SUMIF(RawDataRecovered!$B:$B,$A109,RawDataRecovered!M:M)</f>
        <v>0</v>
      </c>
      <c r="K109">
        <f>SUMIF(RawDataRecovered!$B:$B,$A109,RawDataRecovered!N:N)</f>
        <v>0</v>
      </c>
      <c r="L109">
        <f>SUMIF(RawDataRecovered!$B:$B,$A109,RawDataRecovered!O:O)</f>
        <v>0</v>
      </c>
      <c r="M109">
        <f>SUMIF(RawDataRecovered!$B:$B,$A109,RawDataRecovered!P:P)</f>
        <v>0</v>
      </c>
      <c r="N109">
        <f>SUMIF(RawDataRecovered!$B:$B,$A109,RawDataRecovered!Q:Q)</f>
        <v>0</v>
      </c>
      <c r="O109">
        <f>SUMIF(RawDataRecovered!$B:$B,$A109,RawDataRecovered!R:R)</f>
        <v>0</v>
      </c>
      <c r="P109">
        <f>SUMIF(RawDataRecovered!$B:$B,$A109,RawDataRecovered!S:S)</f>
        <v>0</v>
      </c>
      <c r="Q109">
        <f>SUMIF(RawDataRecovered!$B:$B,$A109,RawDataRecovered!T:T)</f>
        <v>0</v>
      </c>
      <c r="R109">
        <f>SUMIF(RawDataRecovered!$B:$B,$A109,RawDataRecovered!U:U)</f>
        <v>0</v>
      </c>
      <c r="S109">
        <f>SUMIF(RawDataRecovered!$B:$B,$A109,RawDataRecovered!V:V)</f>
        <v>0</v>
      </c>
      <c r="T109">
        <f>SUMIF(RawDataRecovered!$B:$B,$A109,RawDataRecovered!W:W)</f>
        <v>0</v>
      </c>
      <c r="U109">
        <f>SUMIF(RawDataRecovered!$B:$B,$A109,RawDataRecovered!X:X)</f>
        <v>0</v>
      </c>
      <c r="V109">
        <f>SUMIF(RawDataRecovered!$B:$B,$A109,RawDataRecovered!Y:Y)</f>
        <v>0</v>
      </c>
      <c r="W109">
        <f>SUMIF(RawDataRecovered!$B:$B,$A109,RawDataRecovered!Z:Z)</f>
        <v>0</v>
      </c>
      <c r="X109">
        <f>SUMIF(RawDataRecovered!$B:$B,$A109,RawDataRecovered!AA:AA)</f>
        <v>0</v>
      </c>
      <c r="Y109">
        <f>SUMIF(RawDataRecovered!$B:$B,$A109,RawDataRecovered!AB:AB)</f>
        <v>0</v>
      </c>
      <c r="Z109">
        <f>SUMIF(RawDataRecovered!$B:$B,$A109,RawDataRecovered!AC:AC)</f>
        <v>0</v>
      </c>
      <c r="AA109">
        <f>SUMIF(RawDataRecovered!$B:$B,$A109,RawDataRecovered!AD:AD)</f>
        <v>0</v>
      </c>
      <c r="AB109">
        <f>SUMIF(RawDataRecovered!$B:$B,$A109,RawDataRecovered!AE:AE)</f>
        <v>0</v>
      </c>
      <c r="AC109">
        <f>SUMIF(RawDataRecovered!$B:$B,$A109,RawDataRecovered!AF:AF)</f>
        <v>0</v>
      </c>
      <c r="AD109">
        <f>SUMIF(RawDataRecovered!$B:$B,$A109,RawDataRecovered!AG:AG)</f>
        <v>0</v>
      </c>
      <c r="AE109">
        <f>SUMIF(RawDataRecovered!$B:$B,$A109,RawDataRecovered!AH:AH)</f>
        <v>0</v>
      </c>
      <c r="AF109">
        <f>SUMIF(RawDataRecovered!$B:$B,$A109,RawDataRecovered!AI:AI)</f>
        <v>0</v>
      </c>
      <c r="AG109">
        <f>SUMIF(RawDataRecovered!$B:$B,$A109,RawDataRecovered!AJ:AJ)</f>
        <v>0</v>
      </c>
      <c r="AH109">
        <f>SUMIF(RawDataRecovered!$B:$B,$A109,RawDataRecovered!AK:AK)</f>
        <v>0</v>
      </c>
      <c r="AI109">
        <f>SUMIF(RawDataRecovered!$B:$B,$A109,RawDataRecovered!AL:AL)</f>
        <v>0</v>
      </c>
      <c r="AJ109">
        <f>SUMIF(RawDataRecovered!$B:$B,$A109,RawDataRecovered!AM:AM)</f>
        <v>0</v>
      </c>
      <c r="AK109">
        <f>SUMIF(RawDataRecovered!$B:$B,$A109,RawDataRecovered!AN:AN)</f>
        <v>0</v>
      </c>
      <c r="AL109">
        <f>SUMIF(RawDataRecovered!$B:$B,$A109,RawDataRecovered!AO:AO)</f>
        <v>0</v>
      </c>
      <c r="AM109">
        <f>SUMIF(RawDataRecovered!$B:$B,$A109,RawDataRecovered!AP:AP)</f>
        <v>0</v>
      </c>
      <c r="AN109">
        <f>SUMIF(RawDataRecovered!$B:$B,$A109,RawDataRecovered!AQ:AQ)</f>
        <v>0</v>
      </c>
      <c r="AO109">
        <f>SUMIF(RawDataRecovered!$B:$B,$A109,RawDataRecovered!AR:AR)</f>
        <v>0</v>
      </c>
      <c r="AP109">
        <f>SUMIF(RawDataRecovered!$B:$B,$A109,RawDataRecovered!AS:AS)</f>
        <v>0</v>
      </c>
      <c r="AQ109">
        <f>SUMIF(RawDataRecovered!$B:$B,$A109,RawDataRecovered!AT:AT)</f>
        <v>0</v>
      </c>
      <c r="AR109">
        <f>SUMIF(RawDataRecovered!$B:$B,$A109,RawDataRecovered!AU:AU)</f>
        <v>0</v>
      </c>
      <c r="AS109">
        <f>SUMIF(RawDataRecovered!$B:$B,$A109,RawDataRecovered!AV:AV)</f>
        <v>0</v>
      </c>
      <c r="AT109">
        <f>SUMIF(RawDataRecovered!$B:$B,$A109,RawDataRecovered!AW:AW)</f>
        <v>0</v>
      </c>
      <c r="AU109">
        <f>SUMIF(RawDataRecovered!$B:$B,$A109,RawDataRecovered!AX:AX)</f>
        <v>0</v>
      </c>
      <c r="AV109">
        <f>SUMIF(RawDataRecovered!$B:$B,$A109,RawDataRecovered!AY:AY)</f>
        <v>0</v>
      </c>
      <c r="AW109">
        <f>SUMIF(RawDataRecovered!$B:$B,$A109,RawDataRecovered!AZ:AZ)</f>
        <v>0</v>
      </c>
      <c r="AX109">
        <f>SUMIF(RawDataRecovered!$B:$B,$A109,RawDataRecovered!BA:BA)</f>
        <v>0</v>
      </c>
      <c r="AY109">
        <f>SUMIF(RawDataRecovered!$B:$B,$A109,RawDataRecovered!BB:BB)</f>
        <v>0</v>
      </c>
      <c r="AZ109">
        <f>SUMIF(RawDataRecovered!$B:$B,$A109,RawDataRecovered!BC:BC)</f>
        <v>0</v>
      </c>
      <c r="BA109">
        <f>SUMIF(RawDataRecovered!$B:$B,$A109,RawDataRecovered!BD:BD)</f>
        <v>0</v>
      </c>
      <c r="BB109">
        <f>SUMIF(RawDataRecovered!$B:$B,$A109,RawDataRecovered!BE:BE)</f>
        <v>0</v>
      </c>
      <c r="BC109">
        <f>SUMIF(RawDataRecovered!$B:$B,$A109,RawDataRecovered!BF:BF)</f>
        <v>0</v>
      </c>
      <c r="BD109">
        <f>SUMIF(RawDataRecovered!$B:$B,$A109,RawDataRecovered!BG:BG)</f>
        <v>0</v>
      </c>
      <c r="BE109">
        <f>SUMIF(RawDataRecovered!$B:$B,$A109,RawDataRecovered!BH:BH)</f>
        <v>0</v>
      </c>
      <c r="BF109">
        <f>SUMIF(RawDataRecovered!$B:$B,$A109,RawDataRecovered!BI:BI)</f>
        <v>0</v>
      </c>
      <c r="BG109">
        <f>SUMIF(RawDataRecovered!$B:$B,$A109,RawDataRecovered!BJ:BJ)</f>
        <v>0</v>
      </c>
      <c r="BH109">
        <f>SUMIF(RawDataRecovered!$B:$B,$A109,RawDataRecovered!BK:BK)</f>
        <v>0</v>
      </c>
      <c r="BI109">
        <f>SUMIF(RawDataRecovered!$B:$B,$A109,RawDataRecovered!BL:BL)</f>
        <v>0</v>
      </c>
      <c r="BJ109">
        <f>SUMIF(RawDataRecovered!$B:$B,$A109,RawDataRecovered!BM:BM)</f>
        <v>0</v>
      </c>
      <c r="BK109">
        <f>SUMIF(RawDataRecovered!$B:$B,$A109,RawDataRecovered!BN:BN)</f>
        <v>0</v>
      </c>
      <c r="BL109">
        <f>SUMIF(RawDataRecovered!$B:$B,$A109,RawDataRecovered!BO:BO)</f>
        <v>0</v>
      </c>
      <c r="BM109">
        <f>SUMIF(RawDataRecovered!$B:$B,$A109,RawDataRecovered!BP:BP)</f>
        <v>0</v>
      </c>
      <c r="BN109">
        <f>SUMIF(RawDataRecovered!$B:$B,$A109,RawDataRecovered!BQ:BQ)</f>
        <v>0</v>
      </c>
      <c r="BO109">
        <f>SUMIF(RawDataRecovered!$B:$B,$A109,RawDataRecovered!BR:BR)</f>
        <v>0</v>
      </c>
      <c r="BP109">
        <f>SUMIF(RawDataRecovered!$B:$B,$A109,RawDataRecovered!BS:BS)</f>
        <v>0</v>
      </c>
      <c r="BQ109">
        <f>SUMIF(RawDataRecovered!$B:$B,$A109,RawDataRecovered!BT:BT)</f>
        <v>0</v>
      </c>
      <c r="BR109">
        <f>SUMIF(RawDataRecovered!$B:$B,$A109,RawDataRecovered!BU:BU)</f>
        <v>0</v>
      </c>
      <c r="BS109">
        <f>SUMIF(RawDataRecovered!$B:$B,$A109,RawDataRecovered!BV:BV)</f>
        <v>0</v>
      </c>
      <c r="BT109">
        <f>SUMIF(RawDataRecovered!$B:$B,$A109,RawDataRecovered!BW:BW)</f>
        <v>0</v>
      </c>
    </row>
    <row r="110" spans="1:72" ht="15" thickBot="1" x14ac:dyDescent="0.35">
      <c r="A110" s="4" t="s">
        <v>136</v>
      </c>
      <c r="B110">
        <f>SUMIF(RawDataRecovered!$B:$B,$A110,RawDataRecovered!E:E)</f>
        <v>0</v>
      </c>
      <c r="C110">
        <f>SUMIF(RawDataRecovered!$B:$B,$A110,RawDataRecovered!F:F)</f>
        <v>0</v>
      </c>
      <c r="D110">
        <f>SUMIF(RawDataRecovered!$B:$B,$A110,RawDataRecovered!G:G)</f>
        <v>0</v>
      </c>
      <c r="E110">
        <f>SUMIF(RawDataRecovered!$B:$B,$A110,RawDataRecovered!H:H)</f>
        <v>0</v>
      </c>
      <c r="F110">
        <f>SUMIF(RawDataRecovered!$B:$B,$A110,RawDataRecovered!I:I)</f>
        <v>0</v>
      </c>
      <c r="G110">
        <f>SUMIF(RawDataRecovered!$B:$B,$A110,RawDataRecovered!J:J)</f>
        <v>0</v>
      </c>
      <c r="H110">
        <f>SUMIF(RawDataRecovered!$B:$B,$A110,RawDataRecovered!K:K)</f>
        <v>0</v>
      </c>
      <c r="I110">
        <f>SUMIF(RawDataRecovered!$B:$B,$A110,RawDataRecovered!L:L)</f>
        <v>0</v>
      </c>
      <c r="J110">
        <f>SUMIF(RawDataRecovered!$B:$B,$A110,RawDataRecovered!M:M)</f>
        <v>0</v>
      </c>
      <c r="K110">
        <f>SUMIF(RawDataRecovered!$B:$B,$A110,RawDataRecovered!N:N)</f>
        <v>0</v>
      </c>
      <c r="L110">
        <f>SUMIF(RawDataRecovered!$B:$B,$A110,RawDataRecovered!O:O)</f>
        <v>0</v>
      </c>
      <c r="M110">
        <f>SUMIF(RawDataRecovered!$B:$B,$A110,RawDataRecovered!P:P)</f>
        <v>0</v>
      </c>
      <c r="N110">
        <f>SUMIF(RawDataRecovered!$B:$B,$A110,RawDataRecovered!Q:Q)</f>
        <v>0</v>
      </c>
      <c r="O110">
        <f>SUMIF(RawDataRecovered!$B:$B,$A110,RawDataRecovered!R:R)</f>
        <v>0</v>
      </c>
      <c r="P110">
        <f>SUMIF(RawDataRecovered!$B:$B,$A110,RawDataRecovered!S:S)</f>
        <v>0</v>
      </c>
      <c r="Q110">
        <f>SUMIF(RawDataRecovered!$B:$B,$A110,RawDataRecovered!T:T)</f>
        <v>0</v>
      </c>
      <c r="R110">
        <f>SUMIF(RawDataRecovered!$B:$B,$A110,RawDataRecovered!U:U)</f>
        <v>0</v>
      </c>
      <c r="S110">
        <f>SUMIF(RawDataRecovered!$B:$B,$A110,RawDataRecovered!V:V)</f>
        <v>0</v>
      </c>
      <c r="T110">
        <f>SUMIF(RawDataRecovered!$B:$B,$A110,RawDataRecovered!W:W)</f>
        <v>0</v>
      </c>
      <c r="U110">
        <f>SUMIF(RawDataRecovered!$B:$B,$A110,RawDataRecovered!X:X)</f>
        <v>0</v>
      </c>
      <c r="V110">
        <f>SUMIF(RawDataRecovered!$B:$B,$A110,RawDataRecovered!Y:Y)</f>
        <v>0</v>
      </c>
      <c r="W110">
        <f>SUMIF(RawDataRecovered!$B:$B,$A110,RawDataRecovered!Z:Z)</f>
        <v>0</v>
      </c>
      <c r="X110">
        <f>SUMIF(RawDataRecovered!$B:$B,$A110,RawDataRecovered!AA:AA)</f>
        <v>0</v>
      </c>
      <c r="Y110">
        <f>SUMIF(RawDataRecovered!$B:$B,$A110,RawDataRecovered!AB:AB)</f>
        <v>0</v>
      </c>
      <c r="Z110">
        <f>SUMIF(RawDataRecovered!$B:$B,$A110,RawDataRecovered!AC:AC)</f>
        <v>0</v>
      </c>
      <c r="AA110">
        <f>SUMIF(RawDataRecovered!$B:$B,$A110,RawDataRecovered!AD:AD)</f>
        <v>0</v>
      </c>
      <c r="AB110">
        <f>SUMIF(RawDataRecovered!$B:$B,$A110,RawDataRecovered!AE:AE)</f>
        <v>0</v>
      </c>
      <c r="AC110">
        <f>SUMIF(RawDataRecovered!$B:$B,$A110,RawDataRecovered!AF:AF)</f>
        <v>0</v>
      </c>
      <c r="AD110">
        <f>SUMIF(RawDataRecovered!$B:$B,$A110,RawDataRecovered!AG:AG)</f>
        <v>0</v>
      </c>
      <c r="AE110">
        <f>SUMIF(RawDataRecovered!$B:$B,$A110,RawDataRecovered!AH:AH)</f>
        <v>0</v>
      </c>
      <c r="AF110">
        <f>SUMIF(RawDataRecovered!$B:$B,$A110,RawDataRecovered!AI:AI)</f>
        <v>0</v>
      </c>
      <c r="AG110">
        <f>SUMIF(RawDataRecovered!$B:$B,$A110,RawDataRecovered!AJ:AJ)</f>
        <v>0</v>
      </c>
      <c r="AH110">
        <f>SUMIF(RawDataRecovered!$B:$B,$A110,RawDataRecovered!AK:AK)</f>
        <v>0</v>
      </c>
      <c r="AI110">
        <f>SUMIF(RawDataRecovered!$B:$B,$A110,RawDataRecovered!AL:AL)</f>
        <v>0</v>
      </c>
      <c r="AJ110">
        <f>SUMIF(RawDataRecovered!$B:$B,$A110,RawDataRecovered!AM:AM)</f>
        <v>0</v>
      </c>
      <c r="AK110">
        <f>SUMIF(RawDataRecovered!$B:$B,$A110,RawDataRecovered!AN:AN)</f>
        <v>0</v>
      </c>
      <c r="AL110">
        <f>SUMIF(RawDataRecovered!$B:$B,$A110,RawDataRecovered!AO:AO)</f>
        <v>0</v>
      </c>
      <c r="AM110">
        <f>SUMIF(RawDataRecovered!$B:$B,$A110,RawDataRecovered!AP:AP)</f>
        <v>0</v>
      </c>
      <c r="AN110">
        <f>SUMIF(RawDataRecovered!$B:$B,$A110,RawDataRecovered!AQ:AQ)</f>
        <v>0</v>
      </c>
      <c r="AO110">
        <f>SUMIF(RawDataRecovered!$B:$B,$A110,RawDataRecovered!AR:AR)</f>
        <v>0</v>
      </c>
      <c r="AP110">
        <f>SUMIF(RawDataRecovered!$B:$B,$A110,RawDataRecovered!AS:AS)</f>
        <v>0</v>
      </c>
      <c r="AQ110">
        <f>SUMIF(RawDataRecovered!$B:$B,$A110,RawDataRecovered!AT:AT)</f>
        <v>0</v>
      </c>
      <c r="AR110">
        <f>SUMIF(RawDataRecovered!$B:$B,$A110,RawDataRecovered!AU:AU)</f>
        <v>0</v>
      </c>
      <c r="AS110">
        <f>SUMIF(RawDataRecovered!$B:$B,$A110,RawDataRecovered!AV:AV)</f>
        <v>0</v>
      </c>
      <c r="AT110">
        <f>SUMIF(RawDataRecovered!$B:$B,$A110,RawDataRecovered!AW:AW)</f>
        <v>0</v>
      </c>
      <c r="AU110">
        <f>SUMIF(RawDataRecovered!$B:$B,$A110,RawDataRecovered!AX:AX)</f>
        <v>0</v>
      </c>
      <c r="AV110">
        <f>SUMIF(RawDataRecovered!$B:$B,$A110,RawDataRecovered!AY:AY)</f>
        <v>0</v>
      </c>
      <c r="AW110">
        <f>SUMIF(RawDataRecovered!$B:$B,$A110,RawDataRecovered!AZ:AZ)</f>
        <v>0</v>
      </c>
      <c r="AX110">
        <f>SUMIF(RawDataRecovered!$B:$B,$A110,RawDataRecovered!BA:BA)</f>
        <v>0</v>
      </c>
      <c r="AY110">
        <f>SUMIF(RawDataRecovered!$B:$B,$A110,RawDataRecovered!BB:BB)</f>
        <v>0</v>
      </c>
      <c r="AZ110">
        <f>SUMIF(RawDataRecovered!$B:$B,$A110,RawDataRecovered!BC:BC)</f>
        <v>1</v>
      </c>
      <c r="BA110">
        <f>SUMIF(RawDataRecovered!$B:$B,$A110,RawDataRecovered!BD:BD)</f>
        <v>0</v>
      </c>
      <c r="BB110">
        <f>SUMIF(RawDataRecovered!$B:$B,$A110,RawDataRecovered!BE:BE)</f>
        <v>1</v>
      </c>
      <c r="BC110">
        <f>SUMIF(RawDataRecovered!$B:$B,$A110,RawDataRecovered!BF:BF)</f>
        <v>1</v>
      </c>
      <c r="BD110">
        <f>SUMIF(RawDataRecovered!$B:$B,$A110,RawDataRecovered!BG:BG)</f>
        <v>1</v>
      </c>
      <c r="BE110">
        <f>SUMIF(RawDataRecovered!$B:$B,$A110,RawDataRecovered!BH:BH)</f>
        <v>1</v>
      </c>
      <c r="BF110">
        <f>SUMIF(RawDataRecovered!$B:$B,$A110,RawDataRecovered!BI:BI)</f>
        <v>0</v>
      </c>
      <c r="BG110">
        <f>SUMIF(RawDataRecovered!$B:$B,$A110,RawDataRecovered!BJ:BJ)</f>
        <v>0</v>
      </c>
      <c r="BH110">
        <f>SUMIF(RawDataRecovered!$B:$B,$A110,RawDataRecovered!BK:BK)</f>
        <v>0</v>
      </c>
      <c r="BI110">
        <f>SUMIF(RawDataRecovered!$B:$B,$A110,RawDataRecovered!BL:BL)</f>
        <v>0</v>
      </c>
      <c r="BJ110">
        <f>SUMIF(RawDataRecovered!$B:$B,$A110,RawDataRecovered!BM:BM)</f>
        <v>0</v>
      </c>
      <c r="BK110">
        <f>SUMIF(RawDataRecovered!$B:$B,$A110,RawDataRecovered!BN:BN)</f>
        <v>0</v>
      </c>
      <c r="BL110">
        <f>SUMIF(RawDataRecovered!$B:$B,$A110,RawDataRecovered!BO:BO)</f>
        <v>0</v>
      </c>
      <c r="BM110">
        <f>SUMIF(RawDataRecovered!$B:$B,$A110,RawDataRecovered!BP:BP)</f>
        <v>0</v>
      </c>
      <c r="BN110">
        <f>SUMIF(RawDataRecovered!$B:$B,$A110,RawDataRecovered!BQ:BQ)</f>
        <v>0</v>
      </c>
      <c r="BO110">
        <f>SUMIF(RawDataRecovered!$B:$B,$A110,RawDataRecovered!BR:BR)</f>
        <v>0</v>
      </c>
      <c r="BP110">
        <f>SUMIF(RawDataRecovered!$B:$B,$A110,RawDataRecovered!BS:BS)</f>
        <v>0</v>
      </c>
      <c r="BQ110">
        <f>SUMIF(RawDataRecovered!$B:$B,$A110,RawDataRecovered!BT:BT)</f>
        <v>0</v>
      </c>
      <c r="BR110">
        <f>SUMIF(RawDataRecovered!$B:$B,$A110,RawDataRecovered!BU:BU)</f>
        <v>0</v>
      </c>
      <c r="BS110">
        <f>SUMIF(RawDataRecovered!$B:$B,$A110,RawDataRecovered!BV:BV)</f>
        <v>0</v>
      </c>
      <c r="BT110">
        <f>SUMIF(RawDataRecovered!$B:$B,$A110,RawDataRecovered!BW:BW)</f>
        <v>0</v>
      </c>
    </row>
    <row r="111" spans="1:72" ht="15" thickBot="1" x14ac:dyDescent="0.35">
      <c r="A111" s="4" t="s">
        <v>452</v>
      </c>
      <c r="B111">
        <f>SUMIF(RawDataRecovered!$B:$B,$A111,RawDataRecovered!E:E)</f>
        <v>0</v>
      </c>
      <c r="C111">
        <f>SUMIF(RawDataRecovered!$B:$B,$A111,RawDataRecovered!F:F)</f>
        <v>0</v>
      </c>
      <c r="D111">
        <f>SUMIF(RawDataRecovered!$B:$B,$A111,RawDataRecovered!G:G)</f>
        <v>0</v>
      </c>
      <c r="E111">
        <f>SUMIF(RawDataRecovered!$B:$B,$A111,RawDataRecovered!H:H)</f>
        <v>0</v>
      </c>
      <c r="F111">
        <f>SUMIF(RawDataRecovered!$B:$B,$A111,RawDataRecovered!I:I)</f>
        <v>0</v>
      </c>
      <c r="G111">
        <f>SUMIF(RawDataRecovered!$B:$B,$A111,RawDataRecovered!J:J)</f>
        <v>0</v>
      </c>
      <c r="H111">
        <f>SUMIF(RawDataRecovered!$B:$B,$A111,RawDataRecovered!K:K)</f>
        <v>0</v>
      </c>
      <c r="I111">
        <f>SUMIF(RawDataRecovered!$B:$B,$A111,RawDataRecovered!L:L)</f>
        <v>0</v>
      </c>
      <c r="J111">
        <f>SUMIF(RawDataRecovered!$B:$B,$A111,RawDataRecovered!M:M)</f>
        <v>0</v>
      </c>
      <c r="K111">
        <f>SUMIF(RawDataRecovered!$B:$B,$A111,RawDataRecovered!N:N)</f>
        <v>0</v>
      </c>
      <c r="L111">
        <f>SUMIF(RawDataRecovered!$B:$B,$A111,RawDataRecovered!O:O)</f>
        <v>0</v>
      </c>
      <c r="M111">
        <f>SUMIF(RawDataRecovered!$B:$B,$A111,RawDataRecovered!P:P)</f>
        <v>0</v>
      </c>
      <c r="N111">
        <f>SUMIF(RawDataRecovered!$B:$B,$A111,RawDataRecovered!Q:Q)</f>
        <v>0</v>
      </c>
      <c r="O111">
        <f>SUMIF(RawDataRecovered!$B:$B,$A111,RawDataRecovered!R:R)</f>
        <v>0</v>
      </c>
      <c r="P111">
        <f>SUMIF(RawDataRecovered!$B:$B,$A111,RawDataRecovered!S:S)</f>
        <v>0</v>
      </c>
      <c r="Q111">
        <f>SUMIF(RawDataRecovered!$B:$B,$A111,RawDataRecovered!T:T)</f>
        <v>0</v>
      </c>
      <c r="R111">
        <f>SUMIF(RawDataRecovered!$B:$B,$A111,RawDataRecovered!U:U)</f>
        <v>0</v>
      </c>
      <c r="S111">
        <f>SUMIF(RawDataRecovered!$B:$B,$A111,RawDataRecovered!V:V)</f>
        <v>0</v>
      </c>
      <c r="T111">
        <f>SUMIF(RawDataRecovered!$B:$B,$A111,RawDataRecovered!W:W)</f>
        <v>0</v>
      </c>
      <c r="U111">
        <f>SUMIF(RawDataRecovered!$B:$B,$A111,RawDataRecovered!X:X)</f>
        <v>0</v>
      </c>
      <c r="V111">
        <f>SUMIF(RawDataRecovered!$B:$B,$A111,RawDataRecovered!Y:Y)</f>
        <v>0</v>
      </c>
      <c r="W111">
        <f>SUMIF(RawDataRecovered!$B:$B,$A111,RawDataRecovered!Z:Z)</f>
        <v>0</v>
      </c>
      <c r="X111">
        <f>SUMIF(RawDataRecovered!$B:$B,$A111,RawDataRecovered!AA:AA)</f>
        <v>0</v>
      </c>
      <c r="Y111">
        <f>SUMIF(RawDataRecovered!$B:$B,$A111,RawDataRecovered!AB:AB)</f>
        <v>0</v>
      </c>
      <c r="Z111">
        <f>SUMIF(RawDataRecovered!$B:$B,$A111,RawDataRecovered!AC:AC)</f>
        <v>0</v>
      </c>
      <c r="AA111">
        <f>SUMIF(RawDataRecovered!$B:$B,$A111,RawDataRecovered!AD:AD)</f>
        <v>0</v>
      </c>
      <c r="AB111">
        <f>SUMIF(RawDataRecovered!$B:$B,$A111,RawDataRecovered!AE:AE)</f>
        <v>0</v>
      </c>
      <c r="AC111">
        <f>SUMIF(RawDataRecovered!$B:$B,$A111,RawDataRecovered!AF:AF)</f>
        <v>0</v>
      </c>
      <c r="AD111">
        <f>SUMIF(RawDataRecovered!$B:$B,$A111,RawDataRecovered!AG:AG)</f>
        <v>0</v>
      </c>
      <c r="AE111">
        <f>SUMIF(RawDataRecovered!$B:$B,$A111,RawDataRecovered!AH:AH)</f>
        <v>0</v>
      </c>
      <c r="AF111">
        <f>SUMIF(RawDataRecovered!$B:$B,$A111,RawDataRecovered!AI:AI)</f>
        <v>0</v>
      </c>
      <c r="AG111">
        <f>SUMIF(RawDataRecovered!$B:$B,$A111,RawDataRecovered!AJ:AJ)</f>
        <v>0</v>
      </c>
      <c r="AH111">
        <f>SUMIF(RawDataRecovered!$B:$B,$A111,RawDataRecovered!AK:AK)</f>
        <v>0</v>
      </c>
      <c r="AI111">
        <f>SUMIF(RawDataRecovered!$B:$B,$A111,RawDataRecovered!AL:AL)</f>
        <v>0</v>
      </c>
      <c r="AJ111">
        <f>SUMIF(RawDataRecovered!$B:$B,$A111,RawDataRecovered!AM:AM)</f>
        <v>0</v>
      </c>
      <c r="AK111">
        <f>SUMIF(RawDataRecovered!$B:$B,$A111,RawDataRecovered!AN:AN)</f>
        <v>0</v>
      </c>
      <c r="AL111">
        <f>SUMIF(RawDataRecovered!$B:$B,$A111,RawDataRecovered!AO:AO)</f>
        <v>0</v>
      </c>
      <c r="AM111">
        <f>SUMIF(RawDataRecovered!$B:$B,$A111,RawDataRecovered!AP:AP)</f>
        <v>0</v>
      </c>
      <c r="AN111">
        <f>SUMIF(RawDataRecovered!$B:$B,$A111,RawDataRecovered!AQ:AQ)</f>
        <v>0</v>
      </c>
      <c r="AO111">
        <f>SUMIF(RawDataRecovered!$B:$B,$A111,RawDataRecovered!AR:AR)</f>
        <v>0</v>
      </c>
      <c r="AP111">
        <f>SUMIF(RawDataRecovered!$B:$B,$A111,RawDataRecovered!AS:AS)</f>
        <v>0</v>
      </c>
      <c r="AQ111">
        <f>SUMIF(RawDataRecovered!$B:$B,$A111,RawDataRecovered!AT:AT)</f>
        <v>0</v>
      </c>
      <c r="AR111">
        <f>SUMIF(RawDataRecovered!$B:$B,$A111,RawDataRecovered!AU:AU)</f>
        <v>0</v>
      </c>
      <c r="AS111">
        <f>SUMIF(RawDataRecovered!$B:$B,$A111,RawDataRecovered!AV:AV)</f>
        <v>0</v>
      </c>
      <c r="AT111">
        <f>SUMIF(RawDataRecovered!$B:$B,$A111,RawDataRecovered!AW:AW)</f>
        <v>0</v>
      </c>
      <c r="AU111">
        <f>SUMIF(RawDataRecovered!$B:$B,$A111,RawDataRecovered!AX:AX)</f>
        <v>0</v>
      </c>
      <c r="AV111">
        <f>SUMIF(RawDataRecovered!$B:$B,$A111,RawDataRecovered!AY:AY)</f>
        <v>0</v>
      </c>
      <c r="AW111">
        <f>SUMIF(RawDataRecovered!$B:$B,$A111,RawDataRecovered!AZ:AZ)</f>
        <v>0</v>
      </c>
      <c r="AX111">
        <f>SUMIF(RawDataRecovered!$B:$B,$A111,RawDataRecovered!BA:BA)</f>
        <v>0</v>
      </c>
      <c r="AY111">
        <f>SUMIF(RawDataRecovered!$B:$B,$A111,RawDataRecovered!BB:BB)</f>
        <v>0</v>
      </c>
      <c r="AZ111">
        <f>SUMIF(RawDataRecovered!$B:$B,$A111,RawDataRecovered!BC:BC)</f>
        <v>0</v>
      </c>
      <c r="BA111">
        <f>SUMIF(RawDataRecovered!$B:$B,$A111,RawDataRecovered!BD:BD)</f>
        <v>0</v>
      </c>
      <c r="BB111">
        <f>SUMIF(RawDataRecovered!$B:$B,$A111,RawDataRecovered!BE:BE)</f>
        <v>0</v>
      </c>
      <c r="BC111">
        <f>SUMIF(RawDataRecovered!$B:$B,$A111,RawDataRecovered!BF:BF)</f>
        <v>0</v>
      </c>
      <c r="BD111">
        <f>SUMIF(RawDataRecovered!$B:$B,$A111,RawDataRecovered!BG:BG)</f>
        <v>0</v>
      </c>
      <c r="BE111">
        <f>SUMIF(RawDataRecovered!$B:$B,$A111,RawDataRecovered!BH:BH)</f>
        <v>0</v>
      </c>
      <c r="BF111">
        <f>SUMIF(RawDataRecovered!$B:$B,$A111,RawDataRecovered!BI:BI)</f>
        <v>0</v>
      </c>
      <c r="BG111">
        <f>SUMIF(RawDataRecovered!$B:$B,$A111,RawDataRecovered!BJ:BJ)</f>
        <v>0</v>
      </c>
      <c r="BH111">
        <f>SUMIF(RawDataRecovered!$B:$B,$A111,RawDataRecovered!BK:BK)</f>
        <v>0</v>
      </c>
      <c r="BI111">
        <f>SUMIF(RawDataRecovered!$B:$B,$A111,RawDataRecovered!BL:BL)</f>
        <v>0</v>
      </c>
      <c r="BJ111">
        <f>SUMIF(RawDataRecovered!$B:$B,$A111,RawDataRecovered!BM:BM)</f>
        <v>0</v>
      </c>
      <c r="BK111">
        <f>SUMIF(RawDataRecovered!$B:$B,$A111,RawDataRecovered!BN:BN)</f>
        <v>0</v>
      </c>
      <c r="BL111">
        <f>SUMIF(RawDataRecovered!$B:$B,$A111,RawDataRecovered!BO:BO)</f>
        <v>0</v>
      </c>
      <c r="BM111">
        <f>SUMIF(RawDataRecovered!$B:$B,$A111,RawDataRecovered!BP:BP)</f>
        <v>0</v>
      </c>
      <c r="BN111">
        <f>SUMIF(RawDataRecovered!$B:$B,$A111,RawDataRecovered!BQ:BQ)</f>
        <v>0</v>
      </c>
      <c r="BO111">
        <f>SUMIF(RawDataRecovered!$B:$B,$A111,RawDataRecovered!BR:BR)</f>
        <v>0</v>
      </c>
      <c r="BP111">
        <f>SUMIF(RawDataRecovered!$B:$B,$A111,RawDataRecovered!BS:BS)</f>
        <v>0</v>
      </c>
      <c r="BQ111">
        <f>SUMIF(RawDataRecovered!$B:$B,$A111,RawDataRecovered!BT:BT)</f>
        <v>0</v>
      </c>
      <c r="BR111">
        <f>SUMIF(RawDataRecovered!$B:$B,$A111,RawDataRecovered!BU:BU)</f>
        <v>0</v>
      </c>
      <c r="BS111">
        <f>SUMIF(RawDataRecovered!$B:$B,$A111,RawDataRecovered!BV:BV)</f>
        <v>0</v>
      </c>
      <c r="BT111">
        <f>SUMIF(RawDataRecovered!$B:$B,$A111,RawDataRecovered!BW:BW)</f>
        <v>0</v>
      </c>
    </row>
    <row r="112" spans="1:72" ht="15" thickBot="1" x14ac:dyDescent="0.35">
      <c r="A112" s="4" t="s">
        <v>183</v>
      </c>
      <c r="B112">
        <f>SUMIF(RawDataRecovered!$B:$B,$A112,RawDataRecovered!E:E)</f>
        <v>0</v>
      </c>
      <c r="C112">
        <f>SUMIF(RawDataRecovered!$B:$B,$A112,RawDataRecovered!F:F)</f>
        <v>0</v>
      </c>
      <c r="D112">
        <f>SUMIF(RawDataRecovered!$B:$B,$A112,RawDataRecovered!G:G)</f>
        <v>0</v>
      </c>
      <c r="E112">
        <f>SUMIF(RawDataRecovered!$B:$B,$A112,RawDataRecovered!H:H)</f>
        <v>0</v>
      </c>
      <c r="F112">
        <f>SUMIF(RawDataRecovered!$B:$B,$A112,RawDataRecovered!I:I)</f>
        <v>0</v>
      </c>
      <c r="G112">
        <f>SUMIF(RawDataRecovered!$B:$B,$A112,RawDataRecovered!J:J)</f>
        <v>0</v>
      </c>
      <c r="H112">
        <f>SUMIF(RawDataRecovered!$B:$B,$A112,RawDataRecovered!K:K)</f>
        <v>0</v>
      </c>
      <c r="I112">
        <f>SUMIF(RawDataRecovered!$B:$B,$A112,RawDataRecovered!L:L)</f>
        <v>0</v>
      </c>
      <c r="J112">
        <f>SUMIF(RawDataRecovered!$B:$B,$A112,RawDataRecovered!M:M)</f>
        <v>0</v>
      </c>
      <c r="K112">
        <f>SUMIF(RawDataRecovered!$B:$B,$A112,RawDataRecovered!N:N)</f>
        <v>0</v>
      </c>
      <c r="L112">
        <f>SUMIF(RawDataRecovered!$B:$B,$A112,RawDataRecovered!O:O)</f>
        <v>0</v>
      </c>
      <c r="M112">
        <f>SUMIF(RawDataRecovered!$B:$B,$A112,RawDataRecovered!P:P)</f>
        <v>0</v>
      </c>
      <c r="N112">
        <f>SUMIF(RawDataRecovered!$B:$B,$A112,RawDataRecovered!Q:Q)</f>
        <v>0</v>
      </c>
      <c r="O112">
        <f>SUMIF(RawDataRecovered!$B:$B,$A112,RawDataRecovered!R:R)</f>
        <v>0</v>
      </c>
      <c r="P112">
        <f>SUMIF(RawDataRecovered!$B:$B,$A112,RawDataRecovered!S:S)</f>
        <v>0</v>
      </c>
      <c r="Q112">
        <f>SUMIF(RawDataRecovered!$B:$B,$A112,RawDataRecovered!T:T)</f>
        <v>0</v>
      </c>
      <c r="R112">
        <f>SUMIF(RawDataRecovered!$B:$B,$A112,RawDataRecovered!U:U)</f>
        <v>0</v>
      </c>
      <c r="S112">
        <f>SUMIF(RawDataRecovered!$B:$B,$A112,RawDataRecovered!V:V)</f>
        <v>0</v>
      </c>
      <c r="T112">
        <f>SUMIF(RawDataRecovered!$B:$B,$A112,RawDataRecovered!W:W)</f>
        <v>0</v>
      </c>
      <c r="U112">
        <f>SUMIF(RawDataRecovered!$B:$B,$A112,RawDataRecovered!X:X)</f>
        <v>0</v>
      </c>
      <c r="V112">
        <f>SUMIF(RawDataRecovered!$B:$B,$A112,RawDataRecovered!Y:Y)</f>
        <v>0</v>
      </c>
      <c r="W112">
        <f>SUMIF(RawDataRecovered!$B:$B,$A112,RawDataRecovered!Z:Z)</f>
        <v>0</v>
      </c>
      <c r="X112">
        <f>SUMIF(RawDataRecovered!$B:$B,$A112,RawDataRecovered!AA:AA)</f>
        <v>0</v>
      </c>
      <c r="Y112">
        <f>SUMIF(RawDataRecovered!$B:$B,$A112,RawDataRecovered!AB:AB)</f>
        <v>0</v>
      </c>
      <c r="Z112">
        <f>SUMIF(RawDataRecovered!$B:$B,$A112,RawDataRecovered!AC:AC)</f>
        <v>0</v>
      </c>
      <c r="AA112">
        <f>SUMIF(RawDataRecovered!$B:$B,$A112,RawDataRecovered!AD:AD)</f>
        <v>0</v>
      </c>
      <c r="AB112">
        <f>SUMIF(RawDataRecovered!$B:$B,$A112,RawDataRecovered!AE:AE)</f>
        <v>0</v>
      </c>
      <c r="AC112">
        <f>SUMIF(RawDataRecovered!$B:$B,$A112,RawDataRecovered!AF:AF)</f>
        <v>0</v>
      </c>
      <c r="AD112">
        <f>SUMIF(RawDataRecovered!$B:$B,$A112,RawDataRecovered!AG:AG)</f>
        <v>0</v>
      </c>
      <c r="AE112">
        <f>SUMIF(RawDataRecovered!$B:$B,$A112,RawDataRecovered!AH:AH)</f>
        <v>0</v>
      </c>
      <c r="AF112">
        <f>SUMIF(RawDataRecovered!$B:$B,$A112,RawDataRecovered!AI:AI)</f>
        <v>0</v>
      </c>
      <c r="AG112">
        <f>SUMIF(RawDataRecovered!$B:$B,$A112,RawDataRecovered!AJ:AJ)</f>
        <v>0</v>
      </c>
      <c r="AH112">
        <f>SUMIF(RawDataRecovered!$B:$B,$A112,RawDataRecovered!AK:AK)</f>
        <v>0</v>
      </c>
      <c r="AI112">
        <f>SUMIF(RawDataRecovered!$B:$B,$A112,RawDataRecovered!AL:AL)</f>
        <v>0</v>
      </c>
      <c r="AJ112">
        <f>SUMIF(RawDataRecovered!$B:$B,$A112,RawDataRecovered!AM:AM)</f>
        <v>0</v>
      </c>
      <c r="AK112">
        <f>SUMIF(RawDataRecovered!$B:$B,$A112,RawDataRecovered!AN:AN)</f>
        <v>0</v>
      </c>
      <c r="AL112">
        <f>SUMIF(RawDataRecovered!$B:$B,$A112,RawDataRecovered!AO:AO)</f>
        <v>0</v>
      </c>
      <c r="AM112">
        <f>SUMIF(RawDataRecovered!$B:$B,$A112,RawDataRecovered!AP:AP)</f>
        <v>0</v>
      </c>
      <c r="AN112">
        <f>SUMIF(RawDataRecovered!$B:$B,$A112,RawDataRecovered!AQ:AQ)</f>
        <v>0</v>
      </c>
      <c r="AO112">
        <f>SUMIF(RawDataRecovered!$B:$B,$A112,RawDataRecovered!AR:AR)</f>
        <v>0</v>
      </c>
      <c r="AP112">
        <f>SUMIF(RawDataRecovered!$B:$B,$A112,RawDataRecovered!AS:AS)</f>
        <v>0</v>
      </c>
      <c r="AQ112">
        <f>SUMIF(RawDataRecovered!$B:$B,$A112,RawDataRecovered!AT:AT)</f>
        <v>0</v>
      </c>
      <c r="AR112">
        <f>SUMIF(RawDataRecovered!$B:$B,$A112,RawDataRecovered!AU:AU)</f>
        <v>0</v>
      </c>
      <c r="AS112">
        <f>SUMIF(RawDataRecovered!$B:$B,$A112,RawDataRecovered!AV:AV)</f>
        <v>0</v>
      </c>
      <c r="AT112">
        <f>SUMIF(RawDataRecovered!$B:$B,$A112,RawDataRecovered!AW:AW)</f>
        <v>0</v>
      </c>
      <c r="AU112">
        <f>SUMIF(RawDataRecovered!$B:$B,$A112,RawDataRecovered!AX:AX)</f>
        <v>0</v>
      </c>
      <c r="AV112">
        <f>SUMIF(RawDataRecovered!$B:$B,$A112,RawDataRecovered!AY:AY)</f>
        <v>0</v>
      </c>
      <c r="AW112">
        <f>SUMIF(RawDataRecovered!$B:$B,$A112,RawDataRecovered!AZ:AZ)</f>
        <v>0</v>
      </c>
      <c r="AX112">
        <f>SUMIF(RawDataRecovered!$B:$B,$A112,RawDataRecovered!BA:BA)</f>
        <v>0</v>
      </c>
      <c r="AY112">
        <f>SUMIF(RawDataRecovered!$B:$B,$A112,RawDataRecovered!BB:BB)</f>
        <v>0</v>
      </c>
      <c r="AZ112">
        <f>SUMIF(RawDataRecovered!$B:$B,$A112,RawDataRecovered!BC:BC)</f>
        <v>0</v>
      </c>
      <c r="BA112">
        <f>SUMIF(RawDataRecovered!$B:$B,$A112,RawDataRecovered!BD:BD)</f>
        <v>0</v>
      </c>
      <c r="BB112">
        <f>SUMIF(RawDataRecovered!$B:$B,$A112,RawDataRecovered!BE:BE)</f>
        <v>0</v>
      </c>
      <c r="BC112">
        <f>SUMIF(RawDataRecovered!$B:$B,$A112,RawDataRecovered!BF:BF)</f>
        <v>0</v>
      </c>
      <c r="BD112">
        <f>SUMIF(RawDataRecovered!$B:$B,$A112,RawDataRecovered!BG:BG)</f>
        <v>0</v>
      </c>
      <c r="BE112">
        <f>SUMIF(RawDataRecovered!$B:$B,$A112,RawDataRecovered!BH:BH)</f>
        <v>0</v>
      </c>
      <c r="BF112">
        <f>SUMIF(RawDataRecovered!$B:$B,$A112,RawDataRecovered!BI:BI)</f>
        <v>0</v>
      </c>
      <c r="BG112">
        <f>SUMIF(RawDataRecovered!$B:$B,$A112,RawDataRecovered!BJ:BJ)</f>
        <v>0</v>
      </c>
      <c r="BH112">
        <f>SUMIF(RawDataRecovered!$B:$B,$A112,RawDataRecovered!BK:BK)</f>
        <v>0</v>
      </c>
      <c r="BI112">
        <f>SUMIF(RawDataRecovered!$B:$B,$A112,RawDataRecovered!BL:BL)</f>
        <v>0</v>
      </c>
      <c r="BJ112">
        <f>SUMIF(RawDataRecovered!$B:$B,$A112,RawDataRecovered!BM:BM)</f>
        <v>0</v>
      </c>
      <c r="BK112">
        <f>SUMIF(RawDataRecovered!$B:$B,$A112,RawDataRecovered!BN:BN)</f>
        <v>0</v>
      </c>
      <c r="BL112">
        <f>SUMIF(RawDataRecovered!$B:$B,$A112,RawDataRecovered!BO:BO)</f>
        <v>0</v>
      </c>
      <c r="BM112">
        <f>SUMIF(RawDataRecovered!$B:$B,$A112,RawDataRecovered!BP:BP)</f>
        <v>0</v>
      </c>
      <c r="BN112">
        <f>SUMIF(RawDataRecovered!$B:$B,$A112,RawDataRecovered!BQ:BQ)</f>
        <v>0</v>
      </c>
      <c r="BO112">
        <f>SUMIF(RawDataRecovered!$B:$B,$A112,RawDataRecovered!BR:BR)</f>
        <v>0</v>
      </c>
      <c r="BP112">
        <f>SUMIF(RawDataRecovered!$B:$B,$A112,RawDataRecovered!BS:BS)</f>
        <v>0</v>
      </c>
      <c r="BQ112">
        <f>SUMIF(RawDataRecovered!$B:$B,$A112,RawDataRecovered!BT:BT)</f>
        <v>0</v>
      </c>
      <c r="BR112">
        <f>SUMIF(RawDataRecovered!$B:$B,$A112,RawDataRecovered!BU:BU)</f>
        <v>0</v>
      </c>
      <c r="BS112">
        <f>SUMIF(RawDataRecovered!$B:$B,$A112,RawDataRecovered!BV:BV)</f>
        <v>0</v>
      </c>
      <c r="BT112">
        <f>SUMIF(RawDataRecovered!$B:$B,$A112,RawDataRecovered!BW:BW)</f>
        <v>0</v>
      </c>
    </row>
    <row r="113" spans="1:72" ht="15" thickBot="1" x14ac:dyDescent="0.35">
      <c r="A113" s="4" t="s">
        <v>443</v>
      </c>
      <c r="B113">
        <f>SUMIF(RawDataRecovered!$B:$B,$A113,RawDataRecovered!E:E)</f>
        <v>0</v>
      </c>
      <c r="C113">
        <f>SUMIF(RawDataRecovered!$B:$B,$A113,RawDataRecovered!F:F)</f>
        <v>0</v>
      </c>
      <c r="D113">
        <f>SUMIF(RawDataRecovered!$B:$B,$A113,RawDataRecovered!G:G)</f>
        <v>0</v>
      </c>
      <c r="E113">
        <f>SUMIF(RawDataRecovered!$B:$B,$A113,RawDataRecovered!H:H)</f>
        <v>0</v>
      </c>
      <c r="F113">
        <f>SUMIF(RawDataRecovered!$B:$B,$A113,RawDataRecovered!I:I)</f>
        <v>0</v>
      </c>
      <c r="G113">
        <f>SUMIF(RawDataRecovered!$B:$B,$A113,RawDataRecovered!J:J)</f>
        <v>0</v>
      </c>
      <c r="H113">
        <f>SUMIF(RawDataRecovered!$B:$B,$A113,RawDataRecovered!K:K)</f>
        <v>0</v>
      </c>
      <c r="I113">
        <f>SUMIF(RawDataRecovered!$B:$B,$A113,RawDataRecovered!L:L)</f>
        <v>0</v>
      </c>
      <c r="J113">
        <f>SUMIF(RawDataRecovered!$B:$B,$A113,RawDataRecovered!M:M)</f>
        <v>0</v>
      </c>
      <c r="K113">
        <f>SUMIF(RawDataRecovered!$B:$B,$A113,RawDataRecovered!N:N)</f>
        <v>0</v>
      </c>
      <c r="L113">
        <f>SUMIF(RawDataRecovered!$B:$B,$A113,RawDataRecovered!O:O)</f>
        <v>0</v>
      </c>
      <c r="M113">
        <f>SUMIF(RawDataRecovered!$B:$B,$A113,RawDataRecovered!P:P)</f>
        <v>0</v>
      </c>
      <c r="N113">
        <f>SUMIF(RawDataRecovered!$B:$B,$A113,RawDataRecovered!Q:Q)</f>
        <v>0</v>
      </c>
      <c r="O113">
        <f>SUMIF(RawDataRecovered!$B:$B,$A113,RawDataRecovered!R:R)</f>
        <v>0</v>
      </c>
      <c r="P113">
        <f>SUMIF(RawDataRecovered!$B:$B,$A113,RawDataRecovered!S:S)</f>
        <v>0</v>
      </c>
      <c r="Q113">
        <f>SUMIF(RawDataRecovered!$B:$B,$A113,RawDataRecovered!T:T)</f>
        <v>0</v>
      </c>
      <c r="R113">
        <f>SUMIF(RawDataRecovered!$B:$B,$A113,RawDataRecovered!U:U)</f>
        <v>0</v>
      </c>
      <c r="S113">
        <f>SUMIF(RawDataRecovered!$B:$B,$A113,RawDataRecovered!V:V)</f>
        <v>0</v>
      </c>
      <c r="T113">
        <f>SUMIF(RawDataRecovered!$B:$B,$A113,RawDataRecovered!W:W)</f>
        <v>0</v>
      </c>
      <c r="U113">
        <f>SUMIF(RawDataRecovered!$B:$B,$A113,RawDataRecovered!X:X)</f>
        <v>0</v>
      </c>
      <c r="V113">
        <f>SUMIF(RawDataRecovered!$B:$B,$A113,RawDataRecovered!Y:Y)</f>
        <v>0</v>
      </c>
      <c r="W113">
        <f>SUMIF(RawDataRecovered!$B:$B,$A113,RawDataRecovered!Z:Z)</f>
        <v>0</v>
      </c>
      <c r="X113">
        <f>SUMIF(RawDataRecovered!$B:$B,$A113,RawDataRecovered!AA:AA)</f>
        <v>0</v>
      </c>
      <c r="Y113">
        <f>SUMIF(RawDataRecovered!$B:$B,$A113,RawDataRecovered!AB:AB)</f>
        <v>0</v>
      </c>
      <c r="Z113">
        <f>SUMIF(RawDataRecovered!$B:$B,$A113,RawDataRecovered!AC:AC)</f>
        <v>0</v>
      </c>
      <c r="AA113">
        <f>SUMIF(RawDataRecovered!$B:$B,$A113,RawDataRecovered!AD:AD)</f>
        <v>0</v>
      </c>
      <c r="AB113">
        <f>SUMIF(RawDataRecovered!$B:$B,$A113,RawDataRecovered!AE:AE)</f>
        <v>0</v>
      </c>
      <c r="AC113">
        <f>SUMIF(RawDataRecovered!$B:$B,$A113,RawDataRecovered!AF:AF)</f>
        <v>0</v>
      </c>
      <c r="AD113">
        <f>SUMIF(RawDataRecovered!$B:$B,$A113,RawDataRecovered!AG:AG)</f>
        <v>0</v>
      </c>
      <c r="AE113">
        <f>SUMIF(RawDataRecovered!$B:$B,$A113,RawDataRecovered!AH:AH)</f>
        <v>0</v>
      </c>
      <c r="AF113">
        <f>SUMIF(RawDataRecovered!$B:$B,$A113,RawDataRecovered!AI:AI)</f>
        <v>0</v>
      </c>
      <c r="AG113">
        <f>SUMIF(RawDataRecovered!$B:$B,$A113,RawDataRecovered!AJ:AJ)</f>
        <v>0</v>
      </c>
      <c r="AH113">
        <f>SUMIF(RawDataRecovered!$B:$B,$A113,RawDataRecovered!AK:AK)</f>
        <v>0</v>
      </c>
      <c r="AI113">
        <f>SUMIF(RawDataRecovered!$B:$B,$A113,RawDataRecovered!AL:AL)</f>
        <v>0</v>
      </c>
      <c r="AJ113">
        <f>SUMIF(RawDataRecovered!$B:$B,$A113,RawDataRecovered!AM:AM)</f>
        <v>0</v>
      </c>
      <c r="AK113">
        <f>SUMIF(RawDataRecovered!$B:$B,$A113,RawDataRecovered!AN:AN)</f>
        <v>0</v>
      </c>
      <c r="AL113">
        <f>SUMIF(RawDataRecovered!$B:$B,$A113,RawDataRecovered!AO:AO)</f>
        <v>0</v>
      </c>
      <c r="AM113">
        <f>SUMIF(RawDataRecovered!$B:$B,$A113,RawDataRecovered!AP:AP)</f>
        <v>0</v>
      </c>
      <c r="AN113">
        <f>SUMIF(RawDataRecovered!$B:$B,$A113,RawDataRecovered!AQ:AQ)</f>
        <v>0</v>
      </c>
      <c r="AO113">
        <f>SUMIF(RawDataRecovered!$B:$B,$A113,RawDataRecovered!AR:AR)</f>
        <v>0</v>
      </c>
      <c r="AP113">
        <f>SUMIF(RawDataRecovered!$B:$B,$A113,RawDataRecovered!AS:AS)</f>
        <v>0</v>
      </c>
      <c r="AQ113">
        <f>SUMIF(RawDataRecovered!$B:$B,$A113,RawDataRecovered!AT:AT)</f>
        <v>0</v>
      </c>
      <c r="AR113">
        <f>SUMIF(RawDataRecovered!$B:$B,$A113,RawDataRecovered!AU:AU)</f>
        <v>0</v>
      </c>
      <c r="AS113">
        <f>SUMIF(RawDataRecovered!$B:$B,$A113,RawDataRecovered!AV:AV)</f>
        <v>0</v>
      </c>
      <c r="AT113">
        <f>SUMIF(RawDataRecovered!$B:$B,$A113,RawDataRecovered!AW:AW)</f>
        <v>0</v>
      </c>
      <c r="AU113">
        <f>SUMIF(RawDataRecovered!$B:$B,$A113,RawDataRecovered!AX:AX)</f>
        <v>0</v>
      </c>
      <c r="AV113">
        <f>SUMIF(RawDataRecovered!$B:$B,$A113,RawDataRecovered!AY:AY)</f>
        <v>0</v>
      </c>
      <c r="AW113">
        <f>SUMIF(RawDataRecovered!$B:$B,$A113,RawDataRecovered!AZ:AZ)</f>
        <v>0</v>
      </c>
      <c r="AX113">
        <f>SUMIF(RawDataRecovered!$B:$B,$A113,RawDataRecovered!BA:BA)</f>
        <v>0</v>
      </c>
      <c r="AY113">
        <f>SUMIF(RawDataRecovered!$B:$B,$A113,RawDataRecovered!BB:BB)</f>
        <v>0</v>
      </c>
      <c r="AZ113">
        <f>SUMIF(RawDataRecovered!$B:$B,$A113,RawDataRecovered!BC:BC)</f>
        <v>0</v>
      </c>
      <c r="BA113">
        <f>SUMIF(RawDataRecovered!$B:$B,$A113,RawDataRecovered!BD:BD)</f>
        <v>0</v>
      </c>
      <c r="BB113">
        <f>SUMIF(RawDataRecovered!$B:$B,$A113,RawDataRecovered!BE:BE)</f>
        <v>0</v>
      </c>
      <c r="BC113">
        <f>SUMIF(RawDataRecovered!$B:$B,$A113,RawDataRecovered!BF:BF)</f>
        <v>0</v>
      </c>
      <c r="BD113">
        <f>SUMIF(RawDataRecovered!$B:$B,$A113,RawDataRecovered!BG:BG)</f>
        <v>0</v>
      </c>
      <c r="BE113">
        <f>SUMIF(RawDataRecovered!$B:$B,$A113,RawDataRecovered!BH:BH)</f>
        <v>0</v>
      </c>
      <c r="BF113">
        <f>SUMIF(RawDataRecovered!$B:$B,$A113,RawDataRecovered!BI:BI)</f>
        <v>0</v>
      </c>
      <c r="BG113">
        <f>SUMIF(RawDataRecovered!$B:$B,$A113,RawDataRecovered!BJ:BJ)</f>
        <v>0</v>
      </c>
      <c r="BH113">
        <f>SUMIF(RawDataRecovered!$B:$B,$A113,RawDataRecovered!BK:BK)</f>
        <v>0</v>
      </c>
      <c r="BI113">
        <f>SUMIF(RawDataRecovered!$B:$B,$A113,RawDataRecovered!BL:BL)</f>
        <v>0</v>
      </c>
      <c r="BJ113">
        <f>SUMIF(RawDataRecovered!$B:$B,$A113,RawDataRecovered!BM:BM)</f>
        <v>0</v>
      </c>
      <c r="BK113">
        <f>SUMIF(RawDataRecovered!$B:$B,$A113,RawDataRecovered!BN:BN)</f>
        <v>0</v>
      </c>
      <c r="BL113">
        <f>SUMIF(RawDataRecovered!$B:$B,$A113,RawDataRecovered!BO:BO)</f>
        <v>0</v>
      </c>
      <c r="BM113">
        <f>SUMIF(RawDataRecovered!$B:$B,$A113,RawDataRecovered!BP:BP)</f>
        <v>0</v>
      </c>
      <c r="BN113">
        <f>SUMIF(RawDataRecovered!$B:$B,$A113,RawDataRecovered!BQ:BQ)</f>
        <v>0</v>
      </c>
      <c r="BO113">
        <f>SUMIF(RawDataRecovered!$B:$B,$A113,RawDataRecovered!BR:BR)</f>
        <v>0</v>
      </c>
      <c r="BP113">
        <f>SUMIF(RawDataRecovered!$B:$B,$A113,RawDataRecovered!BS:BS)</f>
        <v>0</v>
      </c>
      <c r="BQ113">
        <f>SUMIF(RawDataRecovered!$B:$B,$A113,RawDataRecovered!BT:BT)</f>
        <v>0</v>
      </c>
      <c r="BR113">
        <f>SUMIF(RawDataRecovered!$B:$B,$A113,RawDataRecovered!BU:BU)</f>
        <v>0</v>
      </c>
      <c r="BS113">
        <f>SUMIF(RawDataRecovered!$B:$B,$A113,RawDataRecovered!BV:BV)</f>
        <v>0</v>
      </c>
      <c r="BT113">
        <f>SUMIF(RawDataRecovered!$B:$B,$A113,RawDataRecovered!BW:BW)</f>
        <v>0</v>
      </c>
    </row>
    <row r="114" spans="1:72" ht="15" thickBot="1" x14ac:dyDescent="0.35">
      <c r="A114" s="3" t="s">
        <v>380</v>
      </c>
      <c r="B114">
        <f>SUMIF(RawDataRecovered!$B:$B,$A114,RawDataRecovered!E:E)</f>
        <v>0</v>
      </c>
      <c r="C114">
        <f>SUMIF(RawDataRecovered!$B:$B,$A114,RawDataRecovered!F:F)</f>
        <v>0</v>
      </c>
      <c r="D114">
        <f>SUMIF(RawDataRecovered!$B:$B,$A114,RawDataRecovered!G:G)</f>
        <v>0</v>
      </c>
      <c r="E114">
        <f>SUMIF(RawDataRecovered!$B:$B,$A114,RawDataRecovered!H:H)</f>
        <v>0</v>
      </c>
      <c r="F114">
        <f>SUMIF(RawDataRecovered!$B:$B,$A114,RawDataRecovered!I:I)</f>
        <v>0</v>
      </c>
      <c r="G114">
        <f>SUMIF(RawDataRecovered!$B:$B,$A114,RawDataRecovered!J:J)</f>
        <v>0</v>
      </c>
      <c r="H114">
        <f>SUMIF(RawDataRecovered!$B:$B,$A114,RawDataRecovered!K:K)</f>
        <v>0</v>
      </c>
      <c r="I114">
        <f>SUMIF(RawDataRecovered!$B:$B,$A114,RawDataRecovered!L:L)</f>
        <v>0</v>
      </c>
      <c r="J114">
        <f>SUMIF(RawDataRecovered!$B:$B,$A114,RawDataRecovered!M:M)</f>
        <v>0</v>
      </c>
      <c r="K114">
        <f>SUMIF(RawDataRecovered!$B:$B,$A114,RawDataRecovered!N:N)</f>
        <v>0</v>
      </c>
      <c r="L114">
        <f>SUMIF(RawDataRecovered!$B:$B,$A114,RawDataRecovered!O:O)</f>
        <v>0</v>
      </c>
      <c r="M114">
        <f>SUMIF(RawDataRecovered!$B:$B,$A114,RawDataRecovered!P:P)</f>
        <v>0</v>
      </c>
      <c r="N114">
        <f>SUMIF(RawDataRecovered!$B:$B,$A114,RawDataRecovered!Q:Q)</f>
        <v>0</v>
      </c>
      <c r="O114">
        <f>SUMIF(RawDataRecovered!$B:$B,$A114,RawDataRecovered!R:R)</f>
        <v>0</v>
      </c>
      <c r="P114">
        <f>SUMIF(RawDataRecovered!$B:$B,$A114,RawDataRecovered!S:S)</f>
        <v>0</v>
      </c>
      <c r="Q114">
        <f>SUMIF(RawDataRecovered!$B:$B,$A114,RawDataRecovered!T:T)</f>
        <v>0</v>
      </c>
      <c r="R114">
        <f>SUMIF(RawDataRecovered!$B:$B,$A114,RawDataRecovered!U:U)</f>
        <v>0</v>
      </c>
      <c r="S114">
        <f>SUMIF(RawDataRecovered!$B:$B,$A114,RawDataRecovered!V:V)</f>
        <v>0</v>
      </c>
      <c r="T114">
        <f>SUMIF(RawDataRecovered!$B:$B,$A114,RawDataRecovered!W:W)</f>
        <v>0</v>
      </c>
      <c r="U114">
        <f>SUMIF(RawDataRecovered!$B:$B,$A114,RawDataRecovered!X:X)</f>
        <v>0</v>
      </c>
      <c r="V114">
        <f>SUMIF(RawDataRecovered!$B:$B,$A114,RawDataRecovered!Y:Y)</f>
        <v>0</v>
      </c>
      <c r="W114">
        <f>SUMIF(RawDataRecovered!$B:$B,$A114,RawDataRecovered!Z:Z)</f>
        <v>0</v>
      </c>
      <c r="X114">
        <f>SUMIF(RawDataRecovered!$B:$B,$A114,RawDataRecovered!AA:AA)</f>
        <v>0</v>
      </c>
      <c r="Y114">
        <f>SUMIF(RawDataRecovered!$B:$B,$A114,RawDataRecovered!AB:AB)</f>
        <v>0</v>
      </c>
      <c r="Z114">
        <f>SUMIF(RawDataRecovered!$B:$B,$A114,RawDataRecovered!AC:AC)</f>
        <v>0</v>
      </c>
      <c r="AA114">
        <f>SUMIF(RawDataRecovered!$B:$B,$A114,RawDataRecovered!AD:AD)</f>
        <v>0</v>
      </c>
      <c r="AB114">
        <f>SUMIF(RawDataRecovered!$B:$B,$A114,RawDataRecovered!AE:AE)</f>
        <v>0</v>
      </c>
      <c r="AC114">
        <f>SUMIF(RawDataRecovered!$B:$B,$A114,RawDataRecovered!AF:AF)</f>
        <v>0</v>
      </c>
      <c r="AD114">
        <f>SUMIF(RawDataRecovered!$B:$B,$A114,RawDataRecovered!AG:AG)</f>
        <v>0</v>
      </c>
      <c r="AE114">
        <f>SUMIF(RawDataRecovered!$B:$B,$A114,RawDataRecovered!AH:AH)</f>
        <v>0</v>
      </c>
      <c r="AF114">
        <f>SUMIF(RawDataRecovered!$B:$B,$A114,RawDataRecovered!AI:AI)</f>
        <v>0</v>
      </c>
      <c r="AG114">
        <f>SUMIF(RawDataRecovered!$B:$B,$A114,RawDataRecovered!AJ:AJ)</f>
        <v>0</v>
      </c>
      <c r="AH114">
        <f>SUMIF(RawDataRecovered!$B:$B,$A114,RawDataRecovered!AK:AK)</f>
        <v>0</v>
      </c>
      <c r="AI114">
        <f>SUMIF(RawDataRecovered!$B:$B,$A114,RawDataRecovered!AL:AL)</f>
        <v>0</v>
      </c>
      <c r="AJ114">
        <f>SUMIF(RawDataRecovered!$B:$B,$A114,RawDataRecovered!AM:AM)</f>
        <v>0</v>
      </c>
      <c r="AK114">
        <f>SUMIF(RawDataRecovered!$B:$B,$A114,RawDataRecovered!AN:AN)</f>
        <v>0</v>
      </c>
      <c r="AL114">
        <f>SUMIF(RawDataRecovered!$B:$B,$A114,RawDataRecovered!AO:AO)</f>
        <v>0</v>
      </c>
      <c r="AM114">
        <f>SUMIF(RawDataRecovered!$B:$B,$A114,RawDataRecovered!AP:AP)</f>
        <v>0</v>
      </c>
      <c r="AN114">
        <f>SUMIF(RawDataRecovered!$B:$B,$A114,RawDataRecovered!AQ:AQ)</f>
        <v>0</v>
      </c>
      <c r="AO114">
        <f>SUMIF(RawDataRecovered!$B:$B,$A114,RawDataRecovered!AR:AR)</f>
        <v>0</v>
      </c>
      <c r="AP114">
        <f>SUMIF(RawDataRecovered!$B:$B,$A114,RawDataRecovered!AS:AS)</f>
        <v>0</v>
      </c>
      <c r="AQ114">
        <f>SUMIF(RawDataRecovered!$B:$B,$A114,RawDataRecovered!AT:AT)</f>
        <v>0</v>
      </c>
      <c r="AR114">
        <f>SUMIF(RawDataRecovered!$B:$B,$A114,RawDataRecovered!AU:AU)</f>
        <v>0</v>
      </c>
      <c r="AS114">
        <f>SUMIF(RawDataRecovered!$B:$B,$A114,RawDataRecovered!AV:AV)</f>
        <v>0</v>
      </c>
      <c r="AT114">
        <f>SUMIF(RawDataRecovered!$B:$B,$A114,RawDataRecovered!AW:AW)</f>
        <v>0</v>
      </c>
      <c r="AU114">
        <f>SUMIF(RawDataRecovered!$B:$B,$A114,RawDataRecovered!AX:AX)</f>
        <v>0</v>
      </c>
      <c r="AV114">
        <f>SUMIF(RawDataRecovered!$B:$B,$A114,RawDataRecovered!AY:AY)</f>
        <v>0</v>
      </c>
      <c r="AW114">
        <f>SUMIF(RawDataRecovered!$B:$B,$A114,RawDataRecovered!AZ:AZ)</f>
        <v>0</v>
      </c>
      <c r="AX114">
        <f>SUMIF(RawDataRecovered!$B:$B,$A114,RawDataRecovered!BA:BA)</f>
        <v>0</v>
      </c>
      <c r="AY114">
        <f>SUMIF(RawDataRecovered!$B:$B,$A114,RawDataRecovered!BB:BB)</f>
        <v>0</v>
      </c>
      <c r="AZ114">
        <f>SUMIF(RawDataRecovered!$B:$B,$A114,RawDataRecovered!BC:BC)</f>
        <v>0</v>
      </c>
      <c r="BA114">
        <f>SUMIF(RawDataRecovered!$B:$B,$A114,RawDataRecovered!BD:BD)</f>
        <v>0</v>
      </c>
      <c r="BB114">
        <f>SUMIF(RawDataRecovered!$B:$B,$A114,RawDataRecovered!BE:BE)</f>
        <v>0</v>
      </c>
      <c r="BC114">
        <f>SUMIF(RawDataRecovered!$B:$B,$A114,RawDataRecovered!BF:BF)</f>
        <v>0</v>
      </c>
      <c r="BD114">
        <f>SUMIF(RawDataRecovered!$B:$B,$A114,RawDataRecovered!BG:BG)</f>
        <v>0</v>
      </c>
      <c r="BE114">
        <f>SUMIF(RawDataRecovered!$B:$B,$A114,RawDataRecovered!BH:BH)</f>
        <v>1</v>
      </c>
      <c r="BF114">
        <f>SUMIF(RawDataRecovered!$B:$B,$A114,RawDataRecovered!BI:BI)</f>
        <v>0</v>
      </c>
      <c r="BG114">
        <f>SUMIF(RawDataRecovered!$B:$B,$A114,RawDataRecovered!BJ:BJ)</f>
        <v>0</v>
      </c>
      <c r="BH114">
        <f>SUMIF(RawDataRecovered!$B:$B,$A114,RawDataRecovered!BK:BK)</f>
        <v>0</v>
      </c>
      <c r="BI114">
        <f>SUMIF(RawDataRecovered!$B:$B,$A114,RawDataRecovered!BL:BL)</f>
        <v>0</v>
      </c>
      <c r="BJ114">
        <f>SUMIF(RawDataRecovered!$B:$B,$A114,RawDataRecovered!BM:BM)</f>
        <v>0</v>
      </c>
      <c r="BK114">
        <f>SUMIF(RawDataRecovered!$B:$B,$A114,RawDataRecovered!BN:BN)</f>
        <v>0</v>
      </c>
      <c r="BL114">
        <f>SUMIF(RawDataRecovered!$B:$B,$A114,RawDataRecovered!BO:BO)</f>
        <v>0</v>
      </c>
      <c r="BM114">
        <f>SUMIF(RawDataRecovered!$B:$B,$A114,RawDataRecovered!BP:BP)</f>
        <v>0</v>
      </c>
      <c r="BN114">
        <f>SUMIF(RawDataRecovered!$B:$B,$A114,RawDataRecovered!BQ:BQ)</f>
        <v>0</v>
      </c>
      <c r="BO114">
        <f>SUMIF(RawDataRecovered!$B:$B,$A114,RawDataRecovered!BR:BR)</f>
        <v>0</v>
      </c>
      <c r="BP114">
        <f>SUMIF(RawDataRecovered!$B:$B,$A114,RawDataRecovered!BS:BS)</f>
        <v>0</v>
      </c>
      <c r="BQ114">
        <f>SUMIF(RawDataRecovered!$B:$B,$A114,RawDataRecovered!BT:BT)</f>
        <v>0</v>
      </c>
      <c r="BR114">
        <f>SUMIF(RawDataRecovered!$B:$B,$A114,RawDataRecovered!BU:BU)</f>
        <v>0</v>
      </c>
      <c r="BS114">
        <f>SUMIF(RawDataRecovered!$B:$B,$A114,RawDataRecovered!BV:BV)</f>
        <v>0</v>
      </c>
      <c r="BT114">
        <f>SUMIF(RawDataRecovered!$B:$B,$A114,RawDataRecovered!BW:BW)</f>
        <v>0</v>
      </c>
    </row>
    <row r="115" spans="1:72" ht="15" thickBot="1" x14ac:dyDescent="0.35">
      <c r="A115" s="4" t="s">
        <v>447</v>
      </c>
      <c r="B115">
        <f>SUMIF(RawDataRecovered!$B:$B,$A115,RawDataRecovered!E:E)</f>
        <v>0</v>
      </c>
      <c r="C115">
        <f>SUMIF(RawDataRecovered!$B:$B,$A115,RawDataRecovered!F:F)</f>
        <v>0</v>
      </c>
      <c r="D115">
        <f>SUMIF(RawDataRecovered!$B:$B,$A115,RawDataRecovered!G:G)</f>
        <v>0</v>
      </c>
      <c r="E115">
        <f>SUMIF(RawDataRecovered!$B:$B,$A115,RawDataRecovered!H:H)</f>
        <v>0</v>
      </c>
      <c r="F115">
        <f>SUMIF(RawDataRecovered!$B:$B,$A115,RawDataRecovered!I:I)</f>
        <v>0</v>
      </c>
      <c r="G115">
        <f>SUMIF(RawDataRecovered!$B:$B,$A115,RawDataRecovered!J:J)</f>
        <v>0</v>
      </c>
      <c r="H115">
        <f>SUMIF(RawDataRecovered!$B:$B,$A115,RawDataRecovered!K:K)</f>
        <v>0</v>
      </c>
      <c r="I115">
        <f>SUMIF(RawDataRecovered!$B:$B,$A115,RawDataRecovered!L:L)</f>
        <v>0</v>
      </c>
      <c r="J115">
        <f>SUMIF(RawDataRecovered!$B:$B,$A115,RawDataRecovered!M:M)</f>
        <v>0</v>
      </c>
      <c r="K115">
        <f>SUMIF(RawDataRecovered!$B:$B,$A115,RawDataRecovered!N:N)</f>
        <v>0</v>
      </c>
      <c r="L115">
        <f>SUMIF(RawDataRecovered!$B:$B,$A115,RawDataRecovered!O:O)</f>
        <v>0</v>
      </c>
      <c r="M115">
        <f>SUMIF(RawDataRecovered!$B:$B,$A115,RawDataRecovered!P:P)</f>
        <v>0</v>
      </c>
      <c r="N115">
        <f>SUMIF(RawDataRecovered!$B:$B,$A115,RawDataRecovered!Q:Q)</f>
        <v>0</v>
      </c>
      <c r="O115">
        <f>SUMIF(RawDataRecovered!$B:$B,$A115,RawDataRecovered!R:R)</f>
        <v>0</v>
      </c>
      <c r="P115">
        <f>SUMIF(RawDataRecovered!$B:$B,$A115,RawDataRecovered!S:S)</f>
        <v>0</v>
      </c>
      <c r="Q115">
        <f>SUMIF(RawDataRecovered!$B:$B,$A115,RawDataRecovered!T:T)</f>
        <v>0</v>
      </c>
      <c r="R115">
        <f>SUMIF(RawDataRecovered!$B:$B,$A115,RawDataRecovered!U:U)</f>
        <v>0</v>
      </c>
      <c r="S115">
        <f>SUMIF(RawDataRecovered!$B:$B,$A115,RawDataRecovered!V:V)</f>
        <v>0</v>
      </c>
      <c r="T115">
        <f>SUMIF(RawDataRecovered!$B:$B,$A115,RawDataRecovered!W:W)</f>
        <v>0</v>
      </c>
      <c r="U115">
        <f>SUMIF(RawDataRecovered!$B:$B,$A115,RawDataRecovered!X:X)</f>
        <v>0</v>
      </c>
      <c r="V115">
        <f>SUMIF(RawDataRecovered!$B:$B,$A115,RawDataRecovered!Y:Y)</f>
        <v>0</v>
      </c>
      <c r="W115">
        <f>SUMIF(RawDataRecovered!$B:$B,$A115,RawDataRecovered!Z:Z)</f>
        <v>0</v>
      </c>
      <c r="X115">
        <f>SUMIF(RawDataRecovered!$B:$B,$A115,RawDataRecovered!AA:AA)</f>
        <v>0</v>
      </c>
      <c r="Y115">
        <f>SUMIF(RawDataRecovered!$B:$B,$A115,RawDataRecovered!AB:AB)</f>
        <v>0</v>
      </c>
      <c r="Z115">
        <f>SUMIF(RawDataRecovered!$B:$B,$A115,RawDataRecovered!AC:AC)</f>
        <v>0</v>
      </c>
      <c r="AA115">
        <f>SUMIF(RawDataRecovered!$B:$B,$A115,RawDataRecovered!AD:AD)</f>
        <v>0</v>
      </c>
      <c r="AB115">
        <f>SUMIF(RawDataRecovered!$B:$B,$A115,RawDataRecovered!AE:AE)</f>
        <v>0</v>
      </c>
      <c r="AC115">
        <f>SUMIF(RawDataRecovered!$B:$B,$A115,RawDataRecovered!AF:AF)</f>
        <v>0</v>
      </c>
      <c r="AD115">
        <f>SUMIF(RawDataRecovered!$B:$B,$A115,RawDataRecovered!AG:AG)</f>
        <v>0</v>
      </c>
      <c r="AE115">
        <f>SUMIF(RawDataRecovered!$B:$B,$A115,RawDataRecovered!AH:AH)</f>
        <v>0</v>
      </c>
      <c r="AF115">
        <f>SUMIF(RawDataRecovered!$B:$B,$A115,RawDataRecovered!AI:AI)</f>
        <v>0</v>
      </c>
      <c r="AG115">
        <f>SUMIF(RawDataRecovered!$B:$B,$A115,RawDataRecovered!AJ:AJ)</f>
        <v>0</v>
      </c>
      <c r="AH115">
        <f>SUMIF(RawDataRecovered!$B:$B,$A115,RawDataRecovered!AK:AK)</f>
        <v>0</v>
      </c>
      <c r="AI115">
        <f>SUMIF(RawDataRecovered!$B:$B,$A115,RawDataRecovered!AL:AL)</f>
        <v>0</v>
      </c>
      <c r="AJ115">
        <f>SUMIF(RawDataRecovered!$B:$B,$A115,RawDataRecovered!AM:AM)</f>
        <v>0</v>
      </c>
      <c r="AK115">
        <f>SUMIF(RawDataRecovered!$B:$B,$A115,RawDataRecovered!AN:AN)</f>
        <v>0</v>
      </c>
      <c r="AL115">
        <f>SUMIF(RawDataRecovered!$B:$B,$A115,RawDataRecovered!AO:AO)</f>
        <v>0</v>
      </c>
      <c r="AM115">
        <f>SUMIF(RawDataRecovered!$B:$B,$A115,RawDataRecovered!AP:AP)</f>
        <v>0</v>
      </c>
      <c r="AN115">
        <f>SUMIF(RawDataRecovered!$B:$B,$A115,RawDataRecovered!AQ:AQ)</f>
        <v>0</v>
      </c>
      <c r="AO115">
        <f>SUMIF(RawDataRecovered!$B:$B,$A115,RawDataRecovered!AR:AR)</f>
        <v>0</v>
      </c>
      <c r="AP115">
        <f>SUMIF(RawDataRecovered!$B:$B,$A115,RawDataRecovered!AS:AS)</f>
        <v>0</v>
      </c>
      <c r="AQ115">
        <f>SUMIF(RawDataRecovered!$B:$B,$A115,RawDataRecovered!AT:AT)</f>
        <v>0</v>
      </c>
      <c r="AR115">
        <f>SUMIF(RawDataRecovered!$B:$B,$A115,RawDataRecovered!AU:AU)</f>
        <v>0</v>
      </c>
      <c r="AS115">
        <f>SUMIF(RawDataRecovered!$B:$B,$A115,RawDataRecovered!AV:AV)</f>
        <v>0</v>
      </c>
      <c r="AT115">
        <f>SUMIF(RawDataRecovered!$B:$B,$A115,RawDataRecovered!AW:AW)</f>
        <v>0</v>
      </c>
      <c r="AU115">
        <f>SUMIF(RawDataRecovered!$B:$B,$A115,RawDataRecovered!AX:AX)</f>
        <v>0</v>
      </c>
      <c r="AV115">
        <f>SUMIF(RawDataRecovered!$B:$B,$A115,RawDataRecovered!AY:AY)</f>
        <v>0</v>
      </c>
      <c r="AW115">
        <f>SUMIF(RawDataRecovered!$B:$B,$A115,RawDataRecovered!AZ:AZ)</f>
        <v>0</v>
      </c>
      <c r="AX115">
        <f>SUMIF(RawDataRecovered!$B:$B,$A115,RawDataRecovered!BA:BA)</f>
        <v>0</v>
      </c>
      <c r="AY115">
        <f>SUMIF(RawDataRecovered!$B:$B,$A115,RawDataRecovered!BB:BB)</f>
        <v>0</v>
      </c>
      <c r="AZ115">
        <f>SUMIF(RawDataRecovered!$B:$B,$A115,RawDataRecovered!BC:BC)</f>
        <v>0</v>
      </c>
      <c r="BA115">
        <f>SUMIF(RawDataRecovered!$B:$B,$A115,RawDataRecovered!BD:BD)</f>
        <v>0</v>
      </c>
      <c r="BB115">
        <f>SUMIF(RawDataRecovered!$B:$B,$A115,RawDataRecovered!BE:BE)</f>
        <v>0</v>
      </c>
      <c r="BC115">
        <f>SUMIF(RawDataRecovered!$B:$B,$A115,RawDataRecovered!BF:BF)</f>
        <v>0</v>
      </c>
      <c r="BD115">
        <f>SUMIF(RawDataRecovered!$B:$B,$A115,RawDataRecovered!BG:BG)</f>
        <v>0</v>
      </c>
      <c r="BE115">
        <f>SUMIF(RawDataRecovered!$B:$B,$A115,RawDataRecovered!BH:BH)</f>
        <v>0</v>
      </c>
      <c r="BF115">
        <f>SUMIF(RawDataRecovered!$B:$B,$A115,RawDataRecovered!BI:BI)</f>
        <v>0</v>
      </c>
      <c r="BG115">
        <f>SUMIF(RawDataRecovered!$B:$B,$A115,RawDataRecovered!BJ:BJ)</f>
        <v>0</v>
      </c>
      <c r="BH115">
        <f>SUMIF(RawDataRecovered!$B:$B,$A115,RawDataRecovered!BK:BK)</f>
        <v>0</v>
      </c>
      <c r="BI115">
        <f>SUMIF(RawDataRecovered!$B:$B,$A115,RawDataRecovered!BL:BL)</f>
        <v>0</v>
      </c>
      <c r="BJ115">
        <f>SUMIF(RawDataRecovered!$B:$B,$A115,RawDataRecovered!BM:BM)</f>
        <v>0</v>
      </c>
      <c r="BK115">
        <f>SUMIF(RawDataRecovered!$B:$B,$A115,RawDataRecovered!BN:BN)</f>
        <v>0</v>
      </c>
      <c r="BL115">
        <f>SUMIF(RawDataRecovered!$B:$B,$A115,RawDataRecovered!BO:BO)</f>
        <v>0</v>
      </c>
      <c r="BM115">
        <f>SUMIF(RawDataRecovered!$B:$B,$A115,RawDataRecovered!BP:BP)</f>
        <v>0</v>
      </c>
      <c r="BN115">
        <f>SUMIF(RawDataRecovered!$B:$B,$A115,RawDataRecovered!BQ:BQ)</f>
        <v>0</v>
      </c>
      <c r="BO115">
        <f>SUMIF(RawDataRecovered!$B:$B,$A115,RawDataRecovered!BR:BR)</f>
        <v>0</v>
      </c>
      <c r="BP115">
        <f>SUMIF(RawDataRecovered!$B:$B,$A115,RawDataRecovered!BS:BS)</f>
        <v>0</v>
      </c>
      <c r="BQ115">
        <f>SUMIF(RawDataRecovered!$B:$B,$A115,RawDataRecovered!BT:BT)</f>
        <v>0</v>
      </c>
      <c r="BR115">
        <f>SUMIF(RawDataRecovered!$B:$B,$A115,RawDataRecovered!BU:BU)</f>
        <v>0</v>
      </c>
      <c r="BS115">
        <f>SUMIF(RawDataRecovered!$B:$B,$A115,RawDataRecovered!BV:BV)</f>
        <v>0</v>
      </c>
      <c r="BT115">
        <f>SUMIF(RawDataRecovered!$B:$B,$A115,RawDataRecovered!BW:BW)</f>
        <v>0</v>
      </c>
    </row>
    <row r="116" spans="1:72" ht="15" thickBot="1" x14ac:dyDescent="0.35">
      <c r="A116" s="3" t="s">
        <v>444</v>
      </c>
      <c r="B116">
        <f>SUMIF(RawDataRecovered!$B:$B,$A116,RawDataRecovered!E:E)</f>
        <v>0</v>
      </c>
      <c r="C116">
        <f>SUMIF(RawDataRecovered!$B:$B,$A116,RawDataRecovered!F:F)</f>
        <v>0</v>
      </c>
      <c r="D116">
        <f>SUMIF(RawDataRecovered!$B:$B,$A116,RawDataRecovered!G:G)</f>
        <v>0</v>
      </c>
      <c r="E116">
        <f>SUMIF(RawDataRecovered!$B:$B,$A116,RawDataRecovered!H:H)</f>
        <v>0</v>
      </c>
      <c r="F116">
        <f>SUMIF(RawDataRecovered!$B:$B,$A116,RawDataRecovered!I:I)</f>
        <v>0</v>
      </c>
      <c r="G116">
        <f>SUMIF(RawDataRecovered!$B:$B,$A116,RawDataRecovered!J:J)</f>
        <v>0</v>
      </c>
      <c r="H116">
        <f>SUMIF(RawDataRecovered!$B:$B,$A116,RawDataRecovered!K:K)</f>
        <v>0</v>
      </c>
      <c r="I116">
        <f>SUMIF(RawDataRecovered!$B:$B,$A116,RawDataRecovered!L:L)</f>
        <v>0</v>
      </c>
      <c r="J116">
        <f>SUMIF(RawDataRecovered!$B:$B,$A116,RawDataRecovered!M:M)</f>
        <v>0</v>
      </c>
      <c r="K116">
        <f>SUMIF(RawDataRecovered!$B:$B,$A116,RawDataRecovered!N:N)</f>
        <v>0</v>
      </c>
      <c r="L116">
        <f>SUMIF(RawDataRecovered!$B:$B,$A116,RawDataRecovered!O:O)</f>
        <v>0</v>
      </c>
      <c r="M116">
        <f>SUMIF(RawDataRecovered!$B:$B,$A116,RawDataRecovered!P:P)</f>
        <v>0</v>
      </c>
      <c r="N116">
        <f>SUMIF(RawDataRecovered!$B:$B,$A116,RawDataRecovered!Q:Q)</f>
        <v>0</v>
      </c>
      <c r="O116">
        <f>SUMIF(RawDataRecovered!$B:$B,$A116,RawDataRecovered!R:R)</f>
        <v>0</v>
      </c>
      <c r="P116">
        <f>SUMIF(RawDataRecovered!$B:$B,$A116,RawDataRecovered!S:S)</f>
        <v>0</v>
      </c>
      <c r="Q116">
        <f>SUMIF(RawDataRecovered!$B:$B,$A116,RawDataRecovered!T:T)</f>
        <v>0</v>
      </c>
      <c r="R116">
        <f>SUMIF(RawDataRecovered!$B:$B,$A116,RawDataRecovered!U:U)</f>
        <v>0</v>
      </c>
      <c r="S116">
        <f>SUMIF(RawDataRecovered!$B:$B,$A116,RawDataRecovered!V:V)</f>
        <v>0</v>
      </c>
      <c r="T116">
        <f>SUMIF(RawDataRecovered!$B:$B,$A116,RawDataRecovered!W:W)</f>
        <v>0</v>
      </c>
      <c r="U116">
        <f>SUMIF(RawDataRecovered!$B:$B,$A116,RawDataRecovered!X:X)</f>
        <v>0</v>
      </c>
      <c r="V116">
        <f>SUMIF(RawDataRecovered!$B:$B,$A116,RawDataRecovered!Y:Y)</f>
        <v>0</v>
      </c>
      <c r="W116">
        <f>SUMIF(RawDataRecovered!$B:$B,$A116,RawDataRecovered!Z:Z)</f>
        <v>0</v>
      </c>
      <c r="X116">
        <f>SUMIF(RawDataRecovered!$B:$B,$A116,RawDataRecovered!AA:AA)</f>
        <v>0</v>
      </c>
      <c r="Y116">
        <f>SUMIF(RawDataRecovered!$B:$B,$A116,RawDataRecovered!AB:AB)</f>
        <v>0</v>
      </c>
      <c r="Z116">
        <f>SUMIF(RawDataRecovered!$B:$B,$A116,RawDataRecovered!AC:AC)</f>
        <v>0</v>
      </c>
      <c r="AA116">
        <f>SUMIF(RawDataRecovered!$B:$B,$A116,RawDataRecovered!AD:AD)</f>
        <v>0</v>
      </c>
      <c r="AB116">
        <f>SUMIF(RawDataRecovered!$B:$B,$A116,RawDataRecovered!AE:AE)</f>
        <v>0</v>
      </c>
      <c r="AC116">
        <f>SUMIF(RawDataRecovered!$B:$B,$A116,RawDataRecovered!AF:AF)</f>
        <v>0</v>
      </c>
      <c r="AD116">
        <f>SUMIF(RawDataRecovered!$B:$B,$A116,RawDataRecovered!AG:AG)</f>
        <v>0</v>
      </c>
      <c r="AE116">
        <f>SUMIF(RawDataRecovered!$B:$B,$A116,RawDataRecovered!AH:AH)</f>
        <v>0</v>
      </c>
      <c r="AF116">
        <f>SUMIF(RawDataRecovered!$B:$B,$A116,RawDataRecovered!AI:AI)</f>
        <v>0</v>
      </c>
      <c r="AG116">
        <f>SUMIF(RawDataRecovered!$B:$B,$A116,RawDataRecovered!AJ:AJ)</f>
        <v>0</v>
      </c>
      <c r="AH116">
        <f>SUMIF(RawDataRecovered!$B:$B,$A116,RawDataRecovered!AK:AK)</f>
        <v>0</v>
      </c>
      <c r="AI116">
        <f>SUMIF(RawDataRecovered!$B:$B,$A116,RawDataRecovered!AL:AL)</f>
        <v>0</v>
      </c>
      <c r="AJ116">
        <f>SUMIF(RawDataRecovered!$B:$B,$A116,RawDataRecovered!AM:AM)</f>
        <v>0</v>
      </c>
      <c r="AK116">
        <f>SUMIF(RawDataRecovered!$B:$B,$A116,RawDataRecovered!AN:AN)</f>
        <v>0</v>
      </c>
      <c r="AL116">
        <f>SUMIF(RawDataRecovered!$B:$B,$A116,RawDataRecovered!AO:AO)</f>
        <v>0</v>
      </c>
      <c r="AM116">
        <f>SUMIF(RawDataRecovered!$B:$B,$A116,RawDataRecovered!AP:AP)</f>
        <v>0</v>
      </c>
      <c r="AN116">
        <f>SUMIF(RawDataRecovered!$B:$B,$A116,RawDataRecovered!AQ:AQ)</f>
        <v>0</v>
      </c>
      <c r="AO116">
        <f>SUMIF(RawDataRecovered!$B:$B,$A116,RawDataRecovered!AR:AR)</f>
        <v>0</v>
      </c>
      <c r="AP116">
        <f>SUMIF(RawDataRecovered!$B:$B,$A116,RawDataRecovered!AS:AS)</f>
        <v>0</v>
      </c>
      <c r="AQ116">
        <f>SUMIF(RawDataRecovered!$B:$B,$A116,RawDataRecovered!AT:AT)</f>
        <v>0</v>
      </c>
      <c r="AR116">
        <f>SUMIF(RawDataRecovered!$B:$B,$A116,RawDataRecovered!AU:AU)</f>
        <v>0</v>
      </c>
      <c r="AS116">
        <f>SUMIF(RawDataRecovered!$B:$B,$A116,RawDataRecovered!AV:AV)</f>
        <v>0</v>
      </c>
      <c r="AT116">
        <f>SUMIF(RawDataRecovered!$B:$B,$A116,RawDataRecovered!AW:AW)</f>
        <v>0</v>
      </c>
      <c r="AU116">
        <f>SUMIF(RawDataRecovered!$B:$B,$A116,RawDataRecovered!AX:AX)</f>
        <v>0</v>
      </c>
      <c r="AV116">
        <f>SUMIF(RawDataRecovered!$B:$B,$A116,RawDataRecovered!AY:AY)</f>
        <v>0</v>
      </c>
      <c r="AW116">
        <f>SUMIF(RawDataRecovered!$B:$B,$A116,RawDataRecovered!AZ:AZ)</f>
        <v>0</v>
      </c>
      <c r="AX116">
        <f>SUMIF(RawDataRecovered!$B:$B,$A116,RawDataRecovered!BA:BA)</f>
        <v>0</v>
      </c>
      <c r="AY116">
        <f>SUMIF(RawDataRecovered!$B:$B,$A116,RawDataRecovered!BB:BB)</f>
        <v>0</v>
      </c>
      <c r="AZ116">
        <f>SUMIF(RawDataRecovered!$B:$B,$A116,RawDataRecovered!BC:BC)</f>
        <v>0</v>
      </c>
      <c r="BA116">
        <f>SUMIF(RawDataRecovered!$B:$B,$A116,RawDataRecovered!BD:BD)</f>
        <v>0</v>
      </c>
      <c r="BB116">
        <f>SUMIF(RawDataRecovered!$B:$B,$A116,RawDataRecovered!BE:BE)</f>
        <v>0</v>
      </c>
      <c r="BC116">
        <f>SUMIF(RawDataRecovered!$B:$B,$A116,RawDataRecovered!BF:BF)</f>
        <v>0</v>
      </c>
      <c r="BD116">
        <f>SUMIF(RawDataRecovered!$B:$B,$A116,RawDataRecovered!BG:BG)</f>
        <v>0</v>
      </c>
      <c r="BE116">
        <f>SUMIF(RawDataRecovered!$B:$B,$A116,RawDataRecovered!BH:BH)</f>
        <v>0</v>
      </c>
      <c r="BF116">
        <f>SUMIF(RawDataRecovered!$B:$B,$A116,RawDataRecovered!BI:BI)</f>
        <v>0</v>
      </c>
      <c r="BG116">
        <f>SUMIF(RawDataRecovered!$B:$B,$A116,RawDataRecovered!BJ:BJ)</f>
        <v>0</v>
      </c>
      <c r="BH116">
        <f>SUMIF(RawDataRecovered!$B:$B,$A116,RawDataRecovered!BK:BK)</f>
        <v>0</v>
      </c>
      <c r="BI116">
        <f>SUMIF(RawDataRecovered!$B:$B,$A116,RawDataRecovered!BL:BL)</f>
        <v>0</v>
      </c>
      <c r="BJ116">
        <f>SUMIF(RawDataRecovered!$B:$B,$A116,RawDataRecovered!BM:BM)</f>
        <v>0</v>
      </c>
      <c r="BK116">
        <f>SUMIF(RawDataRecovered!$B:$B,$A116,RawDataRecovered!BN:BN)</f>
        <v>0</v>
      </c>
      <c r="BL116">
        <f>SUMIF(RawDataRecovered!$B:$B,$A116,RawDataRecovered!BO:BO)</f>
        <v>0</v>
      </c>
      <c r="BM116">
        <f>SUMIF(RawDataRecovered!$B:$B,$A116,RawDataRecovered!BP:BP)</f>
        <v>0</v>
      </c>
      <c r="BN116">
        <f>SUMIF(RawDataRecovered!$B:$B,$A116,RawDataRecovered!BQ:BQ)</f>
        <v>0</v>
      </c>
      <c r="BO116">
        <f>SUMIF(RawDataRecovered!$B:$B,$A116,RawDataRecovered!BR:BR)</f>
        <v>0</v>
      </c>
      <c r="BP116">
        <f>SUMIF(RawDataRecovered!$B:$B,$A116,RawDataRecovered!BS:BS)</f>
        <v>0</v>
      </c>
      <c r="BQ116">
        <f>SUMIF(RawDataRecovered!$B:$B,$A116,RawDataRecovered!BT:BT)</f>
        <v>0</v>
      </c>
      <c r="BR116">
        <f>SUMIF(RawDataRecovered!$B:$B,$A116,RawDataRecovered!BU:BU)</f>
        <v>0</v>
      </c>
      <c r="BS116">
        <f>SUMIF(RawDataRecovered!$B:$B,$A116,RawDataRecovered!BV:BV)</f>
        <v>0</v>
      </c>
      <c r="BT116">
        <f>SUMIF(RawDataRecovered!$B:$B,$A116,RawDataRecovered!BW:BW)</f>
        <v>0</v>
      </c>
    </row>
    <row r="117" spans="1:72" ht="15" thickBot="1" x14ac:dyDescent="0.35">
      <c r="A117" s="4" t="s">
        <v>449</v>
      </c>
      <c r="B117">
        <f>SUMIF(RawDataRecovered!$B:$B,$A117,RawDataRecovered!E:E)</f>
        <v>0</v>
      </c>
      <c r="C117">
        <f>SUMIF(RawDataRecovered!$B:$B,$A117,RawDataRecovered!F:F)</f>
        <v>0</v>
      </c>
      <c r="D117">
        <f>SUMIF(RawDataRecovered!$B:$B,$A117,RawDataRecovered!G:G)</f>
        <v>0</v>
      </c>
      <c r="E117">
        <f>SUMIF(RawDataRecovered!$B:$B,$A117,RawDataRecovered!H:H)</f>
        <v>0</v>
      </c>
      <c r="F117">
        <f>SUMIF(RawDataRecovered!$B:$B,$A117,RawDataRecovered!I:I)</f>
        <v>0</v>
      </c>
      <c r="G117">
        <f>SUMIF(RawDataRecovered!$B:$B,$A117,RawDataRecovered!J:J)</f>
        <v>0</v>
      </c>
      <c r="H117">
        <f>SUMIF(RawDataRecovered!$B:$B,$A117,RawDataRecovered!K:K)</f>
        <v>0</v>
      </c>
      <c r="I117">
        <f>SUMIF(RawDataRecovered!$B:$B,$A117,RawDataRecovered!L:L)</f>
        <v>0</v>
      </c>
      <c r="J117">
        <f>SUMIF(RawDataRecovered!$B:$B,$A117,RawDataRecovered!M:M)</f>
        <v>0</v>
      </c>
      <c r="K117">
        <f>SUMIF(RawDataRecovered!$B:$B,$A117,RawDataRecovered!N:N)</f>
        <v>0</v>
      </c>
      <c r="L117">
        <f>SUMIF(RawDataRecovered!$B:$B,$A117,RawDataRecovered!O:O)</f>
        <v>0</v>
      </c>
      <c r="M117">
        <f>SUMIF(RawDataRecovered!$B:$B,$A117,RawDataRecovered!P:P)</f>
        <v>0</v>
      </c>
      <c r="N117">
        <f>SUMIF(RawDataRecovered!$B:$B,$A117,RawDataRecovered!Q:Q)</f>
        <v>0</v>
      </c>
      <c r="O117">
        <f>SUMIF(RawDataRecovered!$B:$B,$A117,RawDataRecovered!R:R)</f>
        <v>0</v>
      </c>
      <c r="P117">
        <f>SUMIF(RawDataRecovered!$B:$B,$A117,RawDataRecovered!S:S)</f>
        <v>0</v>
      </c>
      <c r="Q117">
        <f>SUMIF(RawDataRecovered!$B:$B,$A117,RawDataRecovered!T:T)</f>
        <v>0</v>
      </c>
      <c r="R117">
        <f>SUMIF(RawDataRecovered!$B:$B,$A117,RawDataRecovered!U:U)</f>
        <v>0</v>
      </c>
      <c r="S117">
        <f>SUMIF(RawDataRecovered!$B:$B,$A117,RawDataRecovered!V:V)</f>
        <v>0</v>
      </c>
      <c r="T117">
        <f>SUMIF(RawDataRecovered!$B:$B,$A117,RawDataRecovered!W:W)</f>
        <v>0</v>
      </c>
      <c r="U117">
        <f>SUMIF(RawDataRecovered!$B:$B,$A117,RawDataRecovered!X:X)</f>
        <v>0</v>
      </c>
      <c r="V117">
        <f>SUMIF(RawDataRecovered!$B:$B,$A117,RawDataRecovered!Y:Y)</f>
        <v>0</v>
      </c>
      <c r="W117">
        <f>SUMIF(RawDataRecovered!$B:$B,$A117,RawDataRecovered!Z:Z)</f>
        <v>0</v>
      </c>
      <c r="X117">
        <f>SUMIF(RawDataRecovered!$B:$B,$A117,RawDataRecovered!AA:AA)</f>
        <v>0</v>
      </c>
      <c r="Y117">
        <f>SUMIF(RawDataRecovered!$B:$B,$A117,RawDataRecovered!AB:AB)</f>
        <v>0</v>
      </c>
      <c r="Z117">
        <f>SUMIF(RawDataRecovered!$B:$B,$A117,RawDataRecovered!AC:AC)</f>
        <v>0</v>
      </c>
      <c r="AA117">
        <f>SUMIF(RawDataRecovered!$B:$B,$A117,RawDataRecovered!AD:AD)</f>
        <v>0</v>
      </c>
      <c r="AB117">
        <f>SUMIF(RawDataRecovered!$B:$B,$A117,RawDataRecovered!AE:AE)</f>
        <v>0</v>
      </c>
      <c r="AC117">
        <f>SUMIF(RawDataRecovered!$B:$B,$A117,RawDataRecovered!AF:AF)</f>
        <v>0</v>
      </c>
      <c r="AD117">
        <f>SUMIF(RawDataRecovered!$B:$B,$A117,RawDataRecovered!AG:AG)</f>
        <v>0</v>
      </c>
      <c r="AE117">
        <f>SUMIF(RawDataRecovered!$B:$B,$A117,RawDataRecovered!AH:AH)</f>
        <v>0</v>
      </c>
      <c r="AF117">
        <f>SUMIF(RawDataRecovered!$B:$B,$A117,RawDataRecovered!AI:AI)</f>
        <v>0</v>
      </c>
      <c r="AG117">
        <f>SUMIF(RawDataRecovered!$B:$B,$A117,RawDataRecovered!AJ:AJ)</f>
        <v>0</v>
      </c>
      <c r="AH117">
        <f>SUMIF(RawDataRecovered!$B:$B,$A117,RawDataRecovered!AK:AK)</f>
        <v>0</v>
      </c>
      <c r="AI117">
        <f>SUMIF(RawDataRecovered!$B:$B,$A117,RawDataRecovered!AL:AL)</f>
        <v>0</v>
      </c>
      <c r="AJ117">
        <f>SUMIF(RawDataRecovered!$B:$B,$A117,RawDataRecovered!AM:AM)</f>
        <v>0</v>
      </c>
      <c r="AK117">
        <f>SUMIF(RawDataRecovered!$B:$B,$A117,RawDataRecovered!AN:AN)</f>
        <v>0</v>
      </c>
      <c r="AL117">
        <f>SUMIF(RawDataRecovered!$B:$B,$A117,RawDataRecovered!AO:AO)</f>
        <v>0</v>
      </c>
      <c r="AM117">
        <f>SUMIF(RawDataRecovered!$B:$B,$A117,RawDataRecovered!AP:AP)</f>
        <v>0</v>
      </c>
      <c r="AN117">
        <f>SUMIF(RawDataRecovered!$B:$B,$A117,RawDataRecovered!AQ:AQ)</f>
        <v>0</v>
      </c>
      <c r="AO117">
        <f>SUMIF(RawDataRecovered!$B:$B,$A117,RawDataRecovered!AR:AR)</f>
        <v>0</v>
      </c>
      <c r="AP117">
        <f>SUMIF(RawDataRecovered!$B:$B,$A117,RawDataRecovered!AS:AS)</f>
        <v>0</v>
      </c>
      <c r="AQ117">
        <f>SUMIF(RawDataRecovered!$B:$B,$A117,RawDataRecovered!AT:AT)</f>
        <v>0</v>
      </c>
      <c r="AR117">
        <f>SUMIF(RawDataRecovered!$B:$B,$A117,RawDataRecovered!AU:AU)</f>
        <v>0</v>
      </c>
      <c r="AS117">
        <f>SUMIF(RawDataRecovered!$B:$B,$A117,RawDataRecovered!AV:AV)</f>
        <v>0</v>
      </c>
      <c r="AT117">
        <f>SUMIF(RawDataRecovered!$B:$B,$A117,RawDataRecovered!AW:AW)</f>
        <v>0</v>
      </c>
      <c r="AU117">
        <f>SUMIF(RawDataRecovered!$B:$B,$A117,RawDataRecovered!AX:AX)</f>
        <v>0</v>
      </c>
      <c r="AV117">
        <f>SUMIF(RawDataRecovered!$B:$B,$A117,RawDataRecovered!AY:AY)</f>
        <v>0</v>
      </c>
      <c r="AW117">
        <f>SUMIF(RawDataRecovered!$B:$B,$A117,RawDataRecovered!AZ:AZ)</f>
        <v>0</v>
      </c>
      <c r="AX117">
        <f>SUMIF(RawDataRecovered!$B:$B,$A117,RawDataRecovered!BA:BA)</f>
        <v>0</v>
      </c>
      <c r="AY117">
        <f>SUMIF(RawDataRecovered!$B:$B,$A117,RawDataRecovered!BB:BB)</f>
        <v>0</v>
      </c>
      <c r="AZ117">
        <f>SUMIF(RawDataRecovered!$B:$B,$A117,RawDataRecovered!BC:BC)</f>
        <v>0</v>
      </c>
      <c r="BA117">
        <f>SUMIF(RawDataRecovered!$B:$B,$A117,RawDataRecovered!BD:BD)</f>
        <v>0</v>
      </c>
      <c r="BB117">
        <f>SUMIF(RawDataRecovered!$B:$B,$A117,RawDataRecovered!BE:BE)</f>
        <v>0</v>
      </c>
      <c r="BC117">
        <f>SUMIF(RawDataRecovered!$B:$B,$A117,RawDataRecovered!BF:BF)</f>
        <v>0</v>
      </c>
      <c r="BD117">
        <f>SUMIF(RawDataRecovered!$B:$B,$A117,RawDataRecovered!BG:BG)</f>
        <v>0</v>
      </c>
      <c r="BE117">
        <f>SUMIF(RawDataRecovered!$B:$B,$A117,RawDataRecovered!BH:BH)</f>
        <v>0</v>
      </c>
      <c r="BF117">
        <f>SUMIF(RawDataRecovered!$B:$B,$A117,RawDataRecovered!BI:BI)</f>
        <v>0</v>
      </c>
      <c r="BG117">
        <f>SUMIF(RawDataRecovered!$B:$B,$A117,RawDataRecovered!BJ:BJ)</f>
        <v>0</v>
      </c>
      <c r="BH117">
        <f>SUMIF(RawDataRecovered!$B:$B,$A117,RawDataRecovered!BK:BK)</f>
        <v>0</v>
      </c>
      <c r="BI117">
        <f>SUMIF(RawDataRecovered!$B:$B,$A117,RawDataRecovered!BL:BL)</f>
        <v>0</v>
      </c>
      <c r="BJ117">
        <f>SUMIF(RawDataRecovered!$B:$B,$A117,RawDataRecovered!BM:BM)</f>
        <v>0</v>
      </c>
      <c r="BK117">
        <f>SUMIF(RawDataRecovered!$B:$B,$A117,RawDataRecovered!BN:BN)</f>
        <v>0</v>
      </c>
      <c r="BL117">
        <f>SUMIF(RawDataRecovered!$B:$B,$A117,RawDataRecovered!BO:BO)</f>
        <v>0</v>
      </c>
      <c r="BM117">
        <f>SUMIF(RawDataRecovered!$B:$B,$A117,RawDataRecovered!BP:BP)</f>
        <v>0</v>
      </c>
      <c r="BN117">
        <f>SUMIF(RawDataRecovered!$B:$B,$A117,RawDataRecovered!BQ:BQ)</f>
        <v>0</v>
      </c>
      <c r="BO117">
        <f>SUMIF(RawDataRecovered!$B:$B,$A117,RawDataRecovered!BR:BR)</f>
        <v>0</v>
      </c>
      <c r="BP117">
        <f>SUMIF(RawDataRecovered!$B:$B,$A117,RawDataRecovered!BS:BS)</f>
        <v>0</v>
      </c>
      <c r="BQ117">
        <f>SUMIF(RawDataRecovered!$B:$B,$A117,RawDataRecovered!BT:BT)</f>
        <v>0</v>
      </c>
      <c r="BR117">
        <f>SUMIF(RawDataRecovered!$B:$B,$A117,RawDataRecovered!BU:BU)</f>
        <v>0</v>
      </c>
      <c r="BS117">
        <f>SUMIF(RawDataRecovered!$B:$B,$A117,RawDataRecovered!BV:BV)</f>
        <v>0</v>
      </c>
      <c r="BT117">
        <f>SUMIF(RawDataRecovered!$B:$B,$A117,RawDataRecovered!BW:BW)</f>
        <v>0</v>
      </c>
    </row>
    <row r="118" spans="1:72" ht="15" thickBot="1" x14ac:dyDescent="0.35">
      <c r="A118" s="3" t="s">
        <v>439</v>
      </c>
      <c r="B118">
        <f>SUMIF(RawDataRecovered!$B:$B,$A118,RawDataRecovered!E:E)</f>
        <v>0</v>
      </c>
      <c r="C118">
        <f>SUMIF(RawDataRecovered!$B:$B,$A118,RawDataRecovered!F:F)</f>
        <v>0</v>
      </c>
      <c r="D118">
        <f>SUMIF(RawDataRecovered!$B:$B,$A118,RawDataRecovered!G:G)</f>
        <v>0</v>
      </c>
      <c r="E118">
        <f>SUMIF(RawDataRecovered!$B:$B,$A118,RawDataRecovered!H:H)</f>
        <v>0</v>
      </c>
      <c r="F118">
        <f>SUMIF(RawDataRecovered!$B:$B,$A118,RawDataRecovered!I:I)</f>
        <v>0</v>
      </c>
      <c r="G118">
        <f>SUMIF(RawDataRecovered!$B:$B,$A118,RawDataRecovered!J:J)</f>
        <v>0</v>
      </c>
      <c r="H118">
        <f>SUMIF(RawDataRecovered!$B:$B,$A118,RawDataRecovered!K:K)</f>
        <v>0</v>
      </c>
      <c r="I118">
        <f>SUMIF(RawDataRecovered!$B:$B,$A118,RawDataRecovered!L:L)</f>
        <v>0</v>
      </c>
      <c r="J118">
        <f>SUMIF(RawDataRecovered!$B:$B,$A118,RawDataRecovered!M:M)</f>
        <v>0</v>
      </c>
      <c r="K118">
        <f>SUMIF(RawDataRecovered!$B:$B,$A118,RawDataRecovered!N:N)</f>
        <v>0</v>
      </c>
      <c r="L118">
        <f>SUMIF(RawDataRecovered!$B:$B,$A118,RawDataRecovered!O:O)</f>
        <v>0</v>
      </c>
      <c r="M118">
        <f>SUMIF(RawDataRecovered!$B:$B,$A118,RawDataRecovered!P:P)</f>
        <v>0</v>
      </c>
      <c r="N118">
        <f>SUMIF(RawDataRecovered!$B:$B,$A118,RawDataRecovered!Q:Q)</f>
        <v>0</v>
      </c>
      <c r="O118">
        <f>SUMIF(RawDataRecovered!$B:$B,$A118,RawDataRecovered!R:R)</f>
        <v>0</v>
      </c>
      <c r="P118">
        <f>SUMIF(RawDataRecovered!$B:$B,$A118,RawDataRecovered!S:S)</f>
        <v>0</v>
      </c>
      <c r="Q118">
        <f>SUMIF(RawDataRecovered!$B:$B,$A118,RawDataRecovered!T:T)</f>
        <v>0</v>
      </c>
      <c r="R118">
        <f>SUMIF(RawDataRecovered!$B:$B,$A118,RawDataRecovered!U:U)</f>
        <v>0</v>
      </c>
      <c r="S118">
        <f>SUMIF(RawDataRecovered!$B:$B,$A118,RawDataRecovered!V:V)</f>
        <v>0</v>
      </c>
      <c r="T118">
        <f>SUMIF(RawDataRecovered!$B:$B,$A118,RawDataRecovered!W:W)</f>
        <v>0</v>
      </c>
      <c r="U118">
        <f>SUMIF(RawDataRecovered!$B:$B,$A118,RawDataRecovered!X:X)</f>
        <v>0</v>
      </c>
      <c r="V118">
        <f>SUMIF(RawDataRecovered!$B:$B,$A118,RawDataRecovered!Y:Y)</f>
        <v>0</v>
      </c>
      <c r="W118">
        <f>SUMIF(RawDataRecovered!$B:$B,$A118,RawDataRecovered!Z:Z)</f>
        <v>0</v>
      </c>
      <c r="X118">
        <f>SUMIF(RawDataRecovered!$B:$B,$A118,RawDataRecovered!AA:AA)</f>
        <v>0</v>
      </c>
      <c r="Y118">
        <f>SUMIF(RawDataRecovered!$B:$B,$A118,RawDataRecovered!AB:AB)</f>
        <v>0</v>
      </c>
      <c r="Z118">
        <f>SUMIF(RawDataRecovered!$B:$B,$A118,RawDataRecovered!AC:AC)</f>
        <v>0</v>
      </c>
      <c r="AA118">
        <f>SUMIF(RawDataRecovered!$B:$B,$A118,RawDataRecovered!AD:AD)</f>
        <v>0</v>
      </c>
      <c r="AB118">
        <f>SUMIF(RawDataRecovered!$B:$B,$A118,RawDataRecovered!AE:AE)</f>
        <v>0</v>
      </c>
      <c r="AC118">
        <f>SUMIF(RawDataRecovered!$B:$B,$A118,RawDataRecovered!AF:AF)</f>
        <v>0</v>
      </c>
      <c r="AD118">
        <f>SUMIF(RawDataRecovered!$B:$B,$A118,RawDataRecovered!AG:AG)</f>
        <v>0</v>
      </c>
      <c r="AE118">
        <f>SUMIF(RawDataRecovered!$B:$B,$A118,RawDataRecovered!AH:AH)</f>
        <v>0</v>
      </c>
      <c r="AF118">
        <f>SUMIF(RawDataRecovered!$B:$B,$A118,RawDataRecovered!AI:AI)</f>
        <v>0</v>
      </c>
      <c r="AG118">
        <f>SUMIF(RawDataRecovered!$B:$B,$A118,RawDataRecovered!AJ:AJ)</f>
        <v>0</v>
      </c>
      <c r="AH118">
        <f>SUMIF(RawDataRecovered!$B:$B,$A118,RawDataRecovered!AK:AK)</f>
        <v>0</v>
      </c>
      <c r="AI118">
        <f>SUMIF(RawDataRecovered!$B:$B,$A118,RawDataRecovered!AL:AL)</f>
        <v>0</v>
      </c>
      <c r="AJ118">
        <f>SUMIF(RawDataRecovered!$B:$B,$A118,RawDataRecovered!AM:AM)</f>
        <v>0</v>
      </c>
      <c r="AK118">
        <f>SUMIF(RawDataRecovered!$B:$B,$A118,RawDataRecovered!AN:AN)</f>
        <v>0</v>
      </c>
      <c r="AL118">
        <f>SUMIF(RawDataRecovered!$B:$B,$A118,RawDataRecovered!AO:AO)</f>
        <v>0</v>
      </c>
      <c r="AM118">
        <f>SUMIF(RawDataRecovered!$B:$B,$A118,RawDataRecovered!AP:AP)</f>
        <v>0</v>
      </c>
      <c r="AN118">
        <f>SUMIF(RawDataRecovered!$B:$B,$A118,RawDataRecovered!AQ:AQ)</f>
        <v>0</v>
      </c>
      <c r="AO118">
        <f>SUMIF(RawDataRecovered!$B:$B,$A118,RawDataRecovered!AR:AR)</f>
        <v>0</v>
      </c>
      <c r="AP118">
        <f>SUMIF(RawDataRecovered!$B:$B,$A118,RawDataRecovered!AS:AS)</f>
        <v>0</v>
      </c>
      <c r="AQ118">
        <f>SUMIF(RawDataRecovered!$B:$B,$A118,RawDataRecovered!AT:AT)</f>
        <v>0</v>
      </c>
      <c r="AR118">
        <f>SUMIF(RawDataRecovered!$B:$B,$A118,RawDataRecovered!AU:AU)</f>
        <v>0</v>
      </c>
      <c r="AS118">
        <f>SUMIF(RawDataRecovered!$B:$B,$A118,RawDataRecovered!AV:AV)</f>
        <v>0</v>
      </c>
      <c r="AT118">
        <f>SUMIF(RawDataRecovered!$B:$B,$A118,RawDataRecovered!AW:AW)</f>
        <v>0</v>
      </c>
      <c r="AU118">
        <f>SUMIF(RawDataRecovered!$B:$B,$A118,RawDataRecovered!AX:AX)</f>
        <v>0</v>
      </c>
      <c r="AV118">
        <f>SUMIF(RawDataRecovered!$B:$B,$A118,RawDataRecovered!AY:AY)</f>
        <v>0</v>
      </c>
      <c r="AW118">
        <f>SUMIF(RawDataRecovered!$B:$B,$A118,RawDataRecovered!AZ:AZ)</f>
        <v>0</v>
      </c>
      <c r="AX118">
        <f>SUMIF(RawDataRecovered!$B:$B,$A118,RawDataRecovered!BA:BA)</f>
        <v>0</v>
      </c>
      <c r="AY118">
        <f>SUMIF(RawDataRecovered!$B:$B,$A118,RawDataRecovered!BB:BB)</f>
        <v>0</v>
      </c>
      <c r="AZ118">
        <f>SUMIF(RawDataRecovered!$B:$B,$A118,RawDataRecovered!BC:BC)</f>
        <v>0</v>
      </c>
      <c r="BA118">
        <f>SUMIF(RawDataRecovered!$B:$B,$A118,RawDataRecovered!BD:BD)</f>
        <v>0</v>
      </c>
      <c r="BB118">
        <f>SUMIF(RawDataRecovered!$B:$B,$A118,RawDataRecovered!BE:BE)</f>
        <v>0</v>
      </c>
      <c r="BC118">
        <f>SUMIF(RawDataRecovered!$B:$B,$A118,RawDataRecovered!BF:BF)</f>
        <v>0</v>
      </c>
      <c r="BD118">
        <f>SUMIF(RawDataRecovered!$B:$B,$A118,RawDataRecovered!BG:BG)</f>
        <v>0</v>
      </c>
      <c r="BE118">
        <f>SUMIF(RawDataRecovered!$B:$B,$A118,RawDataRecovered!BH:BH)</f>
        <v>0</v>
      </c>
      <c r="BF118">
        <f>SUMIF(RawDataRecovered!$B:$B,$A118,RawDataRecovered!BI:BI)</f>
        <v>0</v>
      </c>
      <c r="BG118">
        <f>SUMIF(RawDataRecovered!$B:$B,$A118,RawDataRecovered!BJ:BJ)</f>
        <v>0</v>
      </c>
      <c r="BH118">
        <f>SUMIF(RawDataRecovered!$B:$B,$A118,RawDataRecovered!BK:BK)</f>
        <v>0</v>
      </c>
      <c r="BI118">
        <f>SUMIF(RawDataRecovered!$B:$B,$A118,RawDataRecovered!BL:BL)</f>
        <v>0</v>
      </c>
      <c r="BJ118">
        <f>SUMIF(RawDataRecovered!$B:$B,$A118,RawDataRecovered!BM:BM)</f>
        <v>0</v>
      </c>
      <c r="BK118">
        <f>SUMIF(RawDataRecovered!$B:$B,$A118,RawDataRecovered!BN:BN)</f>
        <v>0</v>
      </c>
      <c r="BL118">
        <f>SUMIF(RawDataRecovered!$B:$B,$A118,RawDataRecovered!BO:BO)</f>
        <v>0</v>
      </c>
      <c r="BM118">
        <f>SUMIF(RawDataRecovered!$B:$B,$A118,RawDataRecovered!BP:BP)</f>
        <v>0</v>
      </c>
      <c r="BN118">
        <f>SUMIF(RawDataRecovered!$B:$B,$A118,RawDataRecovered!BQ:BQ)</f>
        <v>0</v>
      </c>
      <c r="BO118">
        <f>SUMIF(RawDataRecovered!$B:$B,$A118,RawDataRecovered!BR:BR)</f>
        <v>0</v>
      </c>
      <c r="BP118">
        <f>SUMIF(RawDataRecovered!$B:$B,$A118,RawDataRecovered!BS:BS)</f>
        <v>0</v>
      </c>
      <c r="BQ118">
        <f>SUMIF(RawDataRecovered!$B:$B,$A118,RawDataRecovered!BT:BT)</f>
        <v>0</v>
      </c>
      <c r="BR118">
        <f>SUMIF(RawDataRecovered!$B:$B,$A118,RawDataRecovered!BU:BU)</f>
        <v>0</v>
      </c>
      <c r="BS118">
        <f>SUMIF(RawDataRecovered!$B:$B,$A118,RawDataRecovered!BV:BV)</f>
        <v>0</v>
      </c>
      <c r="BT118">
        <f>SUMIF(RawDataRecovered!$B:$B,$A118,RawDataRecovered!BW:BW)</f>
        <v>0</v>
      </c>
    </row>
    <row r="119" spans="1:72" ht="15" thickBot="1" x14ac:dyDescent="0.35">
      <c r="A119" s="3" t="s">
        <v>308</v>
      </c>
      <c r="B119">
        <f>SUMIF(RawDataRecovered!$B:$B,$A119,RawDataRecovered!E:E)</f>
        <v>0</v>
      </c>
      <c r="C119">
        <f>SUMIF(RawDataRecovered!$B:$B,$A119,RawDataRecovered!F:F)</f>
        <v>0</v>
      </c>
      <c r="D119">
        <f>SUMIF(RawDataRecovered!$B:$B,$A119,RawDataRecovered!G:G)</f>
        <v>0</v>
      </c>
      <c r="E119">
        <f>SUMIF(RawDataRecovered!$B:$B,$A119,RawDataRecovered!H:H)</f>
        <v>0</v>
      </c>
      <c r="F119">
        <f>SUMIF(RawDataRecovered!$B:$B,$A119,RawDataRecovered!I:I)</f>
        <v>0</v>
      </c>
      <c r="G119">
        <f>SUMIF(RawDataRecovered!$B:$B,$A119,RawDataRecovered!J:J)</f>
        <v>0</v>
      </c>
      <c r="H119">
        <f>SUMIF(RawDataRecovered!$B:$B,$A119,RawDataRecovered!K:K)</f>
        <v>0</v>
      </c>
      <c r="I119">
        <f>SUMIF(RawDataRecovered!$B:$B,$A119,RawDataRecovered!L:L)</f>
        <v>0</v>
      </c>
      <c r="J119">
        <f>SUMIF(RawDataRecovered!$B:$B,$A119,RawDataRecovered!M:M)</f>
        <v>0</v>
      </c>
      <c r="K119">
        <f>SUMIF(RawDataRecovered!$B:$B,$A119,RawDataRecovered!N:N)</f>
        <v>0</v>
      </c>
      <c r="L119">
        <f>SUMIF(RawDataRecovered!$B:$B,$A119,RawDataRecovered!O:O)</f>
        <v>0</v>
      </c>
      <c r="M119">
        <f>SUMIF(RawDataRecovered!$B:$B,$A119,RawDataRecovered!P:P)</f>
        <v>0</v>
      </c>
      <c r="N119">
        <f>SUMIF(RawDataRecovered!$B:$B,$A119,RawDataRecovered!Q:Q)</f>
        <v>0</v>
      </c>
      <c r="O119">
        <f>SUMIF(RawDataRecovered!$B:$B,$A119,RawDataRecovered!R:R)</f>
        <v>0</v>
      </c>
      <c r="P119">
        <f>SUMIF(RawDataRecovered!$B:$B,$A119,RawDataRecovered!S:S)</f>
        <v>0</v>
      </c>
      <c r="Q119">
        <f>SUMIF(RawDataRecovered!$B:$B,$A119,RawDataRecovered!T:T)</f>
        <v>0</v>
      </c>
      <c r="R119">
        <f>SUMIF(RawDataRecovered!$B:$B,$A119,RawDataRecovered!U:U)</f>
        <v>0</v>
      </c>
      <c r="S119">
        <f>SUMIF(RawDataRecovered!$B:$B,$A119,RawDataRecovered!V:V)</f>
        <v>0</v>
      </c>
      <c r="T119">
        <f>SUMIF(RawDataRecovered!$B:$B,$A119,RawDataRecovered!W:W)</f>
        <v>0</v>
      </c>
      <c r="U119">
        <f>SUMIF(RawDataRecovered!$B:$B,$A119,RawDataRecovered!X:X)</f>
        <v>0</v>
      </c>
      <c r="V119">
        <f>SUMIF(RawDataRecovered!$B:$B,$A119,RawDataRecovered!Y:Y)</f>
        <v>0</v>
      </c>
      <c r="W119">
        <f>SUMIF(RawDataRecovered!$B:$B,$A119,RawDataRecovered!Z:Z)</f>
        <v>0</v>
      </c>
      <c r="X119">
        <f>SUMIF(RawDataRecovered!$B:$B,$A119,RawDataRecovered!AA:AA)</f>
        <v>0</v>
      </c>
      <c r="Y119">
        <f>SUMIF(RawDataRecovered!$B:$B,$A119,RawDataRecovered!AB:AB)</f>
        <v>0</v>
      </c>
      <c r="Z119">
        <f>SUMIF(RawDataRecovered!$B:$B,$A119,RawDataRecovered!AC:AC)</f>
        <v>0</v>
      </c>
      <c r="AA119">
        <f>SUMIF(RawDataRecovered!$B:$B,$A119,RawDataRecovered!AD:AD)</f>
        <v>0</v>
      </c>
      <c r="AB119">
        <f>SUMIF(RawDataRecovered!$B:$B,$A119,RawDataRecovered!AE:AE)</f>
        <v>0</v>
      </c>
      <c r="AC119">
        <f>SUMIF(RawDataRecovered!$B:$B,$A119,RawDataRecovered!AF:AF)</f>
        <v>0</v>
      </c>
      <c r="AD119">
        <f>SUMIF(RawDataRecovered!$B:$B,$A119,RawDataRecovered!AG:AG)</f>
        <v>0</v>
      </c>
      <c r="AE119">
        <f>SUMIF(RawDataRecovered!$B:$B,$A119,RawDataRecovered!AH:AH)</f>
        <v>0</v>
      </c>
      <c r="AF119">
        <f>SUMIF(RawDataRecovered!$B:$B,$A119,RawDataRecovered!AI:AI)</f>
        <v>0</v>
      </c>
      <c r="AG119">
        <f>SUMIF(RawDataRecovered!$B:$B,$A119,RawDataRecovered!AJ:AJ)</f>
        <v>0</v>
      </c>
      <c r="AH119">
        <f>SUMIF(RawDataRecovered!$B:$B,$A119,RawDataRecovered!AK:AK)</f>
        <v>0</v>
      </c>
      <c r="AI119">
        <f>SUMIF(RawDataRecovered!$B:$B,$A119,RawDataRecovered!AL:AL)</f>
        <v>0</v>
      </c>
      <c r="AJ119">
        <f>SUMIF(RawDataRecovered!$B:$B,$A119,RawDataRecovered!AM:AM)</f>
        <v>0</v>
      </c>
      <c r="AK119">
        <f>SUMIF(RawDataRecovered!$B:$B,$A119,RawDataRecovered!AN:AN)</f>
        <v>0</v>
      </c>
      <c r="AL119">
        <f>SUMIF(RawDataRecovered!$B:$B,$A119,RawDataRecovered!AO:AO)</f>
        <v>0</v>
      </c>
      <c r="AM119">
        <f>SUMIF(RawDataRecovered!$B:$B,$A119,RawDataRecovered!AP:AP)</f>
        <v>0</v>
      </c>
      <c r="AN119">
        <f>SUMIF(RawDataRecovered!$B:$B,$A119,RawDataRecovered!AQ:AQ)</f>
        <v>0</v>
      </c>
      <c r="AO119">
        <f>SUMIF(RawDataRecovered!$B:$B,$A119,RawDataRecovered!AR:AR)</f>
        <v>0</v>
      </c>
      <c r="AP119">
        <f>SUMIF(RawDataRecovered!$B:$B,$A119,RawDataRecovered!AS:AS)</f>
        <v>0</v>
      </c>
      <c r="AQ119">
        <f>SUMIF(RawDataRecovered!$B:$B,$A119,RawDataRecovered!AT:AT)</f>
        <v>0</v>
      </c>
      <c r="AR119">
        <f>SUMIF(RawDataRecovered!$B:$B,$A119,RawDataRecovered!AU:AU)</f>
        <v>0</v>
      </c>
      <c r="AS119">
        <f>SUMIF(RawDataRecovered!$B:$B,$A119,RawDataRecovered!AV:AV)</f>
        <v>0</v>
      </c>
      <c r="AT119">
        <f>SUMIF(RawDataRecovered!$B:$B,$A119,RawDataRecovered!AW:AW)</f>
        <v>0</v>
      </c>
      <c r="AU119">
        <f>SUMIF(RawDataRecovered!$B:$B,$A119,RawDataRecovered!AX:AX)</f>
        <v>0</v>
      </c>
      <c r="AV119">
        <f>SUMIF(RawDataRecovered!$B:$B,$A119,RawDataRecovered!AY:AY)</f>
        <v>0</v>
      </c>
      <c r="AW119">
        <f>SUMIF(RawDataRecovered!$B:$B,$A119,RawDataRecovered!AZ:AZ)</f>
        <v>0</v>
      </c>
      <c r="AX119">
        <f>SUMIF(RawDataRecovered!$B:$B,$A119,RawDataRecovered!BA:BA)</f>
        <v>0</v>
      </c>
      <c r="AY119">
        <f>SUMIF(RawDataRecovered!$B:$B,$A119,RawDataRecovered!BB:BB)</f>
        <v>0</v>
      </c>
      <c r="AZ119">
        <f>SUMIF(RawDataRecovered!$B:$B,$A119,RawDataRecovered!BC:BC)</f>
        <v>0</v>
      </c>
      <c r="BA119">
        <f>SUMIF(RawDataRecovered!$B:$B,$A119,RawDataRecovered!BD:BD)</f>
        <v>0</v>
      </c>
      <c r="BB119">
        <f>SUMIF(RawDataRecovered!$B:$B,$A119,RawDataRecovered!BE:BE)</f>
        <v>0</v>
      </c>
      <c r="BC119">
        <f>SUMIF(RawDataRecovered!$B:$B,$A119,RawDataRecovered!BF:BF)</f>
        <v>0</v>
      </c>
      <c r="BD119">
        <f>SUMIF(RawDataRecovered!$B:$B,$A119,RawDataRecovered!BG:BG)</f>
        <v>0</v>
      </c>
      <c r="BE119">
        <f>SUMIF(RawDataRecovered!$B:$B,$A119,RawDataRecovered!BH:BH)</f>
        <v>0</v>
      </c>
      <c r="BF119">
        <f>SUMIF(RawDataRecovered!$B:$B,$A119,RawDataRecovered!BI:BI)</f>
        <v>0</v>
      </c>
      <c r="BG119">
        <f>SUMIF(RawDataRecovered!$B:$B,$A119,RawDataRecovered!BJ:BJ)</f>
        <v>0</v>
      </c>
      <c r="BH119">
        <f>SUMIF(RawDataRecovered!$B:$B,$A119,RawDataRecovered!BK:BK)</f>
        <v>0</v>
      </c>
      <c r="BI119">
        <f>SUMIF(RawDataRecovered!$B:$B,$A119,RawDataRecovered!BL:BL)</f>
        <v>0</v>
      </c>
      <c r="BJ119">
        <f>SUMIF(RawDataRecovered!$B:$B,$A119,RawDataRecovered!BM:BM)</f>
        <v>0</v>
      </c>
      <c r="BK119">
        <f>SUMIF(RawDataRecovered!$B:$B,$A119,RawDataRecovered!BN:BN)</f>
        <v>0</v>
      </c>
      <c r="BL119">
        <f>SUMIF(RawDataRecovered!$B:$B,$A119,RawDataRecovered!BO:BO)</f>
        <v>0</v>
      </c>
      <c r="BM119">
        <f>SUMIF(RawDataRecovered!$B:$B,$A119,RawDataRecovered!BP:BP)</f>
        <v>0</v>
      </c>
      <c r="BN119">
        <f>SUMIF(RawDataRecovered!$B:$B,$A119,RawDataRecovered!BQ:BQ)</f>
        <v>0</v>
      </c>
      <c r="BO119">
        <f>SUMIF(RawDataRecovered!$B:$B,$A119,RawDataRecovered!BR:BR)</f>
        <v>0</v>
      </c>
      <c r="BP119">
        <f>SUMIF(RawDataRecovered!$B:$B,$A119,RawDataRecovered!BS:BS)</f>
        <v>0</v>
      </c>
      <c r="BQ119">
        <f>SUMIF(RawDataRecovered!$B:$B,$A119,RawDataRecovered!BT:BT)</f>
        <v>0</v>
      </c>
      <c r="BR119">
        <f>SUMIF(RawDataRecovered!$B:$B,$A119,RawDataRecovered!BU:BU)</f>
        <v>0</v>
      </c>
      <c r="BS119">
        <f>SUMIF(RawDataRecovered!$B:$B,$A119,RawDataRecovered!BV:BV)</f>
        <v>0</v>
      </c>
      <c r="BT119">
        <f>SUMIF(RawDataRecovered!$B:$B,$A119,RawDataRecovered!BW:BW)</f>
        <v>0</v>
      </c>
    </row>
    <row r="120" spans="1:72" ht="15" thickBot="1" x14ac:dyDescent="0.35">
      <c r="A120" s="4" t="s">
        <v>152</v>
      </c>
      <c r="B120">
        <f>SUMIF(RawDataRecovered!$B:$B,$A120,RawDataRecovered!E:E)</f>
        <v>0</v>
      </c>
      <c r="C120">
        <f>SUMIF(RawDataRecovered!$B:$B,$A120,RawDataRecovered!F:F)</f>
        <v>0</v>
      </c>
      <c r="D120">
        <f>SUMIF(RawDataRecovered!$B:$B,$A120,RawDataRecovered!G:G)</f>
        <v>0</v>
      </c>
      <c r="E120">
        <f>SUMIF(RawDataRecovered!$B:$B,$A120,RawDataRecovered!H:H)</f>
        <v>0</v>
      </c>
      <c r="F120">
        <f>SUMIF(RawDataRecovered!$B:$B,$A120,RawDataRecovered!I:I)</f>
        <v>0</v>
      </c>
      <c r="G120">
        <f>SUMIF(RawDataRecovered!$B:$B,$A120,RawDataRecovered!J:J)</f>
        <v>0</v>
      </c>
      <c r="H120">
        <f>SUMIF(RawDataRecovered!$B:$B,$A120,RawDataRecovered!K:K)</f>
        <v>0</v>
      </c>
      <c r="I120">
        <f>SUMIF(RawDataRecovered!$B:$B,$A120,RawDataRecovered!L:L)</f>
        <v>0</v>
      </c>
      <c r="J120">
        <f>SUMIF(RawDataRecovered!$B:$B,$A120,RawDataRecovered!M:M)</f>
        <v>0</v>
      </c>
      <c r="K120">
        <f>SUMIF(RawDataRecovered!$B:$B,$A120,RawDataRecovered!N:N)</f>
        <v>0</v>
      </c>
      <c r="L120">
        <f>SUMIF(RawDataRecovered!$B:$B,$A120,RawDataRecovered!O:O)</f>
        <v>0</v>
      </c>
      <c r="M120">
        <f>SUMIF(RawDataRecovered!$B:$B,$A120,RawDataRecovered!P:P)</f>
        <v>0</v>
      </c>
      <c r="N120">
        <f>SUMIF(RawDataRecovered!$B:$B,$A120,RawDataRecovered!Q:Q)</f>
        <v>0</v>
      </c>
      <c r="O120">
        <f>SUMIF(RawDataRecovered!$B:$B,$A120,RawDataRecovered!R:R)</f>
        <v>0</v>
      </c>
      <c r="P120">
        <f>SUMIF(RawDataRecovered!$B:$B,$A120,RawDataRecovered!S:S)</f>
        <v>0</v>
      </c>
      <c r="Q120">
        <f>SUMIF(RawDataRecovered!$B:$B,$A120,RawDataRecovered!T:T)</f>
        <v>0</v>
      </c>
      <c r="R120">
        <f>SUMIF(RawDataRecovered!$B:$B,$A120,RawDataRecovered!U:U)</f>
        <v>0</v>
      </c>
      <c r="S120">
        <f>SUMIF(RawDataRecovered!$B:$B,$A120,RawDataRecovered!V:V)</f>
        <v>0</v>
      </c>
      <c r="T120">
        <f>SUMIF(RawDataRecovered!$B:$B,$A120,RawDataRecovered!W:W)</f>
        <v>0</v>
      </c>
      <c r="U120">
        <f>SUMIF(RawDataRecovered!$B:$B,$A120,RawDataRecovered!X:X)</f>
        <v>0</v>
      </c>
      <c r="V120">
        <f>SUMIF(RawDataRecovered!$B:$B,$A120,RawDataRecovered!Y:Y)</f>
        <v>0</v>
      </c>
      <c r="W120">
        <f>SUMIF(RawDataRecovered!$B:$B,$A120,RawDataRecovered!Z:Z)</f>
        <v>0</v>
      </c>
      <c r="X120">
        <f>SUMIF(RawDataRecovered!$B:$B,$A120,RawDataRecovered!AA:AA)</f>
        <v>0</v>
      </c>
      <c r="Y120">
        <f>SUMIF(RawDataRecovered!$B:$B,$A120,RawDataRecovered!AB:AB)</f>
        <v>0</v>
      </c>
      <c r="Z120">
        <f>SUMIF(RawDataRecovered!$B:$B,$A120,RawDataRecovered!AC:AC)</f>
        <v>0</v>
      </c>
      <c r="AA120">
        <f>SUMIF(RawDataRecovered!$B:$B,$A120,RawDataRecovered!AD:AD)</f>
        <v>0</v>
      </c>
      <c r="AB120">
        <f>SUMIF(RawDataRecovered!$B:$B,$A120,RawDataRecovered!AE:AE)</f>
        <v>0</v>
      </c>
      <c r="AC120">
        <f>SUMIF(RawDataRecovered!$B:$B,$A120,RawDataRecovered!AF:AF)</f>
        <v>0</v>
      </c>
      <c r="AD120">
        <f>SUMIF(RawDataRecovered!$B:$B,$A120,RawDataRecovered!AG:AG)</f>
        <v>0</v>
      </c>
      <c r="AE120">
        <f>SUMIF(RawDataRecovered!$B:$B,$A120,RawDataRecovered!AH:AH)</f>
        <v>0</v>
      </c>
      <c r="AF120">
        <f>SUMIF(RawDataRecovered!$B:$B,$A120,RawDataRecovered!AI:AI)</f>
        <v>0</v>
      </c>
      <c r="AG120">
        <f>SUMIF(RawDataRecovered!$B:$B,$A120,RawDataRecovered!AJ:AJ)</f>
        <v>0</v>
      </c>
      <c r="AH120">
        <f>SUMIF(RawDataRecovered!$B:$B,$A120,RawDataRecovered!AK:AK)</f>
        <v>0</v>
      </c>
      <c r="AI120">
        <f>SUMIF(RawDataRecovered!$B:$B,$A120,RawDataRecovered!AL:AL)</f>
        <v>0</v>
      </c>
      <c r="AJ120">
        <f>SUMIF(RawDataRecovered!$B:$B,$A120,RawDataRecovered!AM:AM)</f>
        <v>0</v>
      </c>
      <c r="AK120">
        <f>SUMIF(RawDataRecovered!$B:$B,$A120,RawDataRecovered!AN:AN)</f>
        <v>0</v>
      </c>
      <c r="AL120">
        <f>SUMIF(RawDataRecovered!$B:$B,$A120,RawDataRecovered!AO:AO)</f>
        <v>0</v>
      </c>
      <c r="AM120">
        <f>SUMIF(RawDataRecovered!$B:$B,$A120,RawDataRecovered!AP:AP)</f>
        <v>0</v>
      </c>
      <c r="AN120">
        <f>SUMIF(RawDataRecovered!$B:$B,$A120,RawDataRecovered!AQ:AQ)</f>
        <v>0</v>
      </c>
      <c r="AO120">
        <f>SUMIF(RawDataRecovered!$B:$B,$A120,RawDataRecovered!AR:AR)</f>
        <v>0</v>
      </c>
      <c r="AP120">
        <f>SUMIF(RawDataRecovered!$B:$B,$A120,RawDataRecovered!AS:AS)</f>
        <v>0</v>
      </c>
      <c r="AQ120">
        <f>SUMIF(RawDataRecovered!$B:$B,$A120,RawDataRecovered!AT:AT)</f>
        <v>0</v>
      </c>
      <c r="AR120">
        <f>SUMIF(RawDataRecovered!$B:$B,$A120,RawDataRecovered!AU:AU)</f>
        <v>0</v>
      </c>
      <c r="AS120">
        <f>SUMIF(RawDataRecovered!$B:$B,$A120,RawDataRecovered!AV:AV)</f>
        <v>0</v>
      </c>
      <c r="AT120">
        <f>SUMIF(RawDataRecovered!$B:$B,$A120,RawDataRecovered!AW:AW)</f>
        <v>0</v>
      </c>
      <c r="AU120">
        <f>SUMIF(RawDataRecovered!$B:$B,$A120,RawDataRecovered!AX:AX)</f>
        <v>0</v>
      </c>
      <c r="AV120">
        <f>SUMIF(RawDataRecovered!$B:$B,$A120,RawDataRecovered!AY:AY)</f>
        <v>0</v>
      </c>
      <c r="AW120">
        <f>SUMIF(RawDataRecovered!$B:$B,$A120,RawDataRecovered!AZ:AZ)</f>
        <v>0</v>
      </c>
      <c r="AX120">
        <f>SUMIF(RawDataRecovered!$B:$B,$A120,RawDataRecovered!BA:BA)</f>
        <v>0</v>
      </c>
      <c r="AY120">
        <f>SUMIF(RawDataRecovered!$B:$B,$A120,RawDataRecovered!BB:BB)</f>
        <v>0</v>
      </c>
      <c r="AZ120">
        <f>SUMIF(RawDataRecovered!$B:$B,$A120,RawDataRecovered!BC:BC)</f>
        <v>0</v>
      </c>
      <c r="BA120">
        <f>SUMIF(RawDataRecovered!$B:$B,$A120,RawDataRecovered!BD:BD)</f>
        <v>1</v>
      </c>
      <c r="BB120">
        <f>SUMIF(RawDataRecovered!$B:$B,$A120,RawDataRecovered!BE:BE)</f>
        <v>1</v>
      </c>
      <c r="BC120">
        <f>SUMIF(RawDataRecovered!$B:$B,$A120,RawDataRecovered!BF:BF)</f>
        <v>1</v>
      </c>
      <c r="BD120">
        <f>SUMIF(RawDataRecovered!$B:$B,$A120,RawDataRecovered!BG:BG)</f>
        <v>1</v>
      </c>
      <c r="BE120">
        <f>SUMIF(RawDataRecovered!$B:$B,$A120,RawDataRecovered!BH:BH)</f>
        <v>1</v>
      </c>
      <c r="BF120">
        <f>SUMIF(RawDataRecovered!$B:$B,$A120,RawDataRecovered!BI:BI)</f>
        <v>0</v>
      </c>
      <c r="BG120">
        <f>SUMIF(RawDataRecovered!$B:$B,$A120,RawDataRecovered!BJ:BJ)</f>
        <v>0</v>
      </c>
      <c r="BH120">
        <f>SUMIF(RawDataRecovered!$B:$B,$A120,RawDataRecovered!BK:BK)</f>
        <v>0</v>
      </c>
      <c r="BI120">
        <f>SUMIF(RawDataRecovered!$B:$B,$A120,RawDataRecovered!BL:BL)</f>
        <v>0</v>
      </c>
      <c r="BJ120">
        <f>SUMIF(RawDataRecovered!$B:$B,$A120,RawDataRecovered!BM:BM)</f>
        <v>0</v>
      </c>
      <c r="BK120">
        <f>SUMIF(RawDataRecovered!$B:$B,$A120,RawDataRecovered!BN:BN)</f>
        <v>0</v>
      </c>
      <c r="BL120">
        <f>SUMIF(RawDataRecovered!$B:$B,$A120,RawDataRecovered!BO:BO)</f>
        <v>0</v>
      </c>
      <c r="BM120">
        <f>SUMIF(RawDataRecovered!$B:$B,$A120,RawDataRecovered!BP:BP)</f>
        <v>0</v>
      </c>
      <c r="BN120">
        <f>SUMIF(RawDataRecovered!$B:$B,$A120,RawDataRecovered!BQ:BQ)</f>
        <v>0</v>
      </c>
      <c r="BO120">
        <f>SUMIF(RawDataRecovered!$B:$B,$A120,RawDataRecovered!BR:BR)</f>
        <v>0</v>
      </c>
      <c r="BP120">
        <f>SUMIF(RawDataRecovered!$B:$B,$A120,RawDataRecovered!BS:BS)</f>
        <v>0</v>
      </c>
      <c r="BQ120">
        <f>SUMIF(RawDataRecovered!$B:$B,$A120,RawDataRecovered!BT:BT)</f>
        <v>0</v>
      </c>
      <c r="BR120">
        <f>SUMIF(RawDataRecovered!$B:$B,$A120,RawDataRecovered!BU:BU)</f>
        <v>0</v>
      </c>
      <c r="BS120">
        <f>SUMIF(RawDataRecovered!$B:$B,$A120,RawDataRecovered!BV:BV)</f>
        <v>0</v>
      </c>
      <c r="BT120">
        <f>SUMIF(RawDataRecovered!$B:$B,$A120,RawDataRecovered!BW:BW)</f>
        <v>0</v>
      </c>
    </row>
    <row r="121" spans="1:72" ht="15" thickBot="1" x14ac:dyDescent="0.35">
      <c r="A121" s="3" t="s">
        <v>451</v>
      </c>
      <c r="B121">
        <f>SUMIF(RawDataRecovered!$B:$B,$A121,RawDataRecovered!E:E)</f>
        <v>0</v>
      </c>
      <c r="C121">
        <f>SUMIF(RawDataRecovered!$B:$B,$A121,RawDataRecovered!F:F)</f>
        <v>0</v>
      </c>
      <c r="D121">
        <f>SUMIF(RawDataRecovered!$B:$B,$A121,RawDataRecovered!G:G)</f>
        <v>0</v>
      </c>
      <c r="E121">
        <f>SUMIF(RawDataRecovered!$B:$B,$A121,RawDataRecovered!H:H)</f>
        <v>0</v>
      </c>
      <c r="F121">
        <f>SUMIF(RawDataRecovered!$B:$B,$A121,RawDataRecovered!I:I)</f>
        <v>0</v>
      </c>
      <c r="G121">
        <f>SUMIF(RawDataRecovered!$B:$B,$A121,RawDataRecovered!J:J)</f>
        <v>0</v>
      </c>
      <c r="H121">
        <f>SUMIF(RawDataRecovered!$B:$B,$A121,RawDataRecovered!K:K)</f>
        <v>0</v>
      </c>
      <c r="I121">
        <f>SUMIF(RawDataRecovered!$B:$B,$A121,RawDataRecovered!L:L)</f>
        <v>0</v>
      </c>
      <c r="J121">
        <f>SUMIF(RawDataRecovered!$B:$B,$A121,RawDataRecovered!M:M)</f>
        <v>0</v>
      </c>
      <c r="K121">
        <f>SUMIF(RawDataRecovered!$B:$B,$A121,RawDataRecovered!N:N)</f>
        <v>0</v>
      </c>
      <c r="L121">
        <f>SUMIF(RawDataRecovered!$B:$B,$A121,RawDataRecovered!O:O)</f>
        <v>0</v>
      </c>
      <c r="M121">
        <f>SUMIF(RawDataRecovered!$B:$B,$A121,RawDataRecovered!P:P)</f>
        <v>0</v>
      </c>
      <c r="N121">
        <f>SUMIF(RawDataRecovered!$B:$B,$A121,RawDataRecovered!Q:Q)</f>
        <v>0</v>
      </c>
      <c r="O121">
        <f>SUMIF(RawDataRecovered!$B:$B,$A121,RawDataRecovered!R:R)</f>
        <v>0</v>
      </c>
      <c r="P121">
        <f>SUMIF(RawDataRecovered!$B:$B,$A121,RawDataRecovered!S:S)</f>
        <v>0</v>
      </c>
      <c r="Q121">
        <f>SUMIF(RawDataRecovered!$B:$B,$A121,RawDataRecovered!T:T)</f>
        <v>0</v>
      </c>
      <c r="R121">
        <f>SUMIF(RawDataRecovered!$B:$B,$A121,RawDataRecovered!U:U)</f>
        <v>0</v>
      </c>
      <c r="S121">
        <f>SUMIF(RawDataRecovered!$B:$B,$A121,RawDataRecovered!V:V)</f>
        <v>0</v>
      </c>
      <c r="T121">
        <f>SUMIF(RawDataRecovered!$B:$B,$A121,RawDataRecovered!W:W)</f>
        <v>0</v>
      </c>
      <c r="U121">
        <f>SUMIF(RawDataRecovered!$B:$B,$A121,RawDataRecovered!X:X)</f>
        <v>0</v>
      </c>
      <c r="V121">
        <f>SUMIF(RawDataRecovered!$B:$B,$A121,RawDataRecovered!Y:Y)</f>
        <v>0</v>
      </c>
      <c r="W121">
        <f>SUMIF(RawDataRecovered!$B:$B,$A121,RawDataRecovered!Z:Z)</f>
        <v>0</v>
      </c>
      <c r="X121">
        <f>SUMIF(RawDataRecovered!$B:$B,$A121,RawDataRecovered!AA:AA)</f>
        <v>0</v>
      </c>
      <c r="Y121">
        <f>SUMIF(RawDataRecovered!$B:$B,$A121,RawDataRecovered!AB:AB)</f>
        <v>0</v>
      </c>
      <c r="Z121">
        <f>SUMIF(RawDataRecovered!$B:$B,$A121,RawDataRecovered!AC:AC)</f>
        <v>0</v>
      </c>
      <c r="AA121">
        <f>SUMIF(RawDataRecovered!$B:$B,$A121,RawDataRecovered!AD:AD)</f>
        <v>0</v>
      </c>
      <c r="AB121">
        <f>SUMIF(RawDataRecovered!$B:$B,$A121,RawDataRecovered!AE:AE)</f>
        <v>0</v>
      </c>
      <c r="AC121">
        <f>SUMIF(RawDataRecovered!$B:$B,$A121,RawDataRecovered!AF:AF)</f>
        <v>0</v>
      </c>
      <c r="AD121">
        <f>SUMIF(RawDataRecovered!$B:$B,$A121,RawDataRecovered!AG:AG)</f>
        <v>0</v>
      </c>
      <c r="AE121">
        <f>SUMIF(RawDataRecovered!$B:$B,$A121,RawDataRecovered!AH:AH)</f>
        <v>0</v>
      </c>
      <c r="AF121">
        <f>SUMIF(RawDataRecovered!$B:$B,$A121,RawDataRecovered!AI:AI)</f>
        <v>0</v>
      </c>
      <c r="AG121">
        <f>SUMIF(RawDataRecovered!$B:$B,$A121,RawDataRecovered!AJ:AJ)</f>
        <v>0</v>
      </c>
      <c r="AH121">
        <f>SUMIF(RawDataRecovered!$B:$B,$A121,RawDataRecovered!AK:AK)</f>
        <v>0</v>
      </c>
      <c r="AI121">
        <f>SUMIF(RawDataRecovered!$B:$B,$A121,RawDataRecovered!AL:AL)</f>
        <v>0</v>
      </c>
      <c r="AJ121">
        <f>SUMIF(RawDataRecovered!$B:$B,$A121,RawDataRecovered!AM:AM)</f>
        <v>0</v>
      </c>
      <c r="AK121">
        <f>SUMIF(RawDataRecovered!$B:$B,$A121,RawDataRecovered!AN:AN)</f>
        <v>0</v>
      </c>
      <c r="AL121">
        <f>SUMIF(RawDataRecovered!$B:$B,$A121,RawDataRecovered!AO:AO)</f>
        <v>0</v>
      </c>
      <c r="AM121">
        <f>SUMIF(RawDataRecovered!$B:$B,$A121,RawDataRecovered!AP:AP)</f>
        <v>0</v>
      </c>
      <c r="AN121">
        <f>SUMIF(RawDataRecovered!$B:$B,$A121,RawDataRecovered!AQ:AQ)</f>
        <v>0</v>
      </c>
      <c r="AO121">
        <f>SUMIF(RawDataRecovered!$B:$B,$A121,RawDataRecovered!AR:AR)</f>
        <v>0</v>
      </c>
      <c r="AP121">
        <f>SUMIF(RawDataRecovered!$B:$B,$A121,RawDataRecovered!AS:AS)</f>
        <v>0</v>
      </c>
      <c r="AQ121">
        <f>SUMIF(RawDataRecovered!$B:$B,$A121,RawDataRecovered!AT:AT)</f>
        <v>0</v>
      </c>
      <c r="AR121">
        <f>SUMIF(RawDataRecovered!$B:$B,$A121,RawDataRecovered!AU:AU)</f>
        <v>0</v>
      </c>
      <c r="AS121">
        <f>SUMIF(RawDataRecovered!$B:$B,$A121,RawDataRecovered!AV:AV)</f>
        <v>0</v>
      </c>
      <c r="AT121">
        <f>SUMIF(RawDataRecovered!$B:$B,$A121,RawDataRecovered!AW:AW)</f>
        <v>0</v>
      </c>
      <c r="AU121">
        <f>SUMIF(RawDataRecovered!$B:$B,$A121,RawDataRecovered!AX:AX)</f>
        <v>0</v>
      </c>
      <c r="AV121">
        <f>SUMIF(RawDataRecovered!$B:$B,$A121,RawDataRecovered!AY:AY)</f>
        <v>0</v>
      </c>
      <c r="AW121">
        <f>SUMIF(RawDataRecovered!$B:$B,$A121,RawDataRecovered!AZ:AZ)</f>
        <v>0</v>
      </c>
      <c r="AX121">
        <f>SUMIF(RawDataRecovered!$B:$B,$A121,RawDataRecovered!BA:BA)</f>
        <v>0</v>
      </c>
      <c r="AY121">
        <f>SUMIF(RawDataRecovered!$B:$B,$A121,RawDataRecovered!BB:BB)</f>
        <v>0</v>
      </c>
      <c r="AZ121">
        <f>SUMIF(RawDataRecovered!$B:$B,$A121,RawDataRecovered!BC:BC)</f>
        <v>0</v>
      </c>
      <c r="BA121">
        <f>SUMIF(RawDataRecovered!$B:$B,$A121,RawDataRecovered!BD:BD)</f>
        <v>0</v>
      </c>
      <c r="BB121">
        <f>SUMIF(RawDataRecovered!$B:$B,$A121,RawDataRecovered!BE:BE)</f>
        <v>0</v>
      </c>
      <c r="BC121">
        <f>SUMIF(RawDataRecovered!$B:$B,$A121,RawDataRecovered!BF:BF)</f>
        <v>0</v>
      </c>
      <c r="BD121">
        <f>SUMIF(RawDataRecovered!$B:$B,$A121,RawDataRecovered!BG:BG)</f>
        <v>0</v>
      </c>
      <c r="BE121">
        <f>SUMIF(RawDataRecovered!$B:$B,$A121,RawDataRecovered!BH:BH)</f>
        <v>0</v>
      </c>
      <c r="BF121">
        <f>SUMIF(RawDataRecovered!$B:$B,$A121,RawDataRecovered!BI:BI)</f>
        <v>0</v>
      </c>
      <c r="BG121">
        <f>SUMIF(RawDataRecovered!$B:$B,$A121,RawDataRecovered!BJ:BJ)</f>
        <v>0</v>
      </c>
      <c r="BH121">
        <f>SUMIF(RawDataRecovered!$B:$B,$A121,RawDataRecovered!BK:BK)</f>
        <v>0</v>
      </c>
      <c r="BI121">
        <f>SUMIF(RawDataRecovered!$B:$B,$A121,RawDataRecovered!BL:BL)</f>
        <v>0</v>
      </c>
      <c r="BJ121">
        <f>SUMIF(RawDataRecovered!$B:$B,$A121,RawDataRecovered!BM:BM)</f>
        <v>0</v>
      </c>
      <c r="BK121">
        <f>SUMIF(RawDataRecovered!$B:$B,$A121,RawDataRecovered!BN:BN)</f>
        <v>0</v>
      </c>
      <c r="BL121">
        <f>SUMIF(RawDataRecovered!$B:$B,$A121,RawDataRecovered!BO:BO)</f>
        <v>0</v>
      </c>
      <c r="BM121">
        <f>SUMIF(RawDataRecovered!$B:$B,$A121,RawDataRecovered!BP:BP)</f>
        <v>0</v>
      </c>
      <c r="BN121">
        <f>SUMIF(RawDataRecovered!$B:$B,$A121,RawDataRecovered!BQ:BQ)</f>
        <v>0</v>
      </c>
      <c r="BO121">
        <f>SUMIF(RawDataRecovered!$B:$B,$A121,RawDataRecovered!BR:BR)</f>
        <v>0</v>
      </c>
      <c r="BP121">
        <f>SUMIF(RawDataRecovered!$B:$B,$A121,RawDataRecovered!BS:BS)</f>
        <v>0</v>
      </c>
      <c r="BQ121">
        <f>SUMIF(RawDataRecovered!$B:$B,$A121,RawDataRecovered!BT:BT)</f>
        <v>0</v>
      </c>
      <c r="BR121">
        <f>SUMIF(RawDataRecovered!$B:$B,$A121,RawDataRecovered!BU:BU)</f>
        <v>0</v>
      </c>
      <c r="BS121">
        <f>SUMIF(RawDataRecovered!$B:$B,$A121,RawDataRecovered!BV:BV)</f>
        <v>0</v>
      </c>
      <c r="BT121">
        <f>SUMIF(RawDataRecovered!$B:$B,$A121,RawDataRecovered!BW:BW)</f>
        <v>0</v>
      </c>
    </row>
    <row r="122" spans="1:72" ht="15" thickBot="1" x14ac:dyDescent="0.35">
      <c r="A122" s="4" t="s">
        <v>163</v>
      </c>
      <c r="B122">
        <f>SUMIF(RawDataRecovered!$B:$B,$A122,RawDataRecovered!E:E)</f>
        <v>0</v>
      </c>
      <c r="C122">
        <f>SUMIF(RawDataRecovered!$B:$B,$A122,RawDataRecovered!F:F)</f>
        <v>0</v>
      </c>
      <c r="D122">
        <f>SUMIF(RawDataRecovered!$B:$B,$A122,RawDataRecovered!G:G)</f>
        <v>0</v>
      </c>
      <c r="E122">
        <f>SUMIF(RawDataRecovered!$B:$B,$A122,RawDataRecovered!H:H)</f>
        <v>0</v>
      </c>
      <c r="F122">
        <f>SUMIF(RawDataRecovered!$B:$B,$A122,RawDataRecovered!I:I)</f>
        <v>0</v>
      </c>
      <c r="G122">
        <f>SUMIF(RawDataRecovered!$B:$B,$A122,RawDataRecovered!J:J)</f>
        <v>0</v>
      </c>
      <c r="H122">
        <f>SUMIF(RawDataRecovered!$B:$B,$A122,RawDataRecovered!K:K)</f>
        <v>0</v>
      </c>
      <c r="I122">
        <f>SUMIF(RawDataRecovered!$B:$B,$A122,RawDataRecovered!L:L)</f>
        <v>0</v>
      </c>
      <c r="J122">
        <f>SUMIF(RawDataRecovered!$B:$B,$A122,RawDataRecovered!M:M)</f>
        <v>0</v>
      </c>
      <c r="K122">
        <f>SUMIF(RawDataRecovered!$B:$B,$A122,RawDataRecovered!N:N)</f>
        <v>0</v>
      </c>
      <c r="L122">
        <f>SUMIF(RawDataRecovered!$B:$B,$A122,RawDataRecovered!O:O)</f>
        <v>0</v>
      </c>
      <c r="M122">
        <f>SUMIF(RawDataRecovered!$B:$B,$A122,RawDataRecovered!P:P)</f>
        <v>0</v>
      </c>
      <c r="N122">
        <f>SUMIF(RawDataRecovered!$B:$B,$A122,RawDataRecovered!Q:Q)</f>
        <v>0</v>
      </c>
      <c r="O122">
        <f>SUMIF(RawDataRecovered!$B:$B,$A122,RawDataRecovered!R:R)</f>
        <v>0</v>
      </c>
      <c r="P122">
        <f>SUMIF(RawDataRecovered!$B:$B,$A122,RawDataRecovered!S:S)</f>
        <v>0</v>
      </c>
      <c r="Q122">
        <f>SUMIF(RawDataRecovered!$B:$B,$A122,RawDataRecovered!T:T)</f>
        <v>0</v>
      </c>
      <c r="R122">
        <f>SUMIF(RawDataRecovered!$B:$B,$A122,RawDataRecovered!U:U)</f>
        <v>0</v>
      </c>
      <c r="S122">
        <f>SUMIF(RawDataRecovered!$B:$B,$A122,RawDataRecovered!V:V)</f>
        <v>0</v>
      </c>
      <c r="T122">
        <f>SUMIF(RawDataRecovered!$B:$B,$A122,RawDataRecovered!W:W)</f>
        <v>0</v>
      </c>
      <c r="U122">
        <f>SUMIF(RawDataRecovered!$B:$B,$A122,RawDataRecovered!X:X)</f>
        <v>0</v>
      </c>
      <c r="V122">
        <f>SUMIF(RawDataRecovered!$B:$B,$A122,RawDataRecovered!Y:Y)</f>
        <v>0</v>
      </c>
      <c r="W122">
        <f>SUMIF(RawDataRecovered!$B:$B,$A122,RawDataRecovered!Z:Z)</f>
        <v>0</v>
      </c>
      <c r="X122">
        <f>SUMIF(RawDataRecovered!$B:$B,$A122,RawDataRecovered!AA:AA)</f>
        <v>0</v>
      </c>
      <c r="Y122">
        <f>SUMIF(RawDataRecovered!$B:$B,$A122,RawDataRecovered!AB:AB)</f>
        <v>0</v>
      </c>
      <c r="Z122">
        <f>SUMIF(RawDataRecovered!$B:$B,$A122,RawDataRecovered!AC:AC)</f>
        <v>0</v>
      </c>
      <c r="AA122">
        <f>SUMIF(RawDataRecovered!$B:$B,$A122,RawDataRecovered!AD:AD)</f>
        <v>0</v>
      </c>
      <c r="AB122">
        <f>SUMIF(RawDataRecovered!$B:$B,$A122,RawDataRecovered!AE:AE)</f>
        <v>0</v>
      </c>
      <c r="AC122">
        <f>SUMIF(RawDataRecovered!$B:$B,$A122,RawDataRecovered!AF:AF)</f>
        <v>0</v>
      </c>
      <c r="AD122">
        <f>SUMIF(RawDataRecovered!$B:$B,$A122,RawDataRecovered!AG:AG)</f>
        <v>0</v>
      </c>
      <c r="AE122">
        <f>SUMIF(RawDataRecovered!$B:$B,$A122,RawDataRecovered!AH:AH)</f>
        <v>0</v>
      </c>
      <c r="AF122">
        <f>SUMIF(RawDataRecovered!$B:$B,$A122,RawDataRecovered!AI:AI)</f>
        <v>0</v>
      </c>
      <c r="AG122">
        <f>SUMIF(RawDataRecovered!$B:$B,$A122,RawDataRecovered!AJ:AJ)</f>
        <v>0</v>
      </c>
      <c r="AH122">
        <f>SUMIF(RawDataRecovered!$B:$B,$A122,RawDataRecovered!AK:AK)</f>
        <v>0</v>
      </c>
      <c r="AI122">
        <f>SUMIF(RawDataRecovered!$B:$B,$A122,RawDataRecovered!AL:AL)</f>
        <v>0</v>
      </c>
      <c r="AJ122">
        <f>SUMIF(RawDataRecovered!$B:$B,$A122,RawDataRecovered!AM:AM)</f>
        <v>0</v>
      </c>
      <c r="AK122">
        <f>SUMIF(RawDataRecovered!$B:$B,$A122,RawDataRecovered!AN:AN)</f>
        <v>0</v>
      </c>
      <c r="AL122">
        <f>SUMIF(RawDataRecovered!$B:$B,$A122,RawDataRecovered!AO:AO)</f>
        <v>0</v>
      </c>
      <c r="AM122">
        <f>SUMIF(RawDataRecovered!$B:$B,$A122,RawDataRecovered!AP:AP)</f>
        <v>0</v>
      </c>
      <c r="AN122">
        <f>SUMIF(RawDataRecovered!$B:$B,$A122,RawDataRecovered!AQ:AQ)</f>
        <v>0</v>
      </c>
      <c r="AO122">
        <f>SUMIF(RawDataRecovered!$B:$B,$A122,RawDataRecovered!AR:AR)</f>
        <v>0</v>
      </c>
      <c r="AP122">
        <f>SUMIF(RawDataRecovered!$B:$B,$A122,RawDataRecovered!AS:AS)</f>
        <v>0</v>
      </c>
      <c r="AQ122">
        <f>SUMIF(RawDataRecovered!$B:$B,$A122,RawDataRecovered!AT:AT)</f>
        <v>0</v>
      </c>
      <c r="AR122">
        <f>SUMIF(RawDataRecovered!$B:$B,$A122,RawDataRecovered!AU:AU)</f>
        <v>0</v>
      </c>
      <c r="AS122">
        <f>SUMIF(RawDataRecovered!$B:$B,$A122,RawDataRecovered!AV:AV)</f>
        <v>0</v>
      </c>
      <c r="AT122">
        <f>SUMIF(RawDataRecovered!$B:$B,$A122,RawDataRecovered!AW:AW)</f>
        <v>0</v>
      </c>
      <c r="AU122">
        <f>SUMIF(RawDataRecovered!$B:$B,$A122,RawDataRecovered!AX:AX)</f>
        <v>0</v>
      </c>
      <c r="AV122">
        <f>SUMIF(RawDataRecovered!$B:$B,$A122,RawDataRecovered!AY:AY)</f>
        <v>0</v>
      </c>
      <c r="AW122">
        <f>SUMIF(RawDataRecovered!$B:$B,$A122,RawDataRecovered!AZ:AZ)</f>
        <v>0</v>
      </c>
      <c r="AX122">
        <f>SUMIF(RawDataRecovered!$B:$B,$A122,RawDataRecovered!BA:BA)</f>
        <v>0</v>
      </c>
      <c r="AY122">
        <f>SUMIF(RawDataRecovered!$B:$B,$A122,RawDataRecovered!BB:BB)</f>
        <v>0</v>
      </c>
      <c r="AZ122">
        <f>SUMIF(RawDataRecovered!$B:$B,$A122,RawDataRecovered!BC:BC)</f>
        <v>0</v>
      </c>
      <c r="BA122">
        <f>SUMIF(RawDataRecovered!$B:$B,$A122,RawDataRecovered!BD:BD)</f>
        <v>0</v>
      </c>
      <c r="BB122">
        <f>SUMIF(RawDataRecovered!$B:$B,$A122,RawDataRecovered!BE:BE)</f>
        <v>0</v>
      </c>
      <c r="BC122">
        <f>SUMIF(RawDataRecovered!$B:$B,$A122,RawDataRecovered!BF:BF)</f>
        <v>0</v>
      </c>
      <c r="BD122">
        <f>SUMIF(RawDataRecovered!$B:$B,$A122,RawDataRecovered!BG:BG)</f>
        <v>0</v>
      </c>
      <c r="BE122">
        <f>SUMIF(RawDataRecovered!$B:$B,$A122,RawDataRecovered!BH:BH)</f>
        <v>0</v>
      </c>
      <c r="BF122">
        <f>SUMIF(RawDataRecovered!$B:$B,$A122,RawDataRecovered!BI:BI)</f>
        <v>0</v>
      </c>
      <c r="BG122">
        <f>SUMIF(RawDataRecovered!$B:$B,$A122,RawDataRecovered!BJ:BJ)</f>
        <v>0</v>
      </c>
      <c r="BH122">
        <f>SUMIF(RawDataRecovered!$B:$B,$A122,RawDataRecovered!BK:BK)</f>
        <v>0</v>
      </c>
      <c r="BI122">
        <f>SUMIF(RawDataRecovered!$B:$B,$A122,RawDataRecovered!BL:BL)</f>
        <v>0</v>
      </c>
      <c r="BJ122">
        <f>SUMIF(RawDataRecovered!$B:$B,$A122,RawDataRecovered!BM:BM)</f>
        <v>0</v>
      </c>
      <c r="BK122">
        <f>SUMIF(RawDataRecovered!$B:$B,$A122,RawDataRecovered!BN:BN)</f>
        <v>0</v>
      </c>
      <c r="BL122">
        <f>SUMIF(RawDataRecovered!$B:$B,$A122,RawDataRecovered!BO:BO)</f>
        <v>0</v>
      </c>
      <c r="BM122">
        <f>SUMIF(RawDataRecovered!$B:$B,$A122,RawDataRecovered!BP:BP)</f>
        <v>0</v>
      </c>
      <c r="BN122">
        <f>SUMIF(RawDataRecovered!$B:$B,$A122,RawDataRecovered!BQ:BQ)</f>
        <v>0</v>
      </c>
      <c r="BO122">
        <f>SUMIF(RawDataRecovered!$B:$B,$A122,RawDataRecovered!BR:BR)</f>
        <v>0</v>
      </c>
      <c r="BP122">
        <f>SUMIF(RawDataRecovered!$B:$B,$A122,RawDataRecovered!BS:BS)</f>
        <v>0</v>
      </c>
      <c r="BQ122">
        <f>SUMIF(RawDataRecovered!$B:$B,$A122,RawDataRecovered!BT:BT)</f>
        <v>0</v>
      </c>
      <c r="BR122">
        <f>SUMIF(RawDataRecovered!$B:$B,$A122,RawDataRecovered!BU:BU)</f>
        <v>0</v>
      </c>
      <c r="BS122">
        <f>SUMIF(RawDataRecovered!$B:$B,$A122,RawDataRecovered!BV:BV)</f>
        <v>0</v>
      </c>
      <c r="BT122">
        <f>SUMIF(RawDataRecovered!$B:$B,$A122,RawDataRecovered!BW:BW)</f>
        <v>0</v>
      </c>
    </row>
    <row r="123" spans="1:72" ht="15" thickBot="1" x14ac:dyDescent="0.35">
      <c r="A123" s="4" t="s">
        <v>309</v>
      </c>
      <c r="B123">
        <f>SUMIF(RawDataRecovered!$B:$B,$A123,RawDataRecovered!E:E)</f>
        <v>0</v>
      </c>
      <c r="C123">
        <f>SUMIF(RawDataRecovered!$B:$B,$A123,RawDataRecovered!F:F)</f>
        <v>0</v>
      </c>
      <c r="D123">
        <f>SUMIF(RawDataRecovered!$B:$B,$A123,RawDataRecovered!G:G)</f>
        <v>0</v>
      </c>
      <c r="E123">
        <f>SUMIF(RawDataRecovered!$B:$B,$A123,RawDataRecovered!H:H)</f>
        <v>0</v>
      </c>
      <c r="F123">
        <f>SUMIF(RawDataRecovered!$B:$B,$A123,RawDataRecovered!I:I)</f>
        <v>0</v>
      </c>
      <c r="G123">
        <f>SUMIF(RawDataRecovered!$B:$B,$A123,RawDataRecovered!J:J)</f>
        <v>0</v>
      </c>
      <c r="H123">
        <f>SUMIF(RawDataRecovered!$B:$B,$A123,RawDataRecovered!K:K)</f>
        <v>0</v>
      </c>
      <c r="I123">
        <f>SUMIF(RawDataRecovered!$B:$B,$A123,RawDataRecovered!L:L)</f>
        <v>0</v>
      </c>
      <c r="J123">
        <f>SUMIF(RawDataRecovered!$B:$B,$A123,RawDataRecovered!M:M)</f>
        <v>0</v>
      </c>
      <c r="K123">
        <f>SUMIF(RawDataRecovered!$B:$B,$A123,RawDataRecovered!N:N)</f>
        <v>0</v>
      </c>
      <c r="L123">
        <f>SUMIF(RawDataRecovered!$B:$B,$A123,RawDataRecovered!O:O)</f>
        <v>0</v>
      </c>
      <c r="M123">
        <f>SUMIF(RawDataRecovered!$B:$B,$A123,RawDataRecovered!P:P)</f>
        <v>0</v>
      </c>
      <c r="N123">
        <f>SUMIF(RawDataRecovered!$B:$B,$A123,RawDataRecovered!Q:Q)</f>
        <v>0</v>
      </c>
      <c r="O123">
        <f>SUMIF(RawDataRecovered!$B:$B,$A123,RawDataRecovered!R:R)</f>
        <v>0</v>
      </c>
      <c r="P123">
        <f>SUMIF(RawDataRecovered!$B:$B,$A123,RawDataRecovered!S:S)</f>
        <v>0</v>
      </c>
      <c r="Q123">
        <f>SUMIF(RawDataRecovered!$B:$B,$A123,RawDataRecovered!T:T)</f>
        <v>0</v>
      </c>
      <c r="R123">
        <f>SUMIF(RawDataRecovered!$B:$B,$A123,RawDataRecovered!U:U)</f>
        <v>0</v>
      </c>
      <c r="S123">
        <f>SUMIF(RawDataRecovered!$B:$B,$A123,RawDataRecovered!V:V)</f>
        <v>0</v>
      </c>
      <c r="T123">
        <f>SUMIF(RawDataRecovered!$B:$B,$A123,RawDataRecovered!W:W)</f>
        <v>0</v>
      </c>
      <c r="U123">
        <f>SUMIF(RawDataRecovered!$B:$B,$A123,RawDataRecovered!X:X)</f>
        <v>0</v>
      </c>
      <c r="V123">
        <f>SUMIF(RawDataRecovered!$B:$B,$A123,RawDataRecovered!Y:Y)</f>
        <v>0</v>
      </c>
      <c r="W123">
        <f>SUMIF(RawDataRecovered!$B:$B,$A123,RawDataRecovered!Z:Z)</f>
        <v>0</v>
      </c>
      <c r="X123">
        <f>SUMIF(RawDataRecovered!$B:$B,$A123,RawDataRecovered!AA:AA)</f>
        <v>0</v>
      </c>
      <c r="Y123">
        <f>SUMIF(RawDataRecovered!$B:$B,$A123,RawDataRecovered!AB:AB)</f>
        <v>0</v>
      </c>
      <c r="Z123">
        <f>SUMIF(RawDataRecovered!$B:$B,$A123,RawDataRecovered!AC:AC)</f>
        <v>0</v>
      </c>
      <c r="AA123">
        <f>SUMIF(RawDataRecovered!$B:$B,$A123,RawDataRecovered!AD:AD)</f>
        <v>0</v>
      </c>
      <c r="AB123">
        <f>SUMIF(RawDataRecovered!$B:$B,$A123,RawDataRecovered!AE:AE)</f>
        <v>0</v>
      </c>
      <c r="AC123">
        <f>SUMIF(RawDataRecovered!$B:$B,$A123,RawDataRecovered!AF:AF)</f>
        <v>0</v>
      </c>
      <c r="AD123">
        <f>SUMIF(RawDataRecovered!$B:$B,$A123,RawDataRecovered!AG:AG)</f>
        <v>0</v>
      </c>
      <c r="AE123">
        <f>SUMIF(RawDataRecovered!$B:$B,$A123,RawDataRecovered!AH:AH)</f>
        <v>0</v>
      </c>
      <c r="AF123">
        <f>SUMIF(RawDataRecovered!$B:$B,$A123,RawDataRecovered!AI:AI)</f>
        <v>0</v>
      </c>
      <c r="AG123">
        <f>SUMIF(RawDataRecovered!$B:$B,$A123,RawDataRecovered!AJ:AJ)</f>
        <v>0</v>
      </c>
      <c r="AH123">
        <f>SUMIF(RawDataRecovered!$B:$B,$A123,RawDataRecovered!AK:AK)</f>
        <v>0</v>
      </c>
      <c r="AI123">
        <f>SUMIF(RawDataRecovered!$B:$B,$A123,RawDataRecovered!AL:AL)</f>
        <v>0</v>
      </c>
      <c r="AJ123">
        <f>SUMIF(RawDataRecovered!$B:$B,$A123,RawDataRecovered!AM:AM)</f>
        <v>0</v>
      </c>
      <c r="AK123">
        <f>SUMIF(RawDataRecovered!$B:$B,$A123,RawDataRecovered!AN:AN)</f>
        <v>0</v>
      </c>
      <c r="AL123">
        <f>SUMIF(RawDataRecovered!$B:$B,$A123,RawDataRecovered!AO:AO)</f>
        <v>0</v>
      </c>
      <c r="AM123">
        <f>SUMIF(RawDataRecovered!$B:$B,$A123,RawDataRecovered!AP:AP)</f>
        <v>0</v>
      </c>
      <c r="AN123">
        <f>SUMIF(RawDataRecovered!$B:$B,$A123,RawDataRecovered!AQ:AQ)</f>
        <v>0</v>
      </c>
      <c r="AO123">
        <f>SUMIF(RawDataRecovered!$B:$B,$A123,RawDataRecovered!AR:AR)</f>
        <v>0</v>
      </c>
      <c r="AP123">
        <f>SUMIF(RawDataRecovered!$B:$B,$A123,RawDataRecovered!AS:AS)</f>
        <v>0</v>
      </c>
      <c r="AQ123">
        <f>SUMIF(RawDataRecovered!$B:$B,$A123,RawDataRecovered!AT:AT)</f>
        <v>0</v>
      </c>
      <c r="AR123">
        <f>SUMIF(RawDataRecovered!$B:$B,$A123,RawDataRecovered!AU:AU)</f>
        <v>0</v>
      </c>
      <c r="AS123">
        <f>SUMIF(RawDataRecovered!$B:$B,$A123,RawDataRecovered!AV:AV)</f>
        <v>0</v>
      </c>
      <c r="AT123">
        <f>SUMIF(RawDataRecovered!$B:$B,$A123,RawDataRecovered!AW:AW)</f>
        <v>0</v>
      </c>
      <c r="AU123">
        <f>SUMIF(RawDataRecovered!$B:$B,$A123,RawDataRecovered!AX:AX)</f>
        <v>0</v>
      </c>
      <c r="AV123">
        <f>SUMIF(RawDataRecovered!$B:$B,$A123,RawDataRecovered!AY:AY)</f>
        <v>0</v>
      </c>
      <c r="AW123">
        <f>SUMIF(RawDataRecovered!$B:$B,$A123,RawDataRecovered!AZ:AZ)</f>
        <v>0</v>
      </c>
      <c r="AX123">
        <f>SUMIF(RawDataRecovered!$B:$B,$A123,RawDataRecovered!BA:BA)</f>
        <v>0</v>
      </c>
      <c r="AY123">
        <f>SUMIF(RawDataRecovered!$B:$B,$A123,RawDataRecovered!BB:BB)</f>
        <v>0</v>
      </c>
      <c r="AZ123">
        <f>SUMIF(RawDataRecovered!$B:$B,$A123,RawDataRecovered!BC:BC)</f>
        <v>0</v>
      </c>
      <c r="BA123">
        <f>SUMIF(RawDataRecovered!$B:$B,$A123,RawDataRecovered!BD:BD)</f>
        <v>0</v>
      </c>
      <c r="BB123">
        <f>SUMIF(RawDataRecovered!$B:$B,$A123,RawDataRecovered!BE:BE)</f>
        <v>0</v>
      </c>
      <c r="BC123">
        <f>SUMIF(RawDataRecovered!$B:$B,$A123,RawDataRecovered!BF:BF)</f>
        <v>0</v>
      </c>
      <c r="BD123">
        <f>SUMIF(RawDataRecovered!$B:$B,$A123,RawDataRecovered!BG:BG)</f>
        <v>0</v>
      </c>
      <c r="BE123">
        <f>SUMIF(RawDataRecovered!$B:$B,$A123,RawDataRecovered!BH:BH)</f>
        <v>0</v>
      </c>
      <c r="BF123">
        <f>SUMIF(RawDataRecovered!$B:$B,$A123,RawDataRecovered!BI:BI)</f>
        <v>0</v>
      </c>
      <c r="BG123">
        <f>SUMIF(RawDataRecovered!$B:$B,$A123,RawDataRecovered!BJ:BJ)</f>
        <v>0</v>
      </c>
      <c r="BH123">
        <f>SUMIF(RawDataRecovered!$B:$B,$A123,RawDataRecovered!BK:BK)</f>
        <v>0</v>
      </c>
      <c r="BI123">
        <f>SUMIF(RawDataRecovered!$B:$B,$A123,RawDataRecovered!BL:BL)</f>
        <v>0</v>
      </c>
      <c r="BJ123">
        <f>SUMIF(RawDataRecovered!$B:$B,$A123,RawDataRecovered!BM:BM)</f>
        <v>0</v>
      </c>
      <c r="BK123">
        <f>SUMIF(RawDataRecovered!$B:$B,$A123,RawDataRecovered!BN:BN)</f>
        <v>0</v>
      </c>
      <c r="BL123">
        <f>SUMIF(RawDataRecovered!$B:$B,$A123,RawDataRecovered!BO:BO)</f>
        <v>0</v>
      </c>
      <c r="BM123">
        <f>SUMIF(RawDataRecovered!$B:$B,$A123,RawDataRecovered!BP:BP)</f>
        <v>0</v>
      </c>
      <c r="BN123">
        <f>SUMIF(RawDataRecovered!$B:$B,$A123,RawDataRecovered!BQ:BQ)</f>
        <v>0</v>
      </c>
      <c r="BO123">
        <f>SUMIF(RawDataRecovered!$B:$B,$A123,RawDataRecovered!BR:BR)</f>
        <v>0</v>
      </c>
      <c r="BP123">
        <f>SUMIF(RawDataRecovered!$B:$B,$A123,RawDataRecovered!BS:BS)</f>
        <v>0</v>
      </c>
      <c r="BQ123">
        <f>SUMIF(RawDataRecovered!$B:$B,$A123,RawDataRecovered!BT:BT)</f>
        <v>0</v>
      </c>
      <c r="BR123">
        <f>SUMIF(RawDataRecovered!$B:$B,$A123,RawDataRecovered!BU:BU)</f>
        <v>0</v>
      </c>
      <c r="BS123">
        <f>SUMIF(RawDataRecovered!$B:$B,$A123,RawDataRecovered!BV:BV)</f>
        <v>0</v>
      </c>
      <c r="BT123">
        <f>SUMIF(RawDataRecovered!$B:$B,$A123,RawDataRecovered!BW:BW)</f>
        <v>0</v>
      </c>
    </row>
    <row r="124" spans="1:72" ht="15" thickBot="1" x14ac:dyDescent="0.35">
      <c r="A124" s="4" t="s">
        <v>69</v>
      </c>
      <c r="B124">
        <f>SUMIF(RawDataRecovered!$B:$B,$A124,RawDataRecovered!E:E)</f>
        <v>0</v>
      </c>
      <c r="C124">
        <f>SUMIF(RawDataRecovered!$B:$B,$A124,RawDataRecovered!F:F)</f>
        <v>0</v>
      </c>
      <c r="D124">
        <f>SUMIF(RawDataRecovered!$B:$B,$A124,RawDataRecovered!G:G)</f>
        <v>0</v>
      </c>
      <c r="E124">
        <f>SUMIF(RawDataRecovered!$B:$B,$A124,RawDataRecovered!H:H)</f>
        <v>0</v>
      </c>
      <c r="F124">
        <f>SUMIF(RawDataRecovered!$B:$B,$A124,RawDataRecovered!I:I)</f>
        <v>0</v>
      </c>
      <c r="G124">
        <f>SUMIF(RawDataRecovered!$B:$B,$A124,RawDataRecovered!J:J)</f>
        <v>0</v>
      </c>
      <c r="H124">
        <f>SUMIF(RawDataRecovered!$B:$B,$A124,RawDataRecovered!K:K)</f>
        <v>0</v>
      </c>
      <c r="I124">
        <f>SUMIF(RawDataRecovered!$B:$B,$A124,RawDataRecovered!L:L)</f>
        <v>0</v>
      </c>
      <c r="J124">
        <f>SUMIF(RawDataRecovered!$B:$B,$A124,RawDataRecovered!M:M)</f>
        <v>0</v>
      </c>
      <c r="K124">
        <f>SUMIF(RawDataRecovered!$B:$B,$A124,RawDataRecovered!N:N)</f>
        <v>0</v>
      </c>
      <c r="L124">
        <f>SUMIF(RawDataRecovered!$B:$B,$A124,RawDataRecovered!O:O)</f>
        <v>0</v>
      </c>
      <c r="M124">
        <f>SUMIF(RawDataRecovered!$B:$B,$A124,RawDataRecovered!P:P)</f>
        <v>0</v>
      </c>
      <c r="N124">
        <f>SUMIF(RawDataRecovered!$B:$B,$A124,RawDataRecovered!Q:Q)</f>
        <v>0</v>
      </c>
      <c r="O124">
        <f>SUMIF(RawDataRecovered!$B:$B,$A124,RawDataRecovered!R:R)</f>
        <v>0</v>
      </c>
      <c r="P124">
        <f>SUMIF(RawDataRecovered!$B:$B,$A124,RawDataRecovered!S:S)</f>
        <v>0</v>
      </c>
      <c r="Q124">
        <f>SUMIF(RawDataRecovered!$B:$B,$A124,RawDataRecovered!T:T)</f>
        <v>0</v>
      </c>
      <c r="R124">
        <f>SUMIF(RawDataRecovered!$B:$B,$A124,RawDataRecovered!U:U)</f>
        <v>0</v>
      </c>
      <c r="S124">
        <f>SUMIF(RawDataRecovered!$B:$B,$A124,RawDataRecovered!V:V)</f>
        <v>0</v>
      </c>
      <c r="T124">
        <f>SUMIF(RawDataRecovered!$B:$B,$A124,RawDataRecovered!W:W)</f>
        <v>0</v>
      </c>
      <c r="U124">
        <f>SUMIF(RawDataRecovered!$B:$B,$A124,RawDataRecovered!X:X)</f>
        <v>0</v>
      </c>
      <c r="V124">
        <f>SUMIF(RawDataRecovered!$B:$B,$A124,RawDataRecovered!Y:Y)</f>
        <v>0</v>
      </c>
      <c r="W124">
        <f>SUMIF(RawDataRecovered!$B:$B,$A124,RawDataRecovered!Z:Z)</f>
        <v>1</v>
      </c>
      <c r="X124">
        <f>SUMIF(RawDataRecovered!$B:$B,$A124,RawDataRecovered!AA:AA)</f>
        <v>1</v>
      </c>
      <c r="Y124">
        <f>SUMIF(RawDataRecovered!$B:$B,$A124,RawDataRecovered!AB:AB)</f>
        <v>1</v>
      </c>
      <c r="Z124">
        <f>SUMIF(RawDataRecovered!$B:$B,$A124,RawDataRecovered!AC:AC)</f>
        <v>1</v>
      </c>
      <c r="AA124">
        <f>SUMIF(RawDataRecovered!$B:$B,$A124,RawDataRecovered!AD:AD)</f>
        <v>1</v>
      </c>
      <c r="AB124">
        <f>SUMIF(RawDataRecovered!$B:$B,$A124,RawDataRecovered!AE:AE)</f>
        <v>1</v>
      </c>
      <c r="AC124">
        <f>SUMIF(RawDataRecovered!$B:$B,$A124,RawDataRecovered!AF:AF)</f>
        <v>1</v>
      </c>
      <c r="AD124">
        <f>SUMIF(RawDataRecovered!$B:$B,$A124,RawDataRecovered!AG:AG)</f>
        <v>1</v>
      </c>
      <c r="AE124">
        <f>SUMIF(RawDataRecovered!$B:$B,$A124,RawDataRecovered!AH:AH)</f>
        <v>1</v>
      </c>
      <c r="AF124">
        <f>SUMIF(RawDataRecovered!$B:$B,$A124,RawDataRecovered!AI:AI)</f>
        <v>1</v>
      </c>
      <c r="AG124">
        <f>SUMIF(RawDataRecovered!$B:$B,$A124,RawDataRecovered!AJ:AJ)</f>
        <v>1</v>
      </c>
      <c r="AH124">
        <f>SUMIF(RawDataRecovered!$B:$B,$A124,RawDataRecovered!AK:AK)</f>
        <v>1</v>
      </c>
      <c r="AI124">
        <f>SUMIF(RawDataRecovered!$B:$B,$A124,RawDataRecovered!AL:AL)</f>
        <v>1</v>
      </c>
      <c r="AJ124">
        <f>SUMIF(RawDataRecovered!$B:$B,$A124,RawDataRecovered!AM:AM)</f>
        <v>1</v>
      </c>
      <c r="AK124">
        <f>SUMIF(RawDataRecovered!$B:$B,$A124,RawDataRecovered!AN:AN)</f>
        <v>1</v>
      </c>
      <c r="AL124">
        <f>SUMIF(RawDataRecovered!$B:$B,$A124,RawDataRecovered!AO:AO)</f>
        <v>1</v>
      </c>
      <c r="AM124">
        <f>SUMIF(RawDataRecovered!$B:$B,$A124,RawDataRecovered!AP:AP)</f>
        <v>1</v>
      </c>
      <c r="AN124">
        <f>SUMIF(RawDataRecovered!$B:$B,$A124,RawDataRecovered!AQ:AQ)</f>
        <v>1</v>
      </c>
      <c r="AO124">
        <f>SUMIF(RawDataRecovered!$B:$B,$A124,RawDataRecovered!AR:AR)</f>
        <v>1</v>
      </c>
      <c r="AP124">
        <f>SUMIF(RawDataRecovered!$B:$B,$A124,RawDataRecovered!AS:AS)</f>
        <v>1</v>
      </c>
      <c r="AQ124">
        <f>SUMIF(RawDataRecovered!$B:$B,$A124,RawDataRecovered!AT:AT)</f>
        <v>1</v>
      </c>
      <c r="AR124">
        <f>SUMIF(RawDataRecovered!$B:$B,$A124,RawDataRecovered!AU:AU)</f>
        <v>1</v>
      </c>
      <c r="AS124">
        <f>SUMIF(RawDataRecovered!$B:$B,$A124,RawDataRecovered!AV:AV)</f>
        <v>1</v>
      </c>
      <c r="AT124">
        <f>SUMIF(RawDataRecovered!$B:$B,$A124,RawDataRecovered!AW:AW)</f>
        <v>1</v>
      </c>
      <c r="AU124">
        <f>SUMIF(RawDataRecovered!$B:$B,$A124,RawDataRecovered!AX:AX)</f>
        <v>1</v>
      </c>
      <c r="AV124">
        <f>SUMIF(RawDataRecovered!$B:$B,$A124,RawDataRecovered!AY:AY)</f>
        <v>1</v>
      </c>
      <c r="AW124">
        <f>SUMIF(RawDataRecovered!$B:$B,$A124,RawDataRecovered!AZ:AZ)</f>
        <v>1</v>
      </c>
      <c r="AX124">
        <f>SUMIF(RawDataRecovered!$B:$B,$A124,RawDataRecovered!BA:BA)</f>
        <v>1</v>
      </c>
      <c r="AY124">
        <f>SUMIF(RawDataRecovered!$B:$B,$A124,RawDataRecovered!BB:BB)</f>
        <v>1</v>
      </c>
      <c r="AZ124">
        <f>SUMIF(RawDataRecovered!$B:$B,$A124,RawDataRecovered!BC:BC)</f>
        <v>1</v>
      </c>
      <c r="BA124">
        <f>SUMIF(RawDataRecovered!$B:$B,$A124,RawDataRecovered!BD:BD)</f>
        <v>1</v>
      </c>
      <c r="BB124">
        <f>SUMIF(RawDataRecovered!$B:$B,$A124,RawDataRecovered!BE:BE)</f>
        <v>1</v>
      </c>
      <c r="BC124">
        <f>SUMIF(RawDataRecovered!$B:$B,$A124,RawDataRecovered!BF:BF)</f>
        <v>1</v>
      </c>
      <c r="BD124">
        <f>SUMIF(RawDataRecovered!$B:$B,$A124,RawDataRecovered!BG:BG)</f>
        <v>1</v>
      </c>
      <c r="BE124">
        <f>SUMIF(RawDataRecovered!$B:$B,$A124,RawDataRecovered!BH:BH)</f>
        <v>1</v>
      </c>
      <c r="BF124">
        <f>SUMIF(RawDataRecovered!$B:$B,$A124,RawDataRecovered!BI:BI)</f>
        <v>0</v>
      </c>
      <c r="BG124">
        <f>SUMIF(RawDataRecovered!$B:$B,$A124,RawDataRecovered!BJ:BJ)</f>
        <v>0</v>
      </c>
      <c r="BH124">
        <f>SUMIF(RawDataRecovered!$B:$B,$A124,RawDataRecovered!BK:BK)</f>
        <v>0</v>
      </c>
      <c r="BI124">
        <f>SUMIF(RawDataRecovered!$B:$B,$A124,RawDataRecovered!BL:BL)</f>
        <v>0</v>
      </c>
      <c r="BJ124">
        <f>SUMIF(RawDataRecovered!$B:$B,$A124,RawDataRecovered!BM:BM)</f>
        <v>0</v>
      </c>
      <c r="BK124">
        <f>SUMIF(RawDataRecovered!$B:$B,$A124,RawDataRecovered!BN:BN)</f>
        <v>0</v>
      </c>
      <c r="BL124">
        <f>SUMIF(RawDataRecovered!$B:$B,$A124,RawDataRecovered!BO:BO)</f>
        <v>0</v>
      </c>
      <c r="BM124">
        <f>SUMIF(RawDataRecovered!$B:$B,$A124,RawDataRecovered!BP:BP)</f>
        <v>0</v>
      </c>
      <c r="BN124">
        <f>SUMIF(RawDataRecovered!$B:$B,$A124,RawDataRecovered!BQ:BQ)</f>
        <v>0</v>
      </c>
      <c r="BO124">
        <f>SUMIF(RawDataRecovered!$B:$B,$A124,RawDataRecovered!BR:BR)</f>
        <v>0</v>
      </c>
      <c r="BP124">
        <f>SUMIF(RawDataRecovered!$B:$B,$A124,RawDataRecovered!BS:BS)</f>
        <v>0</v>
      </c>
      <c r="BQ124">
        <f>SUMIF(RawDataRecovered!$B:$B,$A124,RawDataRecovered!BT:BT)</f>
        <v>0</v>
      </c>
      <c r="BR124">
        <f>SUMIF(RawDataRecovered!$B:$B,$A124,RawDataRecovered!BU:BU)</f>
        <v>0</v>
      </c>
      <c r="BS124">
        <f>SUMIF(RawDataRecovered!$B:$B,$A124,RawDataRecovered!BV:BV)</f>
        <v>0</v>
      </c>
      <c r="BT124">
        <f>SUMIF(RawDataRecovered!$B:$B,$A124,RawDataRecovered!BW:BW)</f>
        <v>0</v>
      </c>
    </row>
    <row r="125" spans="1:72" ht="15" thickBot="1" x14ac:dyDescent="0.35">
      <c r="A125" s="3" t="s">
        <v>448</v>
      </c>
      <c r="B125">
        <f>SUMIF(RawDataRecovered!$B:$B,$A125,RawDataRecovered!E:E)</f>
        <v>0</v>
      </c>
      <c r="C125">
        <f>SUMIF(RawDataRecovered!$B:$B,$A125,RawDataRecovered!F:F)</f>
        <v>0</v>
      </c>
      <c r="D125">
        <f>SUMIF(RawDataRecovered!$B:$B,$A125,RawDataRecovered!G:G)</f>
        <v>0</v>
      </c>
      <c r="E125">
        <f>SUMIF(RawDataRecovered!$B:$B,$A125,RawDataRecovered!H:H)</f>
        <v>0</v>
      </c>
      <c r="F125">
        <f>SUMIF(RawDataRecovered!$B:$B,$A125,RawDataRecovered!I:I)</f>
        <v>0</v>
      </c>
      <c r="G125">
        <f>SUMIF(RawDataRecovered!$B:$B,$A125,RawDataRecovered!J:J)</f>
        <v>0</v>
      </c>
      <c r="H125">
        <f>SUMIF(RawDataRecovered!$B:$B,$A125,RawDataRecovered!K:K)</f>
        <v>0</v>
      </c>
      <c r="I125">
        <f>SUMIF(RawDataRecovered!$B:$B,$A125,RawDataRecovered!L:L)</f>
        <v>0</v>
      </c>
      <c r="J125">
        <f>SUMIF(RawDataRecovered!$B:$B,$A125,RawDataRecovered!M:M)</f>
        <v>0</v>
      </c>
      <c r="K125">
        <f>SUMIF(RawDataRecovered!$B:$B,$A125,RawDataRecovered!N:N)</f>
        <v>0</v>
      </c>
      <c r="L125">
        <f>SUMIF(RawDataRecovered!$B:$B,$A125,RawDataRecovered!O:O)</f>
        <v>0</v>
      </c>
      <c r="M125">
        <f>SUMIF(RawDataRecovered!$B:$B,$A125,RawDataRecovered!P:P)</f>
        <v>0</v>
      </c>
      <c r="N125">
        <f>SUMIF(RawDataRecovered!$B:$B,$A125,RawDataRecovered!Q:Q)</f>
        <v>0</v>
      </c>
      <c r="O125">
        <f>SUMIF(RawDataRecovered!$B:$B,$A125,RawDataRecovered!R:R)</f>
        <v>0</v>
      </c>
      <c r="P125">
        <f>SUMIF(RawDataRecovered!$B:$B,$A125,RawDataRecovered!S:S)</f>
        <v>0</v>
      </c>
      <c r="Q125">
        <f>SUMIF(RawDataRecovered!$B:$B,$A125,RawDataRecovered!T:T)</f>
        <v>0</v>
      </c>
      <c r="R125">
        <f>SUMIF(RawDataRecovered!$B:$B,$A125,RawDataRecovered!U:U)</f>
        <v>0</v>
      </c>
      <c r="S125">
        <f>SUMIF(RawDataRecovered!$B:$B,$A125,RawDataRecovered!V:V)</f>
        <v>0</v>
      </c>
      <c r="T125">
        <f>SUMIF(RawDataRecovered!$B:$B,$A125,RawDataRecovered!W:W)</f>
        <v>0</v>
      </c>
      <c r="U125">
        <f>SUMIF(RawDataRecovered!$B:$B,$A125,RawDataRecovered!X:X)</f>
        <v>0</v>
      </c>
      <c r="V125">
        <f>SUMIF(RawDataRecovered!$B:$B,$A125,RawDataRecovered!Y:Y)</f>
        <v>0</v>
      </c>
      <c r="W125">
        <f>SUMIF(RawDataRecovered!$B:$B,$A125,RawDataRecovered!Z:Z)</f>
        <v>0</v>
      </c>
      <c r="X125">
        <f>SUMIF(RawDataRecovered!$B:$B,$A125,RawDataRecovered!AA:AA)</f>
        <v>0</v>
      </c>
      <c r="Y125">
        <f>SUMIF(RawDataRecovered!$B:$B,$A125,RawDataRecovered!AB:AB)</f>
        <v>0</v>
      </c>
      <c r="Z125">
        <f>SUMIF(RawDataRecovered!$B:$B,$A125,RawDataRecovered!AC:AC)</f>
        <v>0</v>
      </c>
      <c r="AA125">
        <f>SUMIF(RawDataRecovered!$B:$B,$A125,RawDataRecovered!AD:AD)</f>
        <v>0</v>
      </c>
      <c r="AB125">
        <f>SUMIF(RawDataRecovered!$B:$B,$A125,RawDataRecovered!AE:AE)</f>
        <v>0</v>
      </c>
      <c r="AC125">
        <f>SUMIF(RawDataRecovered!$B:$B,$A125,RawDataRecovered!AF:AF)</f>
        <v>0</v>
      </c>
      <c r="AD125">
        <f>SUMIF(RawDataRecovered!$B:$B,$A125,RawDataRecovered!AG:AG)</f>
        <v>0</v>
      </c>
      <c r="AE125">
        <f>SUMIF(RawDataRecovered!$B:$B,$A125,RawDataRecovered!AH:AH)</f>
        <v>0</v>
      </c>
      <c r="AF125">
        <f>SUMIF(RawDataRecovered!$B:$B,$A125,RawDataRecovered!AI:AI)</f>
        <v>0</v>
      </c>
      <c r="AG125">
        <f>SUMIF(RawDataRecovered!$B:$B,$A125,RawDataRecovered!AJ:AJ)</f>
        <v>0</v>
      </c>
      <c r="AH125">
        <f>SUMIF(RawDataRecovered!$B:$B,$A125,RawDataRecovered!AK:AK)</f>
        <v>0</v>
      </c>
      <c r="AI125">
        <f>SUMIF(RawDataRecovered!$B:$B,$A125,RawDataRecovered!AL:AL)</f>
        <v>0</v>
      </c>
      <c r="AJ125">
        <f>SUMIF(RawDataRecovered!$B:$B,$A125,RawDataRecovered!AM:AM)</f>
        <v>0</v>
      </c>
      <c r="AK125">
        <f>SUMIF(RawDataRecovered!$B:$B,$A125,RawDataRecovered!AN:AN)</f>
        <v>0</v>
      </c>
      <c r="AL125">
        <f>SUMIF(RawDataRecovered!$B:$B,$A125,RawDataRecovered!AO:AO)</f>
        <v>0</v>
      </c>
      <c r="AM125">
        <f>SUMIF(RawDataRecovered!$B:$B,$A125,RawDataRecovered!AP:AP)</f>
        <v>0</v>
      </c>
      <c r="AN125">
        <f>SUMIF(RawDataRecovered!$B:$B,$A125,RawDataRecovered!AQ:AQ)</f>
        <v>0</v>
      </c>
      <c r="AO125">
        <f>SUMIF(RawDataRecovered!$B:$B,$A125,RawDataRecovered!AR:AR)</f>
        <v>0</v>
      </c>
      <c r="AP125">
        <f>SUMIF(RawDataRecovered!$B:$B,$A125,RawDataRecovered!AS:AS)</f>
        <v>0</v>
      </c>
      <c r="AQ125">
        <f>SUMIF(RawDataRecovered!$B:$B,$A125,RawDataRecovered!AT:AT)</f>
        <v>0</v>
      </c>
      <c r="AR125">
        <f>SUMIF(RawDataRecovered!$B:$B,$A125,RawDataRecovered!AU:AU)</f>
        <v>0</v>
      </c>
      <c r="AS125">
        <f>SUMIF(RawDataRecovered!$B:$B,$A125,RawDataRecovered!AV:AV)</f>
        <v>0</v>
      </c>
      <c r="AT125">
        <f>SUMIF(RawDataRecovered!$B:$B,$A125,RawDataRecovered!AW:AW)</f>
        <v>0</v>
      </c>
      <c r="AU125">
        <f>SUMIF(RawDataRecovered!$B:$B,$A125,RawDataRecovered!AX:AX)</f>
        <v>0</v>
      </c>
      <c r="AV125">
        <f>SUMIF(RawDataRecovered!$B:$B,$A125,RawDataRecovered!AY:AY)</f>
        <v>0</v>
      </c>
      <c r="AW125">
        <f>SUMIF(RawDataRecovered!$B:$B,$A125,RawDataRecovered!AZ:AZ)</f>
        <v>0</v>
      </c>
      <c r="AX125">
        <f>SUMIF(RawDataRecovered!$B:$B,$A125,RawDataRecovered!BA:BA)</f>
        <v>0</v>
      </c>
      <c r="AY125">
        <f>SUMIF(RawDataRecovered!$B:$B,$A125,RawDataRecovered!BB:BB)</f>
        <v>0</v>
      </c>
      <c r="AZ125">
        <f>SUMIF(RawDataRecovered!$B:$B,$A125,RawDataRecovered!BC:BC)</f>
        <v>0</v>
      </c>
      <c r="BA125">
        <f>SUMIF(RawDataRecovered!$B:$B,$A125,RawDataRecovered!BD:BD)</f>
        <v>0</v>
      </c>
      <c r="BB125">
        <f>SUMIF(RawDataRecovered!$B:$B,$A125,RawDataRecovered!BE:BE)</f>
        <v>0</v>
      </c>
      <c r="BC125">
        <f>SUMIF(RawDataRecovered!$B:$B,$A125,RawDataRecovered!BF:BF)</f>
        <v>0</v>
      </c>
      <c r="BD125">
        <f>SUMIF(RawDataRecovered!$B:$B,$A125,RawDataRecovered!BG:BG)</f>
        <v>0</v>
      </c>
      <c r="BE125">
        <f>SUMIF(RawDataRecovered!$B:$B,$A125,RawDataRecovered!BH:BH)</f>
        <v>0</v>
      </c>
      <c r="BF125">
        <f>SUMIF(RawDataRecovered!$B:$B,$A125,RawDataRecovered!BI:BI)</f>
        <v>0</v>
      </c>
      <c r="BG125">
        <f>SUMIF(RawDataRecovered!$B:$B,$A125,RawDataRecovered!BJ:BJ)</f>
        <v>0</v>
      </c>
      <c r="BH125">
        <f>SUMIF(RawDataRecovered!$B:$B,$A125,RawDataRecovered!BK:BK)</f>
        <v>0</v>
      </c>
      <c r="BI125">
        <f>SUMIF(RawDataRecovered!$B:$B,$A125,RawDataRecovered!BL:BL)</f>
        <v>0</v>
      </c>
      <c r="BJ125">
        <f>SUMIF(RawDataRecovered!$B:$B,$A125,RawDataRecovered!BM:BM)</f>
        <v>0</v>
      </c>
      <c r="BK125">
        <f>SUMIF(RawDataRecovered!$B:$B,$A125,RawDataRecovered!BN:BN)</f>
        <v>0</v>
      </c>
      <c r="BL125">
        <f>SUMIF(RawDataRecovered!$B:$B,$A125,RawDataRecovered!BO:BO)</f>
        <v>0</v>
      </c>
      <c r="BM125">
        <f>SUMIF(RawDataRecovered!$B:$B,$A125,RawDataRecovered!BP:BP)</f>
        <v>0</v>
      </c>
      <c r="BN125">
        <f>SUMIF(RawDataRecovered!$B:$B,$A125,RawDataRecovered!BQ:BQ)</f>
        <v>0</v>
      </c>
      <c r="BO125">
        <f>SUMIF(RawDataRecovered!$B:$B,$A125,RawDataRecovered!BR:BR)</f>
        <v>0</v>
      </c>
      <c r="BP125">
        <f>SUMIF(RawDataRecovered!$B:$B,$A125,RawDataRecovered!BS:BS)</f>
        <v>0</v>
      </c>
      <c r="BQ125">
        <f>SUMIF(RawDataRecovered!$B:$B,$A125,RawDataRecovered!BT:BT)</f>
        <v>0</v>
      </c>
      <c r="BR125">
        <f>SUMIF(RawDataRecovered!$B:$B,$A125,RawDataRecovered!BU:BU)</f>
        <v>0</v>
      </c>
      <c r="BS125">
        <f>SUMIF(RawDataRecovered!$B:$B,$A125,RawDataRecovered!BV:BV)</f>
        <v>0</v>
      </c>
      <c r="BT125">
        <f>SUMIF(RawDataRecovered!$B:$B,$A125,RawDataRecovered!BW:BW)</f>
        <v>0</v>
      </c>
    </row>
    <row r="126" spans="1:72" ht="15" thickBot="1" x14ac:dyDescent="0.35">
      <c r="A126" s="3" t="s">
        <v>190</v>
      </c>
      <c r="B126">
        <f>SUMIF(RawDataRecovered!$B:$B,$A126,RawDataRecovered!E:E)</f>
        <v>0</v>
      </c>
      <c r="C126">
        <f>SUMIF(RawDataRecovered!$B:$B,$A126,RawDataRecovered!F:F)</f>
        <v>0</v>
      </c>
      <c r="D126">
        <f>SUMIF(RawDataRecovered!$B:$B,$A126,RawDataRecovered!G:G)</f>
        <v>0</v>
      </c>
      <c r="E126">
        <f>SUMIF(RawDataRecovered!$B:$B,$A126,RawDataRecovered!H:H)</f>
        <v>0</v>
      </c>
      <c r="F126">
        <f>SUMIF(RawDataRecovered!$B:$B,$A126,RawDataRecovered!I:I)</f>
        <v>0</v>
      </c>
      <c r="G126">
        <f>SUMIF(RawDataRecovered!$B:$B,$A126,RawDataRecovered!J:J)</f>
        <v>0</v>
      </c>
      <c r="H126">
        <f>SUMIF(RawDataRecovered!$B:$B,$A126,RawDataRecovered!K:K)</f>
        <v>0</v>
      </c>
      <c r="I126">
        <f>SUMIF(RawDataRecovered!$B:$B,$A126,RawDataRecovered!L:L)</f>
        <v>0</v>
      </c>
      <c r="J126">
        <f>SUMIF(RawDataRecovered!$B:$B,$A126,RawDataRecovered!M:M)</f>
        <v>0</v>
      </c>
      <c r="K126">
        <f>SUMIF(RawDataRecovered!$B:$B,$A126,RawDataRecovered!N:N)</f>
        <v>0</v>
      </c>
      <c r="L126">
        <f>SUMIF(RawDataRecovered!$B:$B,$A126,RawDataRecovered!O:O)</f>
        <v>0</v>
      </c>
      <c r="M126">
        <f>SUMIF(RawDataRecovered!$B:$B,$A126,RawDataRecovered!P:P)</f>
        <v>0</v>
      </c>
      <c r="N126">
        <f>SUMIF(RawDataRecovered!$B:$B,$A126,RawDataRecovered!Q:Q)</f>
        <v>0</v>
      </c>
      <c r="O126">
        <f>SUMIF(RawDataRecovered!$B:$B,$A126,RawDataRecovered!R:R)</f>
        <v>0</v>
      </c>
      <c r="P126">
        <f>SUMIF(RawDataRecovered!$B:$B,$A126,RawDataRecovered!S:S)</f>
        <v>0</v>
      </c>
      <c r="Q126">
        <f>SUMIF(RawDataRecovered!$B:$B,$A126,RawDataRecovered!T:T)</f>
        <v>0</v>
      </c>
      <c r="R126">
        <f>SUMIF(RawDataRecovered!$B:$B,$A126,RawDataRecovered!U:U)</f>
        <v>0</v>
      </c>
      <c r="S126">
        <f>SUMIF(RawDataRecovered!$B:$B,$A126,RawDataRecovered!V:V)</f>
        <v>0</v>
      </c>
      <c r="T126">
        <f>SUMIF(RawDataRecovered!$B:$B,$A126,RawDataRecovered!W:W)</f>
        <v>0</v>
      </c>
      <c r="U126">
        <f>SUMIF(RawDataRecovered!$B:$B,$A126,RawDataRecovered!X:X)</f>
        <v>0</v>
      </c>
      <c r="V126">
        <f>SUMIF(RawDataRecovered!$B:$B,$A126,RawDataRecovered!Y:Y)</f>
        <v>0</v>
      </c>
      <c r="W126">
        <f>SUMIF(RawDataRecovered!$B:$B,$A126,RawDataRecovered!Z:Z)</f>
        <v>0</v>
      </c>
      <c r="X126">
        <f>SUMIF(RawDataRecovered!$B:$B,$A126,RawDataRecovered!AA:AA)</f>
        <v>0</v>
      </c>
      <c r="Y126">
        <f>SUMIF(RawDataRecovered!$B:$B,$A126,RawDataRecovered!AB:AB)</f>
        <v>0</v>
      </c>
      <c r="Z126">
        <f>SUMIF(RawDataRecovered!$B:$B,$A126,RawDataRecovered!AC:AC)</f>
        <v>0</v>
      </c>
      <c r="AA126">
        <f>SUMIF(RawDataRecovered!$B:$B,$A126,RawDataRecovered!AD:AD)</f>
        <v>0</v>
      </c>
      <c r="AB126">
        <f>SUMIF(RawDataRecovered!$B:$B,$A126,RawDataRecovered!AE:AE)</f>
        <v>0</v>
      </c>
      <c r="AC126">
        <f>SUMIF(RawDataRecovered!$B:$B,$A126,RawDataRecovered!AF:AF)</f>
        <v>0</v>
      </c>
      <c r="AD126">
        <f>SUMIF(RawDataRecovered!$B:$B,$A126,RawDataRecovered!AG:AG)</f>
        <v>0</v>
      </c>
      <c r="AE126">
        <f>SUMIF(RawDataRecovered!$B:$B,$A126,RawDataRecovered!AH:AH)</f>
        <v>0</v>
      </c>
      <c r="AF126">
        <f>SUMIF(RawDataRecovered!$B:$B,$A126,RawDataRecovered!AI:AI)</f>
        <v>0</v>
      </c>
      <c r="AG126">
        <f>SUMIF(RawDataRecovered!$B:$B,$A126,RawDataRecovered!AJ:AJ)</f>
        <v>0</v>
      </c>
      <c r="AH126">
        <f>SUMIF(RawDataRecovered!$B:$B,$A126,RawDataRecovered!AK:AK)</f>
        <v>0</v>
      </c>
      <c r="AI126">
        <f>SUMIF(RawDataRecovered!$B:$B,$A126,RawDataRecovered!AL:AL)</f>
        <v>0</v>
      </c>
      <c r="AJ126">
        <f>SUMIF(RawDataRecovered!$B:$B,$A126,RawDataRecovered!AM:AM)</f>
        <v>0</v>
      </c>
      <c r="AK126">
        <f>SUMIF(RawDataRecovered!$B:$B,$A126,RawDataRecovered!AN:AN)</f>
        <v>0</v>
      </c>
      <c r="AL126">
        <f>SUMIF(RawDataRecovered!$B:$B,$A126,RawDataRecovered!AO:AO)</f>
        <v>0</v>
      </c>
      <c r="AM126">
        <f>SUMIF(RawDataRecovered!$B:$B,$A126,RawDataRecovered!AP:AP)</f>
        <v>0</v>
      </c>
      <c r="AN126">
        <f>SUMIF(RawDataRecovered!$B:$B,$A126,RawDataRecovered!AQ:AQ)</f>
        <v>0</v>
      </c>
      <c r="AO126">
        <f>SUMIF(RawDataRecovered!$B:$B,$A126,RawDataRecovered!AR:AR)</f>
        <v>0</v>
      </c>
      <c r="AP126">
        <f>SUMIF(RawDataRecovered!$B:$B,$A126,RawDataRecovered!AS:AS)</f>
        <v>0</v>
      </c>
      <c r="AQ126">
        <f>SUMIF(RawDataRecovered!$B:$B,$A126,RawDataRecovered!AT:AT)</f>
        <v>0</v>
      </c>
      <c r="AR126">
        <f>SUMIF(RawDataRecovered!$B:$B,$A126,RawDataRecovered!AU:AU)</f>
        <v>0</v>
      </c>
      <c r="AS126">
        <f>SUMIF(RawDataRecovered!$B:$B,$A126,RawDataRecovered!AV:AV)</f>
        <v>0</v>
      </c>
      <c r="AT126">
        <f>SUMIF(RawDataRecovered!$B:$B,$A126,RawDataRecovered!AW:AW)</f>
        <v>0</v>
      </c>
      <c r="AU126">
        <f>SUMIF(RawDataRecovered!$B:$B,$A126,RawDataRecovered!AX:AX)</f>
        <v>0</v>
      </c>
      <c r="AV126">
        <f>SUMIF(RawDataRecovered!$B:$B,$A126,RawDataRecovered!AY:AY)</f>
        <v>0</v>
      </c>
      <c r="AW126">
        <f>SUMIF(RawDataRecovered!$B:$B,$A126,RawDataRecovered!AZ:AZ)</f>
        <v>0</v>
      </c>
      <c r="AX126">
        <f>SUMIF(RawDataRecovered!$B:$B,$A126,RawDataRecovered!BA:BA)</f>
        <v>0</v>
      </c>
      <c r="AY126">
        <f>SUMIF(RawDataRecovered!$B:$B,$A126,RawDataRecovered!BB:BB)</f>
        <v>0</v>
      </c>
      <c r="AZ126">
        <f>SUMIF(RawDataRecovered!$B:$B,$A126,RawDataRecovered!BC:BC)</f>
        <v>0</v>
      </c>
      <c r="BA126">
        <f>SUMIF(RawDataRecovered!$B:$B,$A126,RawDataRecovered!BD:BD)</f>
        <v>0</v>
      </c>
      <c r="BB126">
        <f>SUMIF(RawDataRecovered!$B:$B,$A126,RawDataRecovered!BE:BE)</f>
        <v>0</v>
      </c>
      <c r="BC126">
        <f>SUMIF(RawDataRecovered!$B:$B,$A126,RawDataRecovered!BF:BF)</f>
        <v>0</v>
      </c>
      <c r="BD126">
        <f>SUMIF(RawDataRecovered!$B:$B,$A126,RawDataRecovered!BG:BG)</f>
        <v>0</v>
      </c>
      <c r="BE126">
        <f>SUMIF(RawDataRecovered!$B:$B,$A126,RawDataRecovered!BH:BH)</f>
        <v>0</v>
      </c>
      <c r="BF126">
        <f>SUMIF(RawDataRecovered!$B:$B,$A126,RawDataRecovered!BI:BI)</f>
        <v>0</v>
      </c>
      <c r="BG126">
        <f>SUMIF(RawDataRecovered!$B:$B,$A126,RawDataRecovered!BJ:BJ)</f>
        <v>0</v>
      </c>
      <c r="BH126">
        <f>SUMIF(RawDataRecovered!$B:$B,$A126,RawDataRecovered!BK:BK)</f>
        <v>0</v>
      </c>
      <c r="BI126">
        <f>SUMIF(RawDataRecovered!$B:$B,$A126,RawDataRecovered!BL:BL)</f>
        <v>0</v>
      </c>
      <c r="BJ126">
        <f>SUMIF(RawDataRecovered!$B:$B,$A126,RawDataRecovered!BM:BM)</f>
        <v>0</v>
      </c>
      <c r="BK126">
        <f>SUMIF(RawDataRecovered!$B:$B,$A126,RawDataRecovered!BN:BN)</f>
        <v>0</v>
      </c>
      <c r="BL126">
        <f>SUMIF(RawDataRecovered!$B:$B,$A126,RawDataRecovered!BO:BO)</f>
        <v>0</v>
      </c>
      <c r="BM126">
        <f>SUMIF(RawDataRecovered!$B:$B,$A126,RawDataRecovered!BP:BP)</f>
        <v>0</v>
      </c>
      <c r="BN126">
        <f>SUMIF(RawDataRecovered!$B:$B,$A126,RawDataRecovered!BQ:BQ)</f>
        <v>0</v>
      </c>
      <c r="BO126">
        <f>SUMIF(RawDataRecovered!$B:$B,$A126,RawDataRecovered!BR:BR)</f>
        <v>0</v>
      </c>
      <c r="BP126">
        <f>SUMIF(RawDataRecovered!$B:$B,$A126,RawDataRecovered!BS:BS)</f>
        <v>0</v>
      </c>
      <c r="BQ126">
        <f>SUMIF(RawDataRecovered!$B:$B,$A126,RawDataRecovered!BT:BT)</f>
        <v>0</v>
      </c>
      <c r="BR126">
        <f>SUMIF(RawDataRecovered!$B:$B,$A126,RawDataRecovered!BU:BU)</f>
        <v>0</v>
      </c>
      <c r="BS126">
        <f>SUMIF(RawDataRecovered!$B:$B,$A126,RawDataRecovered!BV:BV)</f>
        <v>0</v>
      </c>
      <c r="BT126">
        <f>SUMIF(RawDataRecovered!$B:$B,$A126,RawDataRecovered!BW:BW)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dimension ref="A1:BT126"/>
  <sheetViews>
    <sheetView workbookViewId="0">
      <selection activeCell="B2" sqref="B2:BT126"/>
    </sheetView>
  </sheetViews>
  <sheetFormatPr defaultRowHeight="14.4" x14ac:dyDescent="0.3"/>
  <cols>
    <col min="1" max="1" width="13.77734375" style="2" bestFit="1" customWidth="1"/>
  </cols>
  <sheetData>
    <row r="1" spans="1:72" ht="15" thickBot="1" x14ac:dyDescent="0.35">
      <c r="B1" s="1">
        <v>43852</v>
      </c>
      <c r="C1" s="1">
        <v>43853</v>
      </c>
      <c r="D1" s="1">
        <v>43854</v>
      </c>
      <c r="E1" s="1">
        <v>43855</v>
      </c>
      <c r="F1" s="1">
        <v>43856</v>
      </c>
      <c r="G1" s="1">
        <v>43857</v>
      </c>
      <c r="H1" s="1">
        <v>43858</v>
      </c>
      <c r="I1" s="1">
        <v>43859</v>
      </c>
      <c r="J1" s="1">
        <v>43860</v>
      </c>
      <c r="K1" s="1">
        <v>43861</v>
      </c>
      <c r="L1" s="1">
        <v>43862</v>
      </c>
      <c r="M1" s="1">
        <v>43863</v>
      </c>
      <c r="N1" s="1">
        <v>43864</v>
      </c>
      <c r="O1" s="1">
        <v>43865</v>
      </c>
      <c r="P1" s="1">
        <v>43866</v>
      </c>
      <c r="Q1" s="1">
        <v>43867</v>
      </c>
      <c r="R1" s="1">
        <v>43868</v>
      </c>
      <c r="S1" s="1">
        <v>43869</v>
      </c>
      <c r="T1" s="1">
        <v>43870</v>
      </c>
      <c r="U1" s="1">
        <v>43871</v>
      </c>
      <c r="V1" s="1">
        <v>43872</v>
      </c>
      <c r="W1" s="1">
        <v>43873</v>
      </c>
      <c r="X1" s="1">
        <v>43874</v>
      </c>
      <c r="Y1" s="1">
        <v>43875</v>
      </c>
      <c r="Z1" s="1">
        <v>43876</v>
      </c>
      <c r="AA1" s="1">
        <v>43877</v>
      </c>
      <c r="AB1" s="1">
        <v>43878</v>
      </c>
      <c r="AC1" s="1">
        <v>43879</v>
      </c>
      <c r="AD1" s="1">
        <v>43880</v>
      </c>
      <c r="AE1" s="1">
        <v>43881</v>
      </c>
      <c r="AF1" s="1">
        <v>43882</v>
      </c>
      <c r="AG1" s="1">
        <v>43883</v>
      </c>
      <c r="AH1" s="1">
        <v>43884</v>
      </c>
      <c r="AI1" s="1">
        <v>43885</v>
      </c>
      <c r="AJ1" s="1">
        <v>43886</v>
      </c>
      <c r="AK1" s="1">
        <v>43887</v>
      </c>
      <c r="AL1" s="1">
        <v>43888</v>
      </c>
      <c r="AM1" s="1">
        <v>43889</v>
      </c>
      <c r="AN1" s="1">
        <v>43890</v>
      </c>
      <c r="AO1" s="1">
        <v>43891</v>
      </c>
      <c r="AP1" s="1">
        <v>43892</v>
      </c>
      <c r="AQ1" s="1">
        <v>43893</v>
      </c>
      <c r="AR1" s="1">
        <v>43894</v>
      </c>
      <c r="AS1" s="1">
        <v>43895</v>
      </c>
      <c r="AT1" s="1">
        <v>43896</v>
      </c>
      <c r="AU1" s="1">
        <v>43897</v>
      </c>
      <c r="AV1" s="1">
        <v>43898</v>
      </c>
      <c r="AW1" s="1">
        <v>43899</v>
      </c>
      <c r="AX1" s="1">
        <v>43900</v>
      </c>
      <c r="AY1" s="1">
        <v>43901</v>
      </c>
      <c r="AZ1" s="1">
        <v>43902</v>
      </c>
      <c r="BA1" s="1">
        <v>43903</v>
      </c>
      <c r="BB1" s="1">
        <v>43904</v>
      </c>
      <c r="BC1" s="1">
        <v>43905</v>
      </c>
      <c r="BD1" s="1">
        <v>43906</v>
      </c>
      <c r="BE1" s="1">
        <v>43907</v>
      </c>
      <c r="BF1" s="1">
        <v>43908</v>
      </c>
      <c r="BG1" s="1">
        <v>43909</v>
      </c>
      <c r="BH1" s="1">
        <v>43910</v>
      </c>
      <c r="BI1" s="1">
        <v>43911</v>
      </c>
      <c r="BJ1" s="1">
        <v>43912</v>
      </c>
      <c r="BK1" s="1">
        <v>43913</v>
      </c>
      <c r="BL1" s="1">
        <v>43914</v>
      </c>
      <c r="BM1" s="1">
        <v>43915</v>
      </c>
      <c r="BN1" s="1">
        <v>43916</v>
      </c>
      <c r="BO1" s="1">
        <v>43917</v>
      </c>
      <c r="BP1" s="1">
        <v>43918</v>
      </c>
      <c r="BQ1" s="1">
        <v>43919</v>
      </c>
      <c r="BR1" s="1">
        <v>43920</v>
      </c>
      <c r="BS1" s="1">
        <v>43921</v>
      </c>
      <c r="BT1" s="1">
        <v>43922</v>
      </c>
    </row>
    <row r="2" spans="1:72" ht="15" thickBot="1" x14ac:dyDescent="0.35">
      <c r="A2" s="3" t="s">
        <v>365</v>
      </c>
      <c r="B2">
        <f>SUMIF(RawDataDead!$B:$B,$A2,RawDataDead!E:E)</f>
        <v>17</v>
      </c>
      <c r="C2">
        <f>SUMIF(RawDataDead!$B:$B,$A2,RawDataDead!F:F)</f>
        <v>18</v>
      </c>
      <c r="D2">
        <f>SUMIF(RawDataDead!$B:$B,$A2,RawDataDead!G:G)</f>
        <v>26</v>
      </c>
      <c r="E2">
        <f>SUMIF(RawDataDead!$B:$B,$A2,RawDataDead!H:H)</f>
        <v>42</v>
      </c>
      <c r="F2">
        <f>SUMIF(RawDataDead!$B:$B,$A2,RawDataDead!I:I)</f>
        <v>56</v>
      </c>
      <c r="G2">
        <f>SUMIF(RawDataDead!$B:$B,$A2,RawDataDead!J:J)</f>
        <v>82</v>
      </c>
      <c r="H2">
        <f>SUMIF(RawDataDead!$B:$B,$A2,RawDataDead!K:K)</f>
        <v>131</v>
      </c>
      <c r="I2">
        <f>SUMIF(RawDataDead!$B:$B,$A2,RawDataDead!L:L)</f>
        <v>133</v>
      </c>
      <c r="J2">
        <f>SUMIF(RawDataDead!$B:$B,$A2,RawDataDead!M:M)</f>
        <v>171</v>
      </c>
      <c r="K2">
        <f>SUMIF(RawDataDead!$B:$B,$A2,RawDataDead!N:N)</f>
        <v>213</v>
      </c>
      <c r="L2">
        <f>SUMIF(RawDataDead!$B:$B,$A2,RawDataDead!O:O)</f>
        <v>259</v>
      </c>
      <c r="M2">
        <f>SUMIF(RawDataDead!$B:$B,$A2,RawDataDead!P:P)</f>
        <v>361</v>
      </c>
      <c r="N2">
        <f>SUMIF(RawDataDead!$B:$B,$A2,RawDataDead!Q:Q)</f>
        <v>425</v>
      </c>
      <c r="O2">
        <f>SUMIF(RawDataDead!$B:$B,$A2,RawDataDead!R:R)</f>
        <v>491</v>
      </c>
      <c r="P2">
        <f>SUMIF(RawDataDead!$B:$B,$A2,RawDataDead!S:S)</f>
        <v>563</v>
      </c>
      <c r="Q2">
        <f>SUMIF(RawDataDead!$B:$B,$A2,RawDataDead!T:T)</f>
        <v>633</v>
      </c>
      <c r="R2">
        <f>SUMIF(RawDataDead!$B:$B,$A2,RawDataDead!U:U)</f>
        <v>718</v>
      </c>
      <c r="S2">
        <f>SUMIF(RawDataDead!$B:$B,$A2,RawDataDead!V:V)</f>
        <v>805</v>
      </c>
      <c r="T2">
        <f>SUMIF(RawDataDead!$B:$B,$A2,RawDataDead!W:W)</f>
        <v>905</v>
      </c>
      <c r="U2">
        <f>SUMIF(RawDataDead!$B:$B,$A2,RawDataDead!X:X)</f>
        <v>1012</v>
      </c>
      <c r="V2">
        <f>SUMIF(RawDataDead!$B:$B,$A2,RawDataDead!Y:Y)</f>
        <v>1112</v>
      </c>
      <c r="W2">
        <f>SUMIF(RawDataDead!$B:$B,$A2,RawDataDead!Z:Z)</f>
        <v>1117</v>
      </c>
      <c r="X2">
        <f>SUMIF(RawDataDead!$B:$B,$A2,RawDataDead!AA:AA)</f>
        <v>1369</v>
      </c>
      <c r="Y2">
        <f>SUMIF(RawDataDead!$B:$B,$A2,RawDataDead!AB:AB)</f>
        <v>1521</v>
      </c>
      <c r="Z2">
        <f>SUMIF(RawDataDead!$B:$B,$A2,RawDataDead!AC:AC)</f>
        <v>1663</v>
      </c>
      <c r="AA2">
        <f>SUMIF(RawDataDead!$B:$B,$A2,RawDataDead!AD:AD)</f>
        <v>1766</v>
      </c>
      <c r="AB2">
        <f>SUMIF(RawDataDead!$B:$B,$A2,RawDataDead!AE:AE)</f>
        <v>1864</v>
      </c>
      <c r="AC2">
        <f>SUMIF(RawDataDead!$B:$B,$A2,RawDataDead!AF:AF)</f>
        <v>2003</v>
      </c>
      <c r="AD2">
        <f>SUMIF(RawDataDead!$B:$B,$A2,RawDataDead!AG:AG)</f>
        <v>2116</v>
      </c>
      <c r="AE2">
        <f>SUMIF(RawDataDead!$B:$B,$A2,RawDataDead!AH:AH)</f>
        <v>2238</v>
      </c>
      <c r="AF2">
        <f>SUMIF(RawDataDead!$B:$B,$A2,RawDataDead!AI:AI)</f>
        <v>2238</v>
      </c>
      <c r="AG2">
        <f>SUMIF(RawDataDead!$B:$B,$A2,RawDataDead!AJ:AJ)</f>
        <v>2443</v>
      </c>
      <c r="AH2">
        <f>SUMIF(RawDataDead!$B:$B,$A2,RawDataDead!AK:AK)</f>
        <v>2445</v>
      </c>
      <c r="AI2">
        <f>SUMIF(RawDataDead!$B:$B,$A2,RawDataDead!AL:AL)</f>
        <v>2595</v>
      </c>
      <c r="AJ2">
        <f>SUMIF(RawDataDead!$B:$B,$A2,RawDataDead!AM:AM)</f>
        <v>2665</v>
      </c>
      <c r="AK2">
        <f>SUMIF(RawDataDead!$B:$B,$A2,RawDataDead!AN:AN)</f>
        <v>2717</v>
      </c>
      <c r="AL2">
        <f>SUMIF(RawDataDead!$B:$B,$A2,RawDataDead!AO:AO)</f>
        <v>2746</v>
      </c>
      <c r="AM2">
        <f>SUMIF(RawDataDead!$B:$B,$A2,RawDataDead!AP:AP)</f>
        <v>2790</v>
      </c>
      <c r="AN2">
        <f>SUMIF(RawDataDead!$B:$B,$A2,RawDataDead!AQ:AQ)</f>
        <v>2837</v>
      </c>
      <c r="AO2">
        <f>SUMIF(RawDataDead!$B:$B,$A2,RawDataDead!AR:AR)</f>
        <v>2872</v>
      </c>
      <c r="AP2">
        <f>SUMIF(RawDataDead!$B:$B,$A2,RawDataDead!AS:AS)</f>
        <v>2914</v>
      </c>
      <c r="AQ2">
        <f>SUMIF(RawDataDead!$B:$B,$A2,RawDataDead!AT:AT)</f>
        <v>2947</v>
      </c>
      <c r="AR2">
        <f>SUMIF(RawDataDead!$B:$B,$A2,RawDataDead!AU:AU)</f>
        <v>2983</v>
      </c>
      <c r="AS2">
        <f>SUMIF(RawDataDead!$B:$B,$A2,RawDataDead!AV:AV)</f>
        <v>3015</v>
      </c>
      <c r="AT2">
        <f>SUMIF(RawDataDead!$B:$B,$A2,RawDataDead!AW:AW)</f>
        <v>3044</v>
      </c>
      <c r="AU2">
        <f>SUMIF(RawDataDead!$B:$B,$A2,RawDataDead!AX:AX)</f>
        <v>3072</v>
      </c>
      <c r="AV2">
        <f>SUMIF(RawDataDead!$B:$B,$A2,RawDataDead!AY:AY)</f>
        <v>3100</v>
      </c>
      <c r="AW2">
        <f>SUMIF(RawDataDead!$B:$B,$A2,RawDataDead!AZ:AZ)</f>
        <v>3123</v>
      </c>
      <c r="AX2">
        <f>SUMIF(RawDataDead!$B:$B,$A2,RawDataDead!BA:BA)</f>
        <v>3139</v>
      </c>
      <c r="AY2">
        <f>SUMIF(RawDataDead!$B:$B,$A2,RawDataDead!BB:BB)</f>
        <v>3161</v>
      </c>
      <c r="AZ2">
        <f>SUMIF(RawDataDead!$B:$B,$A2,RawDataDead!BC:BC)</f>
        <v>3172</v>
      </c>
      <c r="BA2">
        <f>SUMIF(RawDataDead!$B:$B,$A2,RawDataDead!BD:BD)</f>
        <v>3180</v>
      </c>
      <c r="BB2">
        <f>SUMIF(RawDataDead!$B:$B,$A2,RawDataDead!BE:BE)</f>
        <v>3193</v>
      </c>
      <c r="BC2">
        <f>SUMIF(RawDataDead!$B:$B,$A2,RawDataDead!BF:BF)</f>
        <v>3203</v>
      </c>
      <c r="BD2">
        <f>SUMIF(RawDataDead!$B:$B,$A2,RawDataDead!BG:BG)</f>
        <v>3217</v>
      </c>
      <c r="BE2">
        <f>SUMIF(RawDataDead!$B:$B,$A2,RawDataDead!BH:BH)</f>
        <v>3230</v>
      </c>
      <c r="BF2">
        <f>SUMIF(RawDataDead!$B:$B,$A2,RawDataDead!BI:BI)</f>
        <v>0</v>
      </c>
      <c r="BG2">
        <f>SUMIF(RawDataDead!$B:$B,$A2,RawDataDead!BJ:BJ)</f>
        <v>0</v>
      </c>
      <c r="BH2">
        <f>SUMIF(RawDataDead!$B:$B,$A2,RawDataDead!BK:BK)</f>
        <v>0</v>
      </c>
      <c r="BI2">
        <f>SUMIF(RawDataDead!$B:$B,$A2,RawDataDead!BL:BL)</f>
        <v>0</v>
      </c>
      <c r="BJ2">
        <f>SUMIF(RawDataDead!$B:$B,$A2,RawDataDead!BM:BM)</f>
        <v>0</v>
      </c>
      <c r="BK2">
        <f>SUMIF(RawDataDead!$B:$B,$A2,RawDataDead!BN:BN)</f>
        <v>0</v>
      </c>
      <c r="BL2">
        <f>SUMIF(RawDataDead!$B:$B,$A2,RawDataDead!BO:BO)</f>
        <v>0</v>
      </c>
      <c r="BM2">
        <f>SUMIF(RawDataDead!$B:$B,$A2,RawDataDead!BP:BP)</f>
        <v>0</v>
      </c>
      <c r="BN2">
        <f>SUMIF(RawDataDead!$B:$B,$A2,RawDataDead!BQ:BQ)</f>
        <v>0</v>
      </c>
      <c r="BO2">
        <f>SUMIF(RawDataDead!$B:$B,$A2,RawDataDead!BR:BR)</f>
        <v>0</v>
      </c>
      <c r="BP2">
        <f>SUMIF(RawDataDead!$B:$B,$A2,RawDataDead!BS:BS)</f>
        <v>0</v>
      </c>
      <c r="BQ2">
        <f>SUMIF(RawDataDead!$B:$B,$A2,RawDataDead!BT:BT)</f>
        <v>0</v>
      </c>
      <c r="BR2">
        <f>SUMIF(RawDataDead!$B:$B,$A2,RawDataDead!BU:BU)</f>
        <v>0</v>
      </c>
      <c r="BS2">
        <f>SUMIF(RawDataDead!$B:$B,$A2,RawDataDead!BV:BV)</f>
        <v>0</v>
      </c>
      <c r="BT2">
        <f>SUMIF(RawDataDead!$B:$B,$A2,RawDataDead!BW:BW)</f>
        <v>0</v>
      </c>
    </row>
    <row r="3" spans="1:72" ht="15" thickBot="1" x14ac:dyDescent="0.35">
      <c r="A3" s="3" t="s">
        <v>85</v>
      </c>
      <c r="B3">
        <f>SUMIF(RawDataDead!$B:$B,$A3,RawDataDead!E:E)</f>
        <v>0</v>
      </c>
      <c r="C3">
        <f>SUMIF(RawDataDead!$B:$B,$A3,RawDataDead!F:F)</f>
        <v>0</v>
      </c>
      <c r="D3">
        <f>SUMIF(RawDataDead!$B:$B,$A3,RawDataDead!G:G)</f>
        <v>0</v>
      </c>
      <c r="E3">
        <f>SUMIF(RawDataDead!$B:$B,$A3,RawDataDead!H:H)</f>
        <v>0</v>
      </c>
      <c r="F3">
        <f>SUMIF(RawDataDead!$B:$B,$A3,RawDataDead!I:I)</f>
        <v>0</v>
      </c>
      <c r="G3">
        <f>SUMIF(RawDataDead!$B:$B,$A3,RawDataDead!J:J)</f>
        <v>0</v>
      </c>
      <c r="H3">
        <f>SUMIF(RawDataDead!$B:$B,$A3,RawDataDead!K:K)</f>
        <v>0</v>
      </c>
      <c r="I3">
        <f>SUMIF(RawDataDead!$B:$B,$A3,RawDataDead!L:L)</f>
        <v>0</v>
      </c>
      <c r="J3">
        <f>SUMIF(RawDataDead!$B:$B,$A3,RawDataDead!M:M)</f>
        <v>0</v>
      </c>
      <c r="K3">
        <f>SUMIF(RawDataDead!$B:$B,$A3,RawDataDead!N:N)</f>
        <v>0</v>
      </c>
      <c r="L3">
        <f>SUMIF(RawDataDead!$B:$B,$A3,RawDataDead!O:O)</f>
        <v>0</v>
      </c>
      <c r="M3">
        <f>SUMIF(RawDataDead!$B:$B,$A3,RawDataDead!P:P)</f>
        <v>0</v>
      </c>
      <c r="N3">
        <f>SUMIF(RawDataDead!$B:$B,$A3,RawDataDead!Q:Q)</f>
        <v>0</v>
      </c>
      <c r="O3">
        <f>SUMIF(RawDataDead!$B:$B,$A3,RawDataDead!R:R)</f>
        <v>0</v>
      </c>
      <c r="P3">
        <f>SUMIF(RawDataDead!$B:$B,$A3,RawDataDead!S:S)</f>
        <v>0</v>
      </c>
      <c r="Q3">
        <f>SUMIF(RawDataDead!$B:$B,$A3,RawDataDead!T:T)</f>
        <v>0</v>
      </c>
      <c r="R3">
        <f>SUMIF(RawDataDead!$B:$B,$A3,RawDataDead!U:U)</f>
        <v>0</v>
      </c>
      <c r="S3">
        <f>SUMIF(RawDataDead!$B:$B,$A3,RawDataDead!V:V)</f>
        <v>0</v>
      </c>
      <c r="T3">
        <f>SUMIF(RawDataDead!$B:$B,$A3,RawDataDead!W:W)</f>
        <v>0</v>
      </c>
      <c r="U3">
        <f>SUMIF(RawDataDead!$B:$B,$A3,RawDataDead!X:X)</f>
        <v>0</v>
      </c>
      <c r="V3">
        <f>SUMIF(RawDataDead!$B:$B,$A3,RawDataDead!Y:Y)</f>
        <v>0</v>
      </c>
      <c r="W3">
        <f>SUMIF(RawDataDead!$B:$B,$A3,RawDataDead!Z:Z)</f>
        <v>0</v>
      </c>
      <c r="X3">
        <f>SUMIF(RawDataDead!$B:$B,$A3,RawDataDead!AA:AA)</f>
        <v>0</v>
      </c>
      <c r="Y3">
        <f>SUMIF(RawDataDead!$B:$B,$A3,RawDataDead!AB:AB)</f>
        <v>0</v>
      </c>
      <c r="Z3">
        <f>SUMIF(RawDataDead!$B:$B,$A3,RawDataDead!AC:AC)</f>
        <v>0</v>
      </c>
      <c r="AA3">
        <f>SUMIF(RawDataDead!$B:$B,$A3,RawDataDead!AD:AD)</f>
        <v>0</v>
      </c>
      <c r="AB3">
        <f>SUMIF(RawDataDead!$B:$B,$A3,RawDataDead!AE:AE)</f>
        <v>0</v>
      </c>
      <c r="AC3">
        <f>SUMIF(RawDataDead!$B:$B,$A3,RawDataDead!AF:AF)</f>
        <v>0</v>
      </c>
      <c r="AD3">
        <f>SUMIF(RawDataDead!$B:$B,$A3,RawDataDead!AG:AG)</f>
        <v>0</v>
      </c>
      <c r="AE3">
        <f>SUMIF(RawDataDead!$B:$B,$A3,RawDataDead!AH:AH)</f>
        <v>0</v>
      </c>
      <c r="AF3">
        <f>SUMIF(RawDataDead!$B:$B,$A3,RawDataDead!AI:AI)</f>
        <v>1</v>
      </c>
      <c r="AG3">
        <f>SUMIF(RawDataDead!$B:$B,$A3,RawDataDead!AJ:AJ)</f>
        <v>2</v>
      </c>
      <c r="AH3">
        <f>SUMIF(RawDataDead!$B:$B,$A3,RawDataDead!AK:AK)</f>
        <v>3</v>
      </c>
      <c r="AI3">
        <f>SUMIF(RawDataDead!$B:$B,$A3,RawDataDead!AL:AL)</f>
        <v>7</v>
      </c>
      <c r="AJ3">
        <f>SUMIF(RawDataDead!$B:$B,$A3,RawDataDead!AM:AM)</f>
        <v>10</v>
      </c>
      <c r="AK3">
        <f>SUMIF(RawDataDead!$B:$B,$A3,RawDataDead!AN:AN)</f>
        <v>12</v>
      </c>
      <c r="AL3">
        <f>SUMIF(RawDataDead!$B:$B,$A3,RawDataDead!AO:AO)</f>
        <v>17</v>
      </c>
      <c r="AM3">
        <f>SUMIF(RawDataDead!$B:$B,$A3,RawDataDead!AP:AP)</f>
        <v>21</v>
      </c>
      <c r="AN3">
        <f>SUMIF(RawDataDead!$B:$B,$A3,RawDataDead!AQ:AQ)</f>
        <v>29</v>
      </c>
      <c r="AO3">
        <f>SUMIF(RawDataDead!$B:$B,$A3,RawDataDead!AR:AR)</f>
        <v>34</v>
      </c>
      <c r="AP3">
        <f>SUMIF(RawDataDead!$B:$B,$A3,RawDataDead!AS:AS)</f>
        <v>52</v>
      </c>
      <c r="AQ3">
        <f>SUMIF(RawDataDead!$B:$B,$A3,RawDataDead!AT:AT)</f>
        <v>79</v>
      </c>
      <c r="AR3">
        <f>SUMIF(RawDataDead!$B:$B,$A3,RawDataDead!AU:AU)</f>
        <v>107</v>
      </c>
      <c r="AS3">
        <f>SUMIF(RawDataDead!$B:$B,$A3,RawDataDead!AV:AV)</f>
        <v>148</v>
      </c>
      <c r="AT3">
        <f>SUMIF(RawDataDead!$B:$B,$A3,RawDataDead!AW:AW)</f>
        <v>197</v>
      </c>
      <c r="AU3">
        <f>SUMIF(RawDataDead!$B:$B,$A3,RawDataDead!AX:AX)</f>
        <v>233</v>
      </c>
      <c r="AV3">
        <f>SUMIF(RawDataDead!$B:$B,$A3,RawDataDead!AY:AY)</f>
        <v>366</v>
      </c>
      <c r="AW3">
        <f>SUMIF(RawDataDead!$B:$B,$A3,RawDataDead!AZ:AZ)</f>
        <v>463</v>
      </c>
      <c r="AX3">
        <f>SUMIF(RawDataDead!$B:$B,$A3,RawDataDead!BA:BA)</f>
        <v>631</v>
      </c>
      <c r="AY3">
        <f>SUMIF(RawDataDead!$B:$B,$A3,RawDataDead!BB:BB)</f>
        <v>827</v>
      </c>
      <c r="AZ3">
        <f>SUMIF(RawDataDead!$B:$B,$A3,RawDataDead!BC:BC)</f>
        <v>827</v>
      </c>
      <c r="BA3">
        <f>SUMIF(RawDataDead!$B:$B,$A3,RawDataDead!BD:BD)</f>
        <v>1266</v>
      </c>
      <c r="BB3">
        <f>SUMIF(RawDataDead!$B:$B,$A3,RawDataDead!BE:BE)</f>
        <v>1441</v>
      </c>
      <c r="BC3">
        <f>SUMIF(RawDataDead!$B:$B,$A3,RawDataDead!BF:BF)</f>
        <v>1809</v>
      </c>
      <c r="BD3">
        <f>SUMIF(RawDataDead!$B:$B,$A3,RawDataDead!BG:BG)</f>
        <v>2158</v>
      </c>
      <c r="BE3">
        <f>SUMIF(RawDataDead!$B:$B,$A3,RawDataDead!BH:BH)</f>
        <v>2503</v>
      </c>
      <c r="BF3">
        <f>SUMIF(RawDataDead!$B:$B,$A3,RawDataDead!BI:BI)</f>
        <v>0</v>
      </c>
      <c r="BG3">
        <f>SUMIF(RawDataDead!$B:$B,$A3,RawDataDead!BJ:BJ)</f>
        <v>0</v>
      </c>
      <c r="BH3">
        <f>SUMIF(RawDataDead!$B:$B,$A3,RawDataDead!BK:BK)</f>
        <v>0</v>
      </c>
      <c r="BI3">
        <f>SUMIF(RawDataDead!$B:$B,$A3,RawDataDead!BL:BL)</f>
        <v>0</v>
      </c>
      <c r="BJ3">
        <f>SUMIF(RawDataDead!$B:$B,$A3,RawDataDead!BM:BM)</f>
        <v>0</v>
      </c>
      <c r="BK3">
        <f>SUMIF(RawDataDead!$B:$B,$A3,RawDataDead!BN:BN)</f>
        <v>0</v>
      </c>
      <c r="BL3">
        <f>SUMIF(RawDataDead!$B:$B,$A3,RawDataDead!BO:BO)</f>
        <v>0</v>
      </c>
      <c r="BM3">
        <f>SUMIF(RawDataDead!$B:$B,$A3,RawDataDead!BP:BP)</f>
        <v>0</v>
      </c>
      <c r="BN3">
        <f>SUMIF(RawDataDead!$B:$B,$A3,RawDataDead!BQ:BQ)</f>
        <v>0</v>
      </c>
      <c r="BO3">
        <f>SUMIF(RawDataDead!$B:$B,$A3,RawDataDead!BR:BR)</f>
        <v>0</v>
      </c>
      <c r="BP3">
        <f>SUMIF(RawDataDead!$B:$B,$A3,RawDataDead!BS:BS)</f>
        <v>0</v>
      </c>
      <c r="BQ3">
        <f>SUMIF(RawDataDead!$B:$B,$A3,RawDataDead!BT:BT)</f>
        <v>0</v>
      </c>
      <c r="BR3">
        <f>SUMIF(RawDataDead!$B:$B,$A3,RawDataDead!BU:BU)</f>
        <v>0</v>
      </c>
      <c r="BS3">
        <f>SUMIF(RawDataDead!$B:$B,$A3,RawDataDead!BV:BV)</f>
        <v>0</v>
      </c>
      <c r="BT3">
        <f>SUMIF(RawDataDead!$B:$B,$A3,RawDataDead!BW:BW)</f>
        <v>0</v>
      </c>
    </row>
    <row r="4" spans="1:72" ht="15" thickBot="1" x14ac:dyDescent="0.35">
      <c r="A4" s="4" t="s">
        <v>366</v>
      </c>
      <c r="B4">
        <f>SUMIF(RawDataDead!$B:$B,$A4,RawDataDead!E:E)</f>
        <v>0</v>
      </c>
      <c r="C4">
        <f>SUMIF(RawDataDead!$B:$B,$A4,RawDataDead!F:F)</f>
        <v>0</v>
      </c>
      <c r="D4">
        <f>SUMIF(RawDataDead!$B:$B,$A4,RawDataDead!G:G)</f>
        <v>0</v>
      </c>
      <c r="E4">
        <f>SUMIF(RawDataDead!$B:$B,$A4,RawDataDead!H:H)</f>
        <v>0</v>
      </c>
      <c r="F4">
        <f>SUMIF(RawDataDead!$B:$B,$A4,RawDataDead!I:I)</f>
        <v>0</v>
      </c>
      <c r="G4">
        <f>SUMIF(RawDataDead!$B:$B,$A4,RawDataDead!J:J)</f>
        <v>0</v>
      </c>
      <c r="H4">
        <f>SUMIF(RawDataDead!$B:$B,$A4,RawDataDead!K:K)</f>
        <v>0</v>
      </c>
      <c r="I4">
        <f>SUMIF(RawDataDead!$B:$B,$A4,RawDataDead!L:L)</f>
        <v>0</v>
      </c>
      <c r="J4">
        <f>SUMIF(RawDataDead!$B:$B,$A4,RawDataDead!M:M)</f>
        <v>0</v>
      </c>
      <c r="K4">
        <f>SUMIF(RawDataDead!$B:$B,$A4,RawDataDead!N:N)</f>
        <v>0</v>
      </c>
      <c r="L4">
        <f>SUMIF(RawDataDead!$B:$B,$A4,RawDataDead!O:O)</f>
        <v>0</v>
      </c>
      <c r="M4">
        <f>SUMIF(RawDataDead!$B:$B,$A4,RawDataDead!P:P)</f>
        <v>0</v>
      </c>
      <c r="N4">
        <f>SUMIF(RawDataDead!$B:$B,$A4,RawDataDead!Q:Q)</f>
        <v>0</v>
      </c>
      <c r="O4">
        <f>SUMIF(RawDataDead!$B:$B,$A4,RawDataDead!R:R)</f>
        <v>0</v>
      </c>
      <c r="P4">
        <f>SUMIF(RawDataDead!$B:$B,$A4,RawDataDead!S:S)</f>
        <v>0</v>
      </c>
      <c r="Q4">
        <f>SUMIF(RawDataDead!$B:$B,$A4,RawDataDead!T:T)</f>
        <v>0</v>
      </c>
      <c r="R4">
        <f>SUMIF(RawDataDead!$B:$B,$A4,RawDataDead!U:U)</f>
        <v>0</v>
      </c>
      <c r="S4">
        <f>SUMIF(RawDataDead!$B:$B,$A4,RawDataDead!V:V)</f>
        <v>0</v>
      </c>
      <c r="T4">
        <f>SUMIF(RawDataDead!$B:$B,$A4,RawDataDead!W:W)</f>
        <v>0</v>
      </c>
      <c r="U4">
        <f>SUMIF(RawDataDead!$B:$B,$A4,RawDataDead!X:X)</f>
        <v>0</v>
      </c>
      <c r="V4">
        <f>SUMIF(RawDataDead!$B:$B,$A4,RawDataDead!Y:Y)</f>
        <v>0</v>
      </c>
      <c r="W4">
        <f>SUMIF(RawDataDead!$B:$B,$A4,RawDataDead!Z:Z)</f>
        <v>0</v>
      </c>
      <c r="X4">
        <f>SUMIF(RawDataDead!$B:$B,$A4,RawDataDead!AA:AA)</f>
        <v>0</v>
      </c>
      <c r="Y4">
        <f>SUMIF(RawDataDead!$B:$B,$A4,RawDataDead!AB:AB)</f>
        <v>0</v>
      </c>
      <c r="Z4">
        <f>SUMIF(RawDataDead!$B:$B,$A4,RawDataDead!AC:AC)</f>
        <v>0</v>
      </c>
      <c r="AA4">
        <f>SUMIF(RawDataDead!$B:$B,$A4,RawDataDead!AD:AD)</f>
        <v>0</v>
      </c>
      <c r="AB4">
        <f>SUMIF(RawDataDead!$B:$B,$A4,RawDataDead!AE:AE)</f>
        <v>0</v>
      </c>
      <c r="AC4">
        <f>SUMIF(RawDataDead!$B:$B,$A4,RawDataDead!AF:AF)</f>
        <v>0</v>
      </c>
      <c r="AD4">
        <f>SUMIF(RawDataDead!$B:$B,$A4,RawDataDead!AG:AG)</f>
        <v>2</v>
      </c>
      <c r="AE4">
        <f>SUMIF(RawDataDead!$B:$B,$A4,RawDataDead!AH:AH)</f>
        <v>2</v>
      </c>
      <c r="AF4">
        <f>SUMIF(RawDataDead!$B:$B,$A4,RawDataDead!AI:AI)</f>
        <v>4</v>
      </c>
      <c r="AG4">
        <f>SUMIF(RawDataDead!$B:$B,$A4,RawDataDead!AJ:AJ)</f>
        <v>5</v>
      </c>
      <c r="AH4">
        <f>SUMIF(RawDataDead!$B:$B,$A4,RawDataDead!AK:AK)</f>
        <v>8</v>
      </c>
      <c r="AI4">
        <f>SUMIF(RawDataDead!$B:$B,$A4,RawDataDead!AL:AL)</f>
        <v>12</v>
      </c>
      <c r="AJ4">
        <f>SUMIF(RawDataDead!$B:$B,$A4,RawDataDead!AM:AM)</f>
        <v>16</v>
      </c>
      <c r="AK4">
        <f>SUMIF(RawDataDead!$B:$B,$A4,RawDataDead!AN:AN)</f>
        <v>19</v>
      </c>
      <c r="AL4">
        <f>SUMIF(RawDataDead!$B:$B,$A4,RawDataDead!AO:AO)</f>
        <v>26</v>
      </c>
      <c r="AM4">
        <f>SUMIF(RawDataDead!$B:$B,$A4,RawDataDead!AP:AP)</f>
        <v>34</v>
      </c>
      <c r="AN4">
        <f>SUMIF(RawDataDead!$B:$B,$A4,RawDataDead!AQ:AQ)</f>
        <v>43</v>
      </c>
      <c r="AO4">
        <f>SUMIF(RawDataDead!$B:$B,$A4,RawDataDead!AR:AR)</f>
        <v>54</v>
      </c>
      <c r="AP4">
        <f>SUMIF(RawDataDead!$B:$B,$A4,RawDataDead!AS:AS)</f>
        <v>66</v>
      </c>
      <c r="AQ4">
        <f>SUMIF(RawDataDead!$B:$B,$A4,RawDataDead!AT:AT)</f>
        <v>77</v>
      </c>
      <c r="AR4">
        <f>SUMIF(RawDataDead!$B:$B,$A4,RawDataDead!AU:AU)</f>
        <v>92</v>
      </c>
      <c r="AS4">
        <f>SUMIF(RawDataDead!$B:$B,$A4,RawDataDead!AV:AV)</f>
        <v>107</v>
      </c>
      <c r="AT4">
        <f>SUMIF(RawDataDead!$B:$B,$A4,RawDataDead!AW:AW)</f>
        <v>124</v>
      </c>
      <c r="AU4">
        <f>SUMIF(RawDataDead!$B:$B,$A4,RawDataDead!AX:AX)</f>
        <v>145</v>
      </c>
      <c r="AV4">
        <f>SUMIF(RawDataDead!$B:$B,$A4,RawDataDead!AY:AY)</f>
        <v>194</v>
      </c>
      <c r="AW4">
        <f>SUMIF(RawDataDead!$B:$B,$A4,RawDataDead!AZ:AZ)</f>
        <v>237</v>
      </c>
      <c r="AX4">
        <f>SUMIF(RawDataDead!$B:$B,$A4,RawDataDead!BA:BA)</f>
        <v>291</v>
      </c>
      <c r="AY4">
        <f>SUMIF(RawDataDead!$B:$B,$A4,RawDataDead!BB:BB)</f>
        <v>354</v>
      </c>
      <c r="AZ4">
        <f>SUMIF(RawDataDead!$B:$B,$A4,RawDataDead!BC:BC)</f>
        <v>429</v>
      </c>
      <c r="BA4">
        <f>SUMIF(RawDataDead!$B:$B,$A4,RawDataDead!BD:BD)</f>
        <v>514</v>
      </c>
      <c r="BB4">
        <f>SUMIF(RawDataDead!$B:$B,$A4,RawDataDead!BE:BE)</f>
        <v>611</v>
      </c>
      <c r="BC4">
        <f>SUMIF(RawDataDead!$B:$B,$A4,RawDataDead!BF:BF)</f>
        <v>724</v>
      </c>
      <c r="BD4">
        <f>SUMIF(RawDataDead!$B:$B,$A4,RawDataDead!BG:BG)</f>
        <v>853</v>
      </c>
      <c r="BE4">
        <f>SUMIF(RawDataDead!$B:$B,$A4,RawDataDead!BH:BH)</f>
        <v>988</v>
      </c>
      <c r="BF4">
        <f>SUMIF(RawDataDead!$B:$B,$A4,RawDataDead!BI:BI)</f>
        <v>0</v>
      </c>
      <c r="BG4">
        <f>SUMIF(RawDataDead!$B:$B,$A4,RawDataDead!BJ:BJ)</f>
        <v>0</v>
      </c>
      <c r="BH4">
        <f>SUMIF(RawDataDead!$B:$B,$A4,RawDataDead!BK:BK)</f>
        <v>0</v>
      </c>
      <c r="BI4">
        <f>SUMIF(RawDataDead!$B:$B,$A4,RawDataDead!BL:BL)</f>
        <v>0</v>
      </c>
      <c r="BJ4">
        <f>SUMIF(RawDataDead!$B:$B,$A4,RawDataDead!BM:BM)</f>
        <v>0</v>
      </c>
      <c r="BK4">
        <f>SUMIF(RawDataDead!$B:$B,$A4,RawDataDead!BN:BN)</f>
        <v>0</v>
      </c>
      <c r="BL4">
        <f>SUMIF(RawDataDead!$B:$B,$A4,RawDataDead!BO:BO)</f>
        <v>0</v>
      </c>
      <c r="BM4">
        <f>SUMIF(RawDataDead!$B:$B,$A4,RawDataDead!BP:BP)</f>
        <v>0</v>
      </c>
      <c r="BN4">
        <f>SUMIF(RawDataDead!$B:$B,$A4,RawDataDead!BQ:BQ)</f>
        <v>0</v>
      </c>
      <c r="BO4">
        <f>SUMIF(RawDataDead!$B:$B,$A4,RawDataDead!BR:BR)</f>
        <v>0</v>
      </c>
      <c r="BP4">
        <f>SUMIF(RawDataDead!$B:$B,$A4,RawDataDead!BS:BS)</f>
        <v>0</v>
      </c>
      <c r="BQ4">
        <f>SUMIF(RawDataDead!$B:$B,$A4,RawDataDead!BT:BT)</f>
        <v>0</v>
      </c>
      <c r="BR4">
        <f>SUMIF(RawDataDead!$B:$B,$A4,RawDataDead!BU:BU)</f>
        <v>0</v>
      </c>
      <c r="BS4">
        <f>SUMIF(RawDataDead!$B:$B,$A4,RawDataDead!BV:BV)</f>
        <v>0</v>
      </c>
      <c r="BT4">
        <f>SUMIF(RawDataDead!$B:$B,$A4,RawDataDead!BW:BW)</f>
        <v>0</v>
      </c>
    </row>
    <row r="5" spans="1:72" ht="15" thickBot="1" x14ac:dyDescent="0.35">
      <c r="A5" s="3" t="s">
        <v>367</v>
      </c>
      <c r="B5">
        <f>SUMIF(RawDataDead!$B:$B,$A5,RawDataDead!E:E)</f>
        <v>0</v>
      </c>
      <c r="C5">
        <f>SUMIF(RawDataDead!$B:$B,$A5,RawDataDead!F:F)</f>
        <v>0</v>
      </c>
      <c r="D5">
        <f>SUMIF(RawDataDead!$B:$B,$A5,RawDataDead!G:G)</f>
        <v>0</v>
      </c>
      <c r="E5">
        <f>SUMIF(RawDataDead!$B:$B,$A5,RawDataDead!H:H)</f>
        <v>0</v>
      </c>
      <c r="F5">
        <f>SUMIF(RawDataDead!$B:$B,$A5,RawDataDead!I:I)</f>
        <v>0</v>
      </c>
      <c r="G5">
        <f>SUMIF(RawDataDead!$B:$B,$A5,RawDataDead!J:J)</f>
        <v>0</v>
      </c>
      <c r="H5">
        <f>SUMIF(RawDataDead!$B:$B,$A5,RawDataDead!K:K)</f>
        <v>0</v>
      </c>
      <c r="I5">
        <f>SUMIF(RawDataDead!$B:$B,$A5,RawDataDead!L:L)</f>
        <v>0</v>
      </c>
      <c r="J5">
        <f>SUMIF(RawDataDead!$B:$B,$A5,RawDataDead!M:M)</f>
        <v>0</v>
      </c>
      <c r="K5">
        <f>SUMIF(RawDataDead!$B:$B,$A5,RawDataDead!N:N)</f>
        <v>0</v>
      </c>
      <c r="L5">
        <f>SUMIF(RawDataDead!$B:$B,$A5,RawDataDead!O:O)</f>
        <v>0</v>
      </c>
      <c r="M5">
        <f>SUMIF(RawDataDead!$B:$B,$A5,RawDataDead!P:P)</f>
        <v>0</v>
      </c>
      <c r="N5">
        <f>SUMIF(RawDataDead!$B:$B,$A5,RawDataDead!Q:Q)</f>
        <v>0</v>
      </c>
      <c r="O5">
        <f>SUMIF(RawDataDead!$B:$B,$A5,RawDataDead!R:R)</f>
        <v>0</v>
      </c>
      <c r="P5">
        <f>SUMIF(RawDataDead!$B:$B,$A5,RawDataDead!S:S)</f>
        <v>0</v>
      </c>
      <c r="Q5">
        <f>SUMIF(RawDataDead!$B:$B,$A5,RawDataDead!T:T)</f>
        <v>0</v>
      </c>
      <c r="R5">
        <f>SUMIF(RawDataDead!$B:$B,$A5,RawDataDead!U:U)</f>
        <v>0</v>
      </c>
      <c r="S5">
        <f>SUMIF(RawDataDead!$B:$B,$A5,RawDataDead!V:V)</f>
        <v>0</v>
      </c>
      <c r="T5">
        <f>SUMIF(RawDataDead!$B:$B,$A5,RawDataDead!W:W)</f>
        <v>0</v>
      </c>
      <c r="U5">
        <f>SUMIF(RawDataDead!$B:$B,$A5,RawDataDead!X:X)</f>
        <v>0</v>
      </c>
      <c r="V5">
        <f>SUMIF(RawDataDead!$B:$B,$A5,RawDataDead!Y:Y)</f>
        <v>0</v>
      </c>
      <c r="W5">
        <f>SUMIF(RawDataDead!$B:$B,$A5,RawDataDead!Z:Z)</f>
        <v>0</v>
      </c>
      <c r="X5">
        <f>SUMIF(RawDataDead!$B:$B,$A5,RawDataDead!AA:AA)</f>
        <v>0</v>
      </c>
      <c r="Y5">
        <f>SUMIF(RawDataDead!$B:$B,$A5,RawDataDead!AB:AB)</f>
        <v>0</v>
      </c>
      <c r="Z5">
        <f>SUMIF(RawDataDead!$B:$B,$A5,RawDataDead!AC:AC)</f>
        <v>0</v>
      </c>
      <c r="AA5">
        <f>SUMIF(RawDataDead!$B:$B,$A5,RawDataDead!AD:AD)</f>
        <v>0</v>
      </c>
      <c r="AB5">
        <f>SUMIF(RawDataDead!$B:$B,$A5,RawDataDead!AE:AE)</f>
        <v>0</v>
      </c>
      <c r="AC5">
        <f>SUMIF(RawDataDead!$B:$B,$A5,RawDataDead!AF:AF)</f>
        <v>0</v>
      </c>
      <c r="AD5">
        <f>SUMIF(RawDataDead!$B:$B,$A5,RawDataDead!AG:AG)</f>
        <v>0</v>
      </c>
      <c r="AE5">
        <f>SUMIF(RawDataDead!$B:$B,$A5,RawDataDead!AH:AH)</f>
        <v>1</v>
      </c>
      <c r="AF5">
        <f>SUMIF(RawDataDead!$B:$B,$A5,RawDataDead!AI:AI)</f>
        <v>2</v>
      </c>
      <c r="AG5">
        <f>SUMIF(RawDataDead!$B:$B,$A5,RawDataDead!AJ:AJ)</f>
        <v>2</v>
      </c>
      <c r="AH5">
        <f>SUMIF(RawDataDead!$B:$B,$A5,RawDataDead!AK:AK)</f>
        <v>6</v>
      </c>
      <c r="AI5">
        <f>SUMIF(RawDataDead!$B:$B,$A5,RawDataDead!AL:AL)</f>
        <v>8</v>
      </c>
      <c r="AJ5">
        <f>SUMIF(RawDataDead!$B:$B,$A5,RawDataDead!AM:AM)</f>
        <v>10</v>
      </c>
      <c r="AK5">
        <f>SUMIF(RawDataDead!$B:$B,$A5,RawDataDead!AN:AN)</f>
        <v>12</v>
      </c>
      <c r="AL5">
        <f>SUMIF(RawDataDead!$B:$B,$A5,RawDataDead!AO:AO)</f>
        <v>13</v>
      </c>
      <c r="AM5">
        <f>SUMIF(RawDataDead!$B:$B,$A5,RawDataDead!AP:AP)</f>
        <v>13</v>
      </c>
      <c r="AN5">
        <f>SUMIF(RawDataDead!$B:$B,$A5,RawDataDead!AQ:AQ)</f>
        <v>16</v>
      </c>
      <c r="AO5">
        <f>SUMIF(RawDataDead!$B:$B,$A5,RawDataDead!AR:AR)</f>
        <v>17</v>
      </c>
      <c r="AP5">
        <f>SUMIF(RawDataDead!$B:$B,$A5,RawDataDead!AS:AS)</f>
        <v>28</v>
      </c>
      <c r="AQ5">
        <f>SUMIF(RawDataDead!$B:$B,$A5,RawDataDead!AT:AT)</f>
        <v>28</v>
      </c>
      <c r="AR5">
        <f>SUMIF(RawDataDead!$B:$B,$A5,RawDataDead!AU:AU)</f>
        <v>35</v>
      </c>
      <c r="AS5">
        <f>SUMIF(RawDataDead!$B:$B,$A5,RawDataDead!AV:AV)</f>
        <v>35</v>
      </c>
      <c r="AT5">
        <f>SUMIF(RawDataDead!$B:$B,$A5,RawDataDead!AW:AW)</f>
        <v>42</v>
      </c>
      <c r="AU5">
        <f>SUMIF(RawDataDead!$B:$B,$A5,RawDataDead!AX:AX)</f>
        <v>44</v>
      </c>
      <c r="AV5">
        <f>SUMIF(RawDataDead!$B:$B,$A5,RawDataDead!AY:AY)</f>
        <v>50</v>
      </c>
      <c r="AW5">
        <f>SUMIF(RawDataDead!$B:$B,$A5,RawDataDead!AZ:AZ)</f>
        <v>53</v>
      </c>
      <c r="AX5">
        <f>SUMIF(RawDataDead!$B:$B,$A5,RawDataDead!BA:BA)</f>
        <v>54</v>
      </c>
      <c r="AY5">
        <f>SUMIF(RawDataDead!$B:$B,$A5,RawDataDead!BB:BB)</f>
        <v>60</v>
      </c>
      <c r="AZ5">
        <f>SUMIF(RawDataDead!$B:$B,$A5,RawDataDead!BC:BC)</f>
        <v>66</v>
      </c>
      <c r="BA5">
        <f>SUMIF(RawDataDead!$B:$B,$A5,RawDataDead!BD:BD)</f>
        <v>66</v>
      </c>
      <c r="BB5">
        <f>SUMIF(RawDataDead!$B:$B,$A5,RawDataDead!BE:BE)</f>
        <v>72</v>
      </c>
      <c r="BC5">
        <f>SUMIF(RawDataDead!$B:$B,$A5,RawDataDead!BF:BF)</f>
        <v>75</v>
      </c>
      <c r="BD5">
        <f>SUMIF(RawDataDead!$B:$B,$A5,RawDataDead!BG:BG)</f>
        <v>75</v>
      </c>
      <c r="BE5">
        <f>SUMIF(RawDataDead!$B:$B,$A5,RawDataDead!BH:BH)</f>
        <v>81</v>
      </c>
      <c r="BF5">
        <f>SUMIF(RawDataDead!$B:$B,$A5,RawDataDead!BI:BI)</f>
        <v>0</v>
      </c>
      <c r="BG5">
        <f>SUMIF(RawDataDead!$B:$B,$A5,RawDataDead!BJ:BJ)</f>
        <v>0</v>
      </c>
      <c r="BH5">
        <f>SUMIF(RawDataDead!$B:$B,$A5,RawDataDead!BK:BK)</f>
        <v>0</v>
      </c>
      <c r="BI5">
        <f>SUMIF(RawDataDead!$B:$B,$A5,RawDataDead!BL:BL)</f>
        <v>0</v>
      </c>
      <c r="BJ5">
        <f>SUMIF(RawDataDead!$B:$B,$A5,RawDataDead!BM:BM)</f>
        <v>0</v>
      </c>
      <c r="BK5">
        <f>SUMIF(RawDataDead!$B:$B,$A5,RawDataDead!BN:BN)</f>
        <v>0</v>
      </c>
      <c r="BL5">
        <f>SUMIF(RawDataDead!$B:$B,$A5,RawDataDead!BO:BO)</f>
        <v>0</v>
      </c>
      <c r="BM5">
        <f>SUMIF(RawDataDead!$B:$B,$A5,RawDataDead!BP:BP)</f>
        <v>0</v>
      </c>
      <c r="BN5">
        <f>SUMIF(RawDataDead!$B:$B,$A5,RawDataDead!BQ:BQ)</f>
        <v>0</v>
      </c>
      <c r="BO5">
        <f>SUMIF(RawDataDead!$B:$B,$A5,RawDataDead!BR:BR)</f>
        <v>0</v>
      </c>
      <c r="BP5">
        <f>SUMIF(RawDataDead!$B:$B,$A5,RawDataDead!BS:BS)</f>
        <v>0</v>
      </c>
      <c r="BQ5">
        <f>SUMIF(RawDataDead!$B:$B,$A5,RawDataDead!BT:BT)</f>
        <v>0</v>
      </c>
      <c r="BR5">
        <f>SUMIF(RawDataDead!$B:$B,$A5,RawDataDead!BU:BU)</f>
        <v>0</v>
      </c>
      <c r="BS5">
        <f>SUMIF(RawDataDead!$B:$B,$A5,RawDataDead!BV:BV)</f>
        <v>0</v>
      </c>
      <c r="BT5">
        <f>SUMIF(RawDataDead!$B:$B,$A5,RawDataDead!BW:BW)</f>
        <v>0</v>
      </c>
    </row>
    <row r="6" spans="1:72" ht="15" thickBot="1" x14ac:dyDescent="0.35">
      <c r="A6" s="3" t="s">
        <v>87</v>
      </c>
      <c r="B6">
        <f>SUMIF(RawDataDead!$B:$B,$A6,RawDataDead!E:E)</f>
        <v>0</v>
      </c>
      <c r="C6">
        <f>SUMIF(RawDataDead!$B:$B,$A6,RawDataDead!F:F)</f>
        <v>0</v>
      </c>
      <c r="D6">
        <f>SUMIF(RawDataDead!$B:$B,$A6,RawDataDead!G:G)</f>
        <v>0</v>
      </c>
      <c r="E6">
        <f>SUMIF(RawDataDead!$B:$B,$A6,RawDataDead!H:H)</f>
        <v>0</v>
      </c>
      <c r="F6">
        <f>SUMIF(RawDataDead!$B:$B,$A6,RawDataDead!I:I)</f>
        <v>0</v>
      </c>
      <c r="G6">
        <f>SUMIF(RawDataDead!$B:$B,$A6,RawDataDead!J:J)</f>
        <v>0</v>
      </c>
      <c r="H6">
        <f>SUMIF(RawDataDead!$B:$B,$A6,RawDataDead!K:K)</f>
        <v>0</v>
      </c>
      <c r="I6">
        <f>SUMIF(RawDataDead!$B:$B,$A6,RawDataDead!L:L)</f>
        <v>0</v>
      </c>
      <c r="J6">
        <f>SUMIF(RawDataDead!$B:$B,$A6,RawDataDead!M:M)</f>
        <v>0</v>
      </c>
      <c r="K6">
        <f>SUMIF(RawDataDead!$B:$B,$A6,RawDataDead!N:N)</f>
        <v>0</v>
      </c>
      <c r="L6">
        <f>SUMIF(RawDataDead!$B:$B,$A6,RawDataDead!O:O)</f>
        <v>0</v>
      </c>
      <c r="M6">
        <f>SUMIF(RawDataDead!$B:$B,$A6,RawDataDead!P:P)</f>
        <v>0</v>
      </c>
      <c r="N6">
        <f>SUMIF(RawDataDead!$B:$B,$A6,RawDataDead!Q:Q)</f>
        <v>0</v>
      </c>
      <c r="O6">
        <f>SUMIF(RawDataDead!$B:$B,$A6,RawDataDead!R:R)</f>
        <v>0</v>
      </c>
      <c r="P6">
        <f>SUMIF(RawDataDead!$B:$B,$A6,RawDataDead!S:S)</f>
        <v>0</v>
      </c>
      <c r="Q6">
        <f>SUMIF(RawDataDead!$B:$B,$A6,RawDataDead!T:T)</f>
        <v>0</v>
      </c>
      <c r="R6">
        <f>SUMIF(RawDataDead!$B:$B,$A6,RawDataDead!U:U)</f>
        <v>0</v>
      </c>
      <c r="S6">
        <f>SUMIF(RawDataDead!$B:$B,$A6,RawDataDead!V:V)</f>
        <v>0</v>
      </c>
      <c r="T6">
        <f>SUMIF(RawDataDead!$B:$B,$A6,RawDataDead!W:W)</f>
        <v>0</v>
      </c>
      <c r="U6">
        <f>SUMIF(RawDataDead!$B:$B,$A6,RawDataDead!X:X)</f>
        <v>0</v>
      </c>
      <c r="V6">
        <f>SUMIF(RawDataDead!$B:$B,$A6,RawDataDead!Y:Y)</f>
        <v>0</v>
      </c>
      <c r="W6">
        <f>SUMIF(RawDataDead!$B:$B,$A6,RawDataDead!Z:Z)</f>
        <v>0</v>
      </c>
      <c r="X6">
        <f>SUMIF(RawDataDead!$B:$B,$A6,RawDataDead!AA:AA)</f>
        <v>0</v>
      </c>
      <c r="Y6">
        <f>SUMIF(RawDataDead!$B:$B,$A6,RawDataDead!AB:AB)</f>
        <v>0</v>
      </c>
      <c r="Z6">
        <f>SUMIF(RawDataDead!$B:$B,$A6,RawDataDead!AC:AC)</f>
        <v>0</v>
      </c>
      <c r="AA6">
        <f>SUMIF(RawDataDead!$B:$B,$A6,RawDataDead!AD:AD)</f>
        <v>0</v>
      </c>
      <c r="AB6">
        <f>SUMIF(RawDataDead!$B:$B,$A6,RawDataDead!AE:AE)</f>
        <v>0</v>
      </c>
      <c r="AC6">
        <f>SUMIF(RawDataDead!$B:$B,$A6,RawDataDead!AF:AF)</f>
        <v>0</v>
      </c>
      <c r="AD6">
        <f>SUMIF(RawDataDead!$B:$B,$A6,RawDataDead!AG:AG)</f>
        <v>0</v>
      </c>
      <c r="AE6">
        <f>SUMIF(RawDataDead!$B:$B,$A6,RawDataDead!AH:AH)</f>
        <v>0</v>
      </c>
      <c r="AF6">
        <f>SUMIF(RawDataDead!$B:$B,$A6,RawDataDead!AI:AI)</f>
        <v>0</v>
      </c>
      <c r="AG6">
        <f>SUMIF(RawDataDead!$B:$B,$A6,RawDataDead!AJ:AJ)</f>
        <v>0</v>
      </c>
      <c r="AH6">
        <f>SUMIF(RawDataDead!$B:$B,$A6,RawDataDead!AK:AK)</f>
        <v>0</v>
      </c>
      <c r="AI6">
        <f>SUMIF(RawDataDead!$B:$B,$A6,RawDataDead!AL:AL)</f>
        <v>0</v>
      </c>
      <c r="AJ6">
        <f>SUMIF(RawDataDead!$B:$B,$A6,RawDataDead!AM:AM)</f>
        <v>0</v>
      </c>
      <c r="AK6">
        <f>SUMIF(RawDataDead!$B:$B,$A6,RawDataDead!AN:AN)</f>
        <v>0</v>
      </c>
      <c r="AL6">
        <f>SUMIF(RawDataDead!$B:$B,$A6,RawDataDead!AO:AO)</f>
        <v>0</v>
      </c>
      <c r="AM6">
        <f>SUMIF(RawDataDead!$B:$B,$A6,RawDataDead!AP:AP)</f>
        <v>0</v>
      </c>
      <c r="AN6">
        <f>SUMIF(RawDataDead!$B:$B,$A6,RawDataDead!AQ:AQ)</f>
        <v>0</v>
      </c>
      <c r="AO6">
        <f>SUMIF(RawDataDead!$B:$B,$A6,RawDataDead!AR:AR)</f>
        <v>0</v>
      </c>
      <c r="AP6">
        <f>SUMIF(RawDataDead!$B:$B,$A6,RawDataDead!AS:AS)</f>
        <v>0</v>
      </c>
      <c r="AQ6">
        <f>SUMIF(RawDataDead!$B:$B,$A6,RawDataDead!AT:AT)</f>
        <v>1</v>
      </c>
      <c r="AR6">
        <f>SUMIF(RawDataDead!$B:$B,$A6,RawDataDead!AU:AU)</f>
        <v>2</v>
      </c>
      <c r="AS6">
        <f>SUMIF(RawDataDead!$B:$B,$A6,RawDataDead!AV:AV)</f>
        <v>3</v>
      </c>
      <c r="AT6">
        <f>SUMIF(RawDataDead!$B:$B,$A6,RawDataDead!AW:AW)</f>
        <v>5</v>
      </c>
      <c r="AU6">
        <f>SUMIF(RawDataDead!$B:$B,$A6,RawDataDead!AX:AX)</f>
        <v>10</v>
      </c>
      <c r="AV6">
        <f>SUMIF(RawDataDead!$B:$B,$A6,RawDataDead!AY:AY)</f>
        <v>17</v>
      </c>
      <c r="AW6">
        <f>SUMIF(RawDataDead!$B:$B,$A6,RawDataDead!AZ:AZ)</f>
        <v>28</v>
      </c>
      <c r="AX6">
        <f>SUMIF(RawDataDead!$B:$B,$A6,RawDataDead!BA:BA)</f>
        <v>35</v>
      </c>
      <c r="AY6">
        <f>SUMIF(RawDataDead!$B:$B,$A6,RawDataDead!BB:BB)</f>
        <v>54</v>
      </c>
      <c r="AZ6">
        <f>SUMIF(RawDataDead!$B:$B,$A6,RawDataDead!BC:BC)</f>
        <v>55</v>
      </c>
      <c r="BA6">
        <f>SUMIF(RawDataDead!$B:$B,$A6,RawDataDead!BD:BD)</f>
        <v>133</v>
      </c>
      <c r="BB6">
        <f>SUMIF(RawDataDead!$B:$B,$A6,RawDataDead!BE:BE)</f>
        <v>195</v>
      </c>
      <c r="BC6">
        <f>SUMIF(RawDataDead!$B:$B,$A6,RawDataDead!BF:BF)</f>
        <v>289</v>
      </c>
      <c r="BD6">
        <f>SUMIF(RawDataDead!$B:$B,$A6,RawDataDead!BG:BG)</f>
        <v>342</v>
      </c>
      <c r="BE6">
        <f>SUMIF(RawDataDead!$B:$B,$A6,RawDataDead!BH:BH)</f>
        <v>533</v>
      </c>
      <c r="BF6">
        <f>SUMIF(RawDataDead!$B:$B,$A6,RawDataDead!BI:BI)</f>
        <v>0</v>
      </c>
      <c r="BG6">
        <f>SUMIF(RawDataDead!$B:$B,$A6,RawDataDead!BJ:BJ)</f>
        <v>0</v>
      </c>
      <c r="BH6">
        <f>SUMIF(RawDataDead!$B:$B,$A6,RawDataDead!BK:BK)</f>
        <v>0</v>
      </c>
      <c r="BI6">
        <f>SUMIF(RawDataDead!$B:$B,$A6,RawDataDead!BL:BL)</f>
        <v>0</v>
      </c>
      <c r="BJ6">
        <f>SUMIF(RawDataDead!$B:$B,$A6,RawDataDead!BM:BM)</f>
        <v>0</v>
      </c>
      <c r="BK6">
        <f>SUMIF(RawDataDead!$B:$B,$A6,RawDataDead!BN:BN)</f>
        <v>0</v>
      </c>
      <c r="BL6">
        <f>SUMIF(RawDataDead!$B:$B,$A6,RawDataDead!BO:BO)</f>
        <v>0</v>
      </c>
      <c r="BM6">
        <f>SUMIF(RawDataDead!$B:$B,$A6,RawDataDead!BP:BP)</f>
        <v>0</v>
      </c>
      <c r="BN6">
        <f>SUMIF(RawDataDead!$B:$B,$A6,RawDataDead!BQ:BQ)</f>
        <v>0</v>
      </c>
      <c r="BO6">
        <f>SUMIF(RawDataDead!$B:$B,$A6,RawDataDead!BR:BR)</f>
        <v>0</v>
      </c>
      <c r="BP6">
        <f>SUMIF(RawDataDead!$B:$B,$A6,RawDataDead!BS:BS)</f>
        <v>0</v>
      </c>
      <c r="BQ6">
        <f>SUMIF(RawDataDead!$B:$B,$A6,RawDataDead!BT:BT)</f>
        <v>0</v>
      </c>
      <c r="BR6">
        <f>SUMIF(RawDataDead!$B:$B,$A6,RawDataDead!BU:BU)</f>
        <v>0</v>
      </c>
      <c r="BS6">
        <f>SUMIF(RawDataDead!$B:$B,$A6,RawDataDead!BV:BV)</f>
        <v>0</v>
      </c>
      <c r="BT6">
        <f>SUMIF(RawDataDead!$B:$B,$A6,RawDataDead!BW:BW)</f>
        <v>0</v>
      </c>
    </row>
    <row r="7" spans="1:72" ht="15" thickBot="1" x14ac:dyDescent="0.35">
      <c r="A7" s="4" t="s">
        <v>80</v>
      </c>
      <c r="B7">
        <f>SUMIF(RawDataDead!$B:$B,$A7,RawDataDead!E:E)</f>
        <v>0</v>
      </c>
      <c r="C7">
        <f>SUMIF(RawDataDead!$B:$B,$A7,RawDataDead!F:F)</f>
        <v>0</v>
      </c>
      <c r="D7">
        <f>SUMIF(RawDataDead!$B:$B,$A7,RawDataDead!G:G)</f>
        <v>0</v>
      </c>
      <c r="E7">
        <f>SUMIF(RawDataDead!$B:$B,$A7,RawDataDead!H:H)</f>
        <v>0</v>
      </c>
      <c r="F7">
        <f>SUMIF(RawDataDead!$B:$B,$A7,RawDataDead!I:I)</f>
        <v>0</v>
      </c>
      <c r="G7">
        <f>SUMIF(RawDataDead!$B:$B,$A7,RawDataDead!J:J)</f>
        <v>0</v>
      </c>
      <c r="H7">
        <f>SUMIF(RawDataDead!$B:$B,$A7,RawDataDead!K:K)</f>
        <v>0</v>
      </c>
      <c r="I7">
        <f>SUMIF(RawDataDead!$B:$B,$A7,RawDataDead!L:L)</f>
        <v>0</v>
      </c>
      <c r="J7">
        <f>SUMIF(RawDataDead!$B:$B,$A7,RawDataDead!M:M)</f>
        <v>0</v>
      </c>
      <c r="K7">
        <f>SUMIF(RawDataDead!$B:$B,$A7,RawDataDead!N:N)</f>
        <v>0</v>
      </c>
      <c r="L7">
        <f>SUMIF(RawDataDead!$B:$B,$A7,RawDataDead!O:O)</f>
        <v>0</v>
      </c>
      <c r="M7">
        <f>SUMIF(RawDataDead!$B:$B,$A7,RawDataDead!P:P)</f>
        <v>0</v>
      </c>
      <c r="N7">
        <f>SUMIF(RawDataDead!$B:$B,$A7,RawDataDead!Q:Q)</f>
        <v>0</v>
      </c>
      <c r="O7">
        <f>SUMIF(RawDataDead!$B:$B,$A7,RawDataDead!R:R)</f>
        <v>0</v>
      </c>
      <c r="P7">
        <f>SUMIF(RawDataDead!$B:$B,$A7,RawDataDead!S:S)</f>
        <v>0</v>
      </c>
      <c r="Q7">
        <f>SUMIF(RawDataDead!$B:$B,$A7,RawDataDead!T:T)</f>
        <v>0</v>
      </c>
      <c r="R7">
        <f>SUMIF(RawDataDead!$B:$B,$A7,RawDataDead!U:U)</f>
        <v>0</v>
      </c>
      <c r="S7">
        <f>SUMIF(RawDataDead!$B:$B,$A7,RawDataDead!V:V)</f>
        <v>0</v>
      </c>
      <c r="T7">
        <f>SUMIF(RawDataDead!$B:$B,$A7,RawDataDead!W:W)</f>
        <v>0</v>
      </c>
      <c r="U7">
        <f>SUMIF(RawDataDead!$B:$B,$A7,RawDataDead!X:X)</f>
        <v>0</v>
      </c>
      <c r="V7">
        <f>SUMIF(RawDataDead!$B:$B,$A7,RawDataDead!Y:Y)</f>
        <v>0</v>
      </c>
      <c r="W7">
        <f>SUMIF(RawDataDead!$B:$B,$A7,RawDataDead!Z:Z)</f>
        <v>0</v>
      </c>
      <c r="X7">
        <f>SUMIF(RawDataDead!$B:$B,$A7,RawDataDead!AA:AA)</f>
        <v>0</v>
      </c>
      <c r="Y7">
        <f>SUMIF(RawDataDead!$B:$B,$A7,RawDataDead!AB:AB)</f>
        <v>0</v>
      </c>
      <c r="Z7">
        <f>SUMIF(RawDataDead!$B:$B,$A7,RawDataDead!AC:AC)</f>
        <v>0</v>
      </c>
      <c r="AA7">
        <f>SUMIF(RawDataDead!$B:$B,$A7,RawDataDead!AD:AD)</f>
        <v>0</v>
      </c>
      <c r="AB7">
        <f>SUMIF(RawDataDead!$B:$B,$A7,RawDataDead!AE:AE)</f>
        <v>0</v>
      </c>
      <c r="AC7">
        <f>SUMIF(RawDataDead!$B:$B,$A7,RawDataDead!AF:AF)</f>
        <v>0</v>
      </c>
      <c r="AD7">
        <f>SUMIF(RawDataDead!$B:$B,$A7,RawDataDead!AG:AG)</f>
        <v>0</v>
      </c>
      <c r="AE7">
        <f>SUMIF(RawDataDead!$B:$B,$A7,RawDataDead!AH:AH)</f>
        <v>0</v>
      </c>
      <c r="AF7">
        <f>SUMIF(RawDataDead!$B:$B,$A7,RawDataDead!AI:AI)</f>
        <v>0</v>
      </c>
      <c r="AG7">
        <f>SUMIF(RawDataDead!$B:$B,$A7,RawDataDead!AJ:AJ)</f>
        <v>0</v>
      </c>
      <c r="AH7">
        <f>SUMIF(RawDataDead!$B:$B,$A7,RawDataDead!AK:AK)</f>
        <v>0</v>
      </c>
      <c r="AI7">
        <f>SUMIF(RawDataDead!$B:$B,$A7,RawDataDead!AL:AL)</f>
        <v>0</v>
      </c>
      <c r="AJ7">
        <f>SUMIF(RawDataDead!$B:$B,$A7,RawDataDead!AM:AM)</f>
        <v>0</v>
      </c>
      <c r="AK7">
        <f>SUMIF(RawDataDead!$B:$B,$A7,RawDataDead!AN:AN)</f>
        <v>0</v>
      </c>
      <c r="AL7">
        <f>SUMIF(RawDataDead!$B:$B,$A7,RawDataDead!AO:AO)</f>
        <v>0</v>
      </c>
      <c r="AM7">
        <f>SUMIF(RawDataDead!$B:$B,$A7,RawDataDead!AP:AP)</f>
        <v>0</v>
      </c>
      <c r="AN7">
        <f>SUMIF(RawDataDead!$B:$B,$A7,RawDataDead!AQ:AQ)</f>
        <v>0</v>
      </c>
      <c r="AO7">
        <f>SUMIF(RawDataDead!$B:$B,$A7,RawDataDead!AR:AR)</f>
        <v>0</v>
      </c>
      <c r="AP7">
        <f>SUMIF(RawDataDead!$B:$B,$A7,RawDataDead!AS:AS)</f>
        <v>0</v>
      </c>
      <c r="AQ7">
        <f>SUMIF(RawDataDead!$B:$B,$A7,RawDataDead!AT:AT)</f>
        <v>0</v>
      </c>
      <c r="AR7">
        <f>SUMIF(RawDataDead!$B:$B,$A7,RawDataDead!AU:AU)</f>
        <v>0</v>
      </c>
      <c r="AS7">
        <f>SUMIF(RawDataDead!$B:$B,$A7,RawDataDead!AV:AV)</f>
        <v>0</v>
      </c>
      <c r="AT7">
        <f>SUMIF(RawDataDead!$B:$B,$A7,RawDataDead!AW:AW)</f>
        <v>0</v>
      </c>
      <c r="AU7">
        <f>SUMIF(RawDataDead!$B:$B,$A7,RawDataDead!AX:AX)</f>
        <v>0</v>
      </c>
      <c r="AV7">
        <f>SUMIF(RawDataDead!$B:$B,$A7,RawDataDead!AY:AY)</f>
        <v>0</v>
      </c>
      <c r="AW7">
        <f>SUMIF(RawDataDead!$B:$B,$A7,RawDataDead!AZ:AZ)</f>
        <v>2</v>
      </c>
      <c r="AX7">
        <f>SUMIF(RawDataDead!$B:$B,$A7,RawDataDead!BA:BA)</f>
        <v>2</v>
      </c>
      <c r="AY7">
        <f>SUMIF(RawDataDead!$B:$B,$A7,RawDataDead!BB:BB)</f>
        <v>3</v>
      </c>
      <c r="AZ7">
        <f>SUMIF(RawDataDead!$B:$B,$A7,RawDataDead!BC:BC)</f>
        <v>3</v>
      </c>
      <c r="BA7">
        <f>SUMIF(RawDataDead!$B:$B,$A7,RawDataDead!BD:BD)</f>
        <v>7</v>
      </c>
      <c r="BB7">
        <f>SUMIF(RawDataDead!$B:$B,$A7,RawDataDead!BE:BE)</f>
        <v>9</v>
      </c>
      <c r="BC7">
        <f>SUMIF(RawDataDead!$B:$B,$A7,RawDataDead!BF:BF)</f>
        <v>11</v>
      </c>
      <c r="BD7">
        <f>SUMIF(RawDataDead!$B:$B,$A7,RawDataDead!BG:BG)</f>
        <v>17</v>
      </c>
      <c r="BE7">
        <f>SUMIF(RawDataDead!$B:$B,$A7,RawDataDead!BH:BH)</f>
        <v>24</v>
      </c>
      <c r="BF7">
        <f>SUMIF(RawDataDead!$B:$B,$A7,RawDataDead!BI:BI)</f>
        <v>0</v>
      </c>
      <c r="BG7">
        <f>SUMIF(RawDataDead!$B:$B,$A7,RawDataDead!BJ:BJ)</f>
        <v>0</v>
      </c>
      <c r="BH7">
        <f>SUMIF(RawDataDead!$B:$B,$A7,RawDataDead!BK:BK)</f>
        <v>0</v>
      </c>
      <c r="BI7">
        <f>SUMIF(RawDataDead!$B:$B,$A7,RawDataDead!BL:BL)</f>
        <v>0</v>
      </c>
      <c r="BJ7">
        <f>SUMIF(RawDataDead!$B:$B,$A7,RawDataDead!BM:BM)</f>
        <v>0</v>
      </c>
      <c r="BK7">
        <f>SUMIF(RawDataDead!$B:$B,$A7,RawDataDead!BN:BN)</f>
        <v>0</v>
      </c>
      <c r="BL7">
        <f>SUMIF(RawDataDead!$B:$B,$A7,RawDataDead!BO:BO)</f>
        <v>0</v>
      </c>
      <c r="BM7">
        <f>SUMIF(RawDataDead!$B:$B,$A7,RawDataDead!BP:BP)</f>
        <v>0</v>
      </c>
      <c r="BN7">
        <f>SUMIF(RawDataDead!$B:$B,$A7,RawDataDead!BQ:BQ)</f>
        <v>0</v>
      </c>
      <c r="BO7">
        <f>SUMIF(RawDataDead!$B:$B,$A7,RawDataDead!BR:BR)</f>
        <v>0</v>
      </c>
      <c r="BP7">
        <f>SUMIF(RawDataDead!$B:$B,$A7,RawDataDead!BS:BS)</f>
        <v>0</v>
      </c>
      <c r="BQ7">
        <f>SUMIF(RawDataDead!$B:$B,$A7,RawDataDead!BT:BT)</f>
        <v>0</v>
      </c>
      <c r="BR7">
        <f>SUMIF(RawDataDead!$B:$B,$A7,RawDataDead!BU:BU)</f>
        <v>0</v>
      </c>
      <c r="BS7">
        <f>SUMIF(RawDataDead!$B:$B,$A7,RawDataDead!BV:BV)</f>
        <v>0</v>
      </c>
      <c r="BT7">
        <f>SUMIF(RawDataDead!$B:$B,$A7,RawDataDead!BW:BW)</f>
        <v>0</v>
      </c>
    </row>
    <row r="8" spans="1:72" ht="15" thickBot="1" x14ac:dyDescent="0.35">
      <c r="A8" s="4" t="s">
        <v>68</v>
      </c>
      <c r="B8">
        <f>SUMIF(RawDataDead!$B:$B,$A8,RawDataDead!E:E)</f>
        <v>0</v>
      </c>
      <c r="C8">
        <f>SUMIF(RawDataDead!$B:$B,$A8,RawDataDead!F:F)</f>
        <v>0</v>
      </c>
      <c r="D8">
        <f>SUMIF(RawDataDead!$B:$B,$A8,RawDataDead!G:G)</f>
        <v>0</v>
      </c>
      <c r="E8">
        <f>SUMIF(RawDataDead!$B:$B,$A8,RawDataDead!H:H)</f>
        <v>0</v>
      </c>
      <c r="F8">
        <f>SUMIF(RawDataDead!$B:$B,$A8,RawDataDead!I:I)</f>
        <v>0</v>
      </c>
      <c r="G8">
        <f>SUMIF(RawDataDead!$B:$B,$A8,RawDataDead!J:J)</f>
        <v>0</v>
      </c>
      <c r="H8">
        <f>SUMIF(RawDataDead!$B:$B,$A8,RawDataDead!K:K)</f>
        <v>0</v>
      </c>
      <c r="I8">
        <f>SUMIF(RawDataDead!$B:$B,$A8,RawDataDead!L:L)</f>
        <v>0</v>
      </c>
      <c r="J8">
        <f>SUMIF(RawDataDead!$B:$B,$A8,RawDataDead!M:M)</f>
        <v>0</v>
      </c>
      <c r="K8">
        <f>SUMIF(RawDataDead!$B:$B,$A8,RawDataDead!N:N)</f>
        <v>0</v>
      </c>
      <c r="L8">
        <f>SUMIF(RawDataDead!$B:$B,$A8,RawDataDead!O:O)</f>
        <v>0</v>
      </c>
      <c r="M8">
        <f>SUMIF(RawDataDead!$B:$B,$A8,RawDataDead!P:P)</f>
        <v>0</v>
      </c>
      <c r="N8">
        <f>SUMIF(RawDataDead!$B:$B,$A8,RawDataDead!Q:Q)</f>
        <v>0</v>
      </c>
      <c r="O8">
        <f>SUMIF(RawDataDead!$B:$B,$A8,RawDataDead!R:R)</f>
        <v>0</v>
      </c>
      <c r="P8">
        <f>SUMIF(RawDataDead!$B:$B,$A8,RawDataDead!S:S)</f>
        <v>0</v>
      </c>
      <c r="Q8">
        <f>SUMIF(RawDataDead!$B:$B,$A8,RawDataDead!T:T)</f>
        <v>0</v>
      </c>
      <c r="R8">
        <f>SUMIF(RawDataDead!$B:$B,$A8,RawDataDead!U:U)</f>
        <v>0</v>
      </c>
      <c r="S8">
        <f>SUMIF(RawDataDead!$B:$B,$A8,RawDataDead!V:V)</f>
        <v>0</v>
      </c>
      <c r="T8">
        <f>SUMIF(RawDataDead!$B:$B,$A8,RawDataDead!W:W)</f>
        <v>0</v>
      </c>
      <c r="U8">
        <f>SUMIF(RawDataDead!$B:$B,$A8,RawDataDead!X:X)</f>
        <v>0</v>
      </c>
      <c r="V8">
        <f>SUMIF(RawDataDead!$B:$B,$A8,RawDataDead!Y:Y)</f>
        <v>0</v>
      </c>
      <c r="W8">
        <f>SUMIF(RawDataDead!$B:$B,$A8,RawDataDead!Z:Z)</f>
        <v>0</v>
      </c>
      <c r="X8">
        <f>SUMIF(RawDataDead!$B:$B,$A8,RawDataDead!AA:AA)</f>
        <v>0</v>
      </c>
      <c r="Y8">
        <f>SUMIF(RawDataDead!$B:$B,$A8,RawDataDead!AB:AB)</f>
        <v>0</v>
      </c>
      <c r="Z8">
        <f>SUMIF(RawDataDead!$B:$B,$A8,RawDataDead!AC:AC)</f>
        <v>1</v>
      </c>
      <c r="AA8">
        <f>SUMIF(RawDataDead!$B:$B,$A8,RawDataDead!AD:AD)</f>
        <v>1</v>
      </c>
      <c r="AB8">
        <f>SUMIF(RawDataDead!$B:$B,$A8,RawDataDead!AE:AE)</f>
        <v>1</v>
      </c>
      <c r="AC8">
        <f>SUMIF(RawDataDead!$B:$B,$A8,RawDataDead!AF:AF)</f>
        <v>1</v>
      </c>
      <c r="AD8">
        <f>SUMIF(RawDataDead!$B:$B,$A8,RawDataDead!AG:AG)</f>
        <v>1</v>
      </c>
      <c r="AE8">
        <f>SUMIF(RawDataDead!$B:$B,$A8,RawDataDead!AH:AH)</f>
        <v>1</v>
      </c>
      <c r="AF8">
        <f>SUMIF(RawDataDead!$B:$B,$A8,RawDataDead!AI:AI)</f>
        <v>1</v>
      </c>
      <c r="AG8">
        <f>SUMIF(RawDataDead!$B:$B,$A8,RawDataDead!AJ:AJ)</f>
        <v>1</v>
      </c>
      <c r="AH8">
        <f>SUMIF(RawDataDead!$B:$B,$A8,RawDataDead!AK:AK)</f>
        <v>1</v>
      </c>
      <c r="AI8">
        <f>SUMIF(RawDataDead!$B:$B,$A8,RawDataDead!AL:AL)</f>
        <v>1</v>
      </c>
      <c r="AJ8">
        <f>SUMIF(RawDataDead!$B:$B,$A8,RawDataDead!AM:AM)</f>
        <v>1</v>
      </c>
      <c r="AK8">
        <f>SUMIF(RawDataDead!$B:$B,$A8,RawDataDead!AN:AN)</f>
        <v>2</v>
      </c>
      <c r="AL8">
        <f>SUMIF(RawDataDead!$B:$B,$A8,RawDataDead!AO:AO)</f>
        <v>2</v>
      </c>
      <c r="AM8">
        <f>SUMIF(RawDataDead!$B:$B,$A8,RawDataDead!AP:AP)</f>
        <v>2</v>
      </c>
      <c r="AN8">
        <f>SUMIF(RawDataDead!$B:$B,$A8,RawDataDead!AQ:AQ)</f>
        <v>2</v>
      </c>
      <c r="AO8">
        <f>SUMIF(RawDataDead!$B:$B,$A8,RawDataDead!AR:AR)</f>
        <v>2</v>
      </c>
      <c r="AP8">
        <f>SUMIF(RawDataDead!$B:$B,$A8,RawDataDead!AS:AS)</f>
        <v>3</v>
      </c>
      <c r="AQ8">
        <f>SUMIF(RawDataDead!$B:$B,$A8,RawDataDead!AT:AT)</f>
        <v>4</v>
      </c>
      <c r="AR8">
        <f>SUMIF(RawDataDead!$B:$B,$A8,RawDataDead!AU:AU)</f>
        <v>4</v>
      </c>
      <c r="AS8">
        <f>SUMIF(RawDataDead!$B:$B,$A8,RawDataDead!AV:AV)</f>
        <v>6</v>
      </c>
      <c r="AT8">
        <f>SUMIF(RawDataDead!$B:$B,$A8,RawDataDead!AW:AW)</f>
        <v>9</v>
      </c>
      <c r="AU8">
        <f>SUMIF(RawDataDead!$B:$B,$A8,RawDataDead!AX:AX)</f>
        <v>11</v>
      </c>
      <c r="AV8">
        <f>SUMIF(RawDataDead!$B:$B,$A8,RawDataDead!AY:AY)</f>
        <v>19</v>
      </c>
      <c r="AW8">
        <f>SUMIF(RawDataDead!$B:$B,$A8,RawDataDead!AZ:AZ)</f>
        <v>19</v>
      </c>
      <c r="AX8">
        <f>SUMIF(RawDataDead!$B:$B,$A8,RawDataDead!BA:BA)</f>
        <v>33</v>
      </c>
      <c r="AY8">
        <f>SUMIF(RawDataDead!$B:$B,$A8,RawDataDead!BB:BB)</f>
        <v>48</v>
      </c>
      <c r="AZ8">
        <f>SUMIF(RawDataDead!$B:$B,$A8,RawDataDead!BC:BC)</f>
        <v>48</v>
      </c>
      <c r="BA8">
        <f>SUMIF(RawDataDead!$B:$B,$A8,RawDataDead!BD:BD)</f>
        <v>79</v>
      </c>
      <c r="BB8">
        <f>SUMIF(RawDataDead!$B:$B,$A8,RawDataDead!BE:BE)</f>
        <v>91</v>
      </c>
      <c r="BC8">
        <f>SUMIF(RawDataDead!$B:$B,$A8,RawDataDead!BF:BF)</f>
        <v>91</v>
      </c>
      <c r="BD8">
        <f>SUMIF(RawDataDead!$B:$B,$A8,RawDataDead!BG:BG)</f>
        <v>148</v>
      </c>
      <c r="BE8">
        <f>SUMIF(RawDataDead!$B:$B,$A8,RawDataDead!BH:BH)</f>
        <v>148</v>
      </c>
      <c r="BF8">
        <f>SUMIF(RawDataDead!$B:$B,$A8,RawDataDead!BI:BI)</f>
        <v>0</v>
      </c>
      <c r="BG8">
        <f>SUMIF(RawDataDead!$B:$B,$A8,RawDataDead!BJ:BJ)</f>
        <v>0</v>
      </c>
      <c r="BH8">
        <f>SUMIF(RawDataDead!$B:$B,$A8,RawDataDead!BK:BK)</f>
        <v>0</v>
      </c>
      <c r="BI8">
        <f>SUMIF(RawDataDead!$B:$B,$A8,RawDataDead!BL:BL)</f>
        <v>0</v>
      </c>
      <c r="BJ8">
        <f>SUMIF(RawDataDead!$B:$B,$A8,RawDataDead!BM:BM)</f>
        <v>0</v>
      </c>
      <c r="BK8">
        <f>SUMIF(RawDataDead!$B:$B,$A8,RawDataDead!BN:BN)</f>
        <v>0</v>
      </c>
      <c r="BL8">
        <f>SUMIF(RawDataDead!$B:$B,$A8,RawDataDead!BO:BO)</f>
        <v>0</v>
      </c>
      <c r="BM8">
        <f>SUMIF(RawDataDead!$B:$B,$A8,RawDataDead!BP:BP)</f>
        <v>0</v>
      </c>
      <c r="BN8">
        <f>SUMIF(RawDataDead!$B:$B,$A8,RawDataDead!BQ:BQ)</f>
        <v>0</v>
      </c>
      <c r="BO8">
        <f>SUMIF(RawDataDead!$B:$B,$A8,RawDataDead!BR:BR)</f>
        <v>0</v>
      </c>
      <c r="BP8">
        <f>SUMIF(RawDataDead!$B:$B,$A8,RawDataDead!BS:BS)</f>
        <v>0</v>
      </c>
      <c r="BQ8">
        <f>SUMIF(RawDataDead!$B:$B,$A8,RawDataDead!BT:BT)</f>
        <v>0</v>
      </c>
      <c r="BR8">
        <f>SUMIF(RawDataDead!$B:$B,$A8,RawDataDead!BU:BU)</f>
        <v>0</v>
      </c>
      <c r="BS8">
        <f>SUMIF(RawDataDead!$B:$B,$A8,RawDataDead!BV:BV)</f>
        <v>0</v>
      </c>
      <c r="BT8">
        <f>SUMIF(RawDataDead!$B:$B,$A8,RawDataDead!BW:BW)</f>
        <v>0</v>
      </c>
    </row>
    <row r="9" spans="1:72" ht="15" thickBot="1" x14ac:dyDescent="0.35">
      <c r="A9" s="3" t="s">
        <v>65</v>
      </c>
      <c r="B9">
        <f>SUMIF(RawDataDead!$B:$B,$A9,RawDataDead!E:E)</f>
        <v>0</v>
      </c>
      <c r="C9">
        <f>SUMIF(RawDataDead!$B:$B,$A9,RawDataDead!F:F)</f>
        <v>0</v>
      </c>
      <c r="D9">
        <f>SUMIF(RawDataDead!$B:$B,$A9,RawDataDead!G:G)</f>
        <v>0</v>
      </c>
      <c r="E9">
        <f>SUMIF(RawDataDead!$B:$B,$A9,RawDataDead!H:H)</f>
        <v>0</v>
      </c>
      <c r="F9">
        <f>SUMIF(RawDataDead!$B:$B,$A9,RawDataDead!I:I)</f>
        <v>0</v>
      </c>
      <c r="G9">
        <f>SUMIF(RawDataDead!$B:$B,$A9,RawDataDead!J:J)</f>
        <v>0</v>
      </c>
      <c r="H9">
        <f>SUMIF(RawDataDead!$B:$B,$A9,RawDataDead!K:K)</f>
        <v>0</v>
      </c>
      <c r="I9">
        <f>SUMIF(RawDataDead!$B:$B,$A9,RawDataDead!L:L)</f>
        <v>0</v>
      </c>
      <c r="J9">
        <f>SUMIF(RawDataDead!$B:$B,$A9,RawDataDead!M:M)</f>
        <v>0</v>
      </c>
      <c r="K9">
        <f>SUMIF(RawDataDead!$B:$B,$A9,RawDataDead!N:N)</f>
        <v>0</v>
      </c>
      <c r="L9">
        <f>SUMIF(RawDataDead!$B:$B,$A9,RawDataDead!O:O)</f>
        <v>0</v>
      </c>
      <c r="M9">
        <f>SUMIF(RawDataDead!$B:$B,$A9,RawDataDead!P:P)</f>
        <v>0</v>
      </c>
      <c r="N9">
        <f>SUMIF(RawDataDead!$B:$B,$A9,RawDataDead!Q:Q)</f>
        <v>0</v>
      </c>
      <c r="O9">
        <f>SUMIF(RawDataDead!$B:$B,$A9,RawDataDead!R:R)</f>
        <v>0</v>
      </c>
      <c r="P9">
        <f>SUMIF(RawDataDead!$B:$B,$A9,RawDataDead!S:S)</f>
        <v>0</v>
      </c>
      <c r="Q9">
        <f>SUMIF(RawDataDead!$B:$B,$A9,RawDataDead!T:T)</f>
        <v>0</v>
      </c>
      <c r="R9">
        <f>SUMIF(RawDataDead!$B:$B,$A9,RawDataDead!U:U)</f>
        <v>0</v>
      </c>
      <c r="S9">
        <f>SUMIF(RawDataDead!$B:$B,$A9,RawDataDead!V:V)</f>
        <v>0</v>
      </c>
      <c r="T9">
        <f>SUMIF(RawDataDead!$B:$B,$A9,RawDataDead!W:W)</f>
        <v>0</v>
      </c>
      <c r="U9">
        <f>SUMIF(RawDataDead!$B:$B,$A9,RawDataDead!X:X)</f>
        <v>0</v>
      </c>
      <c r="V9">
        <f>SUMIF(RawDataDead!$B:$B,$A9,RawDataDead!Y:Y)</f>
        <v>0</v>
      </c>
      <c r="W9">
        <f>SUMIF(RawDataDead!$B:$B,$A9,RawDataDead!Z:Z)</f>
        <v>0</v>
      </c>
      <c r="X9">
        <f>SUMIF(RawDataDead!$B:$B,$A9,RawDataDead!AA:AA)</f>
        <v>0</v>
      </c>
      <c r="Y9">
        <f>SUMIF(RawDataDead!$B:$B,$A9,RawDataDead!AB:AB)</f>
        <v>0</v>
      </c>
      <c r="Z9">
        <f>SUMIF(RawDataDead!$B:$B,$A9,RawDataDead!AC:AC)</f>
        <v>0</v>
      </c>
      <c r="AA9">
        <f>SUMIF(RawDataDead!$B:$B,$A9,RawDataDead!AD:AD)</f>
        <v>0</v>
      </c>
      <c r="AB9">
        <f>SUMIF(RawDataDead!$B:$B,$A9,RawDataDead!AE:AE)</f>
        <v>0</v>
      </c>
      <c r="AC9">
        <f>SUMIF(RawDataDead!$B:$B,$A9,RawDataDead!AF:AF)</f>
        <v>0</v>
      </c>
      <c r="AD9">
        <f>SUMIF(RawDataDead!$B:$B,$A9,RawDataDead!AG:AG)</f>
        <v>0</v>
      </c>
      <c r="AE9">
        <f>SUMIF(RawDataDead!$B:$B,$A9,RawDataDead!AH:AH)</f>
        <v>0</v>
      </c>
      <c r="AF9">
        <f>SUMIF(RawDataDead!$B:$B,$A9,RawDataDead!AI:AI)</f>
        <v>0</v>
      </c>
      <c r="AG9">
        <f>SUMIF(RawDataDead!$B:$B,$A9,RawDataDead!AJ:AJ)</f>
        <v>0</v>
      </c>
      <c r="AH9">
        <f>SUMIF(RawDataDead!$B:$B,$A9,RawDataDead!AK:AK)</f>
        <v>0</v>
      </c>
      <c r="AI9">
        <f>SUMIF(RawDataDead!$B:$B,$A9,RawDataDead!AL:AL)</f>
        <v>0</v>
      </c>
      <c r="AJ9">
        <f>SUMIF(RawDataDead!$B:$B,$A9,RawDataDead!AM:AM)</f>
        <v>0</v>
      </c>
      <c r="AK9">
        <f>SUMIF(RawDataDead!$B:$B,$A9,RawDataDead!AN:AN)</f>
        <v>0</v>
      </c>
      <c r="AL9">
        <f>SUMIF(RawDataDead!$B:$B,$A9,RawDataDead!AO:AO)</f>
        <v>0</v>
      </c>
      <c r="AM9">
        <f>SUMIF(RawDataDead!$B:$B,$A9,RawDataDead!AP:AP)</f>
        <v>0</v>
      </c>
      <c r="AN9">
        <f>SUMIF(RawDataDead!$B:$B,$A9,RawDataDead!AQ:AQ)</f>
        <v>1</v>
      </c>
      <c r="AO9">
        <f>SUMIF(RawDataDead!$B:$B,$A9,RawDataDead!AR:AR)</f>
        <v>1</v>
      </c>
      <c r="AP9">
        <f>SUMIF(RawDataDead!$B:$B,$A9,RawDataDead!AS:AS)</f>
        <v>6</v>
      </c>
      <c r="AQ9">
        <f>SUMIF(RawDataDead!$B:$B,$A9,RawDataDead!AT:AT)</f>
        <v>7</v>
      </c>
      <c r="AR9">
        <f>SUMIF(RawDataDead!$B:$B,$A9,RawDataDead!AU:AU)</f>
        <v>11</v>
      </c>
      <c r="AS9">
        <f>SUMIF(RawDataDead!$B:$B,$A9,RawDataDead!AV:AV)</f>
        <v>12</v>
      </c>
      <c r="AT9">
        <f>SUMIF(RawDataDead!$B:$B,$A9,RawDataDead!AW:AW)</f>
        <v>14</v>
      </c>
      <c r="AU9">
        <f>SUMIF(RawDataDead!$B:$B,$A9,RawDataDead!AX:AX)</f>
        <v>17</v>
      </c>
      <c r="AV9">
        <f>SUMIF(RawDataDead!$B:$B,$A9,RawDataDead!AY:AY)</f>
        <v>21</v>
      </c>
      <c r="AW9">
        <f>SUMIF(RawDataDead!$B:$B,$A9,RawDataDead!AZ:AZ)</f>
        <v>22</v>
      </c>
      <c r="AX9">
        <f>SUMIF(RawDataDead!$B:$B,$A9,RawDataDead!BA:BA)</f>
        <v>28</v>
      </c>
      <c r="AY9">
        <f>SUMIF(RawDataDead!$B:$B,$A9,RawDataDead!BB:BB)</f>
        <v>36</v>
      </c>
      <c r="AZ9">
        <f>SUMIF(RawDataDead!$B:$B,$A9,RawDataDead!BC:BC)</f>
        <v>40</v>
      </c>
      <c r="BA9">
        <f>SUMIF(RawDataDead!$B:$B,$A9,RawDataDead!BD:BD)</f>
        <v>47</v>
      </c>
      <c r="BB9">
        <f>SUMIF(RawDataDead!$B:$B,$A9,RawDataDead!BE:BE)</f>
        <v>54</v>
      </c>
      <c r="BC9">
        <f>SUMIF(RawDataDead!$B:$B,$A9,RawDataDead!BF:BF)</f>
        <v>63</v>
      </c>
      <c r="BD9">
        <f>SUMIF(RawDataDead!$B:$B,$A9,RawDataDead!BG:BG)</f>
        <v>85</v>
      </c>
      <c r="BE9">
        <f>SUMIF(RawDataDead!$B:$B,$A9,RawDataDead!BH:BH)</f>
        <v>108</v>
      </c>
      <c r="BF9">
        <f>SUMIF(RawDataDead!$B:$B,$A9,RawDataDead!BI:BI)</f>
        <v>0</v>
      </c>
      <c r="BG9">
        <f>SUMIF(RawDataDead!$B:$B,$A9,RawDataDead!BJ:BJ)</f>
        <v>0</v>
      </c>
      <c r="BH9">
        <f>SUMIF(RawDataDead!$B:$B,$A9,RawDataDead!BK:BK)</f>
        <v>0</v>
      </c>
      <c r="BI9">
        <f>SUMIF(RawDataDead!$B:$B,$A9,RawDataDead!BL:BL)</f>
        <v>0</v>
      </c>
      <c r="BJ9">
        <f>SUMIF(RawDataDead!$B:$B,$A9,RawDataDead!BM:BM)</f>
        <v>0</v>
      </c>
      <c r="BK9">
        <f>SUMIF(RawDataDead!$B:$B,$A9,RawDataDead!BN:BN)</f>
        <v>0</v>
      </c>
      <c r="BL9">
        <f>SUMIF(RawDataDead!$B:$B,$A9,RawDataDead!BO:BO)</f>
        <v>0</v>
      </c>
      <c r="BM9">
        <f>SUMIF(RawDataDead!$B:$B,$A9,RawDataDead!BP:BP)</f>
        <v>0</v>
      </c>
      <c r="BN9">
        <f>SUMIF(RawDataDead!$B:$B,$A9,RawDataDead!BQ:BQ)</f>
        <v>0</v>
      </c>
      <c r="BO9">
        <f>SUMIF(RawDataDead!$B:$B,$A9,RawDataDead!BR:BR)</f>
        <v>0</v>
      </c>
      <c r="BP9">
        <f>SUMIF(RawDataDead!$B:$B,$A9,RawDataDead!BS:BS)</f>
        <v>0</v>
      </c>
      <c r="BQ9">
        <f>SUMIF(RawDataDead!$B:$B,$A9,RawDataDead!BT:BT)</f>
        <v>0</v>
      </c>
      <c r="BR9">
        <f>SUMIF(RawDataDead!$B:$B,$A9,RawDataDead!BU:BU)</f>
        <v>0</v>
      </c>
      <c r="BS9">
        <f>SUMIF(RawDataDead!$B:$B,$A9,RawDataDead!BV:BV)</f>
        <v>0</v>
      </c>
      <c r="BT9">
        <f>SUMIF(RawDataDead!$B:$B,$A9,RawDataDead!BW:BW)</f>
        <v>0</v>
      </c>
    </row>
    <row r="10" spans="1:72" ht="15" thickBot="1" x14ac:dyDescent="0.35">
      <c r="A10" s="4" t="s">
        <v>104</v>
      </c>
      <c r="B10">
        <f>SUMIF(RawDataDead!$B:$B,$A10,RawDataDead!E:E)</f>
        <v>0</v>
      </c>
      <c r="C10">
        <f>SUMIF(RawDataDead!$B:$B,$A10,RawDataDead!F:F)</f>
        <v>0</v>
      </c>
      <c r="D10">
        <f>SUMIF(RawDataDead!$B:$B,$A10,RawDataDead!G:G)</f>
        <v>0</v>
      </c>
      <c r="E10">
        <f>SUMIF(RawDataDead!$B:$B,$A10,RawDataDead!H:H)</f>
        <v>0</v>
      </c>
      <c r="F10">
        <f>SUMIF(RawDataDead!$B:$B,$A10,RawDataDead!I:I)</f>
        <v>0</v>
      </c>
      <c r="G10">
        <f>SUMIF(RawDataDead!$B:$B,$A10,RawDataDead!J:J)</f>
        <v>0</v>
      </c>
      <c r="H10">
        <f>SUMIF(RawDataDead!$B:$B,$A10,RawDataDead!K:K)</f>
        <v>0</v>
      </c>
      <c r="I10">
        <f>SUMIF(RawDataDead!$B:$B,$A10,RawDataDead!L:L)</f>
        <v>0</v>
      </c>
      <c r="J10">
        <f>SUMIF(RawDataDead!$B:$B,$A10,RawDataDead!M:M)</f>
        <v>0</v>
      </c>
      <c r="K10">
        <f>SUMIF(RawDataDead!$B:$B,$A10,RawDataDead!N:N)</f>
        <v>0</v>
      </c>
      <c r="L10">
        <f>SUMIF(RawDataDead!$B:$B,$A10,RawDataDead!O:O)</f>
        <v>0</v>
      </c>
      <c r="M10">
        <f>SUMIF(RawDataDead!$B:$B,$A10,RawDataDead!P:P)</f>
        <v>0</v>
      </c>
      <c r="N10">
        <f>SUMIF(RawDataDead!$B:$B,$A10,RawDataDead!Q:Q)</f>
        <v>0</v>
      </c>
      <c r="O10">
        <f>SUMIF(RawDataDead!$B:$B,$A10,RawDataDead!R:R)</f>
        <v>0</v>
      </c>
      <c r="P10">
        <f>SUMIF(RawDataDead!$B:$B,$A10,RawDataDead!S:S)</f>
        <v>0</v>
      </c>
      <c r="Q10">
        <f>SUMIF(RawDataDead!$B:$B,$A10,RawDataDead!T:T)</f>
        <v>0</v>
      </c>
      <c r="R10">
        <f>SUMIF(RawDataDead!$B:$B,$A10,RawDataDead!U:U)</f>
        <v>0</v>
      </c>
      <c r="S10">
        <f>SUMIF(RawDataDead!$B:$B,$A10,RawDataDead!V:V)</f>
        <v>0</v>
      </c>
      <c r="T10">
        <f>SUMIF(RawDataDead!$B:$B,$A10,RawDataDead!W:W)</f>
        <v>0</v>
      </c>
      <c r="U10">
        <f>SUMIF(RawDataDead!$B:$B,$A10,RawDataDead!X:X)</f>
        <v>0</v>
      </c>
      <c r="V10">
        <f>SUMIF(RawDataDead!$B:$B,$A10,RawDataDead!Y:Y)</f>
        <v>0</v>
      </c>
      <c r="W10">
        <f>SUMIF(RawDataDead!$B:$B,$A10,RawDataDead!Z:Z)</f>
        <v>0</v>
      </c>
      <c r="X10">
        <f>SUMIF(RawDataDead!$B:$B,$A10,RawDataDead!AA:AA)</f>
        <v>0</v>
      </c>
      <c r="Y10">
        <f>SUMIF(RawDataDead!$B:$B,$A10,RawDataDead!AB:AB)</f>
        <v>0</v>
      </c>
      <c r="Z10">
        <f>SUMIF(RawDataDead!$B:$B,$A10,RawDataDead!AC:AC)</f>
        <v>0</v>
      </c>
      <c r="AA10">
        <f>SUMIF(RawDataDead!$B:$B,$A10,RawDataDead!AD:AD)</f>
        <v>0</v>
      </c>
      <c r="AB10">
        <f>SUMIF(RawDataDead!$B:$B,$A10,RawDataDead!AE:AE)</f>
        <v>0</v>
      </c>
      <c r="AC10">
        <f>SUMIF(RawDataDead!$B:$B,$A10,RawDataDead!AF:AF)</f>
        <v>0</v>
      </c>
      <c r="AD10">
        <f>SUMIF(RawDataDead!$B:$B,$A10,RawDataDead!AG:AG)</f>
        <v>0</v>
      </c>
      <c r="AE10">
        <f>SUMIF(RawDataDead!$B:$B,$A10,RawDataDead!AH:AH)</f>
        <v>0</v>
      </c>
      <c r="AF10">
        <f>SUMIF(RawDataDead!$B:$B,$A10,RawDataDead!AI:AI)</f>
        <v>0</v>
      </c>
      <c r="AG10">
        <f>SUMIF(RawDataDead!$B:$B,$A10,RawDataDead!AJ:AJ)</f>
        <v>0</v>
      </c>
      <c r="AH10">
        <f>SUMIF(RawDataDead!$B:$B,$A10,RawDataDead!AK:AK)</f>
        <v>0</v>
      </c>
      <c r="AI10">
        <f>SUMIF(RawDataDead!$B:$B,$A10,RawDataDead!AL:AL)</f>
        <v>0</v>
      </c>
      <c r="AJ10">
        <f>SUMIF(RawDataDead!$B:$B,$A10,RawDataDead!AM:AM)</f>
        <v>0</v>
      </c>
      <c r="AK10">
        <f>SUMIF(RawDataDead!$B:$B,$A10,RawDataDead!AN:AN)</f>
        <v>0</v>
      </c>
      <c r="AL10">
        <f>SUMIF(RawDataDead!$B:$B,$A10,RawDataDead!AO:AO)</f>
        <v>0</v>
      </c>
      <c r="AM10">
        <f>SUMIF(RawDataDead!$B:$B,$A10,RawDataDead!AP:AP)</f>
        <v>0</v>
      </c>
      <c r="AN10">
        <f>SUMIF(RawDataDead!$B:$B,$A10,RawDataDead!AQ:AQ)</f>
        <v>0</v>
      </c>
      <c r="AO10">
        <f>SUMIF(RawDataDead!$B:$B,$A10,RawDataDead!AR:AR)</f>
        <v>0</v>
      </c>
      <c r="AP10">
        <f>SUMIF(RawDataDead!$B:$B,$A10,RawDataDead!AS:AS)</f>
        <v>0</v>
      </c>
      <c r="AQ10">
        <f>SUMIF(RawDataDead!$B:$B,$A10,RawDataDead!AT:AT)</f>
        <v>0</v>
      </c>
      <c r="AR10">
        <f>SUMIF(RawDataDead!$B:$B,$A10,RawDataDead!AU:AU)</f>
        <v>0</v>
      </c>
      <c r="AS10">
        <f>SUMIF(RawDataDead!$B:$B,$A10,RawDataDead!AV:AV)</f>
        <v>1</v>
      </c>
      <c r="AT10">
        <f>SUMIF(RawDataDead!$B:$B,$A10,RawDataDead!AW:AW)</f>
        <v>1</v>
      </c>
      <c r="AU10">
        <f>SUMIF(RawDataDead!$B:$B,$A10,RawDataDead!AX:AX)</f>
        <v>1</v>
      </c>
      <c r="AV10">
        <f>SUMIF(RawDataDead!$B:$B,$A10,RawDataDead!AY:AY)</f>
        <v>2</v>
      </c>
      <c r="AW10">
        <f>SUMIF(RawDataDead!$B:$B,$A10,RawDataDead!AZ:AZ)</f>
        <v>2</v>
      </c>
      <c r="AX10">
        <f>SUMIF(RawDataDead!$B:$B,$A10,RawDataDead!BA:BA)</f>
        <v>3</v>
      </c>
      <c r="AY10">
        <f>SUMIF(RawDataDead!$B:$B,$A10,RawDataDead!BB:BB)</f>
        <v>4</v>
      </c>
      <c r="AZ10">
        <f>SUMIF(RawDataDead!$B:$B,$A10,RawDataDead!BC:BC)</f>
        <v>4</v>
      </c>
      <c r="BA10">
        <f>SUMIF(RawDataDead!$B:$B,$A10,RawDataDead!BD:BD)</f>
        <v>11</v>
      </c>
      <c r="BB10">
        <f>SUMIF(RawDataDead!$B:$B,$A10,RawDataDead!BE:BE)</f>
        <v>13</v>
      </c>
      <c r="BC10">
        <f>SUMIF(RawDataDead!$B:$B,$A10,RawDataDead!BF:BF)</f>
        <v>14</v>
      </c>
      <c r="BD10">
        <f>SUMIF(RawDataDead!$B:$B,$A10,RawDataDead!BG:BG)</f>
        <v>14</v>
      </c>
      <c r="BE10">
        <f>SUMIF(RawDataDead!$B:$B,$A10,RawDataDead!BH:BH)</f>
        <v>27</v>
      </c>
      <c r="BF10">
        <f>SUMIF(RawDataDead!$B:$B,$A10,RawDataDead!BI:BI)</f>
        <v>0</v>
      </c>
      <c r="BG10">
        <f>SUMIF(RawDataDead!$B:$B,$A10,RawDataDead!BJ:BJ)</f>
        <v>0</v>
      </c>
      <c r="BH10">
        <f>SUMIF(RawDataDead!$B:$B,$A10,RawDataDead!BK:BK)</f>
        <v>0</v>
      </c>
      <c r="BI10">
        <f>SUMIF(RawDataDead!$B:$B,$A10,RawDataDead!BL:BL)</f>
        <v>0</v>
      </c>
      <c r="BJ10">
        <f>SUMIF(RawDataDead!$B:$B,$A10,RawDataDead!BM:BM)</f>
        <v>0</v>
      </c>
      <c r="BK10">
        <f>SUMIF(RawDataDead!$B:$B,$A10,RawDataDead!BN:BN)</f>
        <v>0</v>
      </c>
      <c r="BL10">
        <f>SUMIF(RawDataDead!$B:$B,$A10,RawDataDead!BO:BO)</f>
        <v>0</v>
      </c>
      <c r="BM10">
        <f>SUMIF(RawDataDead!$B:$B,$A10,RawDataDead!BP:BP)</f>
        <v>0</v>
      </c>
      <c r="BN10">
        <f>SUMIF(RawDataDead!$B:$B,$A10,RawDataDead!BQ:BQ)</f>
        <v>0</v>
      </c>
      <c r="BO10">
        <f>SUMIF(RawDataDead!$B:$B,$A10,RawDataDead!BR:BR)</f>
        <v>0</v>
      </c>
      <c r="BP10">
        <f>SUMIF(RawDataDead!$B:$B,$A10,RawDataDead!BS:BS)</f>
        <v>0</v>
      </c>
      <c r="BQ10">
        <f>SUMIF(RawDataDead!$B:$B,$A10,RawDataDead!BT:BT)</f>
        <v>0</v>
      </c>
      <c r="BR10">
        <f>SUMIF(RawDataDead!$B:$B,$A10,RawDataDead!BU:BU)</f>
        <v>0</v>
      </c>
      <c r="BS10">
        <f>SUMIF(RawDataDead!$B:$B,$A10,RawDataDead!BV:BV)</f>
        <v>0</v>
      </c>
      <c r="BT10">
        <f>SUMIF(RawDataDead!$B:$B,$A10,RawDataDead!BW:BW)</f>
        <v>0</v>
      </c>
    </row>
    <row r="11" spans="1:72" ht="15" thickBot="1" x14ac:dyDescent="0.35">
      <c r="A11" s="4" t="s">
        <v>112</v>
      </c>
      <c r="B11">
        <f>SUMIF(RawDataDead!$B:$B,$A11,RawDataDead!E:E)</f>
        <v>0</v>
      </c>
      <c r="C11">
        <f>SUMIF(RawDataDead!$B:$B,$A11,RawDataDead!F:F)</f>
        <v>0</v>
      </c>
      <c r="D11">
        <f>SUMIF(RawDataDead!$B:$B,$A11,RawDataDead!G:G)</f>
        <v>0</v>
      </c>
      <c r="E11">
        <f>SUMIF(RawDataDead!$B:$B,$A11,RawDataDead!H:H)</f>
        <v>0</v>
      </c>
      <c r="F11">
        <f>SUMIF(RawDataDead!$B:$B,$A11,RawDataDead!I:I)</f>
        <v>0</v>
      </c>
      <c r="G11">
        <f>SUMIF(RawDataDead!$B:$B,$A11,RawDataDead!J:J)</f>
        <v>0</v>
      </c>
      <c r="H11">
        <f>SUMIF(RawDataDead!$B:$B,$A11,RawDataDead!K:K)</f>
        <v>0</v>
      </c>
      <c r="I11">
        <f>SUMIF(RawDataDead!$B:$B,$A11,RawDataDead!L:L)</f>
        <v>0</v>
      </c>
      <c r="J11">
        <f>SUMIF(RawDataDead!$B:$B,$A11,RawDataDead!M:M)</f>
        <v>0</v>
      </c>
      <c r="K11">
        <f>SUMIF(RawDataDead!$B:$B,$A11,RawDataDead!N:N)</f>
        <v>0</v>
      </c>
      <c r="L11">
        <f>SUMIF(RawDataDead!$B:$B,$A11,RawDataDead!O:O)</f>
        <v>0</v>
      </c>
      <c r="M11">
        <f>SUMIF(RawDataDead!$B:$B,$A11,RawDataDead!P:P)</f>
        <v>0</v>
      </c>
      <c r="N11">
        <f>SUMIF(RawDataDead!$B:$B,$A11,RawDataDead!Q:Q)</f>
        <v>0</v>
      </c>
      <c r="O11">
        <f>SUMIF(RawDataDead!$B:$B,$A11,RawDataDead!R:R)</f>
        <v>0</v>
      </c>
      <c r="P11">
        <f>SUMIF(RawDataDead!$B:$B,$A11,RawDataDead!S:S)</f>
        <v>0</v>
      </c>
      <c r="Q11">
        <f>SUMIF(RawDataDead!$B:$B,$A11,RawDataDead!T:T)</f>
        <v>0</v>
      </c>
      <c r="R11">
        <f>SUMIF(RawDataDead!$B:$B,$A11,RawDataDead!U:U)</f>
        <v>0</v>
      </c>
      <c r="S11">
        <f>SUMIF(RawDataDead!$B:$B,$A11,RawDataDead!V:V)</f>
        <v>0</v>
      </c>
      <c r="T11">
        <f>SUMIF(RawDataDead!$B:$B,$A11,RawDataDead!W:W)</f>
        <v>0</v>
      </c>
      <c r="U11">
        <f>SUMIF(RawDataDead!$B:$B,$A11,RawDataDead!X:X)</f>
        <v>0</v>
      </c>
      <c r="V11">
        <f>SUMIF(RawDataDead!$B:$B,$A11,RawDataDead!Y:Y)</f>
        <v>0</v>
      </c>
      <c r="W11">
        <f>SUMIF(RawDataDead!$B:$B,$A11,RawDataDead!Z:Z)</f>
        <v>0</v>
      </c>
      <c r="X11">
        <f>SUMIF(RawDataDead!$B:$B,$A11,RawDataDead!AA:AA)</f>
        <v>0</v>
      </c>
      <c r="Y11">
        <f>SUMIF(RawDataDead!$B:$B,$A11,RawDataDead!AB:AB)</f>
        <v>0</v>
      </c>
      <c r="Z11">
        <f>SUMIF(RawDataDead!$B:$B,$A11,RawDataDead!AC:AC)</f>
        <v>0</v>
      </c>
      <c r="AA11">
        <f>SUMIF(RawDataDead!$B:$B,$A11,RawDataDead!AD:AD)</f>
        <v>0</v>
      </c>
      <c r="AB11">
        <f>SUMIF(RawDataDead!$B:$B,$A11,RawDataDead!AE:AE)</f>
        <v>0</v>
      </c>
      <c r="AC11">
        <f>SUMIF(RawDataDead!$B:$B,$A11,RawDataDead!AF:AF)</f>
        <v>0</v>
      </c>
      <c r="AD11">
        <f>SUMIF(RawDataDead!$B:$B,$A11,RawDataDead!AG:AG)</f>
        <v>0</v>
      </c>
      <c r="AE11">
        <f>SUMIF(RawDataDead!$B:$B,$A11,RawDataDead!AH:AH)</f>
        <v>0</v>
      </c>
      <c r="AF11">
        <f>SUMIF(RawDataDead!$B:$B,$A11,RawDataDead!AI:AI)</f>
        <v>0</v>
      </c>
      <c r="AG11">
        <f>SUMIF(RawDataDead!$B:$B,$A11,RawDataDead!AJ:AJ)</f>
        <v>0</v>
      </c>
      <c r="AH11">
        <f>SUMIF(RawDataDead!$B:$B,$A11,RawDataDead!AK:AK)</f>
        <v>0</v>
      </c>
      <c r="AI11">
        <f>SUMIF(RawDataDead!$B:$B,$A11,RawDataDead!AL:AL)</f>
        <v>0</v>
      </c>
      <c r="AJ11">
        <f>SUMIF(RawDataDead!$B:$B,$A11,RawDataDead!AM:AM)</f>
        <v>0</v>
      </c>
      <c r="AK11">
        <f>SUMIF(RawDataDead!$B:$B,$A11,RawDataDead!AN:AN)</f>
        <v>0</v>
      </c>
      <c r="AL11">
        <f>SUMIF(RawDataDead!$B:$B,$A11,RawDataDead!AO:AO)</f>
        <v>0</v>
      </c>
      <c r="AM11">
        <f>SUMIF(RawDataDead!$B:$B,$A11,RawDataDead!AP:AP)</f>
        <v>0</v>
      </c>
      <c r="AN11">
        <f>SUMIF(RawDataDead!$B:$B,$A11,RawDataDead!AQ:AQ)</f>
        <v>0</v>
      </c>
      <c r="AO11">
        <f>SUMIF(RawDataDead!$B:$B,$A11,RawDataDead!AR:AR)</f>
        <v>0</v>
      </c>
      <c r="AP11">
        <f>SUMIF(RawDataDead!$B:$B,$A11,RawDataDead!AS:AS)</f>
        <v>0</v>
      </c>
      <c r="AQ11">
        <f>SUMIF(RawDataDead!$B:$B,$A11,RawDataDead!AT:AT)</f>
        <v>0</v>
      </c>
      <c r="AR11">
        <f>SUMIF(RawDataDead!$B:$B,$A11,RawDataDead!AU:AU)</f>
        <v>0</v>
      </c>
      <c r="AS11">
        <f>SUMIF(RawDataDead!$B:$B,$A11,RawDataDead!AV:AV)</f>
        <v>0</v>
      </c>
      <c r="AT11">
        <f>SUMIF(RawDataDead!$B:$B,$A11,RawDataDead!AW:AW)</f>
        <v>0</v>
      </c>
      <c r="AU11">
        <f>SUMIF(RawDataDead!$B:$B,$A11,RawDataDead!AX:AX)</f>
        <v>0</v>
      </c>
      <c r="AV11">
        <f>SUMIF(RawDataDead!$B:$B,$A11,RawDataDead!AY:AY)</f>
        <v>0</v>
      </c>
      <c r="AW11">
        <f>SUMIF(RawDataDead!$B:$B,$A11,RawDataDead!AZ:AZ)</f>
        <v>0</v>
      </c>
      <c r="AX11">
        <f>SUMIF(RawDataDead!$B:$B,$A11,RawDataDead!BA:BA)</f>
        <v>0</v>
      </c>
      <c r="AY11">
        <f>SUMIF(RawDataDead!$B:$B,$A11,RawDataDead!BB:BB)</f>
        <v>0</v>
      </c>
      <c r="AZ11">
        <f>SUMIF(RawDataDead!$B:$B,$A11,RawDataDead!BC:BC)</f>
        <v>0</v>
      </c>
      <c r="BA11">
        <f>SUMIF(RawDataDead!$B:$B,$A11,RawDataDead!BD:BD)</f>
        <v>0</v>
      </c>
      <c r="BB11">
        <f>SUMIF(RawDataDead!$B:$B,$A11,RawDataDead!BE:BE)</f>
        <v>3</v>
      </c>
      <c r="BC11">
        <f>SUMIF(RawDataDead!$B:$B,$A11,RawDataDead!BF:BF)</f>
        <v>3</v>
      </c>
      <c r="BD11">
        <f>SUMIF(RawDataDead!$B:$B,$A11,RawDataDead!BG:BG)</f>
        <v>3</v>
      </c>
      <c r="BE11">
        <f>SUMIF(RawDataDead!$B:$B,$A11,RawDataDead!BH:BH)</f>
        <v>3</v>
      </c>
      <c r="BF11">
        <f>SUMIF(RawDataDead!$B:$B,$A11,RawDataDead!BI:BI)</f>
        <v>0</v>
      </c>
      <c r="BG11">
        <f>SUMIF(RawDataDead!$B:$B,$A11,RawDataDead!BJ:BJ)</f>
        <v>0</v>
      </c>
      <c r="BH11">
        <f>SUMIF(RawDataDead!$B:$B,$A11,RawDataDead!BK:BK)</f>
        <v>0</v>
      </c>
      <c r="BI11">
        <f>SUMIF(RawDataDead!$B:$B,$A11,RawDataDead!BL:BL)</f>
        <v>0</v>
      </c>
      <c r="BJ11">
        <f>SUMIF(RawDataDead!$B:$B,$A11,RawDataDead!BM:BM)</f>
        <v>0</v>
      </c>
      <c r="BK11">
        <f>SUMIF(RawDataDead!$B:$B,$A11,RawDataDead!BN:BN)</f>
        <v>0</v>
      </c>
      <c r="BL11">
        <f>SUMIF(RawDataDead!$B:$B,$A11,RawDataDead!BO:BO)</f>
        <v>0</v>
      </c>
      <c r="BM11">
        <f>SUMIF(RawDataDead!$B:$B,$A11,RawDataDead!BP:BP)</f>
        <v>0</v>
      </c>
      <c r="BN11">
        <f>SUMIF(RawDataDead!$B:$B,$A11,RawDataDead!BQ:BQ)</f>
        <v>0</v>
      </c>
      <c r="BO11">
        <f>SUMIF(RawDataDead!$B:$B,$A11,RawDataDead!BR:BR)</f>
        <v>0</v>
      </c>
      <c r="BP11">
        <f>SUMIF(RawDataDead!$B:$B,$A11,RawDataDead!BS:BS)</f>
        <v>0</v>
      </c>
      <c r="BQ11">
        <f>SUMIF(RawDataDead!$B:$B,$A11,RawDataDead!BT:BT)</f>
        <v>0</v>
      </c>
      <c r="BR11">
        <f>SUMIF(RawDataDead!$B:$B,$A11,RawDataDead!BU:BU)</f>
        <v>0</v>
      </c>
      <c r="BS11">
        <f>SUMIF(RawDataDead!$B:$B,$A11,RawDataDead!BV:BV)</f>
        <v>0</v>
      </c>
      <c r="BT11">
        <f>SUMIF(RawDataDead!$B:$B,$A11,RawDataDead!BW:BW)</f>
        <v>0</v>
      </c>
    </row>
    <row r="12" spans="1:72" ht="15" thickBot="1" x14ac:dyDescent="0.35">
      <c r="A12" s="4" t="s">
        <v>86</v>
      </c>
      <c r="B12">
        <f>SUMIF(RawDataDead!$B:$B,$A12,RawDataDead!E:E)</f>
        <v>0</v>
      </c>
      <c r="C12">
        <f>SUMIF(RawDataDead!$B:$B,$A12,RawDataDead!F:F)</f>
        <v>0</v>
      </c>
      <c r="D12">
        <f>SUMIF(RawDataDead!$B:$B,$A12,RawDataDead!G:G)</f>
        <v>0</v>
      </c>
      <c r="E12">
        <f>SUMIF(RawDataDead!$B:$B,$A12,RawDataDead!H:H)</f>
        <v>0</v>
      </c>
      <c r="F12">
        <f>SUMIF(RawDataDead!$B:$B,$A12,RawDataDead!I:I)</f>
        <v>0</v>
      </c>
      <c r="G12">
        <f>SUMIF(RawDataDead!$B:$B,$A12,RawDataDead!J:J)</f>
        <v>0</v>
      </c>
      <c r="H12">
        <f>SUMIF(RawDataDead!$B:$B,$A12,RawDataDead!K:K)</f>
        <v>0</v>
      </c>
      <c r="I12">
        <f>SUMIF(RawDataDead!$B:$B,$A12,RawDataDead!L:L)</f>
        <v>0</v>
      </c>
      <c r="J12">
        <f>SUMIF(RawDataDead!$B:$B,$A12,RawDataDead!M:M)</f>
        <v>0</v>
      </c>
      <c r="K12">
        <f>SUMIF(RawDataDead!$B:$B,$A12,RawDataDead!N:N)</f>
        <v>0</v>
      </c>
      <c r="L12">
        <f>SUMIF(RawDataDead!$B:$B,$A12,RawDataDead!O:O)</f>
        <v>0</v>
      </c>
      <c r="M12">
        <f>SUMIF(RawDataDead!$B:$B,$A12,RawDataDead!P:P)</f>
        <v>0</v>
      </c>
      <c r="N12">
        <f>SUMIF(RawDataDead!$B:$B,$A12,RawDataDead!Q:Q)</f>
        <v>0</v>
      </c>
      <c r="O12">
        <f>SUMIF(RawDataDead!$B:$B,$A12,RawDataDead!R:R)</f>
        <v>0</v>
      </c>
      <c r="P12">
        <f>SUMIF(RawDataDead!$B:$B,$A12,RawDataDead!S:S)</f>
        <v>0</v>
      </c>
      <c r="Q12">
        <f>SUMIF(RawDataDead!$B:$B,$A12,RawDataDead!T:T)</f>
        <v>0</v>
      </c>
      <c r="R12">
        <f>SUMIF(RawDataDead!$B:$B,$A12,RawDataDead!U:U)</f>
        <v>0</v>
      </c>
      <c r="S12">
        <f>SUMIF(RawDataDead!$B:$B,$A12,RawDataDead!V:V)</f>
        <v>0</v>
      </c>
      <c r="T12">
        <f>SUMIF(RawDataDead!$B:$B,$A12,RawDataDead!W:W)</f>
        <v>0</v>
      </c>
      <c r="U12">
        <f>SUMIF(RawDataDead!$B:$B,$A12,RawDataDead!X:X)</f>
        <v>0</v>
      </c>
      <c r="V12">
        <f>SUMIF(RawDataDead!$B:$B,$A12,RawDataDead!Y:Y)</f>
        <v>0</v>
      </c>
      <c r="W12">
        <f>SUMIF(RawDataDead!$B:$B,$A12,RawDataDead!Z:Z)</f>
        <v>0</v>
      </c>
      <c r="X12">
        <f>SUMIF(RawDataDead!$B:$B,$A12,RawDataDead!AA:AA)</f>
        <v>0</v>
      </c>
      <c r="Y12">
        <f>SUMIF(RawDataDead!$B:$B,$A12,RawDataDead!AB:AB)</f>
        <v>0</v>
      </c>
      <c r="Z12">
        <f>SUMIF(RawDataDead!$B:$B,$A12,RawDataDead!AC:AC)</f>
        <v>0</v>
      </c>
      <c r="AA12">
        <f>SUMIF(RawDataDead!$B:$B,$A12,RawDataDead!AD:AD)</f>
        <v>0</v>
      </c>
      <c r="AB12">
        <f>SUMIF(RawDataDead!$B:$B,$A12,RawDataDead!AE:AE)</f>
        <v>0</v>
      </c>
      <c r="AC12">
        <f>SUMIF(RawDataDead!$B:$B,$A12,RawDataDead!AF:AF)</f>
        <v>0</v>
      </c>
      <c r="AD12">
        <f>SUMIF(RawDataDead!$B:$B,$A12,RawDataDead!AG:AG)</f>
        <v>0</v>
      </c>
      <c r="AE12">
        <f>SUMIF(RawDataDead!$B:$B,$A12,RawDataDead!AH:AH)</f>
        <v>0</v>
      </c>
      <c r="AF12">
        <f>SUMIF(RawDataDead!$B:$B,$A12,RawDataDead!AI:AI)</f>
        <v>0</v>
      </c>
      <c r="AG12">
        <f>SUMIF(RawDataDead!$B:$B,$A12,RawDataDead!AJ:AJ)</f>
        <v>0</v>
      </c>
      <c r="AH12">
        <f>SUMIF(RawDataDead!$B:$B,$A12,RawDataDead!AK:AK)</f>
        <v>0</v>
      </c>
      <c r="AI12">
        <f>SUMIF(RawDataDead!$B:$B,$A12,RawDataDead!AL:AL)</f>
        <v>0</v>
      </c>
      <c r="AJ12">
        <f>SUMIF(RawDataDead!$B:$B,$A12,RawDataDead!AM:AM)</f>
        <v>0</v>
      </c>
      <c r="AK12">
        <f>SUMIF(RawDataDead!$B:$B,$A12,RawDataDead!AN:AN)</f>
        <v>0</v>
      </c>
      <c r="AL12">
        <f>SUMIF(RawDataDead!$B:$B,$A12,RawDataDead!AO:AO)</f>
        <v>0</v>
      </c>
      <c r="AM12">
        <f>SUMIF(RawDataDead!$B:$B,$A12,RawDataDead!AP:AP)</f>
        <v>0</v>
      </c>
      <c r="AN12">
        <f>SUMIF(RawDataDead!$B:$B,$A12,RawDataDead!AQ:AQ)</f>
        <v>0</v>
      </c>
      <c r="AO12">
        <f>SUMIF(RawDataDead!$B:$B,$A12,RawDataDead!AR:AR)</f>
        <v>0</v>
      </c>
      <c r="AP12">
        <f>SUMIF(RawDataDead!$B:$B,$A12,RawDataDead!AS:AS)</f>
        <v>0</v>
      </c>
      <c r="AQ12">
        <f>SUMIF(RawDataDead!$B:$B,$A12,RawDataDead!AT:AT)</f>
        <v>0</v>
      </c>
      <c r="AR12">
        <f>SUMIF(RawDataDead!$B:$B,$A12,RawDataDead!AU:AU)</f>
        <v>0</v>
      </c>
      <c r="AS12">
        <f>SUMIF(RawDataDead!$B:$B,$A12,RawDataDead!AV:AV)</f>
        <v>0</v>
      </c>
      <c r="AT12">
        <f>SUMIF(RawDataDead!$B:$B,$A12,RawDataDead!AW:AW)</f>
        <v>0</v>
      </c>
      <c r="AU12">
        <f>SUMIF(RawDataDead!$B:$B,$A12,RawDataDead!AX:AX)</f>
        <v>0</v>
      </c>
      <c r="AV12">
        <f>SUMIF(RawDataDead!$B:$B,$A12,RawDataDead!AY:AY)</f>
        <v>0</v>
      </c>
      <c r="AW12">
        <f>SUMIF(RawDataDead!$B:$B,$A12,RawDataDead!AZ:AZ)</f>
        <v>0</v>
      </c>
      <c r="AX12">
        <f>SUMIF(RawDataDead!$B:$B,$A12,RawDataDead!BA:BA)</f>
        <v>0</v>
      </c>
      <c r="AY12">
        <f>SUMIF(RawDataDead!$B:$B,$A12,RawDataDead!BB:BB)</f>
        <v>1</v>
      </c>
      <c r="AZ12">
        <f>SUMIF(RawDataDead!$B:$B,$A12,RawDataDead!BC:BC)</f>
        <v>1</v>
      </c>
      <c r="BA12">
        <f>SUMIF(RawDataDead!$B:$B,$A12,RawDataDead!BD:BD)</f>
        <v>1</v>
      </c>
      <c r="BB12">
        <f>SUMIF(RawDataDead!$B:$B,$A12,RawDataDead!BE:BE)</f>
        <v>2</v>
      </c>
      <c r="BC12">
        <f>SUMIF(RawDataDead!$B:$B,$A12,RawDataDead!BF:BF)</f>
        <v>3</v>
      </c>
      <c r="BD12">
        <f>SUMIF(RawDataDead!$B:$B,$A12,RawDataDead!BG:BG)</f>
        <v>6</v>
      </c>
      <c r="BE12">
        <f>SUMIF(RawDataDead!$B:$B,$A12,RawDataDead!BH:BH)</f>
        <v>7</v>
      </c>
      <c r="BF12">
        <f>SUMIF(RawDataDead!$B:$B,$A12,RawDataDead!BI:BI)</f>
        <v>0</v>
      </c>
      <c r="BG12">
        <f>SUMIF(RawDataDead!$B:$B,$A12,RawDataDead!BJ:BJ)</f>
        <v>0</v>
      </c>
      <c r="BH12">
        <f>SUMIF(RawDataDead!$B:$B,$A12,RawDataDead!BK:BK)</f>
        <v>0</v>
      </c>
      <c r="BI12">
        <f>SUMIF(RawDataDead!$B:$B,$A12,RawDataDead!BL:BL)</f>
        <v>0</v>
      </c>
      <c r="BJ12">
        <f>SUMIF(RawDataDead!$B:$B,$A12,RawDataDead!BM:BM)</f>
        <v>0</v>
      </c>
      <c r="BK12">
        <f>SUMIF(RawDataDead!$B:$B,$A12,RawDataDead!BN:BN)</f>
        <v>0</v>
      </c>
      <c r="BL12">
        <f>SUMIF(RawDataDead!$B:$B,$A12,RawDataDead!BO:BO)</f>
        <v>0</v>
      </c>
      <c r="BM12">
        <f>SUMIF(RawDataDead!$B:$B,$A12,RawDataDead!BP:BP)</f>
        <v>0</v>
      </c>
      <c r="BN12">
        <f>SUMIF(RawDataDead!$B:$B,$A12,RawDataDead!BQ:BQ)</f>
        <v>0</v>
      </c>
      <c r="BO12">
        <f>SUMIF(RawDataDead!$B:$B,$A12,RawDataDead!BR:BR)</f>
        <v>0</v>
      </c>
      <c r="BP12">
        <f>SUMIF(RawDataDead!$B:$B,$A12,RawDataDead!BS:BS)</f>
        <v>0</v>
      </c>
      <c r="BQ12">
        <f>SUMIF(RawDataDead!$B:$B,$A12,RawDataDead!BT:BT)</f>
        <v>0</v>
      </c>
      <c r="BR12">
        <f>SUMIF(RawDataDead!$B:$B,$A12,RawDataDead!BU:BU)</f>
        <v>0</v>
      </c>
      <c r="BS12">
        <f>SUMIF(RawDataDead!$B:$B,$A12,RawDataDead!BV:BV)</f>
        <v>0</v>
      </c>
      <c r="BT12">
        <f>SUMIF(RawDataDead!$B:$B,$A12,RawDataDead!BW:BW)</f>
        <v>0</v>
      </c>
    </row>
    <row r="13" spans="1:72" ht="15" thickBot="1" x14ac:dyDescent="0.35">
      <c r="A13" s="3" t="s">
        <v>114</v>
      </c>
      <c r="B13">
        <f>SUMIF(RawDataDead!$B:$B,$A13,RawDataDead!E:E)</f>
        <v>0</v>
      </c>
      <c r="C13">
        <f>SUMIF(RawDataDead!$B:$B,$A13,RawDataDead!F:F)</f>
        <v>0</v>
      </c>
      <c r="D13">
        <f>SUMIF(RawDataDead!$B:$B,$A13,RawDataDead!G:G)</f>
        <v>0</v>
      </c>
      <c r="E13">
        <f>SUMIF(RawDataDead!$B:$B,$A13,RawDataDead!H:H)</f>
        <v>0</v>
      </c>
      <c r="F13">
        <f>SUMIF(RawDataDead!$B:$B,$A13,RawDataDead!I:I)</f>
        <v>0</v>
      </c>
      <c r="G13">
        <f>SUMIF(RawDataDead!$B:$B,$A13,RawDataDead!J:J)</f>
        <v>0</v>
      </c>
      <c r="H13">
        <f>SUMIF(RawDataDead!$B:$B,$A13,RawDataDead!K:K)</f>
        <v>0</v>
      </c>
      <c r="I13">
        <f>SUMIF(RawDataDead!$B:$B,$A13,RawDataDead!L:L)</f>
        <v>0</v>
      </c>
      <c r="J13">
        <f>SUMIF(RawDataDead!$B:$B,$A13,RawDataDead!M:M)</f>
        <v>0</v>
      </c>
      <c r="K13">
        <f>SUMIF(RawDataDead!$B:$B,$A13,RawDataDead!N:N)</f>
        <v>0</v>
      </c>
      <c r="L13">
        <f>SUMIF(RawDataDead!$B:$B,$A13,RawDataDead!O:O)</f>
        <v>0</v>
      </c>
      <c r="M13">
        <f>SUMIF(RawDataDead!$B:$B,$A13,RawDataDead!P:P)</f>
        <v>0</v>
      </c>
      <c r="N13">
        <f>SUMIF(RawDataDead!$B:$B,$A13,RawDataDead!Q:Q)</f>
        <v>0</v>
      </c>
      <c r="O13">
        <f>SUMIF(RawDataDead!$B:$B,$A13,RawDataDead!R:R)</f>
        <v>0</v>
      </c>
      <c r="P13">
        <f>SUMIF(RawDataDead!$B:$B,$A13,RawDataDead!S:S)</f>
        <v>0</v>
      </c>
      <c r="Q13">
        <f>SUMIF(RawDataDead!$B:$B,$A13,RawDataDead!T:T)</f>
        <v>0</v>
      </c>
      <c r="R13">
        <f>SUMIF(RawDataDead!$B:$B,$A13,RawDataDead!U:U)</f>
        <v>0</v>
      </c>
      <c r="S13">
        <f>SUMIF(RawDataDead!$B:$B,$A13,RawDataDead!V:V)</f>
        <v>0</v>
      </c>
      <c r="T13">
        <f>SUMIF(RawDataDead!$B:$B,$A13,RawDataDead!W:W)</f>
        <v>0</v>
      </c>
      <c r="U13">
        <f>SUMIF(RawDataDead!$B:$B,$A13,RawDataDead!X:X)</f>
        <v>0</v>
      </c>
      <c r="V13">
        <f>SUMIF(RawDataDead!$B:$B,$A13,RawDataDead!Y:Y)</f>
        <v>0</v>
      </c>
      <c r="W13">
        <f>SUMIF(RawDataDead!$B:$B,$A13,RawDataDead!Z:Z)</f>
        <v>0</v>
      </c>
      <c r="X13">
        <f>SUMIF(RawDataDead!$B:$B,$A13,RawDataDead!AA:AA)</f>
        <v>0</v>
      </c>
      <c r="Y13">
        <f>SUMIF(RawDataDead!$B:$B,$A13,RawDataDead!AB:AB)</f>
        <v>0</v>
      </c>
      <c r="Z13">
        <f>SUMIF(RawDataDead!$B:$B,$A13,RawDataDead!AC:AC)</f>
        <v>0</v>
      </c>
      <c r="AA13">
        <f>SUMIF(RawDataDead!$B:$B,$A13,RawDataDead!AD:AD)</f>
        <v>0</v>
      </c>
      <c r="AB13">
        <f>SUMIF(RawDataDead!$B:$B,$A13,RawDataDead!AE:AE)</f>
        <v>0</v>
      </c>
      <c r="AC13">
        <f>SUMIF(RawDataDead!$B:$B,$A13,RawDataDead!AF:AF)</f>
        <v>0</v>
      </c>
      <c r="AD13">
        <f>SUMIF(RawDataDead!$B:$B,$A13,RawDataDead!AG:AG)</f>
        <v>0</v>
      </c>
      <c r="AE13">
        <f>SUMIF(RawDataDead!$B:$B,$A13,RawDataDead!AH:AH)</f>
        <v>0</v>
      </c>
      <c r="AF13">
        <f>SUMIF(RawDataDead!$B:$B,$A13,RawDataDead!AI:AI)</f>
        <v>0</v>
      </c>
      <c r="AG13">
        <f>SUMIF(RawDataDead!$B:$B,$A13,RawDataDead!AJ:AJ)</f>
        <v>0</v>
      </c>
      <c r="AH13">
        <f>SUMIF(RawDataDead!$B:$B,$A13,RawDataDead!AK:AK)</f>
        <v>0</v>
      </c>
      <c r="AI13">
        <f>SUMIF(RawDataDead!$B:$B,$A13,RawDataDead!AL:AL)</f>
        <v>0</v>
      </c>
      <c r="AJ13">
        <f>SUMIF(RawDataDead!$B:$B,$A13,RawDataDead!AM:AM)</f>
        <v>0</v>
      </c>
      <c r="AK13">
        <f>SUMIF(RawDataDead!$B:$B,$A13,RawDataDead!AN:AN)</f>
        <v>0</v>
      </c>
      <c r="AL13">
        <f>SUMIF(RawDataDead!$B:$B,$A13,RawDataDead!AO:AO)</f>
        <v>0</v>
      </c>
      <c r="AM13">
        <f>SUMIF(RawDataDead!$B:$B,$A13,RawDataDead!AP:AP)</f>
        <v>0</v>
      </c>
      <c r="AN13">
        <f>SUMIF(RawDataDead!$B:$B,$A13,RawDataDead!AQ:AQ)</f>
        <v>0</v>
      </c>
      <c r="AO13">
        <f>SUMIF(RawDataDead!$B:$B,$A13,RawDataDead!AR:AR)</f>
        <v>0</v>
      </c>
      <c r="AP13">
        <f>SUMIF(RawDataDead!$B:$B,$A13,RawDataDead!AS:AS)</f>
        <v>0</v>
      </c>
      <c r="AQ13">
        <f>SUMIF(RawDataDead!$B:$B,$A13,RawDataDead!AT:AT)</f>
        <v>0</v>
      </c>
      <c r="AR13">
        <f>SUMIF(RawDataDead!$B:$B,$A13,RawDataDead!AU:AU)</f>
        <v>0</v>
      </c>
      <c r="AS13">
        <f>SUMIF(RawDataDead!$B:$B,$A13,RawDataDead!AV:AV)</f>
        <v>0</v>
      </c>
      <c r="AT13">
        <f>SUMIF(RawDataDead!$B:$B,$A13,RawDataDead!AW:AW)</f>
        <v>0</v>
      </c>
      <c r="AU13">
        <f>SUMIF(RawDataDead!$B:$B,$A13,RawDataDead!AX:AX)</f>
        <v>0</v>
      </c>
      <c r="AV13">
        <f>SUMIF(RawDataDead!$B:$B,$A13,RawDataDead!AY:AY)</f>
        <v>0</v>
      </c>
      <c r="AW13">
        <f>SUMIF(RawDataDead!$B:$B,$A13,RawDataDead!AZ:AZ)</f>
        <v>0</v>
      </c>
      <c r="AX13">
        <f>SUMIF(RawDataDead!$B:$B,$A13,RawDataDead!BA:BA)</f>
        <v>0</v>
      </c>
      <c r="AY13">
        <f>SUMIF(RawDataDead!$B:$B,$A13,RawDataDead!BB:BB)</f>
        <v>0</v>
      </c>
      <c r="AZ13">
        <f>SUMIF(RawDataDead!$B:$B,$A13,RawDataDead!BC:BC)</f>
        <v>0</v>
      </c>
      <c r="BA13">
        <f>SUMIF(RawDataDead!$B:$B,$A13,RawDataDead!BD:BD)</f>
        <v>0</v>
      </c>
      <c r="BB13">
        <f>SUMIF(RawDataDead!$B:$B,$A13,RawDataDead!BE:BE)</f>
        <v>1</v>
      </c>
      <c r="BC13">
        <f>SUMIF(RawDataDead!$B:$B,$A13,RawDataDead!BF:BF)</f>
        <v>2</v>
      </c>
      <c r="BD13">
        <f>SUMIF(RawDataDead!$B:$B,$A13,RawDataDead!BG:BG)</f>
        <v>3</v>
      </c>
      <c r="BE13">
        <f>SUMIF(RawDataDead!$B:$B,$A13,RawDataDead!BH:BH)</f>
        <v>4</v>
      </c>
      <c r="BF13">
        <f>SUMIF(RawDataDead!$B:$B,$A13,RawDataDead!BI:BI)</f>
        <v>0</v>
      </c>
      <c r="BG13">
        <f>SUMIF(RawDataDead!$B:$B,$A13,RawDataDead!BJ:BJ)</f>
        <v>0</v>
      </c>
      <c r="BH13">
        <f>SUMIF(RawDataDead!$B:$B,$A13,RawDataDead!BK:BK)</f>
        <v>0</v>
      </c>
      <c r="BI13">
        <f>SUMIF(RawDataDead!$B:$B,$A13,RawDataDead!BL:BL)</f>
        <v>0</v>
      </c>
      <c r="BJ13">
        <f>SUMIF(RawDataDead!$B:$B,$A13,RawDataDead!BM:BM)</f>
        <v>0</v>
      </c>
      <c r="BK13">
        <f>SUMIF(RawDataDead!$B:$B,$A13,RawDataDead!BN:BN)</f>
        <v>0</v>
      </c>
      <c r="BL13">
        <f>SUMIF(RawDataDead!$B:$B,$A13,RawDataDead!BO:BO)</f>
        <v>0</v>
      </c>
      <c r="BM13">
        <f>SUMIF(RawDataDead!$B:$B,$A13,RawDataDead!BP:BP)</f>
        <v>0</v>
      </c>
      <c r="BN13">
        <f>SUMIF(RawDataDead!$B:$B,$A13,RawDataDead!BQ:BQ)</f>
        <v>0</v>
      </c>
      <c r="BO13">
        <f>SUMIF(RawDataDead!$B:$B,$A13,RawDataDead!BR:BR)</f>
        <v>0</v>
      </c>
      <c r="BP13">
        <f>SUMIF(RawDataDead!$B:$B,$A13,RawDataDead!BS:BS)</f>
        <v>0</v>
      </c>
      <c r="BQ13">
        <f>SUMIF(RawDataDead!$B:$B,$A13,RawDataDead!BT:BT)</f>
        <v>0</v>
      </c>
      <c r="BR13">
        <f>SUMIF(RawDataDead!$B:$B,$A13,RawDataDead!BU:BU)</f>
        <v>0</v>
      </c>
      <c r="BS13">
        <f>SUMIF(RawDataDead!$B:$B,$A13,RawDataDead!BV:BV)</f>
        <v>0</v>
      </c>
      <c r="BT13">
        <f>SUMIF(RawDataDead!$B:$B,$A13,RawDataDead!BW:BW)</f>
        <v>0</v>
      </c>
    </row>
    <row r="14" spans="1:72" ht="15" thickBot="1" x14ac:dyDescent="0.35">
      <c r="A14" s="3" t="s">
        <v>116</v>
      </c>
      <c r="B14">
        <f>SUMIF(RawDataDead!$B:$B,$A14,RawDataDead!E:E)</f>
        <v>0</v>
      </c>
      <c r="C14">
        <f>SUMIF(RawDataDead!$B:$B,$A14,RawDataDead!F:F)</f>
        <v>0</v>
      </c>
      <c r="D14">
        <f>SUMIF(RawDataDead!$B:$B,$A14,RawDataDead!G:G)</f>
        <v>0</v>
      </c>
      <c r="E14">
        <f>SUMIF(RawDataDead!$B:$B,$A14,RawDataDead!H:H)</f>
        <v>0</v>
      </c>
      <c r="F14">
        <f>SUMIF(RawDataDead!$B:$B,$A14,RawDataDead!I:I)</f>
        <v>0</v>
      </c>
      <c r="G14">
        <f>SUMIF(RawDataDead!$B:$B,$A14,RawDataDead!J:J)</f>
        <v>0</v>
      </c>
      <c r="H14">
        <f>SUMIF(RawDataDead!$B:$B,$A14,RawDataDead!K:K)</f>
        <v>0</v>
      </c>
      <c r="I14">
        <f>SUMIF(RawDataDead!$B:$B,$A14,RawDataDead!L:L)</f>
        <v>0</v>
      </c>
      <c r="J14">
        <f>SUMIF(RawDataDead!$B:$B,$A14,RawDataDead!M:M)</f>
        <v>0</v>
      </c>
      <c r="K14">
        <f>SUMIF(RawDataDead!$B:$B,$A14,RawDataDead!N:N)</f>
        <v>0</v>
      </c>
      <c r="L14">
        <f>SUMIF(RawDataDead!$B:$B,$A14,RawDataDead!O:O)</f>
        <v>0</v>
      </c>
      <c r="M14">
        <f>SUMIF(RawDataDead!$B:$B,$A14,RawDataDead!P:P)</f>
        <v>0</v>
      </c>
      <c r="N14">
        <f>SUMIF(RawDataDead!$B:$B,$A14,RawDataDead!Q:Q)</f>
        <v>0</v>
      </c>
      <c r="O14">
        <f>SUMIF(RawDataDead!$B:$B,$A14,RawDataDead!R:R)</f>
        <v>0</v>
      </c>
      <c r="P14">
        <f>SUMIF(RawDataDead!$B:$B,$A14,RawDataDead!S:S)</f>
        <v>0</v>
      </c>
      <c r="Q14">
        <f>SUMIF(RawDataDead!$B:$B,$A14,RawDataDead!T:T)</f>
        <v>0</v>
      </c>
      <c r="R14">
        <f>SUMIF(RawDataDead!$B:$B,$A14,RawDataDead!U:U)</f>
        <v>0</v>
      </c>
      <c r="S14">
        <f>SUMIF(RawDataDead!$B:$B,$A14,RawDataDead!V:V)</f>
        <v>0</v>
      </c>
      <c r="T14">
        <f>SUMIF(RawDataDead!$B:$B,$A14,RawDataDead!W:W)</f>
        <v>0</v>
      </c>
      <c r="U14">
        <f>SUMIF(RawDataDead!$B:$B,$A14,RawDataDead!X:X)</f>
        <v>0</v>
      </c>
      <c r="V14">
        <f>SUMIF(RawDataDead!$B:$B,$A14,RawDataDead!Y:Y)</f>
        <v>0</v>
      </c>
      <c r="W14">
        <f>SUMIF(RawDataDead!$B:$B,$A14,RawDataDead!Z:Z)</f>
        <v>0</v>
      </c>
      <c r="X14">
        <f>SUMIF(RawDataDead!$B:$B,$A14,RawDataDead!AA:AA)</f>
        <v>0</v>
      </c>
      <c r="Y14">
        <f>SUMIF(RawDataDead!$B:$B,$A14,RawDataDead!AB:AB)</f>
        <v>0</v>
      </c>
      <c r="Z14">
        <f>SUMIF(RawDataDead!$B:$B,$A14,RawDataDead!AC:AC)</f>
        <v>0</v>
      </c>
      <c r="AA14">
        <f>SUMIF(RawDataDead!$B:$B,$A14,RawDataDead!AD:AD)</f>
        <v>0</v>
      </c>
      <c r="AB14">
        <f>SUMIF(RawDataDead!$B:$B,$A14,RawDataDead!AE:AE)</f>
        <v>0</v>
      </c>
      <c r="AC14">
        <f>SUMIF(RawDataDead!$B:$B,$A14,RawDataDead!AF:AF)</f>
        <v>0</v>
      </c>
      <c r="AD14">
        <f>SUMIF(RawDataDead!$B:$B,$A14,RawDataDead!AG:AG)</f>
        <v>0</v>
      </c>
      <c r="AE14">
        <f>SUMIF(RawDataDead!$B:$B,$A14,RawDataDead!AH:AH)</f>
        <v>0</v>
      </c>
      <c r="AF14">
        <f>SUMIF(RawDataDead!$B:$B,$A14,RawDataDead!AI:AI)</f>
        <v>0</v>
      </c>
      <c r="AG14">
        <f>SUMIF(RawDataDead!$B:$B,$A14,RawDataDead!AJ:AJ)</f>
        <v>0</v>
      </c>
      <c r="AH14">
        <f>SUMIF(RawDataDead!$B:$B,$A14,RawDataDead!AK:AK)</f>
        <v>0</v>
      </c>
      <c r="AI14">
        <f>SUMIF(RawDataDead!$B:$B,$A14,RawDataDead!AL:AL)</f>
        <v>0</v>
      </c>
      <c r="AJ14">
        <f>SUMIF(RawDataDead!$B:$B,$A14,RawDataDead!AM:AM)</f>
        <v>0</v>
      </c>
      <c r="AK14">
        <f>SUMIF(RawDataDead!$B:$B,$A14,RawDataDead!AN:AN)</f>
        <v>0</v>
      </c>
      <c r="AL14">
        <f>SUMIF(RawDataDead!$B:$B,$A14,RawDataDead!AO:AO)</f>
        <v>0</v>
      </c>
      <c r="AM14">
        <f>SUMIF(RawDataDead!$B:$B,$A14,RawDataDead!AP:AP)</f>
        <v>0</v>
      </c>
      <c r="AN14">
        <f>SUMIF(RawDataDead!$B:$B,$A14,RawDataDead!AQ:AQ)</f>
        <v>0</v>
      </c>
      <c r="AO14">
        <f>SUMIF(RawDataDead!$B:$B,$A14,RawDataDead!AR:AR)</f>
        <v>0</v>
      </c>
      <c r="AP14">
        <f>SUMIF(RawDataDead!$B:$B,$A14,RawDataDead!AS:AS)</f>
        <v>0</v>
      </c>
      <c r="AQ14">
        <f>SUMIF(RawDataDead!$B:$B,$A14,RawDataDead!AT:AT)</f>
        <v>0</v>
      </c>
      <c r="AR14">
        <f>SUMIF(RawDataDead!$B:$B,$A14,RawDataDead!AU:AU)</f>
        <v>0</v>
      </c>
      <c r="AS14">
        <f>SUMIF(RawDataDead!$B:$B,$A14,RawDataDead!AV:AV)</f>
        <v>0</v>
      </c>
      <c r="AT14">
        <f>SUMIF(RawDataDead!$B:$B,$A14,RawDataDead!AW:AW)</f>
        <v>1</v>
      </c>
      <c r="AU14">
        <f>SUMIF(RawDataDead!$B:$B,$A14,RawDataDead!AX:AX)</f>
        <v>1</v>
      </c>
      <c r="AV14">
        <f>SUMIF(RawDataDead!$B:$B,$A14,RawDataDead!AY:AY)</f>
        <v>3</v>
      </c>
      <c r="AW14">
        <f>SUMIF(RawDataDead!$B:$B,$A14,RawDataDead!AZ:AZ)</f>
        <v>3</v>
      </c>
      <c r="AX14">
        <f>SUMIF(RawDataDead!$B:$B,$A14,RawDataDead!BA:BA)</f>
        <v>4</v>
      </c>
      <c r="AY14">
        <f>SUMIF(RawDataDead!$B:$B,$A14,RawDataDead!BB:BB)</f>
        <v>5</v>
      </c>
      <c r="AZ14">
        <f>SUMIF(RawDataDead!$B:$B,$A14,RawDataDead!BC:BC)</f>
        <v>5</v>
      </c>
      <c r="BA14">
        <f>SUMIF(RawDataDead!$B:$B,$A14,RawDataDead!BD:BD)</f>
        <v>10</v>
      </c>
      <c r="BB14">
        <f>SUMIF(RawDataDead!$B:$B,$A14,RawDataDead!BE:BE)</f>
        <v>12</v>
      </c>
      <c r="BC14">
        <f>SUMIF(RawDataDead!$B:$B,$A14,RawDataDead!BF:BF)</f>
        <v>20</v>
      </c>
      <c r="BD14">
        <f>SUMIF(RawDataDead!$B:$B,$A14,RawDataDead!BG:BG)</f>
        <v>24</v>
      </c>
      <c r="BE14">
        <f>SUMIF(RawDataDead!$B:$B,$A14,RawDataDead!BH:BH)</f>
        <v>43</v>
      </c>
      <c r="BF14">
        <f>SUMIF(RawDataDead!$B:$B,$A14,RawDataDead!BI:BI)</f>
        <v>0</v>
      </c>
      <c r="BG14">
        <f>SUMIF(RawDataDead!$B:$B,$A14,RawDataDead!BJ:BJ)</f>
        <v>0</v>
      </c>
      <c r="BH14">
        <f>SUMIF(RawDataDead!$B:$B,$A14,RawDataDead!BK:BK)</f>
        <v>0</v>
      </c>
      <c r="BI14">
        <f>SUMIF(RawDataDead!$B:$B,$A14,RawDataDead!BL:BL)</f>
        <v>0</v>
      </c>
      <c r="BJ14">
        <f>SUMIF(RawDataDead!$B:$B,$A14,RawDataDead!BM:BM)</f>
        <v>0</v>
      </c>
      <c r="BK14">
        <f>SUMIF(RawDataDead!$B:$B,$A14,RawDataDead!BN:BN)</f>
        <v>0</v>
      </c>
      <c r="BL14">
        <f>SUMIF(RawDataDead!$B:$B,$A14,RawDataDead!BO:BO)</f>
        <v>0</v>
      </c>
      <c r="BM14">
        <f>SUMIF(RawDataDead!$B:$B,$A14,RawDataDead!BP:BP)</f>
        <v>0</v>
      </c>
      <c r="BN14">
        <f>SUMIF(RawDataDead!$B:$B,$A14,RawDataDead!BQ:BQ)</f>
        <v>0</v>
      </c>
      <c r="BO14">
        <f>SUMIF(RawDataDead!$B:$B,$A14,RawDataDead!BR:BR)</f>
        <v>0</v>
      </c>
      <c r="BP14">
        <f>SUMIF(RawDataDead!$B:$B,$A14,RawDataDead!BS:BS)</f>
        <v>0</v>
      </c>
      <c r="BQ14">
        <f>SUMIF(RawDataDead!$B:$B,$A14,RawDataDead!BT:BT)</f>
        <v>0</v>
      </c>
      <c r="BR14">
        <f>SUMIF(RawDataDead!$B:$B,$A14,RawDataDead!BU:BU)</f>
        <v>0</v>
      </c>
      <c r="BS14">
        <f>SUMIF(RawDataDead!$B:$B,$A14,RawDataDead!BV:BV)</f>
        <v>0</v>
      </c>
      <c r="BT14">
        <f>SUMIF(RawDataDead!$B:$B,$A14,RawDataDead!BW:BW)</f>
        <v>0</v>
      </c>
    </row>
    <row r="15" spans="1:72" ht="15" thickBot="1" x14ac:dyDescent="0.35">
      <c r="A15" s="3" t="s">
        <v>377</v>
      </c>
      <c r="B15">
        <f>SUMIF(RawDataDead!$B:$B,$A15,RawDataDead!E:E)</f>
        <v>0</v>
      </c>
      <c r="C15">
        <f>SUMIF(RawDataDead!$B:$B,$A15,RawDataDead!F:F)</f>
        <v>0</v>
      </c>
      <c r="D15">
        <f>SUMIF(RawDataDead!$B:$B,$A15,RawDataDead!G:G)</f>
        <v>0</v>
      </c>
      <c r="E15">
        <f>SUMIF(RawDataDead!$B:$B,$A15,RawDataDead!H:H)</f>
        <v>0</v>
      </c>
      <c r="F15">
        <f>SUMIF(RawDataDead!$B:$B,$A15,RawDataDead!I:I)</f>
        <v>0</v>
      </c>
      <c r="G15">
        <f>SUMIF(RawDataDead!$B:$B,$A15,RawDataDead!J:J)</f>
        <v>0</v>
      </c>
      <c r="H15">
        <f>SUMIF(RawDataDead!$B:$B,$A15,RawDataDead!K:K)</f>
        <v>0</v>
      </c>
      <c r="I15">
        <f>SUMIF(RawDataDead!$B:$B,$A15,RawDataDead!L:L)</f>
        <v>0</v>
      </c>
      <c r="J15">
        <f>SUMIF(RawDataDead!$B:$B,$A15,RawDataDead!M:M)</f>
        <v>0</v>
      </c>
      <c r="K15">
        <f>SUMIF(RawDataDead!$B:$B,$A15,RawDataDead!N:N)</f>
        <v>0</v>
      </c>
      <c r="L15">
        <f>SUMIF(RawDataDead!$B:$B,$A15,RawDataDead!O:O)</f>
        <v>0</v>
      </c>
      <c r="M15">
        <f>SUMIF(RawDataDead!$B:$B,$A15,RawDataDead!P:P)</f>
        <v>0</v>
      </c>
      <c r="N15">
        <f>SUMIF(RawDataDead!$B:$B,$A15,RawDataDead!Q:Q)</f>
        <v>0</v>
      </c>
      <c r="O15">
        <f>SUMIF(RawDataDead!$B:$B,$A15,RawDataDead!R:R)</f>
        <v>0</v>
      </c>
      <c r="P15">
        <f>SUMIF(RawDataDead!$B:$B,$A15,RawDataDead!S:S)</f>
        <v>0</v>
      </c>
      <c r="Q15">
        <f>SUMIF(RawDataDead!$B:$B,$A15,RawDataDead!T:T)</f>
        <v>0</v>
      </c>
      <c r="R15">
        <f>SUMIF(RawDataDead!$B:$B,$A15,RawDataDead!U:U)</f>
        <v>0</v>
      </c>
      <c r="S15">
        <f>SUMIF(RawDataDead!$B:$B,$A15,RawDataDead!V:V)</f>
        <v>0</v>
      </c>
      <c r="T15">
        <f>SUMIF(RawDataDead!$B:$B,$A15,RawDataDead!W:W)</f>
        <v>0</v>
      </c>
      <c r="U15">
        <f>SUMIF(RawDataDead!$B:$B,$A15,RawDataDead!X:X)</f>
        <v>0</v>
      </c>
      <c r="V15">
        <f>SUMIF(RawDataDead!$B:$B,$A15,RawDataDead!Y:Y)</f>
        <v>0</v>
      </c>
      <c r="W15">
        <f>SUMIF(RawDataDead!$B:$B,$A15,RawDataDead!Z:Z)</f>
        <v>0</v>
      </c>
      <c r="X15">
        <f>SUMIF(RawDataDead!$B:$B,$A15,RawDataDead!AA:AA)</f>
        <v>0</v>
      </c>
      <c r="Y15">
        <f>SUMIF(RawDataDead!$B:$B,$A15,RawDataDead!AB:AB)</f>
        <v>0</v>
      </c>
      <c r="Z15">
        <f>SUMIF(RawDataDead!$B:$B,$A15,RawDataDead!AC:AC)</f>
        <v>0</v>
      </c>
      <c r="AA15">
        <f>SUMIF(RawDataDead!$B:$B,$A15,RawDataDead!AD:AD)</f>
        <v>0</v>
      </c>
      <c r="AB15">
        <f>SUMIF(RawDataDead!$B:$B,$A15,RawDataDead!AE:AE)</f>
        <v>0</v>
      </c>
      <c r="AC15">
        <f>SUMIF(RawDataDead!$B:$B,$A15,RawDataDead!AF:AF)</f>
        <v>0</v>
      </c>
      <c r="AD15">
        <f>SUMIF(RawDataDead!$B:$B,$A15,RawDataDead!AG:AG)</f>
        <v>0</v>
      </c>
      <c r="AE15">
        <f>SUMIF(RawDataDead!$B:$B,$A15,RawDataDead!AH:AH)</f>
        <v>0</v>
      </c>
      <c r="AF15">
        <f>SUMIF(RawDataDead!$B:$B,$A15,RawDataDead!AI:AI)</f>
        <v>0</v>
      </c>
      <c r="AG15">
        <f>SUMIF(RawDataDead!$B:$B,$A15,RawDataDead!AJ:AJ)</f>
        <v>0</v>
      </c>
      <c r="AH15">
        <f>SUMIF(RawDataDead!$B:$B,$A15,RawDataDead!AK:AK)</f>
        <v>0</v>
      </c>
      <c r="AI15">
        <f>SUMIF(RawDataDead!$B:$B,$A15,RawDataDead!AL:AL)</f>
        <v>0</v>
      </c>
      <c r="AJ15">
        <f>SUMIF(RawDataDead!$B:$B,$A15,RawDataDead!AM:AM)</f>
        <v>0</v>
      </c>
      <c r="AK15">
        <f>SUMIF(RawDataDead!$B:$B,$A15,RawDataDead!AN:AN)</f>
        <v>0</v>
      </c>
      <c r="AL15">
        <f>SUMIF(RawDataDead!$B:$B,$A15,RawDataDead!AO:AO)</f>
        <v>0</v>
      </c>
      <c r="AM15">
        <f>SUMIF(RawDataDead!$B:$B,$A15,RawDataDead!AP:AP)</f>
        <v>0</v>
      </c>
      <c r="AN15">
        <f>SUMIF(RawDataDead!$B:$B,$A15,RawDataDead!AQ:AQ)</f>
        <v>0</v>
      </c>
      <c r="AO15">
        <f>SUMIF(RawDataDead!$B:$B,$A15,RawDataDead!AR:AR)</f>
        <v>0</v>
      </c>
      <c r="AP15">
        <f>SUMIF(RawDataDead!$B:$B,$A15,RawDataDead!AS:AS)</f>
        <v>0</v>
      </c>
      <c r="AQ15">
        <f>SUMIF(RawDataDead!$B:$B,$A15,RawDataDead!AT:AT)</f>
        <v>0</v>
      </c>
      <c r="AR15">
        <f>SUMIF(RawDataDead!$B:$B,$A15,RawDataDead!AU:AU)</f>
        <v>0</v>
      </c>
      <c r="AS15">
        <f>SUMIF(RawDataDead!$B:$B,$A15,RawDataDead!AV:AV)</f>
        <v>1</v>
      </c>
      <c r="AT15">
        <f>SUMIF(RawDataDead!$B:$B,$A15,RawDataDead!AW:AW)</f>
        <v>2</v>
      </c>
      <c r="AU15">
        <f>SUMIF(RawDataDead!$B:$B,$A15,RawDataDead!AX:AX)</f>
        <v>2</v>
      </c>
      <c r="AV15">
        <f>SUMIF(RawDataDead!$B:$B,$A15,RawDataDead!AY:AY)</f>
        <v>3</v>
      </c>
      <c r="AW15">
        <f>SUMIF(RawDataDead!$B:$B,$A15,RawDataDead!AZ:AZ)</f>
        <v>4</v>
      </c>
      <c r="AX15">
        <f>SUMIF(RawDataDead!$B:$B,$A15,RawDataDead!BA:BA)</f>
        <v>6</v>
      </c>
      <c r="AY15">
        <f>SUMIF(RawDataDead!$B:$B,$A15,RawDataDead!BB:BB)</f>
        <v>8</v>
      </c>
      <c r="AZ15">
        <f>SUMIF(RawDataDead!$B:$B,$A15,RawDataDead!BC:BC)</f>
        <v>8</v>
      </c>
      <c r="BA15">
        <f>SUMIF(RawDataDead!$B:$B,$A15,RawDataDead!BD:BD)</f>
        <v>8</v>
      </c>
      <c r="BB15">
        <f>SUMIF(RawDataDead!$B:$B,$A15,RawDataDead!BE:BE)</f>
        <v>21</v>
      </c>
      <c r="BC15">
        <f>SUMIF(RawDataDead!$B:$B,$A15,RawDataDead!BF:BF)</f>
        <v>21</v>
      </c>
      <c r="BD15">
        <f>SUMIF(RawDataDead!$B:$B,$A15,RawDataDead!BG:BG)</f>
        <v>56</v>
      </c>
      <c r="BE15">
        <f>SUMIF(RawDataDead!$B:$B,$A15,RawDataDead!BH:BH)</f>
        <v>56</v>
      </c>
      <c r="BF15">
        <f>SUMIF(RawDataDead!$B:$B,$A15,RawDataDead!BI:BI)</f>
        <v>104</v>
      </c>
      <c r="BG15">
        <f>SUMIF(RawDataDead!$B:$B,$A15,RawDataDead!BJ:BJ)</f>
        <v>0</v>
      </c>
      <c r="BH15">
        <f>SUMIF(RawDataDead!$B:$B,$A15,RawDataDead!BK:BK)</f>
        <v>0</v>
      </c>
      <c r="BI15">
        <f>SUMIF(RawDataDead!$B:$B,$A15,RawDataDead!BL:BL)</f>
        <v>0</v>
      </c>
      <c r="BJ15">
        <f>SUMIF(RawDataDead!$B:$B,$A15,RawDataDead!BM:BM)</f>
        <v>0</v>
      </c>
      <c r="BK15">
        <f>SUMIF(RawDataDead!$B:$B,$A15,RawDataDead!BN:BN)</f>
        <v>0</v>
      </c>
      <c r="BL15">
        <f>SUMIF(RawDataDead!$B:$B,$A15,RawDataDead!BO:BO)</f>
        <v>0</v>
      </c>
      <c r="BM15">
        <f>SUMIF(RawDataDead!$B:$B,$A15,RawDataDead!BP:BP)</f>
        <v>0</v>
      </c>
      <c r="BN15">
        <f>SUMIF(RawDataDead!$B:$B,$A15,RawDataDead!BQ:BQ)</f>
        <v>0</v>
      </c>
      <c r="BO15">
        <f>SUMIF(RawDataDead!$B:$B,$A15,RawDataDead!BR:BR)</f>
        <v>0</v>
      </c>
      <c r="BP15">
        <f>SUMIF(RawDataDead!$B:$B,$A15,RawDataDead!BS:BS)</f>
        <v>0</v>
      </c>
      <c r="BQ15">
        <f>SUMIF(RawDataDead!$B:$B,$A15,RawDataDead!BT:BT)</f>
        <v>0</v>
      </c>
      <c r="BR15">
        <f>SUMIF(RawDataDead!$B:$B,$A15,RawDataDead!BU:BU)</f>
        <v>0</v>
      </c>
      <c r="BS15">
        <f>SUMIF(RawDataDead!$B:$B,$A15,RawDataDead!BV:BV)</f>
        <v>0</v>
      </c>
      <c r="BT15">
        <f>SUMIF(RawDataDead!$B:$B,$A15,RawDataDead!BW:BW)</f>
        <v>0</v>
      </c>
    </row>
    <row r="16" spans="1:72" ht="15" thickBot="1" x14ac:dyDescent="0.35">
      <c r="A16" s="4" t="s">
        <v>63</v>
      </c>
      <c r="B16">
        <f>SUMIF(RawDataDead!$B:$B,$A16,RawDataDead!E:E)</f>
        <v>0</v>
      </c>
      <c r="C16">
        <f>SUMIF(RawDataDead!$B:$B,$A16,RawDataDead!F:F)</f>
        <v>0</v>
      </c>
      <c r="D16">
        <f>SUMIF(RawDataDead!$B:$B,$A16,RawDataDead!G:G)</f>
        <v>0</v>
      </c>
      <c r="E16">
        <f>SUMIF(RawDataDead!$B:$B,$A16,RawDataDead!H:H)</f>
        <v>0</v>
      </c>
      <c r="F16">
        <f>SUMIF(RawDataDead!$B:$B,$A16,RawDataDead!I:I)</f>
        <v>0</v>
      </c>
      <c r="G16">
        <f>SUMIF(RawDataDead!$B:$B,$A16,RawDataDead!J:J)</f>
        <v>0</v>
      </c>
      <c r="H16">
        <f>SUMIF(RawDataDead!$B:$B,$A16,RawDataDead!K:K)</f>
        <v>0</v>
      </c>
      <c r="I16">
        <f>SUMIF(RawDataDead!$B:$B,$A16,RawDataDead!L:L)</f>
        <v>0</v>
      </c>
      <c r="J16">
        <f>SUMIF(RawDataDead!$B:$B,$A16,RawDataDead!M:M)</f>
        <v>0</v>
      </c>
      <c r="K16">
        <f>SUMIF(RawDataDead!$B:$B,$A16,RawDataDead!N:N)</f>
        <v>0</v>
      </c>
      <c r="L16">
        <f>SUMIF(RawDataDead!$B:$B,$A16,RawDataDead!O:O)</f>
        <v>0</v>
      </c>
      <c r="M16">
        <f>SUMIF(RawDataDead!$B:$B,$A16,RawDataDead!P:P)</f>
        <v>0</v>
      </c>
      <c r="N16">
        <f>SUMIF(RawDataDead!$B:$B,$A16,RawDataDead!Q:Q)</f>
        <v>0</v>
      </c>
      <c r="O16">
        <f>SUMIF(RawDataDead!$B:$B,$A16,RawDataDead!R:R)</f>
        <v>0</v>
      </c>
      <c r="P16">
        <f>SUMIF(RawDataDead!$B:$B,$A16,RawDataDead!S:S)</f>
        <v>0</v>
      </c>
      <c r="Q16">
        <f>SUMIF(RawDataDead!$B:$B,$A16,RawDataDead!T:T)</f>
        <v>0</v>
      </c>
      <c r="R16">
        <f>SUMIF(RawDataDead!$B:$B,$A16,RawDataDead!U:U)</f>
        <v>0</v>
      </c>
      <c r="S16">
        <f>SUMIF(RawDataDead!$B:$B,$A16,RawDataDead!V:V)</f>
        <v>0</v>
      </c>
      <c r="T16">
        <f>SUMIF(RawDataDead!$B:$B,$A16,RawDataDead!W:W)</f>
        <v>0</v>
      </c>
      <c r="U16">
        <f>SUMIF(RawDataDead!$B:$B,$A16,RawDataDead!X:X)</f>
        <v>0</v>
      </c>
      <c r="V16">
        <f>SUMIF(RawDataDead!$B:$B,$A16,RawDataDead!Y:Y)</f>
        <v>0</v>
      </c>
      <c r="W16">
        <f>SUMIF(RawDataDead!$B:$B,$A16,RawDataDead!Z:Z)</f>
        <v>0</v>
      </c>
      <c r="X16">
        <f>SUMIF(RawDataDead!$B:$B,$A16,RawDataDead!AA:AA)</f>
        <v>1</v>
      </c>
      <c r="Y16">
        <f>SUMIF(RawDataDead!$B:$B,$A16,RawDataDead!AB:AB)</f>
        <v>1</v>
      </c>
      <c r="Z16">
        <f>SUMIF(RawDataDead!$B:$B,$A16,RawDataDead!AC:AC)</f>
        <v>1</v>
      </c>
      <c r="AA16">
        <f>SUMIF(RawDataDead!$B:$B,$A16,RawDataDead!AD:AD)</f>
        <v>1</v>
      </c>
      <c r="AB16">
        <f>SUMIF(RawDataDead!$B:$B,$A16,RawDataDead!AE:AE)</f>
        <v>1</v>
      </c>
      <c r="AC16">
        <f>SUMIF(RawDataDead!$B:$B,$A16,RawDataDead!AF:AF)</f>
        <v>1</v>
      </c>
      <c r="AD16">
        <f>SUMIF(RawDataDead!$B:$B,$A16,RawDataDead!AG:AG)</f>
        <v>1</v>
      </c>
      <c r="AE16">
        <f>SUMIF(RawDataDead!$B:$B,$A16,RawDataDead!AH:AH)</f>
        <v>1</v>
      </c>
      <c r="AF16">
        <f>SUMIF(RawDataDead!$B:$B,$A16,RawDataDead!AI:AI)</f>
        <v>1</v>
      </c>
      <c r="AG16">
        <f>SUMIF(RawDataDead!$B:$B,$A16,RawDataDead!AJ:AJ)</f>
        <v>1</v>
      </c>
      <c r="AH16">
        <f>SUMIF(RawDataDead!$B:$B,$A16,RawDataDead!AK:AK)</f>
        <v>1</v>
      </c>
      <c r="AI16">
        <f>SUMIF(RawDataDead!$B:$B,$A16,RawDataDead!AL:AL)</f>
        <v>1</v>
      </c>
      <c r="AJ16">
        <f>SUMIF(RawDataDead!$B:$B,$A16,RawDataDead!AM:AM)</f>
        <v>1</v>
      </c>
      <c r="AK16">
        <f>SUMIF(RawDataDead!$B:$B,$A16,RawDataDead!AN:AN)</f>
        <v>2</v>
      </c>
      <c r="AL16">
        <f>SUMIF(RawDataDead!$B:$B,$A16,RawDataDead!AO:AO)</f>
        <v>4</v>
      </c>
      <c r="AM16">
        <f>SUMIF(RawDataDead!$B:$B,$A16,RawDataDead!AP:AP)</f>
        <v>4</v>
      </c>
      <c r="AN16">
        <f>SUMIF(RawDataDead!$B:$B,$A16,RawDataDead!AQ:AQ)</f>
        <v>5</v>
      </c>
      <c r="AO16">
        <f>SUMIF(RawDataDead!$B:$B,$A16,RawDataDead!AR:AR)</f>
        <v>6</v>
      </c>
      <c r="AP16">
        <f>SUMIF(RawDataDead!$B:$B,$A16,RawDataDead!AS:AS)</f>
        <v>6</v>
      </c>
      <c r="AQ16">
        <f>SUMIF(RawDataDead!$B:$B,$A16,RawDataDead!AT:AT)</f>
        <v>6</v>
      </c>
      <c r="AR16">
        <f>SUMIF(RawDataDead!$B:$B,$A16,RawDataDead!AU:AU)</f>
        <v>6</v>
      </c>
      <c r="AS16">
        <f>SUMIF(RawDataDead!$B:$B,$A16,RawDataDead!AV:AV)</f>
        <v>6</v>
      </c>
      <c r="AT16">
        <f>SUMIF(RawDataDead!$B:$B,$A16,RawDataDead!AW:AW)</f>
        <v>6</v>
      </c>
      <c r="AU16">
        <f>SUMIF(RawDataDead!$B:$B,$A16,RawDataDead!AX:AX)</f>
        <v>6</v>
      </c>
      <c r="AV16">
        <f>SUMIF(RawDataDead!$B:$B,$A16,RawDataDead!AY:AY)</f>
        <v>6</v>
      </c>
      <c r="AW16">
        <f>SUMIF(RawDataDead!$B:$B,$A16,RawDataDead!AZ:AZ)</f>
        <v>10</v>
      </c>
      <c r="AX16">
        <f>SUMIF(RawDataDead!$B:$B,$A16,RawDataDead!BA:BA)</f>
        <v>10</v>
      </c>
      <c r="AY16">
        <f>SUMIF(RawDataDead!$B:$B,$A16,RawDataDead!BB:BB)</f>
        <v>15</v>
      </c>
      <c r="AZ16">
        <f>SUMIF(RawDataDead!$B:$B,$A16,RawDataDead!BC:BC)</f>
        <v>16</v>
      </c>
      <c r="BA16">
        <f>SUMIF(RawDataDead!$B:$B,$A16,RawDataDead!BD:BD)</f>
        <v>19</v>
      </c>
      <c r="BB16">
        <f>SUMIF(RawDataDead!$B:$B,$A16,RawDataDead!BE:BE)</f>
        <v>22</v>
      </c>
      <c r="BC16">
        <f>SUMIF(RawDataDead!$B:$B,$A16,RawDataDead!BF:BF)</f>
        <v>22</v>
      </c>
      <c r="BD16">
        <f>SUMIF(RawDataDead!$B:$B,$A16,RawDataDead!BG:BG)</f>
        <v>27</v>
      </c>
      <c r="BE16">
        <f>SUMIF(RawDataDead!$B:$B,$A16,RawDataDead!BH:BH)</f>
        <v>29</v>
      </c>
      <c r="BF16">
        <f>SUMIF(RawDataDead!$B:$B,$A16,RawDataDead!BI:BI)</f>
        <v>0</v>
      </c>
      <c r="BG16">
        <f>SUMIF(RawDataDead!$B:$B,$A16,RawDataDead!BJ:BJ)</f>
        <v>0</v>
      </c>
      <c r="BH16">
        <f>SUMIF(RawDataDead!$B:$B,$A16,RawDataDead!BK:BK)</f>
        <v>0</v>
      </c>
      <c r="BI16">
        <f>SUMIF(RawDataDead!$B:$B,$A16,RawDataDead!BL:BL)</f>
        <v>0</v>
      </c>
      <c r="BJ16">
        <f>SUMIF(RawDataDead!$B:$B,$A16,RawDataDead!BM:BM)</f>
        <v>0</v>
      </c>
      <c r="BK16">
        <f>SUMIF(RawDataDead!$B:$B,$A16,RawDataDead!BN:BN)</f>
        <v>0</v>
      </c>
      <c r="BL16">
        <f>SUMIF(RawDataDead!$B:$B,$A16,RawDataDead!BO:BO)</f>
        <v>0</v>
      </c>
      <c r="BM16">
        <f>SUMIF(RawDataDead!$B:$B,$A16,RawDataDead!BP:BP)</f>
        <v>0</v>
      </c>
      <c r="BN16">
        <f>SUMIF(RawDataDead!$B:$B,$A16,RawDataDead!BQ:BQ)</f>
        <v>0</v>
      </c>
      <c r="BO16">
        <f>SUMIF(RawDataDead!$B:$B,$A16,RawDataDead!BR:BR)</f>
        <v>0</v>
      </c>
      <c r="BP16">
        <f>SUMIF(RawDataDead!$B:$B,$A16,RawDataDead!BS:BS)</f>
        <v>0</v>
      </c>
      <c r="BQ16">
        <f>SUMIF(RawDataDead!$B:$B,$A16,RawDataDead!BT:BT)</f>
        <v>0</v>
      </c>
      <c r="BR16">
        <f>SUMIF(RawDataDead!$B:$B,$A16,RawDataDead!BU:BU)</f>
        <v>0</v>
      </c>
      <c r="BS16">
        <f>SUMIF(RawDataDead!$B:$B,$A16,RawDataDead!BV:BV)</f>
        <v>0</v>
      </c>
      <c r="BT16">
        <f>SUMIF(RawDataDead!$B:$B,$A16,RawDataDead!BW:BW)</f>
        <v>0</v>
      </c>
    </row>
    <row r="17" spans="1:72" ht="15" thickBot="1" x14ac:dyDescent="0.35">
      <c r="A17" s="4" t="s">
        <v>368</v>
      </c>
      <c r="B17">
        <f>SUMIF(RawDataDead!$B:$B,$A17,RawDataDead!E:E)</f>
        <v>0</v>
      </c>
      <c r="C17">
        <f>SUMIF(RawDataDead!$B:$B,$A17,RawDataDead!F:F)</f>
        <v>0</v>
      </c>
      <c r="D17">
        <f>SUMIF(RawDataDead!$B:$B,$A17,RawDataDead!G:G)</f>
        <v>0</v>
      </c>
      <c r="E17">
        <f>SUMIF(RawDataDead!$B:$B,$A17,RawDataDead!H:H)</f>
        <v>0</v>
      </c>
      <c r="F17">
        <f>SUMIF(RawDataDead!$B:$B,$A17,RawDataDead!I:I)</f>
        <v>0</v>
      </c>
      <c r="G17">
        <f>SUMIF(RawDataDead!$B:$B,$A17,RawDataDead!J:J)</f>
        <v>0</v>
      </c>
      <c r="H17">
        <f>SUMIF(RawDataDead!$B:$B,$A17,RawDataDead!K:K)</f>
        <v>0</v>
      </c>
      <c r="I17">
        <f>SUMIF(RawDataDead!$B:$B,$A17,RawDataDead!L:L)</f>
        <v>0</v>
      </c>
      <c r="J17">
        <f>SUMIF(RawDataDead!$B:$B,$A17,RawDataDead!M:M)</f>
        <v>0</v>
      </c>
      <c r="K17">
        <f>SUMIF(RawDataDead!$B:$B,$A17,RawDataDead!N:N)</f>
        <v>0</v>
      </c>
      <c r="L17">
        <f>SUMIF(RawDataDead!$B:$B,$A17,RawDataDead!O:O)</f>
        <v>0</v>
      </c>
      <c r="M17">
        <f>SUMIF(RawDataDead!$B:$B,$A17,RawDataDead!P:P)</f>
        <v>0</v>
      </c>
      <c r="N17">
        <f>SUMIF(RawDataDead!$B:$B,$A17,RawDataDead!Q:Q)</f>
        <v>0</v>
      </c>
      <c r="O17">
        <f>SUMIF(RawDataDead!$B:$B,$A17,RawDataDead!R:R)</f>
        <v>0</v>
      </c>
      <c r="P17">
        <f>SUMIF(RawDataDead!$B:$B,$A17,RawDataDead!S:S)</f>
        <v>0</v>
      </c>
      <c r="Q17">
        <f>SUMIF(RawDataDead!$B:$B,$A17,RawDataDead!T:T)</f>
        <v>0</v>
      </c>
      <c r="R17">
        <f>SUMIF(RawDataDead!$B:$B,$A17,RawDataDead!U:U)</f>
        <v>0</v>
      </c>
      <c r="S17">
        <f>SUMIF(RawDataDead!$B:$B,$A17,RawDataDead!V:V)</f>
        <v>0</v>
      </c>
      <c r="T17">
        <f>SUMIF(RawDataDead!$B:$B,$A17,RawDataDead!W:W)</f>
        <v>0</v>
      </c>
      <c r="U17">
        <f>SUMIF(RawDataDead!$B:$B,$A17,RawDataDead!X:X)</f>
        <v>0</v>
      </c>
      <c r="V17">
        <f>SUMIF(RawDataDead!$B:$B,$A17,RawDataDead!Y:Y)</f>
        <v>0</v>
      </c>
      <c r="W17">
        <f>SUMIF(RawDataDead!$B:$B,$A17,RawDataDead!Z:Z)</f>
        <v>0</v>
      </c>
      <c r="X17">
        <f>SUMIF(RawDataDead!$B:$B,$A17,RawDataDead!AA:AA)</f>
        <v>0</v>
      </c>
      <c r="Y17">
        <f>SUMIF(RawDataDead!$B:$B,$A17,RawDataDead!AB:AB)</f>
        <v>0</v>
      </c>
      <c r="Z17">
        <f>SUMIF(RawDataDead!$B:$B,$A17,RawDataDead!AC:AC)</f>
        <v>0</v>
      </c>
      <c r="AA17">
        <f>SUMIF(RawDataDead!$B:$B,$A17,RawDataDead!AD:AD)</f>
        <v>0</v>
      </c>
      <c r="AB17">
        <f>SUMIF(RawDataDead!$B:$B,$A17,RawDataDead!AE:AE)</f>
        <v>0</v>
      </c>
      <c r="AC17">
        <f>SUMIF(RawDataDead!$B:$B,$A17,RawDataDead!AF:AF)</f>
        <v>0</v>
      </c>
      <c r="AD17">
        <f>SUMIF(RawDataDead!$B:$B,$A17,RawDataDead!AG:AG)</f>
        <v>0</v>
      </c>
      <c r="AE17">
        <f>SUMIF(RawDataDead!$B:$B,$A17,RawDataDead!AH:AH)</f>
        <v>2</v>
      </c>
      <c r="AF17">
        <f>SUMIF(RawDataDead!$B:$B,$A17,RawDataDead!AI:AI)</f>
        <v>2</v>
      </c>
      <c r="AG17">
        <f>SUMIF(RawDataDead!$B:$B,$A17,RawDataDead!AJ:AJ)</f>
        <v>2</v>
      </c>
      <c r="AH17">
        <f>SUMIF(RawDataDead!$B:$B,$A17,RawDataDead!AK:AK)</f>
        <v>3</v>
      </c>
      <c r="AI17">
        <f>SUMIF(RawDataDead!$B:$B,$A17,RawDataDead!AL:AL)</f>
        <v>3</v>
      </c>
      <c r="AJ17">
        <f>SUMIF(RawDataDead!$B:$B,$A17,RawDataDead!AM:AM)</f>
        <v>3</v>
      </c>
      <c r="AK17">
        <f>SUMIF(RawDataDead!$B:$B,$A17,RawDataDead!AN:AN)</f>
        <v>4</v>
      </c>
      <c r="AL17">
        <f>SUMIF(RawDataDead!$B:$B,$A17,RawDataDead!AO:AO)</f>
        <v>4</v>
      </c>
      <c r="AM17">
        <f>SUMIF(RawDataDead!$B:$B,$A17,RawDataDead!AP:AP)</f>
        <v>6</v>
      </c>
      <c r="AN17">
        <f>SUMIF(RawDataDead!$B:$B,$A17,RawDataDead!AQ:AQ)</f>
        <v>6</v>
      </c>
      <c r="AO17">
        <f>SUMIF(RawDataDead!$B:$B,$A17,RawDataDead!AR:AR)</f>
        <v>6</v>
      </c>
      <c r="AP17">
        <f>SUMIF(RawDataDead!$B:$B,$A17,RawDataDead!AS:AS)</f>
        <v>6</v>
      </c>
      <c r="AQ17">
        <f>SUMIF(RawDataDead!$B:$B,$A17,RawDataDead!AT:AT)</f>
        <v>6</v>
      </c>
      <c r="AR17">
        <f>SUMIF(RawDataDead!$B:$B,$A17,RawDataDead!AU:AU)</f>
        <v>6</v>
      </c>
      <c r="AS17">
        <f>SUMIF(RawDataDead!$B:$B,$A17,RawDataDead!AV:AV)</f>
        <v>6</v>
      </c>
      <c r="AT17">
        <f>SUMIF(RawDataDead!$B:$B,$A17,RawDataDead!AW:AW)</f>
        <v>6</v>
      </c>
      <c r="AU17">
        <f>SUMIF(RawDataDead!$B:$B,$A17,RawDataDead!AX:AX)</f>
        <v>6</v>
      </c>
      <c r="AV17">
        <f>SUMIF(RawDataDead!$B:$B,$A17,RawDataDead!AY:AY)</f>
        <v>6</v>
      </c>
      <c r="AW17">
        <f>SUMIF(RawDataDead!$B:$B,$A17,RawDataDead!AZ:AZ)</f>
        <v>6</v>
      </c>
      <c r="AX17">
        <f>SUMIF(RawDataDead!$B:$B,$A17,RawDataDead!BA:BA)</f>
        <v>6</v>
      </c>
      <c r="AY17">
        <f>SUMIF(RawDataDead!$B:$B,$A17,RawDataDead!BB:BB)</f>
        <v>7</v>
      </c>
      <c r="AZ17">
        <f>SUMIF(RawDataDead!$B:$B,$A17,RawDataDead!BC:BC)</f>
        <v>7</v>
      </c>
      <c r="BA17">
        <f>SUMIF(RawDataDead!$B:$B,$A17,RawDataDead!BD:BD)</f>
        <v>7</v>
      </c>
      <c r="BB17">
        <f>SUMIF(RawDataDead!$B:$B,$A17,RawDataDead!BE:BE)</f>
        <v>7</v>
      </c>
      <c r="BC17">
        <f>SUMIF(RawDataDead!$B:$B,$A17,RawDataDead!BF:BF)</f>
        <v>7</v>
      </c>
      <c r="BD17">
        <f>SUMIF(RawDataDead!$B:$B,$A17,RawDataDead!BG:BG)</f>
        <v>7</v>
      </c>
      <c r="BE17">
        <f>SUMIF(RawDataDead!$B:$B,$A17,RawDataDead!BH:BH)</f>
        <v>7</v>
      </c>
      <c r="BF17">
        <f>SUMIF(RawDataDead!$B:$B,$A17,RawDataDead!BI:BI)</f>
        <v>0</v>
      </c>
      <c r="BG17">
        <f>SUMIF(RawDataDead!$B:$B,$A17,RawDataDead!BJ:BJ)</f>
        <v>0</v>
      </c>
      <c r="BH17">
        <f>SUMIF(RawDataDead!$B:$B,$A17,RawDataDead!BK:BK)</f>
        <v>0</v>
      </c>
      <c r="BI17">
        <f>SUMIF(RawDataDead!$B:$B,$A17,RawDataDead!BL:BL)</f>
        <v>0</v>
      </c>
      <c r="BJ17">
        <f>SUMIF(RawDataDead!$B:$B,$A17,RawDataDead!BM:BM)</f>
        <v>0</v>
      </c>
      <c r="BK17">
        <f>SUMIF(RawDataDead!$B:$B,$A17,RawDataDead!BN:BN)</f>
        <v>0</v>
      </c>
      <c r="BL17">
        <f>SUMIF(RawDataDead!$B:$B,$A17,RawDataDead!BO:BO)</f>
        <v>0</v>
      </c>
      <c r="BM17">
        <f>SUMIF(RawDataDead!$B:$B,$A17,RawDataDead!BP:BP)</f>
        <v>0</v>
      </c>
      <c r="BN17">
        <f>SUMIF(RawDataDead!$B:$B,$A17,RawDataDead!BQ:BQ)</f>
        <v>0</v>
      </c>
      <c r="BO17">
        <f>SUMIF(RawDataDead!$B:$B,$A17,RawDataDead!BR:BR)</f>
        <v>0</v>
      </c>
      <c r="BP17">
        <f>SUMIF(RawDataDead!$B:$B,$A17,RawDataDead!BS:BS)</f>
        <v>0</v>
      </c>
      <c r="BQ17">
        <f>SUMIF(RawDataDead!$B:$B,$A17,RawDataDead!BT:BT)</f>
        <v>0</v>
      </c>
      <c r="BR17">
        <f>SUMIF(RawDataDead!$B:$B,$A17,RawDataDead!BU:BU)</f>
        <v>0</v>
      </c>
      <c r="BS17">
        <f>SUMIF(RawDataDead!$B:$B,$A17,RawDataDead!BV:BV)</f>
        <v>0</v>
      </c>
      <c r="BT17">
        <f>SUMIF(RawDataDead!$B:$B,$A17,RawDataDead!BW:BW)</f>
        <v>0</v>
      </c>
    </row>
    <row r="18" spans="1:72" ht="15" thickBot="1" x14ac:dyDescent="0.35">
      <c r="A18" s="3" t="s">
        <v>90</v>
      </c>
      <c r="B18">
        <f>SUMIF(RawDataDead!$B:$B,$A18,RawDataDead!E:E)</f>
        <v>0</v>
      </c>
      <c r="C18">
        <f>SUMIF(RawDataDead!$B:$B,$A18,RawDataDead!F:F)</f>
        <v>0</v>
      </c>
      <c r="D18">
        <f>SUMIF(RawDataDead!$B:$B,$A18,RawDataDead!G:G)</f>
        <v>0</v>
      </c>
      <c r="E18">
        <f>SUMIF(RawDataDead!$B:$B,$A18,RawDataDead!H:H)</f>
        <v>0</v>
      </c>
      <c r="F18">
        <f>SUMIF(RawDataDead!$B:$B,$A18,RawDataDead!I:I)</f>
        <v>0</v>
      </c>
      <c r="G18">
        <f>SUMIF(RawDataDead!$B:$B,$A18,RawDataDead!J:J)</f>
        <v>0</v>
      </c>
      <c r="H18">
        <f>SUMIF(RawDataDead!$B:$B,$A18,RawDataDead!K:K)</f>
        <v>0</v>
      </c>
      <c r="I18">
        <f>SUMIF(RawDataDead!$B:$B,$A18,RawDataDead!L:L)</f>
        <v>0</v>
      </c>
      <c r="J18">
        <f>SUMIF(RawDataDead!$B:$B,$A18,RawDataDead!M:M)</f>
        <v>0</v>
      </c>
      <c r="K18">
        <f>SUMIF(RawDataDead!$B:$B,$A18,RawDataDead!N:N)</f>
        <v>0</v>
      </c>
      <c r="L18">
        <f>SUMIF(RawDataDead!$B:$B,$A18,RawDataDead!O:O)</f>
        <v>0</v>
      </c>
      <c r="M18">
        <f>SUMIF(RawDataDead!$B:$B,$A18,RawDataDead!P:P)</f>
        <v>0</v>
      </c>
      <c r="N18">
        <f>SUMIF(RawDataDead!$B:$B,$A18,RawDataDead!Q:Q)</f>
        <v>0</v>
      </c>
      <c r="O18">
        <f>SUMIF(RawDataDead!$B:$B,$A18,RawDataDead!R:R)</f>
        <v>0</v>
      </c>
      <c r="P18">
        <f>SUMIF(RawDataDead!$B:$B,$A18,RawDataDead!S:S)</f>
        <v>0</v>
      </c>
      <c r="Q18">
        <f>SUMIF(RawDataDead!$B:$B,$A18,RawDataDead!T:T)</f>
        <v>0</v>
      </c>
      <c r="R18">
        <f>SUMIF(RawDataDead!$B:$B,$A18,RawDataDead!U:U)</f>
        <v>0</v>
      </c>
      <c r="S18">
        <f>SUMIF(RawDataDead!$B:$B,$A18,RawDataDead!V:V)</f>
        <v>0</v>
      </c>
      <c r="T18">
        <f>SUMIF(RawDataDead!$B:$B,$A18,RawDataDead!W:W)</f>
        <v>0</v>
      </c>
      <c r="U18">
        <f>SUMIF(RawDataDead!$B:$B,$A18,RawDataDead!X:X)</f>
        <v>0</v>
      </c>
      <c r="V18">
        <f>SUMIF(RawDataDead!$B:$B,$A18,RawDataDead!Y:Y)</f>
        <v>0</v>
      </c>
      <c r="W18">
        <f>SUMIF(RawDataDead!$B:$B,$A18,RawDataDead!Z:Z)</f>
        <v>0</v>
      </c>
      <c r="X18">
        <f>SUMIF(RawDataDead!$B:$B,$A18,RawDataDead!AA:AA)</f>
        <v>0</v>
      </c>
      <c r="Y18">
        <f>SUMIF(RawDataDead!$B:$B,$A18,RawDataDead!AB:AB)</f>
        <v>0</v>
      </c>
      <c r="Z18">
        <f>SUMIF(RawDataDead!$B:$B,$A18,RawDataDead!AC:AC)</f>
        <v>0</v>
      </c>
      <c r="AA18">
        <f>SUMIF(RawDataDead!$B:$B,$A18,RawDataDead!AD:AD)</f>
        <v>0</v>
      </c>
      <c r="AB18">
        <f>SUMIF(RawDataDead!$B:$B,$A18,RawDataDead!AE:AE)</f>
        <v>0</v>
      </c>
      <c r="AC18">
        <f>SUMIF(RawDataDead!$B:$B,$A18,RawDataDead!AF:AF)</f>
        <v>0</v>
      </c>
      <c r="AD18">
        <f>SUMIF(RawDataDead!$B:$B,$A18,RawDataDead!AG:AG)</f>
        <v>0</v>
      </c>
      <c r="AE18">
        <f>SUMIF(RawDataDead!$B:$B,$A18,RawDataDead!AH:AH)</f>
        <v>0</v>
      </c>
      <c r="AF18">
        <f>SUMIF(RawDataDead!$B:$B,$A18,RawDataDead!AI:AI)</f>
        <v>0</v>
      </c>
      <c r="AG18">
        <f>SUMIF(RawDataDead!$B:$B,$A18,RawDataDead!AJ:AJ)</f>
        <v>0</v>
      </c>
      <c r="AH18">
        <f>SUMIF(RawDataDead!$B:$B,$A18,RawDataDead!AK:AK)</f>
        <v>0</v>
      </c>
      <c r="AI18">
        <f>SUMIF(RawDataDead!$B:$B,$A18,RawDataDead!AL:AL)</f>
        <v>0</v>
      </c>
      <c r="AJ18">
        <f>SUMIF(RawDataDead!$B:$B,$A18,RawDataDead!AM:AM)</f>
        <v>0</v>
      </c>
      <c r="AK18">
        <f>SUMIF(RawDataDead!$B:$B,$A18,RawDataDead!AN:AN)</f>
        <v>0</v>
      </c>
      <c r="AL18">
        <f>SUMIF(RawDataDead!$B:$B,$A18,RawDataDead!AO:AO)</f>
        <v>0</v>
      </c>
      <c r="AM18">
        <f>SUMIF(RawDataDead!$B:$B,$A18,RawDataDead!AP:AP)</f>
        <v>0</v>
      </c>
      <c r="AN18">
        <f>SUMIF(RawDataDead!$B:$B,$A18,RawDataDead!AQ:AQ)</f>
        <v>0</v>
      </c>
      <c r="AO18">
        <f>SUMIF(RawDataDead!$B:$B,$A18,RawDataDead!AR:AR)</f>
        <v>0</v>
      </c>
      <c r="AP18">
        <f>SUMIF(RawDataDead!$B:$B,$A18,RawDataDead!AS:AS)</f>
        <v>0</v>
      </c>
      <c r="AQ18">
        <f>SUMIF(RawDataDead!$B:$B,$A18,RawDataDead!AT:AT)</f>
        <v>0</v>
      </c>
      <c r="AR18">
        <f>SUMIF(RawDataDead!$B:$B,$A18,RawDataDead!AU:AU)</f>
        <v>0</v>
      </c>
      <c r="AS18">
        <f>SUMIF(RawDataDead!$B:$B,$A18,RawDataDead!AV:AV)</f>
        <v>0</v>
      </c>
      <c r="AT18">
        <f>SUMIF(RawDataDead!$B:$B,$A18,RawDataDead!AW:AW)</f>
        <v>0</v>
      </c>
      <c r="AU18">
        <f>SUMIF(RawDataDead!$B:$B,$A18,RawDataDead!AX:AX)</f>
        <v>0</v>
      </c>
      <c r="AV18">
        <f>SUMIF(RawDataDead!$B:$B,$A18,RawDataDead!AY:AY)</f>
        <v>0</v>
      </c>
      <c r="AW18">
        <f>SUMIF(RawDataDead!$B:$B,$A18,RawDataDead!AZ:AZ)</f>
        <v>0</v>
      </c>
      <c r="AX18">
        <f>SUMIF(RawDataDead!$B:$B,$A18,RawDataDead!BA:BA)</f>
        <v>0</v>
      </c>
      <c r="AY18">
        <f>SUMIF(RawDataDead!$B:$B,$A18,RawDataDead!BB:BB)</f>
        <v>3</v>
      </c>
      <c r="AZ18">
        <f>SUMIF(RawDataDead!$B:$B,$A18,RawDataDead!BC:BC)</f>
        <v>3</v>
      </c>
      <c r="BA18">
        <f>SUMIF(RawDataDead!$B:$B,$A18,RawDataDead!BD:BD)</f>
        <v>3</v>
      </c>
      <c r="BB18">
        <f>SUMIF(RawDataDead!$B:$B,$A18,RawDataDead!BE:BE)</f>
        <v>4</v>
      </c>
      <c r="BC18">
        <f>SUMIF(RawDataDead!$B:$B,$A18,RawDataDead!BF:BF)</f>
        <v>4</v>
      </c>
      <c r="BD18">
        <f>SUMIF(RawDataDead!$B:$B,$A18,RawDataDead!BG:BG)</f>
        <v>5</v>
      </c>
      <c r="BE18">
        <f>SUMIF(RawDataDead!$B:$B,$A18,RawDataDead!BH:BH)</f>
        <v>10</v>
      </c>
      <c r="BF18">
        <f>SUMIF(RawDataDead!$B:$B,$A18,RawDataDead!BI:BI)</f>
        <v>0</v>
      </c>
      <c r="BG18">
        <f>SUMIF(RawDataDead!$B:$B,$A18,RawDataDead!BJ:BJ)</f>
        <v>0</v>
      </c>
      <c r="BH18">
        <f>SUMIF(RawDataDead!$B:$B,$A18,RawDataDead!BK:BK)</f>
        <v>0</v>
      </c>
      <c r="BI18">
        <f>SUMIF(RawDataDead!$B:$B,$A18,RawDataDead!BL:BL)</f>
        <v>0</v>
      </c>
      <c r="BJ18">
        <f>SUMIF(RawDataDead!$B:$B,$A18,RawDataDead!BM:BM)</f>
        <v>0</v>
      </c>
      <c r="BK18">
        <f>SUMIF(RawDataDead!$B:$B,$A18,RawDataDead!BN:BN)</f>
        <v>0</v>
      </c>
      <c r="BL18">
        <f>SUMIF(RawDataDead!$B:$B,$A18,RawDataDead!BO:BO)</f>
        <v>0</v>
      </c>
      <c r="BM18">
        <f>SUMIF(RawDataDead!$B:$B,$A18,RawDataDead!BP:BP)</f>
        <v>0</v>
      </c>
      <c r="BN18">
        <f>SUMIF(RawDataDead!$B:$B,$A18,RawDataDead!BQ:BQ)</f>
        <v>0</v>
      </c>
      <c r="BO18">
        <f>SUMIF(RawDataDead!$B:$B,$A18,RawDataDead!BR:BR)</f>
        <v>0</v>
      </c>
      <c r="BP18">
        <f>SUMIF(RawDataDead!$B:$B,$A18,RawDataDead!BS:BS)</f>
        <v>0</v>
      </c>
      <c r="BQ18">
        <f>SUMIF(RawDataDead!$B:$B,$A18,RawDataDead!BT:BT)</f>
        <v>0</v>
      </c>
      <c r="BR18">
        <f>SUMIF(RawDataDead!$B:$B,$A18,RawDataDead!BU:BU)</f>
        <v>0</v>
      </c>
      <c r="BS18">
        <f>SUMIF(RawDataDead!$B:$B,$A18,RawDataDead!BV:BV)</f>
        <v>0</v>
      </c>
      <c r="BT18">
        <f>SUMIF(RawDataDead!$B:$B,$A18,RawDataDead!BW:BW)</f>
        <v>0</v>
      </c>
    </row>
    <row r="19" spans="1:72" ht="15" thickBot="1" x14ac:dyDescent="0.35">
      <c r="A19" s="3" t="s">
        <v>105</v>
      </c>
      <c r="B19">
        <f>SUMIF(RawDataDead!$B:$B,$A19,RawDataDead!E:E)</f>
        <v>0</v>
      </c>
      <c r="C19">
        <f>SUMIF(RawDataDead!$B:$B,$A19,RawDataDead!F:F)</f>
        <v>0</v>
      </c>
      <c r="D19">
        <f>SUMIF(RawDataDead!$B:$B,$A19,RawDataDead!G:G)</f>
        <v>0</v>
      </c>
      <c r="E19">
        <f>SUMIF(RawDataDead!$B:$B,$A19,RawDataDead!H:H)</f>
        <v>0</v>
      </c>
      <c r="F19">
        <f>SUMIF(RawDataDead!$B:$B,$A19,RawDataDead!I:I)</f>
        <v>0</v>
      </c>
      <c r="G19">
        <f>SUMIF(RawDataDead!$B:$B,$A19,RawDataDead!J:J)</f>
        <v>0</v>
      </c>
      <c r="H19">
        <f>SUMIF(RawDataDead!$B:$B,$A19,RawDataDead!K:K)</f>
        <v>0</v>
      </c>
      <c r="I19">
        <f>SUMIF(RawDataDead!$B:$B,$A19,RawDataDead!L:L)</f>
        <v>0</v>
      </c>
      <c r="J19">
        <f>SUMIF(RawDataDead!$B:$B,$A19,RawDataDead!M:M)</f>
        <v>0</v>
      </c>
      <c r="K19">
        <f>SUMIF(RawDataDead!$B:$B,$A19,RawDataDead!N:N)</f>
        <v>0</v>
      </c>
      <c r="L19">
        <f>SUMIF(RawDataDead!$B:$B,$A19,RawDataDead!O:O)</f>
        <v>0</v>
      </c>
      <c r="M19">
        <f>SUMIF(RawDataDead!$B:$B,$A19,RawDataDead!P:P)</f>
        <v>0</v>
      </c>
      <c r="N19">
        <f>SUMIF(RawDataDead!$B:$B,$A19,RawDataDead!Q:Q)</f>
        <v>0</v>
      </c>
      <c r="O19">
        <f>SUMIF(RawDataDead!$B:$B,$A19,RawDataDead!R:R)</f>
        <v>0</v>
      </c>
      <c r="P19">
        <f>SUMIF(RawDataDead!$B:$B,$A19,RawDataDead!S:S)</f>
        <v>0</v>
      </c>
      <c r="Q19">
        <f>SUMIF(RawDataDead!$B:$B,$A19,RawDataDead!T:T)</f>
        <v>0</v>
      </c>
      <c r="R19">
        <f>SUMIF(RawDataDead!$B:$B,$A19,RawDataDead!U:U)</f>
        <v>0</v>
      </c>
      <c r="S19">
        <f>SUMIF(RawDataDead!$B:$B,$A19,RawDataDead!V:V)</f>
        <v>0</v>
      </c>
      <c r="T19">
        <f>SUMIF(RawDataDead!$B:$B,$A19,RawDataDead!W:W)</f>
        <v>0</v>
      </c>
      <c r="U19">
        <f>SUMIF(RawDataDead!$B:$B,$A19,RawDataDead!X:X)</f>
        <v>0</v>
      </c>
      <c r="V19">
        <f>SUMIF(RawDataDead!$B:$B,$A19,RawDataDead!Y:Y)</f>
        <v>0</v>
      </c>
      <c r="W19">
        <f>SUMIF(RawDataDead!$B:$B,$A19,RawDataDead!Z:Z)</f>
        <v>0</v>
      </c>
      <c r="X19">
        <f>SUMIF(RawDataDead!$B:$B,$A19,RawDataDead!AA:AA)</f>
        <v>0</v>
      </c>
      <c r="Y19">
        <f>SUMIF(RawDataDead!$B:$B,$A19,RawDataDead!AB:AB)</f>
        <v>0</v>
      </c>
      <c r="Z19">
        <f>SUMIF(RawDataDead!$B:$B,$A19,RawDataDead!AC:AC)</f>
        <v>0</v>
      </c>
      <c r="AA19">
        <f>SUMIF(RawDataDead!$B:$B,$A19,RawDataDead!AD:AD)</f>
        <v>0</v>
      </c>
      <c r="AB19">
        <f>SUMIF(RawDataDead!$B:$B,$A19,RawDataDead!AE:AE)</f>
        <v>0</v>
      </c>
      <c r="AC19">
        <f>SUMIF(RawDataDead!$B:$B,$A19,RawDataDead!AF:AF)</f>
        <v>0</v>
      </c>
      <c r="AD19">
        <f>SUMIF(RawDataDead!$B:$B,$A19,RawDataDead!AG:AG)</f>
        <v>0</v>
      </c>
      <c r="AE19">
        <f>SUMIF(RawDataDead!$B:$B,$A19,RawDataDead!AH:AH)</f>
        <v>0</v>
      </c>
      <c r="AF19">
        <f>SUMIF(RawDataDead!$B:$B,$A19,RawDataDead!AI:AI)</f>
        <v>0</v>
      </c>
      <c r="AG19">
        <f>SUMIF(RawDataDead!$B:$B,$A19,RawDataDead!AJ:AJ)</f>
        <v>0</v>
      </c>
      <c r="AH19">
        <f>SUMIF(RawDataDead!$B:$B,$A19,RawDataDead!AK:AK)</f>
        <v>0</v>
      </c>
      <c r="AI19">
        <f>SUMIF(RawDataDead!$B:$B,$A19,RawDataDead!AL:AL)</f>
        <v>0</v>
      </c>
      <c r="AJ19">
        <f>SUMIF(RawDataDead!$B:$B,$A19,RawDataDead!AM:AM)</f>
        <v>0</v>
      </c>
      <c r="AK19">
        <f>SUMIF(RawDataDead!$B:$B,$A19,RawDataDead!AN:AN)</f>
        <v>0</v>
      </c>
      <c r="AL19">
        <f>SUMIF(RawDataDead!$B:$B,$A19,RawDataDead!AO:AO)</f>
        <v>0</v>
      </c>
      <c r="AM19">
        <f>SUMIF(RawDataDead!$B:$B,$A19,RawDataDead!AP:AP)</f>
        <v>0</v>
      </c>
      <c r="AN19">
        <f>SUMIF(RawDataDead!$B:$B,$A19,RawDataDead!AQ:AQ)</f>
        <v>0</v>
      </c>
      <c r="AO19">
        <f>SUMIF(RawDataDead!$B:$B,$A19,RawDataDead!AR:AR)</f>
        <v>0</v>
      </c>
      <c r="AP19">
        <f>SUMIF(RawDataDead!$B:$B,$A19,RawDataDead!AS:AS)</f>
        <v>0</v>
      </c>
      <c r="AQ19">
        <f>SUMIF(RawDataDead!$B:$B,$A19,RawDataDead!AT:AT)</f>
        <v>0</v>
      </c>
      <c r="AR19">
        <f>SUMIF(RawDataDead!$B:$B,$A19,RawDataDead!AU:AU)</f>
        <v>0</v>
      </c>
      <c r="AS19">
        <f>SUMIF(RawDataDead!$B:$B,$A19,RawDataDead!AV:AV)</f>
        <v>0</v>
      </c>
      <c r="AT19">
        <f>SUMIF(RawDataDead!$B:$B,$A19,RawDataDead!AW:AW)</f>
        <v>0</v>
      </c>
      <c r="AU19">
        <f>SUMIF(RawDataDead!$B:$B,$A19,RawDataDead!AX:AX)</f>
        <v>0</v>
      </c>
      <c r="AV19">
        <f>SUMIF(RawDataDead!$B:$B,$A19,RawDataDead!AY:AY)</f>
        <v>0</v>
      </c>
      <c r="AW19">
        <f>SUMIF(RawDataDead!$B:$B,$A19,RawDataDead!AZ:AZ)</f>
        <v>0</v>
      </c>
      <c r="AX19">
        <f>SUMIF(RawDataDead!$B:$B,$A19,RawDataDead!BA:BA)</f>
        <v>0</v>
      </c>
      <c r="AY19">
        <f>SUMIF(RawDataDead!$B:$B,$A19,RawDataDead!BB:BB)</f>
        <v>0</v>
      </c>
      <c r="AZ19">
        <f>SUMIF(RawDataDead!$B:$B,$A19,RawDataDead!BC:BC)</f>
        <v>1</v>
      </c>
      <c r="BA19">
        <f>SUMIF(RawDataDead!$B:$B,$A19,RawDataDead!BD:BD)</f>
        <v>1</v>
      </c>
      <c r="BB19">
        <f>SUMIF(RawDataDead!$B:$B,$A19,RawDataDead!BE:BE)</f>
        <v>1</v>
      </c>
      <c r="BC19">
        <f>SUMIF(RawDataDead!$B:$B,$A19,RawDataDead!BF:BF)</f>
        <v>1</v>
      </c>
      <c r="BD19">
        <f>SUMIF(RawDataDead!$B:$B,$A19,RawDataDead!BG:BG)</f>
        <v>3</v>
      </c>
      <c r="BE19">
        <f>SUMIF(RawDataDead!$B:$B,$A19,RawDataDead!BH:BH)</f>
        <v>3</v>
      </c>
      <c r="BF19">
        <f>SUMIF(RawDataDead!$B:$B,$A19,RawDataDead!BI:BI)</f>
        <v>0</v>
      </c>
      <c r="BG19">
        <f>SUMIF(RawDataDead!$B:$B,$A19,RawDataDead!BJ:BJ)</f>
        <v>0</v>
      </c>
      <c r="BH19">
        <f>SUMIF(RawDataDead!$B:$B,$A19,RawDataDead!BK:BK)</f>
        <v>0</v>
      </c>
      <c r="BI19">
        <f>SUMIF(RawDataDead!$B:$B,$A19,RawDataDead!BL:BL)</f>
        <v>0</v>
      </c>
      <c r="BJ19">
        <f>SUMIF(RawDataDead!$B:$B,$A19,RawDataDead!BM:BM)</f>
        <v>0</v>
      </c>
      <c r="BK19">
        <f>SUMIF(RawDataDead!$B:$B,$A19,RawDataDead!BN:BN)</f>
        <v>0</v>
      </c>
      <c r="BL19">
        <f>SUMIF(RawDataDead!$B:$B,$A19,RawDataDead!BO:BO)</f>
        <v>0</v>
      </c>
      <c r="BM19">
        <f>SUMIF(RawDataDead!$B:$B,$A19,RawDataDead!BP:BP)</f>
        <v>0</v>
      </c>
      <c r="BN19">
        <f>SUMIF(RawDataDead!$B:$B,$A19,RawDataDead!BQ:BQ)</f>
        <v>0</v>
      </c>
      <c r="BO19">
        <f>SUMIF(RawDataDead!$B:$B,$A19,RawDataDead!BR:BR)</f>
        <v>0</v>
      </c>
      <c r="BP19">
        <f>SUMIF(RawDataDead!$B:$B,$A19,RawDataDead!BS:BS)</f>
        <v>0</v>
      </c>
      <c r="BQ19">
        <f>SUMIF(RawDataDead!$B:$B,$A19,RawDataDead!BT:BT)</f>
        <v>0</v>
      </c>
      <c r="BR19">
        <f>SUMIF(RawDataDead!$B:$B,$A19,RawDataDead!BU:BU)</f>
        <v>0</v>
      </c>
      <c r="BS19">
        <f>SUMIF(RawDataDead!$B:$B,$A19,RawDataDead!BV:BV)</f>
        <v>0</v>
      </c>
      <c r="BT19">
        <f>SUMIF(RawDataDead!$B:$B,$A19,RawDataDead!BW:BW)</f>
        <v>0</v>
      </c>
    </row>
    <row r="20" spans="1:72" ht="15" thickBot="1" x14ac:dyDescent="0.35">
      <c r="A20" s="3" t="s">
        <v>128</v>
      </c>
      <c r="B20">
        <f>SUMIF(RawDataDead!$B:$B,$A20,RawDataDead!E:E)</f>
        <v>0</v>
      </c>
      <c r="C20">
        <f>SUMIF(RawDataDead!$B:$B,$A20,RawDataDead!F:F)</f>
        <v>0</v>
      </c>
      <c r="D20">
        <f>SUMIF(RawDataDead!$B:$B,$A20,RawDataDead!G:G)</f>
        <v>0</v>
      </c>
      <c r="E20">
        <f>SUMIF(RawDataDead!$B:$B,$A20,RawDataDead!H:H)</f>
        <v>0</v>
      </c>
      <c r="F20">
        <f>SUMIF(RawDataDead!$B:$B,$A20,RawDataDead!I:I)</f>
        <v>0</v>
      </c>
      <c r="G20">
        <f>SUMIF(RawDataDead!$B:$B,$A20,RawDataDead!J:J)</f>
        <v>0</v>
      </c>
      <c r="H20">
        <f>SUMIF(RawDataDead!$B:$B,$A20,RawDataDead!K:K)</f>
        <v>0</v>
      </c>
      <c r="I20">
        <f>SUMIF(RawDataDead!$B:$B,$A20,RawDataDead!L:L)</f>
        <v>0</v>
      </c>
      <c r="J20">
        <f>SUMIF(RawDataDead!$B:$B,$A20,RawDataDead!M:M)</f>
        <v>0</v>
      </c>
      <c r="K20">
        <f>SUMIF(RawDataDead!$B:$B,$A20,RawDataDead!N:N)</f>
        <v>0</v>
      </c>
      <c r="L20">
        <f>SUMIF(RawDataDead!$B:$B,$A20,RawDataDead!O:O)</f>
        <v>0</v>
      </c>
      <c r="M20">
        <f>SUMIF(RawDataDead!$B:$B,$A20,RawDataDead!P:P)</f>
        <v>0</v>
      </c>
      <c r="N20">
        <f>SUMIF(RawDataDead!$B:$B,$A20,RawDataDead!Q:Q)</f>
        <v>0</v>
      </c>
      <c r="O20">
        <f>SUMIF(RawDataDead!$B:$B,$A20,RawDataDead!R:R)</f>
        <v>0</v>
      </c>
      <c r="P20">
        <f>SUMIF(RawDataDead!$B:$B,$A20,RawDataDead!S:S)</f>
        <v>0</v>
      </c>
      <c r="Q20">
        <f>SUMIF(RawDataDead!$B:$B,$A20,RawDataDead!T:T)</f>
        <v>0</v>
      </c>
      <c r="R20">
        <f>SUMIF(RawDataDead!$B:$B,$A20,RawDataDead!U:U)</f>
        <v>0</v>
      </c>
      <c r="S20">
        <f>SUMIF(RawDataDead!$B:$B,$A20,RawDataDead!V:V)</f>
        <v>0</v>
      </c>
      <c r="T20">
        <f>SUMIF(RawDataDead!$B:$B,$A20,RawDataDead!W:W)</f>
        <v>0</v>
      </c>
      <c r="U20">
        <f>SUMIF(RawDataDead!$B:$B,$A20,RawDataDead!X:X)</f>
        <v>0</v>
      </c>
      <c r="V20">
        <f>SUMIF(RawDataDead!$B:$B,$A20,RawDataDead!Y:Y)</f>
        <v>0</v>
      </c>
      <c r="W20">
        <f>SUMIF(RawDataDead!$B:$B,$A20,RawDataDead!Z:Z)</f>
        <v>0</v>
      </c>
      <c r="X20">
        <f>SUMIF(RawDataDead!$B:$B,$A20,RawDataDead!AA:AA)</f>
        <v>0</v>
      </c>
      <c r="Y20">
        <f>SUMIF(RawDataDead!$B:$B,$A20,RawDataDead!AB:AB)</f>
        <v>0</v>
      </c>
      <c r="Z20">
        <f>SUMIF(RawDataDead!$B:$B,$A20,RawDataDead!AC:AC)</f>
        <v>0</v>
      </c>
      <c r="AA20">
        <f>SUMIF(RawDataDead!$B:$B,$A20,RawDataDead!AD:AD)</f>
        <v>0</v>
      </c>
      <c r="AB20">
        <f>SUMIF(RawDataDead!$B:$B,$A20,RawDataDead!AE:AE)</f>
        <v>0</v>
      </c>
      <c r="AC20">
        <f>SUMIF(RawDataDead!$B:$B,$A20,RawDataDead!AF:AF)</f>
        <v>0</v>
      </c>
      <c r="AD20">
        <f>SUMIF(RawDataDead!$B:$B,$A20,RawDataDead!AG:AG)</f>
        <v>0</v>
      </c>
      <c r="AE20">
        <f>SUMIF(RawDataDead!$B:$B,$A20,RawDataDead!AH:AH)</f>
        <v>0</v>
      </c>
      <c r="AF20">
        <f>SUMIF(RawDataDead!$B:$B,$A20,RawDataDead!AI:AI)</f>
        <v>0</v>
      </c>
      <c r="AG20">
        <f>SUMIF(RawDataDead!$B:$B,$A20,RawDataDead!AJ:AJ)</f>
        <v>0</v>
      </c>
      <c r="AH20">
        <f>SUMIF(RawDataDead!$B:$B,$A20,RawDataDead!AK:AK)</f>
        <v>0</v>
      </c>
      <c r="AI20">
        <f>SUMIF(RawDataDead!$B:$B,$A20,RawDataDead!AL:AL)</f>
        <v>0</v>
      </c>
      <c r="AJ20">
        <f>SUMIF(RawDataDead!$B:$B,$A20,RawDataDead!AM:AM)</f>
        <v>0</v>
      </c>
      <c r="AK20">
        <f>SUMIF(RawDataDead!$B:$B,$A20,RawDataDead!AN:AN)</f>
        <v>0</v>
      </c>
      <c r="AL20">
        <f>SUMIF(RawDataDead!$B:$B,$A20,RawDataDead!AO:AO)</f>
        <v>0</v>
      </c>
      <c r="AM20">
        <f>SUMIF(RawDataDead!$B:$B,$A20,RawDataDead!AP:AP)</f>
        <v>0</v>
      </c>
      <c r="AN20">
        <f>SUMIF(RawDataDead!$B:$B,$A20,RawDataDead!AQ:AQ)</f>
        <v>0</v>
      </c>
      <c r="AO20">
        <f>SUMIF(RawDataDead!$B:$B,$A20,RawDataDead!AR:AR)</f>
        <v>0</v>
      </c>
      <c r="AP20">
        <f>SUMIF(RawDataDead!$B:$B,$A20,RawDataDead!AS:AS)</f>
        <v>0</v>
      </c>
      <c r="AQ20">
        <f>SUMIF(RawDataDead!$B:$B,$A20,RawDataDead!AT:AT)</f>
        <v>0</v>
      </c>
      <c r="AR20">
        <f>SUMIF(RawDataDead!$B:$B,$A20,RawDataDead!AU:AU)</f>
        <v>0</v>
      </c>
      <c r="AS20">
        <f>SUMIF(RawDataDead!$B:$B,$A20,RawDataDead!AV:AV)</f>
        <v>0</v>
      </c>
      <c r="AT20">
        <f>SUMIF(RawDataDead!$B:$B,$A20,RawDataDead!AW:AW)</f>
        <v>0</v>
      </c>
      <c r="AU20">
        <f>SUMIF(RawDataDead!$B:$B,$A20,RawDataDead!AX:AX)</f>
        <v>0</v>
      </c>
      <c r="AV20">
        <f>SUMIF(RawDataDead!$B:$B,$A20,RawDataDead!AY:AY)</f>
        <v>0</v>
      </c>
      <c r="AW20">
        <f>SUMIF(RawDataDead!$B:$B,$A20,RawDataDead!AZ:AZ)</f>
        <v>0</v>
      </c>
      <c r="AX20">
        <f>SUMIF(RawDataDead!$B:$B,$A20,RawDataDead!BA:BA)</f>
        <v>0</v>
      </c>
      <c r="AY20">
        <f>SUMIF(RawDataDead!$B:$B,$A20,RawDataDead!BB:BB)</f>
        <v>0</v>
      </c>
      <c r="AZ20">
        <f>SUMIF(RawDataDead!$B:$B,$A20,RawDataDead!BC:BC)</f>
        <v>0</v>
      </c>
      <c r="BA20">
        <f>SUMIF(RawDataDead!$B:$B,$A20,RawDataDead!BD:BD)</f>
        <v>0</v>
      </c>
      <c r="BB20">
        <f>SUMIF(RawDataDead!$B:$B,$A20,RawDataDead!BE:BE)</f>
        <v>0</v>
      </c>
      <c r="BC20">
        <f>SUMIF(RawDataDead!$B:$B,$A20,RawDataDead!BF:BF)</f>
        <v>0</v>
      </c>
      <c r="BD20">
        <f>SUMIF(RawDataDead!$B:$B,$A20,RawDataDead!BG:BG)</f>
        <v>0</v>
      </c>
      <c r="BE20">
        <f>SUMIF(RawDataDead!$B:$B,$A20,RawDataDead!BH:BH)</f>
        <v>0</v>
      </c>
      <c r="BF20">
        <f>SUMIF(RawDataDead!$B:$B,$A20,RawDataDead!BI:BI)</f>
        <v>0</v>
      </c>
      <c r="BG20">
        <f>SUMIF(RawDataDead!$B:$B,$A20,RawDataDead!BJ:BJ)</f>
        <v>0</v>
      </c>
      <c r="BH20">
        <f>SUMIF(RawDataDead!$B:$B,$A20,RawDataDead!BK:BK)</f>
        <v>0</v>
      </c>
      <c r="BI20">
        <f>SUMIF(RawDataDead!$B:$B,$A20,RawDataDead!BL:BL)</f>
        <v>0</v>
      </c>
      <c r="BJ20">
        <f>SUMIF(RawDataDead!$B:$B,$A20,RawDataDead!BM:BM)</f>
        <v>0</v>
      </c>
      <c r="BK20">
        <f>SUMIF(RawDataDead!$B:$B,$A20,RawDataDead!BN:BN)</f>
        <v>0</v>
      </c>
      <c r="BL20">
        <f>SUMIF(RawDataDead!$B:$B,$A20,RawDataDead!BO:BO)</f>
        <v>0</v>
      </c>
      <c r="BM20">
        <f>SUMIF(RawDataDead!$B:$B,$A20,RawDataDead!BP:BP)</f>
        <v>0</v>
      </c>
      <c r="BN20">
        <f>SUMIF(RawDataDead!$B:$B,$A20,RawDataDead!BQ:BQ)</f>
        <v>0</v>
      </c>
      <c r="BO20">
        <f>SUMIF(RawDataDead!$B:$B,$A20,RawDataDead!BR:BR)</f>
        <v>0</v>
      </c>
      <c r="BP20">
        <f>SUMIF(RawDataDead!$B:$B,$A20,RawDataDead!BS:BS)</f>
        <v>0</v>
      </c>
      <c r="BQ20">
        <f>SUMIF(RawDataDead!$B:$B,$A20,RawDataDead!BT:BT)</f>
        <v>0</v>
      </c>
      <c r="BR20">
        <f>SUMIF(RawDataDead!$B:$B,$A20,RawDataDead!BU:BU)</f>
        <v>0</v>
      </c>
      <c r="BS20">
        <f>SUMIF(RawDataDead!$B:$B,$A20,RawDataDead!BV:BV)</f>
        <v>0</v>
      </c>
      <c r="BT20">
        <f>SUMIF(RawDataDead!$B:$B,$A20,RawDataDead!BW:BW)</f>
        <v>0</v>
      </c>
    </row>
    <row r="21" spans="1:72" ht="15" thickBot="1" x14ac:dyDescent="0.35">
      <c r="A21" s="3" t="s">
        <v>75</v>
      </c>
      <c r="B21">
        <f>SUMIF(RawDataDead!$B:$B,$A21,RawDataDead!E:E)</f>
        <v>0</v>
      </c>
      <c r="C21">
        <f>SUMIF(RawDataDead!$B:$B,$A21,RawDataDead!F:F)</f>
        <v>0</v>
      </c>
      <c r="D21">
        <f>SUMIF(RawDataDead!$B:$B,$A21,RawDataDead!G:G)</f>
        <v>0</v>
      </c>
      <c r="E21">
        <f>SUMIF(RawDataDead!$B:$B,$A21,RawDataDead!H:H)</f>
        <v>0</v>
      </c>
      <c r="F21">
        <f>SUMIF(RawDataDead!$B:$B,$A21,RawDataDead!I:I)</f>
        <v>0</v>
      </c>
      <c r="G21">
        <f>SUMIF(RawDataDead!$B:$B,$A21,RawDataDead!J:J)</f>
        <v>0</v>
      </c>
      <c r="H21">
        <f>SUMIF(RawDataDead!$B:$B,$A21,RawDataDead!K:K)</f>
        <v>0</v>
      </c>
      <c r="I21">
        <f>SUMIF(RawDataDead!$B:$B,$A21,RawDataDead!L:L)</f>
        <v>0</v>
      </c>
      <c r="J21">
        <f>SUMIF(RawDataDead!$B:$B,$A21,RawDataDead!M:M)</f>
        <v>0</v>
      </c>
      <c r="K21">
        <f>SUMIF(RawDataDead!$B:$B,$A21,RawDataDead!N:N)</f>
        <v>0</v>
      </c>
      <c r="L21">
        <f>SUMIF(RawDataDead!$B:$B,$A21,RawDataDead!O:O)</f>
        <v>0</v>
      </c>
      <c r="M21">
        <f>SUMIF(RawDataDead!$B:$B,$A21,RawDataDead!P:P)</f>
        <v>0</v>
      </c>
      <c r="N21">
        <f>SUMIF(RawDataDead!$B:$B,$A21,RawDataDead!Q:Q)</f>
        <v>0</v>
      </c>
      <c r="O21">
        <f>SUMIF(RawDataDead!$B:$B,$A21,RawDataDead!R:R)</f>
        <v>0</v>
      </c>
      <c r="P21">
        <f>SUMIF(RawDataDead!$B:$B,$A21,RawDataDead!S:S)</f>
        <v>0</v>
      </c>
      <c r="Q21">
        <f>SUMIF(RawDataDead!$B:$B,$A21,RawDataDead!T:T)</f>
        <v>0</v>
      </c>
      <c r="R21">
        <f>SUMIF(RawDataDead!$B:$B,$A21,RawDataDead!U:U)</f>
        <v>0</v>
      </c>
      <c r="S21">
        <f>SUMIF(RawDataDead!$B:$B,$A21,RawDataDead!V:V)</f>
        <v>0</v>
      </c>
      <c r="T21">
        <f>SUMIF(RawDataDead!$B:$B,$A21,RawDataDead!W:W)</f>
        <v>0</v>
      </c>
      <c r="U21">
        <f>SUMIF(RawDataDead!$B:$B,$A21,RawDataDead!X:X)</f>
        <v>0</v>
      </c>
      <c r="V21">
        <f>SUMIF(RawDataDead!$B:$B,$A21,RawDataDead!Y:Y)</f>
        <v>0</v>
      </c>
      <c r="W21">
        <f>SUMIF(RawDataDead!$B:$B,$A21,RawDataDead!Z:Z)</f>
        <v>0</v>
      </c>
      <c r="X21">
        <f>SUMIF(RawDataDead!$B:$B,$A21,RawDataDead!AA:AA)</f>
        <v>0</v>
      </c>
      <c r="Y21">
        <f>SUMIF(RawDataDead!$B:$B,$A21,RawDataDead!AB:AB)</f>
        <v>0</v>
      </c>
      <c r="Z21">
        <f>SUMIF(RawDataDead!$B:$B,$A21,RawDataDead!AC:AC)</f>
        <v>0</v>
      </c>
      <c r="AA21">
        <f>SUMIF(RawDataDead!$B:$B,$A21,RawDataDead!AD:AD)</f>
        <v>0</v>
      </c>
      <c r="AB21">
        <f>SUMIF(RawDataDead!$B:$B,$A21,RawDataDead!AE:AE)</f>
        <v>0</v>
      </c>
      <c r="AC21">
        <f>SUMIF(RawDataDead!$B:$B,$A21,RawDataDead!AF:AF)</f>
        <v>0</v>
      </c>
      <c r="AD21">
        <f>SUMIF(RawDataDead!$B:$B,$A21,RawDataDead!AG:AG)</f>
        <v>0</v>
      </c>
      <c r="AE21">
        <f>SUMIF(RawDataDead!$B:$B,$A21,RawDataDead!AH:AH)</f>
        <v>0</v>
      </c>
      <c r="AF21">
        <f>SUMIF(RawDataDead!$B:$B,$A21,RawDataDead!AI:AI)</f>
        <v>0</v>
      </c>
      <c r="AG21">
        <f>SUMIF(RawDataDead!$B:$B,$A21,RawDataDead!AJ:AJ)</f>
        <v>0</v>
      </c>
      <c r="AH21">
        <f>SUMIF(RawDataDead!$B:$B,$A21,RawDataDead!AK:AK)</f>
        <v>0</v>
      </c>
      <c r="AI21">
        <f>SUMIF(RawDataDead!$B:$B,$A21,RawDataDead!AL:AL)</f>
        <v>0</v>
      </c>
      <c r="AJ21">
        <f>SUMIF(RawDataDead!$B:$B,$A21,RawDataDead!AM:AM)</f>
        <v>0</v>
      </c>
      <c r="AK21">
        <f>SUMIF(RawDataDead!$B:$B,$A21,RawDataDead!AN:AN)</f>
        <v>0</v>
      </c>
      <c r="AL21">
        <f>SUMIF(RawDataDead!$B:$B,$A21,RawDataDead!AO:AO)</f>
        <v>0</v>
      </c>
      <c r="AM21">
        <f>SUMIF(RawDataDead!$B:$B,$A21,RawDataDead!AP:AP)</f>
        <v>0</v>
      </c>
      <c r="AN21">
        <f>SUMIF(RawDataDead!$B:$B,$A21,RawDataDead!AQ:AQ)</f>
        <v>0</v>
      </c>
      <c r="AO21">
        <f>SUMIF(RawDataDead!$B:$B,$A21,RawDataDead!AR:AR)</f>
        <v>1</v>
      </c>
      <c r="AP21">
        <f>SUMIF(RawDataDead!$B:$B,$A21,RawDataDead!AS:AS)</f>
        <v>1</v>
      </c>
      <c r="AQ21">
        <f>SUMIF(RawDataDead!$B:$B,$A21,RawDataDead!AT:AT)</f>
        <v>1</v>
      </c>
      <c r="AR21">
        <f>SUMIF(RawDataDead!$B:$B,$A21,RawDataDead!AU:AU)</f>
        <v>2</v>
      </c>
      <c r="AS21">
        <f>SUMIF(RawDataDead!$B:$B,$A21,RawDataDead!AV:AV)</f>
        <v>2</v>
      </c>
      <c r="AT21">
        <f>SUMIF(RawDataDead!$B:$B,$A21,RawDataDead!AW:AW)</f>
        <v>2</v>
      </c>
      <c r="AU21">
        <f>SUMIF(RawDataDead!$B:$B,$A21,RawDataDead!AX:AX)</f>
        <v>2</v>
      </c>
      <c r="AV21">
        <f>SUMIF(RawDataDead!$B:$B,$A21,RawDataDead!AY:AY)</f>
        <v>3</v>
      </c>
      <c r="AW21">
        <f>SUMIF(RawDataDead!$B:$B,$A21,RawDataDead!AZ:AZ)</f>
        <v>3</v>
      </c>
      <c r="AX21">
        <f>SUMIF(RawDataDead!$B:$B,$A21,RawDataDead!BA:BA)</f>
        <v>3</v>
      </c>
      <c r="AY21">
        <f>SUMIF(RawDataDead!$B:$B,$A21,RawDataDead!BB:BB)</f>
        <v>3</v>
      </c>
      <c r="AZ21">
        <f>SUMIF(RawDataDead!$B:$B,$A21,RawDataDead!BC:BC)</f>
        <v>3</v>
      </c>
      <c r="BA21">
        <f>SUMIF(RawDataDead!$B:$B,$A21,RawDataDead!BD:BD)</f>
        <v>3</v>
      </c>
      <c r="BB21">
        <f>SUMIF(RawDataDead!$B:$B,$A21,RawDataDead!BE:BE)</f>
        <v>3</v>
      </c>
      <c r="BC21">
        <f>SUMIF(RawDataDead!$B:$B,$A21,RawDataDead!BF:BF)</f>
        <v>3</v>
      </c>
      <c r="BD21">
        <f>SUMIF(RawDataDead!$B:$B,$A21,RawDataDead!BG:BG)</f>
        <v>3</v>
      </c>
      <c r="BE21">
        <f>SUMIF(RawDataDead!$B:$B,$A21,RawDataDead!BH:BH)</f>
        <v>5</v>
      </c>
      <c r="BF21">
        <f>SUMIF(RawDataDead!$B:$B,$A21,RawDataDead!BI:BI)</f>
        <v>0</v>
      </c>
      <c r="BG21">
        <f>SUMIF(RawDataDead!$B:$B,$A21,RawDataDead!BJ:BJ)</f>
        <v>0</v>
      </c>
      <c r="BH21">
        <f>SUMIF(RawDataDead!$B:$B,$A21,RawDataDead!BK:BK)</f>
        <v>0</v>
      </c>
      <c r="BI21">
        <f>SUMIF(RawDataDead!$B:$B,$A21,RawDataDead!BL:BL)</f>
        <v>0</v>
      </c>
      <c r="BJ21">
        <f>SUMIF(RawDataDead!$B:$B,$A21,RawDataDead!BM:BM)</f>
        <v>0</v>
      </c>
      <c r="BK21">
        <f>SUMIF(RawDataDead!$B:$B,$A21,RawDataDead!BN:BN)</f>
        <v>0</v>
      </c>
      <c r="BL21">
        <f>SUMIF(RawDataDead!$B:$B,$A21,RawDataDead!BO:BO)</f>
        <v>0</v>
      </c>
      <c r="BM21">
        <f>SUMIF(RawDataDead!$B:$B,$A21,RawDataDead!BP:BP)</f>
        <v>0</v>
      </c>
      <c r="BN21">
        <f>SUMIF(RawDataDead!$B:$B,$A21,RawDataDead!BQ:BQ)</f>
        <v>0</v>
      </c>
      <c r="BO21">
        <f>SUMIF(RawDataDead!$B:$B,$A21,RawDataDead!BR:BR)</f>
        <v>0</v>
      </c>
      <c r="BP21">
        <f>SUMIF(RawDataDead!$B:$B,$A21,RawDataDead!BS:BS)</f>
        <v>0</v>
      </c>
      <c r="BQ21">
        <f>SUMIF(RawDataDead!$B:$B,$A21,RawDataDead!BT:BT)</f>
        <v>0</v>
      </c>
      <c r="BR21">
        <f>SUMIF(RawDataDead!$B:$B,$A21,RawDataDead!BU:BU)</f>
        <v>0</v>
      </c>
      <c r="BS21">
        <f>SUMIF(RawDataDead!$B:$B,$A21,RawDataDead!BV:BV)</f>
        <v>0</v>
      </c>
      <c r="BT21">
        <f>SUMIF(RawDataDead!$B:$B,$A21,RawDataDead!BW:BW)</f>
        <v>0</v>
      </c>
    </row>
    <row r="22" spans="1:72" ht="15" thickBot="1" x14ac:dyDescent="0.35">
      <c r="A22" s="3" t="s">
        <v>67</v>
      </c>
      <c r="B22">
        <f>SUMIF(RawDataDead!$B:$B,$A22,RawDataDead!E:E)</f>
        <v>0</v>
      </c>
      <c r="C22">
        <f>SUMIF(RawDataDead!$B:$B,$A22,RawDataDead!F:F)</f>
        <v>0</v>
      </c>
      <c r="D22">
        <f>SUMIF(RawDataDead!$B:$B,$A22,RawDataDead!G:G)</f>
        <v>0</v>
      </c>
      <c r="E22">
        <f>SUMIF(RawDataDead!$B:$B,$A22,RawDataDead!H:H)</f>
        <v>0</v>
      </c>
      <c r="F22">
        <f>SUMIF(RawDataDead!$B:$B,$A22,RawDataDead!I:I)</f>
        <v>0</v>
      </c>
      <c r="G22">
        <f>SUMIF(RawDataDead!$B:$B,$A22,RawDataDead!J:J)</f>
        <v>0</v>
      </c>
      <c r="H22">
        <f>SUMIF(RawDataDead!$B:$B,$A22,RawDataDead!K:K)</f>
        <v>0</v>
      </c>
      <c r="I22">
        <f>SUMIF(RawDataDead!$B:$B,$A22,RawDataDead!L:L)</f>
        <v>0</v>
      </c>
      <c r="J22">
        <f>SUMIF(RawDataDead!$B:$B,$A22,RawDataDead!M:M)</f>
        <v>0</v>
      </c>
      <c r="K22">
        <f>SUMIF(RawDataDead!$B:$B,$A22,RawDataDead!N:N)</f>
        <v>0</v>
      </c>
      <c r="L22">
        <f>SUMIF(RawDataDead!$B:$B,$A22,RawDataDead!O:O)</f>
        <v>0</v>
      </c>
      <c r="M22">
        <f>SUMIF(RawDataDead!$B:$B,$A22,RawDataDead!P:P)</f>
        <v>0</v>
      </c>
      <c r="N22">
        <f>SUMIF(RawDataDead!$B:$B,$A22,RawDataDead!Q:Q)</f>
        <v>0</v>
      </c>
      <c r="O22">
        <f>SUMIF(RawDataDead!$B:$B,$A22,RawDataDead!R:R)</f>
        <v>0</v>
      </c>
      <c r="P22">
        <f>SUMIF(RawDataDead!$B:$B,$A22,RawDataDead!S:S)</f>
        <v>0</v>
      </c>
      <c r="Q22">
        <f>SUMIF(RawDataDead!$B:$B,$A22,RawDataDead!T:T)</f>
        <v>0</v>
      </c>
      <c r="R22">
        <f>SUMIF(RawDataDead!$B:$B,$A22,RawDataDead!U:U)</f>
        <v>0</v>
      </c>
      <c r="S22">
        <f>SUMIF(RawDataDead!$B:$B,$A22,RawDataDead!V:V)</f>
        <v>0</v>
      </c>
      <c r="T22">
        <f>SUMIF(RawDataDead!$B:$B,$A22,RawDataDead!W:W)</f>
        <v>0</v>
      </c>
      <c r="U22">
        <f>SUMIF(RawDataDead!$B:$B,$A22,RawDataDead!X:X)</f>
        <v>0</v>
      </c>
      <c r="V22">
        <f>SUMIF(RawDataDead!$B:$B,$A22,RawDataDead!Y:Y)</f>
        <v>0</v>
      </c>
      <c r="W22">
        <f>SUMIF(RawDataDead!$B:$B,$A22,RawDataDead!Z:Z)</f>
        <v>0</v>
      </c>
      <c r="X22">
        <f>SUMIF(RawDataDead!$B:$B,$A22,RawDataDead!AA:AA)</f>
        <v>0</v>
      </c>
      <c r="Y22">
        <f>SUMIF(RawDataDead!$B:$B,$A22,RawDataDead!AB:AB)</f>
        <v>0</v>
      </c>
      <c r="Z22">
        <f>SUMIF(RawDataDead!$B:$B,$A22,RawDataDead!AC:AC)</f>
        <v>0</v>
      </c>
      <c r="AA22">
        <f>SUMIF(RawDataDead!$B:$B,$A22,RawDataDead!AD:AD)</f>
        <v>0</v>
      </c>
      <c r="AB22">
        <f>SUMIF(RawDataDead!$B:$B,$A22,RawDataDead!AE:AE)</f>
        <v>0</v>
      </c>
      <c r="AC22">
        <f>SUMIF(RawDataDead!$B:$B,$A22,RawDataDead!AF:AF)</f>
        <v>0</v>
      </c>
      <c r="AD22">
        <f>SUMIF(RawDataDead!$B:$B,$A22,RawDataDead!AG:AG)</f>
        <v>0</v>
      </c>
      <c r="AE22">
        <f>SUMIF(RawDataDead!$B:$B,$A22,RawDataDead!AH:AH)</f>
        <v>0</v>
      </c>
      <c r="AF22">
        <f>SUMIF(RawDataDead!$B:$B,$A22,RawDataDead!AI:AI)</f>
        <v>0</v>
      </c>
      <c r="AG22">
        <f>SUMIF(RawDataDead!$B:$B,$A22,RawDataDead!AJ:AJ)</f>
        <v>0</v>
      </c>
      <c r="AH22">
        <f>SUMIF(RawDataDead!$B:$B,$A22,RawDataDead!AK:AK)</f>
        <v>0</v>
      </c>
      <c r="AI22">
        <f>SUMIF(RawDataDead!$B:$B,$A22,RawDataDead!AL:AL)</f>
        <v>0</v>
      </c>
      <c r="AJ22">
        <f>SUMIF(RawDataDead!$B:$B,$A22,RawDataDead!AM:AM)</f>
        <v>0</v>
      </c>
      <c r="AK22">
        <f>SUMIF(RawDataDead!$B:$B,$A22,RawDataDead!AN:AN)</f>
        <v>0</v>
      </c>
      <c r="AL22">
        <f>SUMIF(RawDataDead!$B:$B,$A22,RawDataDead!AO:AO)</f>
        <v>0</v>
      </c>
      <c r="AM22">
        <f>SUMIF(RawDataDead!$B:$B,$A22,RawDataDead!AP:AP)</f>
        <v>0</v>
      </c>
      <c r="AN22">
        <f>SUMIF(RawDataDead!$B:$B,$A22,RawDataDead!AQ:AQ)</f>
        <v>0</v>
      </c>
      <c r="AO22">
        <f>SUMIF(RawDataDead!$B:$B,$A22,RawDataDead!AR:AR)</f>
        <v>0</v>
      </c>
      <c r="AP22">
        <f>SUMIF(RawDataDead!$B:$B,$A22,RawDataDead!AS:AS)</f>
        <v>0</v>
      </c>
      <c r="AQ22">
        <f>SUMIF(RawDataDead!$B:$B,$A22,RawDataDead!AT:AT)</f>
        <v>0</v>
      </c>
      <c r="AR22">
        <f>SUMIF(RawDataDead!$B:$B,$A22,RawDataDead!AU:AU)</f>
        <v>0</v>
      </c>
      <c r="AS22">
        <f>SUMIF(RawDataDead!$B:$B,$A22,RawDataDead!AV:AV)</f>
        <v>0</v>
      </c>
      <c r="AT22">
        <f>SUMIF(RawDataDead!$B:$B,$A22,RawDataDead!AW:AW)</f>
        <v>0</v>
      </c>
      <c r="AU22">
        <f>SUMIF(RawDataDead!$B:$B,$A22,RawDataDead!AX:AX)</f>
        <v>0</v>
      </c>
      <c r="AV22">
        <f>SUMIF(RawDataDead!$B:$B,$A22,RawDataDead!AY:AY)</f>
        <v>0</v>
      </c>
      <c r="AW22">
        <f>SUMIF(RawDataDead!$B:$B,$A22,RawDataDead!AZ:AZ)</f>
        <v>0</v>
      </c>
      <c r="AX22">
        <f>SUMIF(RawDataDead!$B:$B,$A22,RawDataDead!BA:BA)</f>
        <v>0</v>
      </c>
      <c r="AY22">
        <f>SUMIF(RawDataDead!$B:$B,$A22,RawDataDead!BB:BB)</f>
        <v>0</v>
      </c>
      <c r="AZ22">
        <f>SUMIF(RawDataDead!$B:$B,$A22,RawDataDead!BC:BC)</f>
        <v>0</v>
      </c>
      <c r="BA22">
        <f>SUMIF(RawDataDead!$B:$B,$A22,RawDataDead!BD:BD)</f>
        <v>0</v>
      </c>
      <c r="BB22">
        <f>SUMIF(RawDataDead!$B:$B,$A22,RawDataDead!BE:BE)</f>
        <v>0</v>
      </c>
      <c r="BC22">
        <f>SUMIF(RawDataDead!$B:$B,$A22,RawDataDead!BF:BF)</f>
        <v>0</v>
      </c>
      <c r="BD22">
        <f>SUMIF(RawDataDead!$B:$B,$A22,RawDataDead!BG:BG)</f>
        <v>0</v>
      </c>
      <c r="BE22">
        <f>SUMIF(RawDataDead!$B:$B,$A22,RawDataDead!BH:BH)</f>
        <v>0</v>
      </c>
      <c r="BF22">
        <f>SUMIF(RawDataDead!$B:$B,$A22,RawDataDead!BI:BI)</f>
        <v>0</v>
      </c>
      <c r="BG22">
        <f>SUMIF(RawDataDead!$B:$B,$A22,RawDataDead!BJ:BJ)</f>
        <v>0</v>
      </c>
      <c r="BH22">
        <f>SUMIF(RawDataDead!$B:$B,$A22,RawDataDead!BK:BK)</f>
        <v>0</v>
      </c>
      <c r="BI22">
        <f>SUMIF(RawDataDead!$B:$B,$A22,RawDataDead!BL:BL)</f>
        <v>0</v>
      </c>
      <c r="BJ22">
        <f>SUMIF(RawDataDead!$B:$B,$A22,RawDataDead!BM:BM)</f>
        <v>0</v>
      </c>
      <c r="BK22">
        <f>SUMIF(RawDataDead!$B:$B,$A22,RawDataDead!BN:BN)</f>
        <v>0</v>
      </c>
      <c r="BL22">
        <f>SUMIF(RawDataDead!$B:$B,$A22,RawDataDead!BO:BO)</f>
        <v>0</v>
      </c>
      <c r="BM22">
        <f>SUMIF(RawDataDead!$B:$B,$A22,RawDataDead!BP:BP)</f>
        <v>0</v>
      </c>
      <c r="BN22">
        <f>SUMIF(RawDataDead!$B:$B,$A22,RawDataDead!BQ:BQ)</f>
        <v>0</v>
      </c>
      <c r="BO22">
        <f>SUMIF(RawDataDead!$B:$B,$A22,RawDataDead!BR:BR)</f>
        <v>0</v>
      </c>
      <c r="BP22">
        <f>SUMIF(RawDataDead!$B:$B,$A22,RawDataDead!BS:BS)</f>
        <v>0</v>
      </c>
      <c r="BQ22">
        <f>SUMIF(RawDataDead!$B:$B,$A22,RawDataDead!BT:BT)</f>
        <v>0</v>
      </c>
      <c r="BR22">
        <f>SUMIF(RawDataDead!$B:$B,$A22,RawDataDead!BU:BU)</f>
        <v>0</v>
      </c>
      <c r="BS22">
        <f>SUMIF(RawDataDead!$B:$B,$A22,RawDataDead!BV:BV)</f>
        <v>0</v>
      </c>
      <c r="BT22">
        <f>SUMIF(RawDataDead!$B:$B,$A22,RawDataDead!BW:BW)</f>
        <v>0</v>
      </c>
    </row>
    <row r="23" spans="1:72" ht="15" thickBot="1" x14ac:dyDescent="0.35">
      <c r="A23" s="3" t="s">
        <v>70</v>
      </c>
      <c r="B23">
        <f>SUMIF(RawDataDead!$B:$B,$A23,RawDataDead!E:E)</f>
        <v>0</v>
      </c>
      <c r="C23">
        <f>SUMIF(RawDataDead!$B:$B,$A23,RawDataDead!F:F)</f>
        <v>0</v>
      </c>
      <c r="D23">
        <f>SUMIF(RawDataDead!$B:$B,$A23,RawDataDead!G:G)</f>
        <v>0</v>
      </c>
      <c r="E23">
        <f>SUMIF(RawDataDead!$B:$B,$A23,RawDataDead!H:H)</f>
        <v>0</v>
      </c>
      <c r="F23">
        <f>SUMIF(RawDataDead!$B:$B,$A23,RawDataDead!I:I)</f>
        <v>0</v>
      </c>
      <c r="G23">
        <f>SUMIF(RawDataDead!$B:$B,$A23,RawDataDead!J:J)</f>
        <v>0</v>
      </c>
      <c r="H23">
        <f>SUMIF(RawDataDead!$B:$B,$A23,RawDataDead!K:K)</f>
        <v>0</v>
      </c>
      <c r="I23">
        <f>SUMIF(RawDataDead!$B:$B,$A23,RawDataDead!L:L)</f>
        <v>0</v>
      </c>
      <c r="J23">
        <f>SUMIF(RawDataDead!$B:$B,$A23,RawDataDead!M:M)</f>
        <v>0</v>
      </c>
      <c r="K23">
        <f>SUMIF(RawDataDead!$B:$B,$A23,RawDataDead!N:N)</f>
        <v>0</v>
      </c>
      <c r="L23">
        <f>SUMIF(RawDataDead!$B:$B,$A23,RawDataDead!O:O)</f>
        <v>0</v>
      </c>
      <c r="M23">
        <f>SUMIF(RawDataDead!$B:$B,$A23,RawDataDead!P:P)</f>
        <v>0</v>
      </c>
      <c r="N23">
        <f>SUMIF(RawDataDead!$B:$B,$A23,RawDataDead!Q:Q)</f>
        <v>0</v>
      </c>
      <c r="O23">
        <f>SUMIF(RawDataDead!$B:$B,$A23,RawDataDead!R:R)</f>
        <v>0</v>
      </c>
      <c r="P23">
        <f>SUMIF(RawDataDead!$B:$B,$A23,RawDataDead!S:S)</f>
        <v>0</v>
      </c>
      <c r="Q23">
        <f>SUMIF(RawDataDead!$B:$B,$A23,RawDataDead!T:T)</f>
        <v>0</v>
      </c>
      <c r="R23">
        <f>SUMIF(RawDataDead!$B:$B,$A23,RawDataDead!U:U)</f>
        <v>0</v>
      </c>
      <c r="S23">
        <f>SUMIF(RawDataDead!$B:$B,$A23,RawDataDead!V:V)</f>
        <v>0</v>
      </c>
      <c r="T23">
        <f>SUMIF(RawDataDead!$B:$B,$A23,RawDataDead!W:W)</f>
        <v>0</v>
      </c>
      <c r="U23">
        <f>SUMIF(RawDataDead!$B:$B,$A23,RawDataDead!X:X)</f>
        <v>0</v>
      </c>
      <c r="V23">
        <f>SUMIF(RawDataDead!$B:$B,$A23,RawDataDead!Y:Y)</f>
        <v>0</v>
      </c>
      <c r="W23">
        <f>SUMIF(RawDataDead!$B:$B,$A23,RawDataDead!Z:Z)</f>
        <v>0</v>
      </c>
      <c r="X23">
        <f>SUMIF(RawDataDead!$B:$B,$A23,RawDataDead!AA:AA)</f>
        <v>0</v>
      </c>
      <c r="Y23">
        <f>SUMIF(RawDataDead!$B:$B,$A23,RawDataDead!AB:AB)</f>
        <v>0</v>
      </c>
      <c r="Z23">
        <f>SUMIF(RawDataDead!$B:$B,$A23,RawDataDead!AC:AC)</f>
        <v>0</v>
      </c>
      <c r="AA23">
        <f>SUMIF(RawDataDead!$B:$B,$A23,RawDataDead!AD:AD)</f>
        <v>0</v>
      </c>
      <c r="AB23">
        <f>SUMIF(RawDataDead!$B:$B,$A23,RawDataDead!AE:AE)</f>
        <v>0</v>
      </c>
      <c r="AC23">
        <f>SUMIF(RawDataDead!$B:$B,$A23,RawDataDead!AF:AF)</f>
        <v>0</v>
      </c>
      <c r="AD23">
        <f>SUMIF(RawDataDead!$B:$B,$A23,RawDataDead!AG:AG)</f>
        <v>0</v>
      </c>
      <c r="AE23">
        <f>SUMIF(RawDataDead!$B:$B,$A23,RawDataDead!AH:AH)</f>
        <v>0</v>
      </c>
      <c r="AF23">
        <f>SUMIF(RawDataDead!$B:$B,$A23,RawDataDead!AI:AI)</f>
        <v>0</v>
      </c>
      <c r="AG23">
        <f>SUMIF(RawDataDead!$B:$B,$A23,RawDataDead!AJ:AJ)</f>
        <v>0</v>
      </c>
      <c r="AH23">
        <f>SUMIF(RawDataDead!$B:$B,$A23,RawDataDead!AK:AK)</f>
        <v>0</v>
      </c>
      <c r="AI23">
        <f>SUMIF(RawDataDead!$B:$B,$A23,RawDataDead!AL:AL)</f>
        <v>0</v>
      </c>
      <c r="AJ23">
        <f>SUMIF(RawDataDead!$B:$B,$A23,RawDataDead!AM:AM)</f>
        <v>0</v>
      </c>
      <c r="AK23">
        <f>SUMIF(RawDataDead!$B:$B,$A23,RawDataDead!AN:AN)</f>
        <v>0</v>
      </c>
      <c r="AL23">
        <f>SUMIF(RawDataDead!$B:$B,$A23,RawDataDead!AO:AO)</f>
        <v>0</v>
      </c>
      <c r="AM23">
        <f>SUMIF(RawDataDead!$B:$B,$A23,RawDataDead!AP:AP)</f>
        <v>0</v>
      </c>
      <c r="AN23">
        <f>SUMIF(RawDataDead!$B:$B,$A23,RawDataDead!AQ:AQ)</f>
        <v>0</v>
      </c>
      <c r="AO23">
        <f>SUMIF(RawDataDead!$B:$B,$A23,RawDataDead!AR:AR)</f>
        <v>0</v>
      </c>
      <c r="AP23">
        <f>SUMIF(RawDataDead!$B:$B,$A23,RawDataDead!AS:AS)</f>
        <v>0</v>
      </c>
      <c r="AQ23">
        <f>SUMIF(RawDataDead!$B:$B,$A23,RawDataDead!AT:AT)</f>
        <v>0</v>
      </c>
      <c r="AR23">
        <f>SUMIF(RawDataDead!$B:$B,$A23,RawDataDead!AU:AU)</f>
        <v>0</v>
      </c>
      <c r="AS23">
        <f>SUMIF(RawDataDead!$B:$B,$A23,RawDataDead!AV:AV)</f>
        <v>0</v>
      </c>
      <c r="AT23">
        <f>SUMIF(RawDataDead!$B:$B,$A23,RawDataDead!AW:AW)</f>
        <v>0</v>
      </c>
      <c r="AU23">
        <f>SUMIF(RawDataDead!$B:$B,$A23,RawDataDead!AX:AX)</f>
        <v>0</v>
      </c>
      <c r="AV23">
        <f>SUMIF(RawDataDead!$B:$B,$A23,RawDataDead!AY:AY)</f>
        <v>0</v>
      </c>
      <c r="AW23">
        <f>SUMIF(RawDataDead!$B:$B,$A23,RawDataDead!AZ:AZ)</f>
        <v>0</v>
      </c>
      <c r="AX23">
        <f>SUMIF(RawDataDead!$B:$B,$A23,RawDataDead!BA:BA)</f>
        <v>0</v>
      </c>
      <c r="AY23">
        <f>SUMIF(RawDataDead!$B:$B,$A23,RawDataDead!BB:BB)</f>
        <v>0</v>
      </c>
      <c r="AZ23">
        <f>SUMIF(RawDataDead!$B:$B,$A23,RawDataDead!BC:BC)</f>
        <v>0</v>
      </c>
      <c r="BA23">
        <f>SUMIF(RawDataDead!$B:$B,$A23,RawDataDead!BD:BD)</f>
        <v>0</v>
      </c>
      <c r="BB23">
        <f>SUMIF(RawDataDead!$B:$B,$A23,RawDataDead!BE:BE)</f>
        <v>0</v>
      </c>
      <c r="BC23">
        <f>SUMIF(RawDataDead!$B:$B,$A23,RawDataDead!BF:BF)</f>
        <v>0</v>
      </c>
      <c r="BD23">
        <f>SUMIF(RawDataDead!$B:$B,$A23,RawDataDead!BG:BG)</f>
        <v>0</v>
      </c>
      <c r="BE23">
        <f>SUMIF(RawDataDead!$B:$B,$A23,RawDataDead!BH:BH)</f>
        <v>2</v>
      </c>
      <c r="BF23">
        <f>SUMIF(RawDataDead!$B:$B,$A23,RawDataDead!BI:BI)</f>
        <v>0</v>
      </c>
      <c r="BG23">
        <f>SUMIF(RawDataDead!$B:$B,$A23,RawDataDead!BJ:BJ)</f>
        <v>0</v>
      </c>
      <c r="BH23">
        <f>SUMIF(RawDataDead!$B:$B,$A23,RawDataDead!BK:BK)</f>
        <v>0</v>
      </c>
      <c r="BI23">
        <f>SUMIF(RawDataDead!$B:$B,$A23,RawDataDead!BL:BL)</f>
        <v>0</v>
      </c>
      <c r="BJ23">
        <f>SUMIF(RawDataDead!$B:$B,$A23,RawDataDead!BM:BM)</f>
        <v>0</v>
      </c>
      <c r="BK23">
        <f>SUMIF(RawDataDead!$B:$B,$A23,RawDataDead!BN:BN)</f>
        <v>0</v>
      </c>
      <c r="BL23">
        <f>SUMIF(RawDataDead!$B:$B,$A23,RawDataDead!BO:BO)</f>
        <v>0</v>
      </c>
      <c r="BM23">
        <f>SUMIF(RawDataDead!$B:$B,$A23,RawDataDead!BP:BP)</f>
        <v>0</v>
      </c>
      <c r="BN23">
        <f>SUMIF(RawDataDead!$B:$B,$A23,RawDataDead!BQ:BQ)</f>
        <v>0</v>
      </c>
      <c r="BO23">
        <f>SUMIF(RawDataDead!$B:$B,$A23,RawDataDead!BR:BR)</f>
        <v>0</v>
      </c>
      <c r="BP23">
        <f>SUMIF(RawDataDead!$B:$B,$A23,RawDataDead!BS:BS)</f>
        <v>0</v>
      </c>
      <c r="BQ23">
        <f>SUMIF(RawDataDead!$B:$B,$A23,RawDataDead!BT:BT)</f>
        <v>0</v>
      </c>
      <c r="BR23">
        <f>SUMIF(RawDataDead!$B:$B,$A23,RawDataDead!BU:BU)</f>
        <v>0</v>
      </c>
      <c r="BS23">
        <f>SUMIF(RawDataDead!$B:$B,$A23,RawDataDead!BV:BV)</f>
        <v>0</v>
      </c>
      <c r="BT23">
        <f>SUMIF(RawDataDead!$B:$B,$A23,RawDataDead!BW:BW)</f>
        <v>0</v>
      </c>
    </row>
    <row r="24" spans="1:72" ht="15" thickBot="1" x14ac:dyDescent="0.35">
      <c r="A24" s="4" t="s">
        <v>72</v>
      </c>
      <c r="B24">
        <f>SUMIF(RawDataDead!$B:$B,$A24,RawDataDead!E:E)</f>
        <v>0</v>
      </c>
      <c r="C24">
        <f>SUMIF(RawDataDead!$B:$B,$A24,RawDataDead!F:F)</f>
        <v>0</v>
      </c>
      <c r="D24">
        <f>SUMIF(RawDataDead!$B:$B,$A24,RawDataDead!G:G)</f>
        <v>0</v>
      </c>
      <c r="E24">
        <f>SUMIF(RawDataDead!$B:$B,$A24,RawDataDead!H:H)</f>
        <v>0</v>
      </c>
      <c r="F24">
        <f>SUMIF(RawDataDead!$B:$B,$A24,RawDataDead!I:I)</f>
        <v>0</v>
      </c>
      <c r="G24">
        <f>SUMIF(RawDataDead!$B:$B,$A24,RawDataDead!J:J)</f>
        <v>0</v>
      </c>
      <c r="H24">
        <f>SUMIF(RawDataDead!$B:$B,$A24,RawDataDead!K:K)</f>
        <v>0</v>
      </c>
      <c r="I24">
        <f>SUMIF(RawDataDead!$B:$B,$A24,RawDataDead!L:L)</f>
        <v>0</v>
      </c>
      <c r="J24">
        <f>SUMIF(RawDataDead!$B:$B,$A24,RawDataDead!M:M)</f>
        <v>0</v>
      </c>
      <c r="K24">
        <f>SUMIF(RawDataDead!$B:$B,$A24,RawDataDead!N:N)</f>
        <v>0</v>
      </c>
      <c r="L24">
        <f>SUMIF(RawDataDead!$B:$B,$A24,RawDataDead!O:O)</f>
        <v>0</v>
      </c>
      <c r="M24">
        <f>SUMIF(RawDataDead!$B:$B,$A24,RawDataDead!P:P)</f>
        <v>0</v>
      </c>
      <c r="N24">
        <f>SUMIF(RawDataDead!$B:$B,$A24,RawDataDead!Q:Q)</f>
        <v>0</v>
      </c>
      <c r="O24">
        <f>SUMIF(RawDataDead!$B:$B,$A24,RawDataDead!R:R)</f>
        <v>0</v>
      </c>
      <c r="P24">
        <f>SUMIF(RawDataDead!$B:$B,$A24,RawDataDead!S:S)</f>
        <v>0</v>
      </c>
      <c r="Q24">
        <f>SUMIF(RawDataDead!$B:$B,$A24,RawDataDead!T:T)</f>
        <v>0</v>
      </c>
      <c r="R24">
        <f>SUMIF(RawDataDead!$B:$B,$A24,RawDataDead!U:U)</f>
        <v>0</v>
      </c>
      <c r="S24">
        <f>SUMIF(RawDataDead!$B:$B,$A24,RawDataDead!V:V)</f>
        <v>0</v>
      </c>
      <c r="T24">
        <f>SUMIF(RawDataDead!$B:$B,$A24,RawDataDead!W:W)</f>
        <v>0</v>
      </c>
      <c r="U24">
        <f>SUMIF(RawDataDead!$B:$B,$A24,RawDataDead!X:X)</f>
        <v>0</v>
      </c>
      <c r="V24">
        <f>SUMIF(RawDataDead!$B:$B,$A24,RawDataDead!Y:Y)</f>
        <v>0</v>
      </c>
      <c r="W24">
        <f>SUMIF(RawDataDead!$B:$B,$A24,RawDataDead!Z:Z)</f>
        <v>0</v>
      </c>
      <c r="X24">
        <f>SUMIF(RawDataDead!$B:$B,$A24,RawDataDead!AA:AA)</f>
        <v>0</v>
      </c>
      <c r="Y24">
        <f>SUMIF(RawDataDead!$B:$B,$A24,RawDataDead!AB:AB)</f>
        <v>0</v>
      </c>
      <c r="Z24">
        <f>SUMIF(RawDataDead!$B:$B,$A24,RawDataDead!AC:AC)</f>
        <v>0</v>
      </c>
      <c r="AA24">
        <f>SUMIF(RawDataDead!$B:$B,$A24,RawDataDead!AD:AD)</f>
        <v>0</v>
      </c>
      <c r="AB24">
        <f>SUMIF(RawDataDead!$B:$B,$A24,RawDataDead!AE:AE)</f>
        <v>0</v>
      </c>
      <c r="AC24">
        <f>SUMIF(RawDataDead!$B:$B,$A24,RawDataDead!AF:AF)</f>
        <v>0</v>
      </c>
      <c r="AD24">
        <f>SUMIF(RawDataDead!$B:$B,$A24,RawDataDead!AG:AG)</f>
        <v>0</v>
      </c>
      <c r="AE24">
        <f>SUMIF(RawDataDead!$B:$B,$A24,RawDataDead!AH:AH)</f>
        <v>0</v>
      </c>
      <c r="AF24">
        <f>SUMIF(RawDataDead!$B:$B,$A24,RawDataDead!AI:AI)</f>
        <v>0</v>
      </c>
      <c r="AG24">
        <f>SUMIF(RawDataDead!$B:$B,$A24,RawDataDead!AJ:AJ)</f>
        <v>0</v>
      </c>
      <c r="AH24">
        <f>SUMIF(RawDataDead!$B:$B,$A24,RawDataDead!AK:AK)</f>
        <v>0</v>
      </c>
      <c r="AI24">
        <f>SUMIF(RawDataDead!$B:$B,$A24,RawDataDead!AL:AL)</f>
        <v>0</v>
      </c>
      <c r="AJ24">
        <f>SUMIF(RawDataDead!$B:$B,$A24,RawDataDead!AM:AM)</f>
        <v>0</v>
      </c>
      <c r="AK24">
        <f>SUMIF(RawDataDead!$B:$B,$A24,RawDataDead!AN:AN)</f>
        <v>0</v>
      </c>
      <c r="AL24">
        <f>SUMIF(RawDataDead!$B:$B,$A24,RawDataDead!AO:AO)</f>
        <v>0</v>
      </c>
      <c r="AM24">
        <f>SUMIF(RawDataDead!$B:$B,$A24,RawDataDead!AP:AP)</f>
        <v>0</v>
      </c>
      <c r="AN24">
        <f>SUMIF(RawDataDead!$B:$B,$A24,RawDataDead!AQ:AQ)</f>
        <v>0</v>
      </c>
      <c r="AO24">
        <f>SUMIF(RawDataDead!$B:$B,$A24,RawDataDead!AR:AR)</f>
        <v>0</v>
      </c>
      <c r="AP24">
        <f>SUMIF(RawDataDead!$B:$B,$A24,RawDataDead!AS:AS)</f>
        <v>0</v>
      </c>
      <c r="AQ24">
        <f>SUMIF(RawDataDead!$B:$B,$A24,RawDataDead!AT:AT)</f>
        <v>0</v>
      </c>
      <c r="AR24">
        <f>SUMIF(RawDataDead!$B:$B,$A24,RawDataDead!AU:AU)</f>
        <v>0</v>
      </c>
      <c r="AS24">
        <f>SUMIF(RawDataDead!$B:$B,$A24,RawDataDead!AV:AV)</f>
        <v>0</v>
      </c>
      <c r="AT24">
        <f>SUMIF(RawDataDead!$B:$B,$A24,RawDataDead!AW:AW)</f>
        <v>0</v>
      </c>
      <c r="AU24">
        <f>SUMIF(RawDataDead!$B:$B,$A24,RawDataDead!AX:AX)</f>
        <v>0</v>
      </c>
      <c r="AV24">
        <f>SUMIF(RawDataDead!$B:$B,$A24,RawDataDead!AY:AY)</f>
        <v>0</v>
      </c>
      <c r="AW24">
        <f>SUMIF(RawDataDead!$B:$B,$A24,RawDataDead!AZ:AZ)</f>
        <v>1</v>
      </c>
      <c r="AX24">
        <f>SUMIF(RawDataDead!$B:$B,$A24,RawDataDead!BA:BA)</f>
        <v>1</v>
      </c>
      <c r="AY24">
        <f>SUMIF(RawDataDead!$B:$B,$A24,RawDataDead!BB:BB)</f>
        <v>1</v>
      </c>
      <c r="AZ24">
        <f>SUMIF(RawDataDead!$B:$B,$A24,RawDataDead!BC:BC)</f>
        <v>1</v>
      </c>
      <c r="BA24">
        <f>SUMIF(RawDataDead!$B:$B,$A24,RawDataDead!BD:BD)</f>
        <v>1</v>
      </c>
      <c r="BB24">
        <f>SUMIF(RawDataDead!$B:$B,$A24,RawDataDead!BE:BE)</f>
        <v>1</v>
      </c>
      <c r="BC24">
        <f>SUMIF(RawDataDead!$B:$B,$A24,RawDataDead!BF:BF)</f>
        <v>1</v>
      </c>
      <c r="BD24">
        <f>SUMIF(RawDataDead!$B:$B,$A24,RawDataDead!BG:BG)</f>
        <v>4</v>
      </c>
      <c r="BE24">
        <f>SUMIF(RawDataDead!$B:$B,$A24,RawDataDead!BH:BH)</f>
        <v>5</v>
      </c>
      <c r="BF24">
        <f>SUMIF(RawDataDead!$B:$B,$A24,RawDataDead!BI:BI)</f>
        <v>0</v>
      </c>
      <c r="BG24">
        <f>SUMIF(RawDataDead!$B:$B,$A24,RawDataDead!BJ:BJ)</f>
        <v>0</v>
      </c>
      <c r="BH24">
        <f>SUMIF(RawDataDead!$B:$B,$A24,RawDataDead!BK:BK)</f>
        <v>0</v>
      </c>
      <c r="BI24">
        <f>SUMIF(RawDataDead!$B:$B,$A24,RawDataDead!BL:BL)</f>
        <v>0</v>
      </c>
      <c r="BJ24">
        <f>SUMIF(RawDataDead!$B:$B,$A24,RawDataDead!BM:BM)</f>
        <v>0</v>
      </c>
      <c r="BK24">
        <f>SUMIF(RawDataDead!$B:$B,$A24,RawDataDead!BN:BN)</f>
        <v>0</v>
      </c>
      <c r="BL24">
        <f>SUMIF(RawDataDead!$B:$B,$A24,RawDataDead!BO:BO)</f>
        <v>0</v>
      </c>
      <c r="BM24">
        <f>SUMIF(RawDataDead!$B:$B,$A24,RawDataDead!BP:BP)</f>
        <v>0</v>
      </c>
      <c r="BN24">
        <f>SUMIF(RawDataDead!$B:$B,$A24,RawDataDead!BQ:BQ)</f>
        <v>0</v>
      </c>
      <c r="BO24">
        <f>SUMIF(RawDataDead!$B:$B,$A24,RawDataDead!BR:BR)</f>
        <v>0</v>
      </c>
      <c r="BP24">
        <f>SUMIF(RawDataDead!$B:$B,$A24,RawDataDead!BS:BS)</f>
        <v>0</v>
      </c>
      <c r="BQ24">
        <f>SUMIF(RawDataDead!$B:$B,$A24,RawDataDead!BT:BT)</f>
        <v>0</v>
      </c>
      <c r="BR24">
        <f>SUMIF(RawDataDead!$B:$B,$A24,RawDataDead!BU:BU)</f>
        <v>0</v>
      </c>
      <c r="BS24">
        <f>SUMIF(RawDataDead!$B:$B,$A24,RawDataDead!BV:BV)</f>
        <v>0</v>
      </c>
      <c r="BT24">
        <f>SUMIF(RawDataDead!$B:$B,$A24,RawDataDead!BW:BW)</f>
        <v>0</v>
      </c>
    </row>
    <row r="25" spans="1:72" ht="15" thickBot="1" x14ac:dyDescent="0.35">
      <c r="A25" s="4" t="s">
        <v>110</v>
      </c>
      <c r="B25">
        <f>SUMIF(RawDataDead!$B:$B,$A25,RawDataDead!E:E)</f>
        <v>0</v>
      </c>
      <c r="C25">
        <f>SUMIF(RawDataDead!$B:$B,$A25,RawDataDead!F:F)</f>
        <v>0</v>
      </c>
      <c r="D25">
        <f>SUMIF(RawDataDead!$B:$B,$A25,RawDataDead!G:G)</f>
        <v>0</v>
      </c>
      <c r="E25">
        <f>SUMIF(RawDataDead!$B:$B,$A25,RawDataDead!H:H)</f>
        <v>0</v>
      </c>
      <c r="F25">
        <f>SUMIF(RawDataDead!$B:$B,$A25,RawDataDead!I:I)</f>
        <v>0</v>
      </c>
      <c r="G25">
        <f>SUMIF(RawDataDead!$B:$B,$A25,RawDataDead!J:J)</f>
        <v>0</v>
      </c>
      <c r="H25">
        <f>SUMIF(RawDataDead!$B:$B,$A25,RawDataDead!K:K)</f>
        <v>0</v>
      </c>
      <c r="I25">
        <f>SUMIF(RawDataDead!$B:$B,$A25,RawDataDead!L:L)</f>
        <v>0</v>
      </c>
      <c r="J25">
        <f>SUMIF(RawDataDead!$B:$B,$A25,RawDataDead!M:M)</f>
        <v>0</v>
      </c>
      <c r="K25">
        <f>SUMIF(RawDataDead!$B:$B,$A25,RawDataDead!N:N)</f>
        <v>0</v>
      </c>
      <c r="L25">
        <f>SUMIF(RawDataDead!$B:$B,$A25,RawDataDead!O:O)</f>
        <v>0</v>
      </c>
      <c r="M25">
        <f>SUMIF(RawDataDead!$B:$B,$A25,RawDataDead!P:P)</f>
        <v>0</v>
      </c>
      <c r="N25">
        <f>SUMIF(RawDataDead!$B:$B,$A25,RawDataDead!Q:Q)</f>
        <v>0</v>
      </c>
      <c r="O25">
        <f>SUMIF(RawDataDead!$B:$B,$A25,RawDataDead!R:R)</f>
        <v>0</v>
      </c>
      <c r="P25">
        <f>SUMIF(RawDataDead!$B:$B,$A25,RawDataDead!S:S)</f>
        <v>0</v>
      </c>
      <c r="Q25">
        <f>SUMIF(RawDataDead!$B:$B,$A25,RawDataDead!T:T)</f>
        <v>0</v>
      </c>
      <c r="R25">
        <f>SUMIF(RawDataDead!$B:$B,$A25,RawDataDead!U:U)</f>
        <v>0</v>
      </c>
      <c r="S25">
        <f>SUMIF(RawDataDead!$B:$B,$A25,RawDataDead!V:V)</f>
        <v>0</v>
      </c>
      <c r="T25">
        <f>SUMIF(RawDataDead!$B:$B,$A25,RawDataDead!W:W)</f>
        <v>0</v>
      </c>
      <c r="U25">
        <f>SUMIF(RawDataDead!$B:$B,$A25,RawDataDead!X:X)</f>
        <v>0</v>
      </c>
      <c r="V25">
        <f>SUMIF(RawDataDead!$B:$B,$A25,RawDataDead!Y:Y)</f>
        <v>0</v>
      </c>
      <c r="W25">
        <f>SUMIF(RawDataDead!$B:$B,$A25,RawDataDead!Z:Z)</f>
        <v>0</v>
      </c>
      <c r="X25">
        <f>SUMIF(RawDataDead!$B:$B,$A25,RawDataDead!AA:AA)</f>
        <v>0</v>
      </c>
      <c r="Y25">
        <f>SUMIF(RawDataDead!$B:$B,$A25,RawDataDead!AB:AB)</f>
        <v>0</v>
      </c>
      <c r="Z25">
        <f>SUMIF(RawDataDead!$B:$B,$A25,RawDataDead!AC:AC)</f>
        <v>0</v>
      </c>
      <c r="AA25">
        <f>SUMIF(RawDataDead!$B:$B,$A25,RawDataDead!AD:AD)</f>
        <v>0</v>
      </c>
      <c r="AB25">
        <f>SUMIF(RawDataDead!$B:$B,$A25,RawDataDead!AE:AE)</f>
        <v>0</v>
      </c>
      <c r="AC25">
        <f>SUMIF(RawDataDead!$B:$B,$A25,RawDataDead!AF:AF)</f>
        <v>0</v>
      </c>
      <c r="AD25">
        <f>SUMIF(RawDataDead!$B:$B,$A25,RawDataDead!AG:AG)</f>
        <v>0</v>
      </c>
      <c r="AE25">
        <f>SUMIF(RawDataDead!$B:$B,$A25,RawDataDead!AH:AH)</f>
        <v>0</v>
      </c>
      <c r="AF25">
        <f>SUMIF(RawDataDead!$B:$B,$A25,RawDataDead!AI:AI)</f>
        <v>0</v>
      </c>
      <c r="AG25">
        <f>SUMIF(RawDataDead!$B:$B,$A25,RawDataDead!AJ:AJ)</f>
        <v>0</v>
      </c>
      <c r="AH25">
        <f>SUMIF(RawDataDead!$B:$B,$A25,RawDataDead!AK:AK)</f>
        <v>0</v>
      </c>
      <c r="AI25">
        <f>SUMIF(RawDataDead!$B:$B,$A25,RawDataDead!AL:AL)</f>
        <v>0</v>
      </c>
      <c r="AJ25">
        <f>SUMIF(RawDataDead!$B:$B,$A25,RawDataDead!AM:AM)</f>
        <v>0</v>
      </c>
      <c r="AK25">
        <f>SUMIF(RawDataDead!$B:$B,$A25,RawDataDead!AN:AN)</f>
        <v>0</v>
      </c>
      <c r="AL25">
        <f>SUMIF(RawDataDead!$B:$B,$A25,RawDataDead!AO:AO)</f>
        <v>0</v>
      </c>
      <c r="AM25">
        <f>SUMIF(RawDataDead!$B:$B,$A25,RawDataDead!AP:AP)</f>
        <v>0</v>
      </c>
      <c r="AN25">
        <f>SUMIF(RawDataDead!$B:$B,$A25,RawDataDead!AQ:AQ)</f>
        <v>0</v>
      </c>
      <c r="AO25">
        <f>SUMIF(RawDataDead!$B:$B,$A25,RawDataDead!AR:AR)</f>
        <v>0</v>
      </c>
      <c r="AP25">
        <f>SUMIF(RawDataDead!$B:$B,$A25,RawDataDead!AS:AS)</f>
        <v>0</v>
      </c>
      <c r="AQ25">
        <f>SUMIF(RawDataDead!$B:$B,$A25,RawDataDead!AT:AT)</f>
        <v>0</v>
      </c>
      <c r="AR25">
        <f>SUMIF(RawDataDead!$B:$B,$A25,RawDataDead!AU:AU)</f>
        <v>0</v>
      </c>
      <c r="AS25">
        <f>SUMIF(RawDataDead!$B:$B,$A25,RawDataDead!AV:AV)</f>
        <v>0</v>
      </c>
      <c r="AT25">
        <f>SUMIF(RawDataDead!$B:$B,$A25,RawDataDead!AW:AW)</f>
        <v>0</v>
      </c>
      <c r="AU25">
        <f>SUMIF(RawDataDead!$B:$B,$A25,RawDataDead!AX:AX)</f>
        <v>0</v>
      </c>
      <c r="AV25">
        <f>SUMIF(RawDataDead!$B:$B,$A25,RawDataDead!AY:AY)</f>
        <v>0</v>
      </c>
      <c r="AW25">
        <f>SUMIF(RawDataDead!$B:$B,$A25,RawDataDead!AZ:AZ)</f>
        <v>0</v>
      </c>
      <c r="AX25">
        <f>SUMIF(RawDataDead!$B:$B,$A25,RawDataDead!BA:BA)</f>
        <v>0</v>
      </c>
      <c r="AY25">
        <f>SUMIF(RawDataDead!$B:$B,$A25,RawDataDead!BB:BB)</f>
        <v>1</v>
      </c>
      <c r="AZ25">
        <f>SUMIF(RawDataDead!$B:$B,$A25,RawDataDead!BC:BC)</f>
        <v>1</v>
      </c>
      <c r="BA25">
        <f>SUMIF(RawDataDead!$B:$B,$A25,RawDataDead!BD:BD)</f>
        <v>1</v>
      </c>
      <c r="BB25">
        <f>SUMIF(RawDataDead!$B:$B,$A25,RawDataDead!BE:BE)</f>
        <v>3</v>
      </c>
      <c r="BC25">
        <f>SUMIF(RawDataDead!$B:$B,$A25,RawDataDead!BF:BF)</f>
        <v>4</v>
      </c>
      <c r="BD25">
        <f>SUMIF(RawDataDead!$B:$B,$A25,RawDataDead!BG:BG)</f>
        <v>4</v>
      </c>
      <c r="BE25">
        <f>SUMIF(RawDataDead!$B:$B,$A25,RawDataDead!BH:BH)</f>
        <v>5</v>
      </c>
      <c r="BF25">
        <f>SUMIF(RawDataDead!$B:$B,$A25,RawDataDead!BI:BI)</f>
        <v>0</v>
      </c>
      <c r="BG25">
        <f>SUMIF(RawDataDead!$B:$B,$A25,RawDataDead!BJ:BJ)</f>
        <v>0</v>
      </c>
      <c r="BH25">
        <f>SUMIF(RawDataDead!$B:$B,$A25,RawDataDead!BK:BK)</f>
        <v>0</v>
      </c>
      <c r="BI25">
        <f>SUMIF(RawDataDead!$B:$B,$A25,RawDataDead!BL:BL)</f>
        <v>0</v>
      </c>
      <c r="BJ25">
        <f>SUMIF(RawDataDead!$B:$B,$A25,RawDataDead!BM:BM)</f>
        <v>0</v>
      </c>
      <c r="BK25">
        <f>SUMIF(RawDataDead!$B:$B,$A25,RawDataDead!BN:BN)</f>
        <v>0</v>
      </c>
      <c r="BL25">
        <f>SUMIF(RawDataDead!$B:$B,$A25,RawDataDead!BO:BO)</f>
        <v>0</v>
      </c>
      <c r="BM25">
        <f>SUMIF(RawDataDead!$B:$B,$A25,RawDataDead!BP:BP)</f>
        <v>0</v>
      </c>
      <c r="BN25">
        <f>SUMIF(RawDataDead!$B:$B,$A25,RawDataDead!BQ:BQ)</f>
        <v>0</v>
      </c>
      <c r="BO25">
        <f>SUMIF(RawDataDead!$B:$B,$A25,RawDataDead!BR:BR)</f>
        <v>0</v>
      </c>
      <c r="BP25">
        <f>SUMIF(RawDataDead!$B:$B,$A25,RawDataDead!BS:BS)</f>
        <v>0</v>
      </c>
      <c r="BQ25">
        <f>SUMIF(RawDataDead!$B:$B,$A25,RawDataDead!BT:BT)</f>
        <v>0</v>
      </c>
      <c r="BR25">
        <f>SUMIF(RawDataDead!$B:$B,$A25,RawDataDead!BU:BU)</f>
        <v>0</v>
      </c>
      <c r="BS25">
        <f>SUMIF(RawDataDead!$B:$B,$A25,RawDataDead!BV:BV)</f>
        <v>0</v>
      </c>
      <c r="BT25">
        <f>SUMIF(RawDataDead!$B:$B,$A25,RawDataDead!BW:BW)</f>
        <v>0</v>
      </c>
    </row>
    <row r="26" spans="1:72" ht="15" thickBot="1" x14ac:dyDescent="0.35">
      <c r="A26" s="4" t="s">
        <v>100</v>
      </c>
      <c r="B26">
        <f>SUMIF(RawDataDead!$B:$B,$A26,RawDataDead!E:E)</f>
        <v>0</v>
      </c>
      <c r="C26">
        <f>SUMIF(RawDataDead!$B:$B,$A26,RawDataDead!F:F)</f>
        <v>0</v>
      </c>
      <c r="D26">
        <f>SUMIF(RawDataDead!$B:$B,$A26,RawDataDead!G:G)</f>
        <v>0</v>
      </c>
      <c r="E26">
        <f>SUMIF(RawDataDead!$B:$B,$A26,RawDataDead!H:H)</f>
        <v>0</v>
      </c>
      <c r="F26">
        <f>SUMIF(RawDataDead!$B:$B,$A26,RawDataDead!I:I)</f>
        <v>0</v>
      </c>
      <c r="G26">
        <f>SUMIF(RawDataDead!$B:$B,$A26,RawDataDead!J:J)</f>
        <v>0</v>
      </c>
      <c r="H26">
        <f>SUMIF(RawDataDead!$B:$B,$A26,RawDataDead!K:K)</f>
        <v>0</v>
      </c>
      <c r="I26">
        <f>SUMIF(RawDataDead!$B:$B,$A26,RawDataDead!L:L)</f>
        <v>0</v>
      </c>
      <c r="J26">
        <f>SUMIF(RawDataDead!$B:$B,$A26,RawDataDead!M:M)</f>
        <v>0</v>
      </c>
      <c r="K26">
        <f>SUMIF(RawDataDead!$B:$B,$A26,RawDataDead!N:N)</f>
        <v>0</v>
      </c>
      <c r="L26">
        <f>SUMIF(RawDataDead!$B:$B,$A26,RawDataDead!O:O)</f>
        <v>0</v>
      </c>
      <c r="M26">
        <f>SUMIF(RawDataDead!$B:$B,$A26,RawDataDead!P:P)</f>
        <v>0</v>
      </c>
      <c r="N26">
        <f>SUMIF(RawDataDead!$B:$B,$A26,RawDataDead!Q:Q)</f>
        <v>0</v>
      </c>
      <c r="O26">
        <f>SUMIF(RawDataDead!$B:$B,$A26,RawDataDead!R:R)</f>
        <v>0</v>
      </c>
      <c r="P26">
        <f>SUMIF(RawDataDead!$B:$B,$A26,RawDataDead!S:S)</f>
        <v>0</v>
      </c>
      <c r="Q26">
        <f>SUMIF(RawDataDead!$B:$B,$A26,RawDataDead!T:T)</f>
        <v>0</v>
      </c>
      <c r="R26">
        <f>SUMIF(RawDataDead!$B:$B,$A26,RawDataDead!U:U)</f>
        <v>0</v>
      </c>
      <c r="S26">
        <f>SUMIF(RawDataDead!$B:$B,$A26,RawDataDead!V:V)</f>
        <v>0</v>
      </c>
      <c r="T26">
        <f>SUMIF(RawDataDead!$B:$B,$A26,RawDataDead!W:W)</f>
        <v>0</v>
      </c>
      <c r="U26">
        <f>SUMIF(RawDataDead!$B:$B,$A26,RawDataDead!X:X)</f>
        <v>0</v>
      </c>
      <c r="V26">
        <f>SUMIF(RawDataDead!$B:$B,$A26,RawDataDead!Y:Y)</f>
        <v>0</v>
      </c>
      <c r="W26">
        <f>SUMIF(RawDataDead!$B:$B,$A26,RawDataDead!Z:Z)</f>
        <v>0</v>
      </c>
      <c r="X26">
        <f>SUMIF(RawDataDead!$B:$B,$A26,RawDataDead!AA:AA)</f>
        <v>0</v>
      </c>
      <c r="Y26">
        <f>SUMIF(RawDataDead!$B:$B,$A26,RawDataDead!AB:AB)</f>
        <v>0</v>
      </c>
      <c r="Z26">
        <f>SUMIF(RawDataDead!$B:$B,$A26,RawDataDead!AC:AC)</f>
        <v>0</v>
      </c>
      <c r="AA26">
        <f>SUMIF(RawDataDead!$B:$B,$A26,RawDataDead!AD:AD)</f>
        <v>0</v>
      </c>
      <c r="AB26">
        <f>SUMIF(RawDataDead!$B:$B,$A26,RawDataDead!AE:AE)</f>
        <v>0</v>
      </c>
      <c r="AC26">
        <f>SUMIF(RawDataDead!$B:$B,$A26,RawDataDead!AF:AF)</f>
        <v>0</v>
      </c>
      <c r="AD26">
        <f>SUMIF(RawDataDead!$B:$B,$A26,RawDataDead!AG:AG)</f>
        <v>0</v>
      </c>
      <c r="AE26">
        <f>SUMIF(RawDataDead!$B:$B,$A26,RawDataDead!AH:AH)</f>
        <v>0</v>
      </c>
      <c r="AF26">
        <f>SUMIF(RawDataDead!$B:$B,$A26,RawDataDead!AI:AI)</f>
        <v>0</v>
      </c>
      <c r="AG26">
        <f>SUMIF(RawDataDead!$B:$B,$A26,RawDataDead!AJ:AJ)</f>
        <v>0</v>
      </c>
      <c r="AH26">
        <f>SUMIF(RawDataDead!$B:$B,$A26,RawDataDead!AK:AK)</f>
        <v>0</v>
      </c>
      <c r="AI26">
        <f>SUMIF(RawDataDead!$B:$B,$A26,RawDataDead!AL:AL)</f>
        <v>0</v>
      </c>
      <c r="AJ26">
        <f>SUMIF(RawDataDead!$B:$B,$A26,RawDataDead!AM:AM)</f>
        <v>0</v>
      </c>
      <c r="AK26">
        <f>SUMIF(RawDataDead!$B:$B,$A26,RawDataDead!AN:AN)</f>
        <v>0</v>
      </c>
      <c r="AL26">
        <f>SUMIF(RawDataDead!$B:$B,$A26,RawDataDead!AO:AO)</f>
        <v>0</v>
      </c>
      <c r="AM26">
        <f>SUMIF(RawDataDead!$B:$B,$A26,RawDataDead!AP:AP)</f>
        <v>0</v>
      </c>
      <c r="AN26">
        <f>SUMIF(RawDataDead!$B:$B,$A26,RawDataDead!AQ:AQ)</f>
        <v>0</v>
      </c>
      <c r="AO26">
        <f>SUMIF(RawDataDead!$B:$B,$A26,RawDataDead!AR:AR)</f>
        <v>0</v>
      </c>
      <c r="AP26">
        <f>SUMIF(RawDataDead!$B:$B,$A26,RawDataDead!AS:AS)</f>
        <v>0</v>
      </c>
      <c r="AQ26">
        <f>SUMIF(RawDataDead!$B:$B,$A26,RawDataDead!AT:AT)</f>
        <v>0</v>
      </c>
      <c r="AR26">
        <f>SUMIF(RawDataDead!$B:$B,$A26,RawDataDead!AU:AU)</f>
        <v>0</v>
      </c>
      <c r="AS26">
        <f>SUMIF(RawDataDead!$B:$B,$A26,RawDataDead!AV:AV)</f>
        <v>0</v>
      </c>
      <c r="AT26">
        <f>SUMIF(RawDataDead!$B:$B,$A26,RawDataDead!AW:AW)</f>
        <v>0</v>
      </c>
      <c r="AU26">
        <f>SUMIF(RawDataDead!$B:$B,$A26,RawDataDead!AX:AX)</f>
        <v>0</v>
      </c>
      <c r="AV26">
        <f>SUMIF(RawDataDead!$B:$B,$A26,RawDataDead!AY:AY)</f>
        <v>0</v>
      </c>
      <c r="AW26">
        <f>SUMIF(RawDataDead!$B:$B,$A26,RawDataDead!AZ:AZ)</f>
        <v>0</v>
      </c>
      <c r="AX26">
        <f>SUMIF(RawDataDead!$B:$B,$A26,RawDataDead!BA:BA)</f>
        <v>0</v>
      </c>
      <c r="AY26">
        <f>SUMIF(RawDataDead!$B:$B,$A26,RawDataDead!BB:BB)</f>
        <v>0</v>
      </c>
      <c r="AZ26">
        <f>SUMIF(RawDataDead!$B:$B,$A26,RawDataDead!BC:BC)</f>
        <v>0</v>
      </c>
      <c r="BA26">
        <f>SUMIF(RawDataDead!$B:$B,$A26,RawDataDead!BD:BD)</f>
        <v>0</v>
      </c>
      <c r="BB26">
        <f>SUMIF(RawDataDead!$B:$B,$A26,RawDataDead!BE:BE)</f>
        <v>0</v>
      </c>
      <c r="BC26">
        <f>SUMIF(RawDataDead!$B:$B,$A26,RawDataDead!BF:BF)</f>
        <v>0</v>
      </c>
      <c r="BD26">
        <f>SUMIF(RawDataDead!$B:$B,$A26,RawDataDead!BG:BG)</f>
        <v>1</v>
      </c>
      <c r="BE26">
        <f>SUMIF(RawDataDead!$B:$B,$A26,RawDataDead!BH:BH)</f>
        <v>1</v>
      </c>
      <c r="BF26">
        <f>SUMIF(RawDataDead!$B:$B,$A26,RawDataDead!BI:BI)</f>
        <v>0</v>
      </c>
      <c r="BG26">
        <f>SUMIF(RawDataDead!$B:$B,$A26,RawDataDead!BJ:BJ)</f>
        <v>0</v>
      </c>
      <c r="BH26">
        <f>SUMIF(RawDataDead!$B:$B,$A26,RawDataDead!BK:BK)</f>
        <v>0</v>
      </c>
      <c r="BI26">
        <f>SUMIF(RawDataDead!$B:$B,$A26,RawDataDead!BL:BL)</f>
        <v>0</v>
      </c>
      <c r="BJ26">
        <f>SUMIF(RawDataDead!$B:$B,$A26,RawDataDead!BM:BM)</f>
        <v>0</v>
      </c>
      <c r="BK26">
        <f>SUMIF(RawDataDead!$B:$B,$A26,RawDataDead!BN:BN)</f>
        <v>0</v>
      </c>
      <c r="BL26">
        <f>SUMIF(RawDataDead!$B:$B,$A26,RawDataDead!BO:BO)</f>
        <v>0</v>
      </c>
      <c r="BM26">
        <f>SUMIF(RawDataDead!$B:$B,$A26,RawDataDead!BP:BP)</f>
        <v>0</v>
      </c>
      <c r="BN26">
        <f>SUMIF(RawDataDead!$B:$B,$A26,RawDataDead!BQ:BQ)</f>
        <v>0</v>
      </c>
      <c r="BO26">
        <f>SUMIF(RawDataDead!$B:$B,$A26,RawDataDead!BR:BR)</f>
        <v>0</v>
      </c>
      <c r="BP26">
        <f>SUMIF(RawDataDead!$B:$B,$A26,RawDataDead!BS:BS)</f>
        <v>0</v>
      </c>
      <c r="BQ26">
        <f>SUMIF(RawDataDead!$B:$B,$A26,RawDataDead!BT:BT)</f>
        <v>0</v>
      </c>
      <c r="BR26">
        <f>SUMIF(RawDataDead!$B:$B,$A26,RawDataDead!BU:BU)</f>
        <v>0</v>
      </c>
      <c r="BS26">
        <f>SUMIF(RawDataDead!$B:$B,$A26,RawDataDead!BV:BV)</f>
        <v>0</v>
      </c>
      <c r="BT26">
        <f>SUMIF(RawDataDead!$B:$B,$A26,RawDataDead!BW:BW)</f>
        <v>0</v>
      </c>
    </row>
    <row r="27" spans="1:72" ht="15" thickBot="1" x14ac:dyDescent="0.35">
      <c r="A27" s="4" t="s">
        <v>106</v>
      </c>
      <c r="B27">
        <f>SUMIF(RawDataDead!$B:$B,$A27,RawDataDead!E:E)</f>
        <v>0</v>
      </c>
      <c r="C27">
        <f>SUMIF(RawDataDead!$B:$B,$A27,RawDataDead!F:F)</f>
        <v>0</v>
      </c>
      <c r="D27">
        <f>SUMIF(RawDataDead!$B:$B,$A27,RawDataDead!G:G)</f>
        <v>0</v>
      </c>
      <c r="E27">
        <f>SUMIF(RawDataDead!$B:$B,$A27,RawDataDead!H:H)</f>
        <v>0</v>
      </c>
      <c r="F27">
        <f>SUMIF(RawDataDead!$B:$B,$A27,RawDataDead!I:I)</f>
        <v>0</v>
      </c>
      <c r="G27">
        <f>SUMIF(RawDataDead!$B:$B,$A27,RawDataDead!J:J)</f>
        <v>0</v>
      </c>
      <c r="H27">
        <f>SUMIF(RawDataDead!$B:$B,$A27,RawDataDead!K:K)</f>
        <v>0</v>
      </c>
      <c r="I27">
        <f>SUMIF(RawDataDead!$B:$B,$A27,RawDataDead!L:L)</f>
        <v>0</v>
      </c>
      <c r="J27">
        <f>SUMIF(RawDataDead!$B:$B,$A27,RawDataDead!M:M)</f>
        <v>0</v>
      </c>
      <c r="K27">
        <f>SUMIF(RawDataDead!$B:$B,$A27,RawDataDead!N:N)</f>
        <v>0</v>
      </c>
      <c r="L27">
        <f>SUMIF(RawDataDead!$B:$B,$A27,RawDataDead!O:O)</f>
        <v>0</v>
      </c>
      <c r="M27">
        <f>SUMIF(RawDataDead!$B:$B,$A27,RawDataDead!P:P)</f>
        <v>0</v>
      </c>
      <c r="N27">
        <f>SUMIF(RawDataDead!$B:$B,$A27,RawDataDead!Q:Q)</f>
        <v>0</v>
      </c>
      <c r="O27">
        <f>SUMIF(RawDataDead!$B:$B,$A27,RawDataDead!R:R)</f>
        <v>0</v>
      </c>
      <c r="P27">
        <f>SUMIF(RawDataDead!$B:$B,$A27,RawDataDead!S:S)</f>
        <v>0</v>
      </c>
      <c r="Q27">
        <f>SUMIF(RawDataDead!$B:$B,$A27,RawDataDead!T:T)</f>
        <v>0</v>
      </c>
      <c r="R27">
        <f>SUMIF(RawDataDead!$B:$B,$A27,RawDataDead!U:U)</f>
        <v>0</v>
      </c>
      <c r="S27">
        <f>SUMIF(RawDataDead!$B:$B,$A27,RawDataDead!V:V)</f>
        <v>0</v>
      </c>
      <c r="T27">
        <f>SUMIF(RawDataDead!$B:$B,$A27,RawDataDead!W:W)</f>
        <v>0</v>
      </c>
      <c r="U27">
        <f>SUMIF(RawDataDead!$B:$B,$A27,RawDataDead!X:X)</f>
        <v>0</v>
      </c>
      <c r="V27">
        <f>SUMIF(RawDataDead!$B:$B,$A27,RawDataDead!Y:Y)</f>
        <v>0</v>
      </c>
      <c r="W27">
        <f>SUMIF(RawDataDead!$B:$B,$A27,RawDataDead!Z:Z)</f>
        <v>0</v>
      </c>
      <c r="X27">
        <f>SUMIF(RawDataDead!$B:$B,$A27,RawDataDead!AA:AA)</f>
        <v>0</v>
      </c>
      <c r="Y27">
        <f>SUMIF(RawDataDead!$B:$B,$A27,RawDataDead!AB:AB)</f>
        <v>0</v>
      </c>
      <c r="Z27">
        <f>SUMIF(RawDataDead!$B:$B,$A27,RawDataDead!AC:AC)</f>
        <v>0</v>
      </c>
      <c r="AA27">
        <f>SUMIF(RawDataDead!$B:$B,$A27,RawDataDead!AD:AD)</f>
        <v>0</v>
      </c>
      <c r="AB27">
        <f>SUMIF(RawDataDead!$B:$B,$A27,RawDataDead!AE:AE)</f>
        <v>0</v>
      </c>
      <c r="AC27">
        <f>SUMIF(RawDataDead!$B:$B,$A27,RawDataDead!AF:AF)</f>
        <v>0</v>
      </c>
      <c r="AD27">
        <f>SUMIF(RawDataDead!$B:$B,$A27,RawDataDead!AG:AG)</f>
        <v>0</v>
      </c>
      <c r="AE27">
        <f>SUMIF(RawDataDead!$B:$B,$A27,RawDataDead!AH:AH)</f>
        <v>0</v>
      </c>
      <c r="AF27">
        <f>SUMIF(RawDataDead!$B:$B,$A27,RawDataDead!AI:AI)</f>
        <v>0</v>
      </c>
      <c r="AG27">
        <f>SUMIF(RawDataDead!$B:$B,$A27,RawDataDead!AJ:AJ)</f>
        <v>0</v>
      </c>
      <c r="AH27">
        <f>SUMIF(RawDataDead!$B:$B,$A27,RawDataDead!AK:AK)</f>
        <v>0</v>
      </c>
      <c r="AI27">
        <f>SUMIF(RawDataDead!$B:$B,$A27,RawDataDead!AL:AL)</f>
        <v>0</v>
      </c>
      <c r="AJ27">
        <f>SUMIF(RawDataDead!$B:$B,$A27,RawDataDead!AM:AM)</f>
        <v>0</v>
      </c>
      <c r="AK27">
        <f>SUMIF(RawDataDead!$B:$B,$A27,RawDataDead!AN:AN)</f>
        <v>0</v>
      </c>
      <c r="AL27">
        <f>SUMIF(RawDataDead!$B:$B,$A27,RawDataDead!AO:AO)</f>
        <v>0</v>
      </c>
      <c r="AM27">
        <f>SUMIF(RawDataDead!$B:$B,$A27,RawDataDead!AP:AP)</f>
        <v>0</v>
      </c>
      <c r="AN27">
        <f>SUMIF(RawDataDead!$B:$B,$A27,RawDataDead!AQ:AQ)</f>
        <v>0</v>
      </c>
      <c r="AO27">
        <f>SUMIF(RawDataDead!$B:$B,$A27,RawDataDead!AR:AR)</f>
        <v>0</v>
      </c>
      <c r="AP27">
        <f>SUMIF(RawDataDead!$B:$B,$A27,RawDataDead!AS:AS)</f>
        <v>0</v>
      </c>
      <c r="AQ27">
        <f>SUMIF(RawDataDead!$B:$B,$A27,RawDataDead!AT:AT)</f>
        <v>0</v>
      </c>
      <c r="AR27">
        <f>SUMIF(RawDataDead!$B:$B,$A27,RawDataDead!AU:AU)</f>
        <v>0</v>
      </c>
      <c r="AS27">
        <f>SUMIF(RawDataDead!$B:$B,$A27,RawDataDead!AV:AV)</f>
        <v>0</v>
      </c>
      <c r="AT27">
        <f>SUMIF(RawDataDead!$B:$B,$A27,RawDataDead!AW:AW)</f>
        <v>0</v>
      </c>
      <c r="AU27">
        <f>SUMIF(RawDataDead!$B:$B,$A27,RawDataDead!AX:AX)</f>
        <v>0</v>
      </c>
      <c r="AV27">
        <f>SUMIF(RawDataDead!$B:$B,$A27,RawDataDead!AY:AY)</f>
        <v>0</v>
      </c>
      <c r="AW27">
        <f>SUMIF(RawDataDead!$B:$B,$A27,RawDataDead!AZ:AZ)</f>
        <v>0</v>
      </c>
      <c r="AX27">
        <f>SUMIF(RawDataDead!$B:$B,$A27,RawDataDead!BA:BA)</f>
        <v>0</v>
      </c>
      <c r="AY27">
        <f>SUMIF(RawDataDead!$B:$B,$A27,RawDataDead!BB:BB)</f>
        <v>0</v>
      </c>
      <c r="AZ27">
        <f>SUMIF(RawDataDead!$B:$B,$A27,RawDataDead!BC:BC)</f>
        <v>0</v>
      </c>
      <c r="BA27">
        <f>SUMIF(RawDataDead!$B:$B,$A27,RawDataDead!BD:BD)</f>
        <v>0</v>
      </c>
      <c r="BB27">
        <f>SUMIF(RawDataDead!$B:$B,$A27,RawDataDead!BE:BE)</f>
        <v>0</v>
      </c>
      <c r="BC27">
        <f>SUMIF(RawDataDead!$B:$B,$A27,RawDataDead!BF:BF)</f>
        <v>0</v>
      </c>
      <c r="BD27">
        <f>SUMIF(RawDataDead!$B:$B,$A27,RawDataDead!BG:BG)</f>
        <v>0</v>
      </c>
      <c r="BE27">
        <f>SUMIF(RawDataDead!$B:$B,$A27,RawDataDead!BH:BH)</f>
        <v>0</v>
      </c>
      <c r="BF27">
        <f>SUMIF(RawDataDead!$B:$B,$A27,RawDataDead!BI:BI)</f>
        <v>0</v>
      </c>
      <c r="BG27">
        <f>SUMIF(RawDataDead!$B:$B,$A27,RawDataDead!BJ:BJ)</f>
        <v>0</v>
      </c>
      <c r="BH27">
        <f>SUMIF(RawDataDead!$B:$B,$A27,RawDataDead!BK:BK)</f>
        <v>0</v>
      </c>
      <c r="BI27">
        <f>SUMIF(RawDataDead!$B:$B,$A27,RawDataDead!BL:BL)</f>
        <v>0</v>
      </c>
      <c r="BJ27">
        <f>SUMIF(RawDataDead!$B:$B,$A27,RawDataDead!BM:BM)</f>
        <v>0</v>
      </c>
      <c r="BK27">
        <f>SUMIF(RawDataDead!$B:$B,$A27,RawDataDead!BN:BN)</f>
        <v>0</v>
      </c>
      <c r="BL27">
        <f>SUMIF(RawDataDead!$B:$B,$A27,RawDataDead!BO:BO)</f>
        <v>0</v>
      </c>
      <c r="BM27">
        <f>SUMIF(RawDataDead!$B:$B,$A27,RawDataDead!BP:BP)</f>
        <v>0</v>
      </c>
      <c r="BN27">
        <f>SUMIF(RawDataDead!$B:$B,$A27,RawDataDead!BQ:BQ)</f>
        <v>0</v>
      </c>
      <c r="BO27">
        <f>SUMIF(RawDataDead!$B:$B,$A27,RawDataDead!BR:BR)</f>
        <v>0</v>
      </c>
      <c r="BP27">
        <f>SUMIF(RawDataDead!$B:$B,$A27,RawDataDead!BS:BS)</f>
        <v>0</v>
      </c>
      <c r="BQ27">
        <f>SUMIF(RawDataDead!$B:$B,$A27,RawDataDead!BT:BT)</f>
        <v>0</v>
      </c>
      <c r="BR27">
        <f>SUMIF(RawDataDead!$B:$B,$A27,RawDataDead!BU:BU)</f>
        <v>0</v>
      </c>
      <c r="BS27">
        <f>SUMIF(RawDataDead!$B:$B,$A27,RawDataDead!BV:BV)</f>
        <v>0</v>
      </c>
      <c r="BT27">
        <f>SUMIF(RawDataDead!$B:$B,$A27,RawDataDead!BW:BW)</f>
        <v>0</v>
      </c>
    </row>
    <row r="28" spans="1:72" ht="15" thickBot="1" x14ac:dyDescent="0.35">
      <c r="A28" s="3" t="s">
        <v>81</v>
      </c>
      <c r="B28">
        <f>SUMIF(RawDataDead!$B:$B,$A28,RawDataDead!E:E)</f>
        <v>0</v>
      </c>
      <c r="C28">
        <f>SUMIF(RawDataDead!$B:$B,$A28,RawDataDead!F:F)</f>
        <v>0</v>
      </c>
      <c r="D28">
        <f>SUMIF(RawDataDead!$B:$B,$A28,RawDataDead!G:G)</f>
        <v>0</v>
      </c>
      <c r="E28">
        <f>SUMIF(RawDataDead!$B:$B,$A28,RawDataDead!H:H)</f>
        <v>0</v>
      </c>
      <c r="F28">
        <f>SUMIF(RawDataDead!$B:$B,$A28,RawDataDead!I:I)</f>
        <v>0</v>
      </c>
      <c r="G28">
        <f>SUMIF(RawDataDead!$B:$B,$A28,RawDataDead!J:J)</f>
        <v>0</v>
      </c>
      <c r="H28">
        <f>SUMIF(RawDataDead!$B:$B,$A28,RawDataDead!K:K)</f>
        <v>0</v>
      </c>
      <c r="I28">
        <f>SUMIF(RawDataDead!$B:$B,$A28,RawDataDead!L:L)</f>
        <v>0</v>
      </c>
      <c r="J28">
        <f>SUMIF(RawDataDead!$B:$B,$A28,RawDataDead!M:M)</f>
        <v>0</v>
      </c>
      <c r="K28">
        <f>SUMIF(RawDataDead!$B:$B,$A28,RawDataDead!N:N)</f>
        <v>0</v>
      </c>
      <c r="L28">
        <f>SUMIF(RawDataDead!$B:$B,$A28,RawDataDead!O:O)</f>
        <v>0</v>
      </c>
      <c r="M28">
        <f>SUMIF(RawDataDead!$B:$B,$A28,RawDataDead!P:P)</f>
        <v>0</v>
      </c>
      <c r="N28">
        <f>SUMIF(RawDataDead!$B:$B,$A28,RawDataDead!Q:Q)</f>
        <v>0</v>
      </c>
      <c r="O28">
        <f>SUMIF(RawDataDead!$B:$B,$A28,RawDataDead!R:R)</f>
        <v>0</v>
      </c>
      <c r="P28">
        <f>SUMIF(RawDataDead!$B:$B,$A28,RawDataDead!S:S)</f>
        <v>0</v>
      </c>
      <c r="Q28">
        <f>SUMIF(RawDataDead!$B:$B,$A28,RawDataDead!T:T)</f>
        <v>0</v>
      </c>
      <c r="R28">
        <f>SUMIF(RawDataDead!$B:$B,$A28,RawDataDead!U:U)</f>
        <v>0</v>
      </c>
      <c r="S28">
        <f>SUMIF(RawDataDead!$B:$B,$A28,RawDataDead!V:V)</f>
        <v>0</v>
      </c>
      <c r="T28">
        <f>SUMIF(RawDataDead!$B:$B,$A28,RawDataDead!W:W)</f>
        <v>0</v>
      </c>
      <c r="U28">
        <f>SUMIF(RawDataDead!$B:$B,$A28,RawDataDead!X:X)</f>
        <v>0</v>
      </c>
      <c r="V28">
        <f>SUMIF(RawDataDead!$B:$B,$A28,RawDataDead!Y:Y)</f>
        <v>0</v>
      </c>
      <c r="W28">
        <f>SUMIF(RawDataDead!$B:$B,$A28,RawDataDead!Z:Z)</f>
        <v>0</v>
      </c>
      <c r="X28">
        <f>SUMIF(RawDataDead!$B:$B,$A28,RawDataDead!AA:AA)</f>
        <v>0</v>
      </c>
      <c r="Y28">
        <f>SUMIF(RawDataDead!$B:$B,$A28,RawDataDead!AB:AB)</f>
        <v>0</v>
      </c>
      <c r="Z28">
        <f>SUMIF(RawDataDead!$B:$B,$A28,RawDataDead!AC:AC)</f>
        <v>0</v>
      </c>
      <c r="AA28">
        <f>SUMIF(RawDataDead!$B:$B,$A28,RawDataDead!AD:AD)</f>
        <v>0</v>
      </c>
      <c r="AB28">
        <f>SUMIF(RawDataDead!$B:$B,$A28,RawDataDead!AE:AE)</f>
        <v>0</v>
      </c>
      <c r="AC28">
        <f>SUMIF(RawDataDead!$B:$B,$A28,RawDataDead!AF:AF)</f>
        <v>0</v>
      </c>
      <c r="AD28">
        <f>SUMIF(RawDataDead!$B:$B,$A28,RawDataDead!AG:AG)</f>
        <v>0</v>
      </c>
      <c r="AE28">
        <f>SUMIF(RawDataDead!$B:$B,$A28,RawDataDead!AH:AH)</f>
        <v>0</v>
      </c>
      <c r="AF28">
        <f>SUMIF(RawDataDead!$B:$B,$A28,RawDataDead!AI:AI)</f>
        <v>0</v>
      </c>
      <c r="AG28">
        <f>SUMIF(RawDataDead!$B:$B,$A28,RawDataDead!AJ:AJ)</f>
        <v>0</v>
      </c>
      <c r="AH28">
        <f>SUMIF(RawDataDead!$B:$B,$A28,RawDataDead!AK:AK)</f>
        <v>0</v>
      </c>
      <c r="AI28">
        <f>SUMIF(RawDataDead!$B:$B,$A28,RawDataDead!AL:AL)</f>
        <v>0</v>
      </c>
      <c r="AJ28">
        <f>SUMIF(RawDataDead!$B:$B,$A28,RawDataDead!AM:AM)</f>
        <v>0</v>
      </c>
      <c r="AK28">
        <f>SUMIF(RawDataDead!$B:$B,$A28,RawDataDead!AN:AN)</f>
        <v>0</v>
      </c>
      <c r="AL28">
        <f>SUMIF(RawDataDead!$B:$B,$A28,RawDataDead!AO:AO)</f>
        <v>0</v>
      </c>
      <c r="AM28">
        <f>SUMIF(RawDataDead!$B:$B,$A28,RawDataDead!AP:AP)</f>
        <v>0</v>
      </c>
      <c r="AN28">
        <f>SUMIF(RawDataDead!$B:$B,$A28,RawDataDead!AQ:AQ)</f>
        <v>0</v>
      </c>
      <c r="AO28">
        <f>SUMIF(RawDataDead!$B:$B,$A28,RawDataDead!AR:AR)</f>
        <v>0</v>
      </c>
      <c r="AP28">
        <f>SUMIF(RawDataDead!$B:$B,$A28,RawDataDead!AS:AS)</f>
        <v>0</v>
      </c>
      <c r="AQ28">
        <f>SUMIF(RawDataDead!$B:$B,$A28,RawDataDead!AT:AT)</f>
        <v>0</v>
      </c>
      <c r="AR28">
        <f>SUMIF(RawDataDead!$B:$B,$A28,RawDataDead!AU:AU)</f>
        <v>0</v>
      </c>
      <c r="AS28">
        <f>SUMIF(RawDataDead!$B:$B,$A28,RawDataDead!AV:AV)</f>
        <v>0</v>
      </c>
      <c r="AT28">
        <f>SUMIF(RawDataDead!$B:$B,$A28,RawDataDead!AW:AW)</f>
        <v>0</v>
      </c>
      <c r="AU28">
        <f>SUMIF(RawDataDead!$B:$B,$A28,RawDataDead!AX:AX)</f>
        <v>0</v>
      </c>
      <c r="AV28">
        <f>SUMIF(RawDataDead!$B:$B,$A28,RawDataDead!AY:AY)</f>
        <v>0</v>
      </c>
      <c r="AW28">
        <f>SUMIF(RawDataDead!$B:$B,$A28,RawDataDead!AZ:AZ)</f>
        <v>0</v>
      </c>
      <c r="AX28">
        <f>SUMIF(RawDataDead!$B:$B,$A28,RawDataDead!BA:BA)</f>
        <v>0</v>
      </c>
      <c r="AY28">
        <f>SUMIF(RawDataDead!$B:$B,$A28,RawDataDead!BB:BB)</f>
        <v>0</v>
      </c>
      <c r="AZ28">
        <f>SUMIF(RawDataDead!$B:$B,$A28,RawDataDead!BC:BC)</f>
        <v>0</v>
      </c>
      <c r="BA28">
        <f>SUMIF(RawDataDead!$B:$B,$A28,RawDataDead!BD:BD)</f>
        <v>0</v>
      </c>
      <c r="BB28">
        <f>SUMIF(RawDataDead!$B:$B,$A28,RawDataDead!BE:BE)</f>
        <v>0</v>
      </c>
      <c r="BC28">
        <f>SUMIF(RawDataDead!$B:$B,$A28,RawDataDead!BF:BF)</f>
        <v>0</v>
      </c>
      <c r="BD28">
        <f>SUMIF(RawDataDead!$B:$B,$A28,RawDataDead!BG:BG)</f>
        <v>0</v>
      </c>
      <c r="BE28">
        <f>SUMIF(RawDataDead!$B:$B,$A28,RawDataDead!BH:BH)</f>
        <v>0</v>
      </c>
      <c r="BF28">
        <f>SUMIF(RawDataDead!$B:$B,$A28,RawDataDead!BI:BI)</f>
        <v>0</v>
      </c>
      <c r="BG28">
        <f>SUMIF(RawDataDead!$B:$B,$A28,RawDataDead!BJ:BJ)</f>
        <v>0</v>
      </c>
      <c r="BH28">
        <f>SUMIF(RawDataDead!$B:$B,$A28,RawDataDead!BK:BK)</f>
        <v>0</v>
      </c>
      <c r="BI28">
        <f>SUMIF(RawDataDead!$B:$B,$A28,RawDataDead!BL:BL)</f>
        <v>0</v>
      </c>
      <c r="BJ28">
        <f>SUMIF(RawDataDead!$B:$B,$A28,RawDataDead!BM:BM)</f>
        <v>0</v>
      </c>
      <c r="BK28">
        <f>SUMIF(RawDataDead!$B:$B,$A28,RawDataDead!BN:BN)</f>
        <v>0</v>
      </c>
      <c r="BL28">
        <f>SUMIF(RawDataDead!$B:$B,$A28,RawDataDead!BO:BO)</f>
        <v>0</v>
      </c>
      <c r="BM28">
        <f>SUMIF(RawDataDead!$B:$B,$A28,RawDataDead!BP:BP)</f>
        <v>0</v>
      </c>
      <c r="BN28">
        <f>SUMIF(RawDataDead!$B:$B,$A28,RawDataDead!BQ:BQ)</f>
        <v>0</v>
      </c>
      <c r="BO28">
        <f>SUMIF(RawDataDead!$B:$B,$A28,RawDataDead!BR:BR)</f>
        <v>0</v>
      </c>
      <c r="BP28">
        <f>SUMIF(RawDataDead!$B:$B,$A28,RawDataDead!BS:BS)</f>
        <v>0</v>
      </c>
      <c r="BQ28">
        <f>SUMIF(RawDataDead!$B:$B,$A28,RawDataDead!BT:BT)</f>
        <v>0</v>
      </c>
      <c r="BR28">
        <f>SUMIF(RawDataDead!$B:$B,$A28,RawDataDead!BU:BU)</f>
        <v>0</v>
      </c>
      <c r="BS28">
        <f>SUMIF(RawDataDead!$B:$B,$A28,RawDataDead!BV:BV)</f>
        <v>0</v>
      </c>
      <c r="BT28">
        <f>SUMIF(RawDataDead!$B:$B,$A28,RawDataDead!BW:BW)</f>
        <v>0</v>
      </c>
    </row>
    <row r="29" spans="1:72" ht="15" thickBot="1" x14ac:dyDescent="0.35">
      <c r="A29" s="4" t="s">
        <v>108</v>
      </c>
      <c r="B29">
        <f>SUMIF(RawDataDead!$B:$B,$A29,RawDataDead!E:E)</f>
        <v>0</v>
      </c>
      <c r="C29">
        <f>SUMIF(RawDataDead!$B:$B,$A29,RawDataDead!F:F)</f>
        <v>0</v>
      </c>
      <c r="D29">
        <f>SUMIF(RawDataDead!$B:$B,$A29,RawDataDead!G:G)</f>
        <v>0</v>
      </c>
      <c r="E29">
        <f>SUMIF(RawDataDead!$B:$B,$A29,RawDataDead!H:H)</f>
        <v>0</v>
      </c>
      <c r="F29">
        <f>SUMIF(RawDataDead!$B:$B,$A29,RawDataDead!I:I)</f>
        <v>0</v>
      </c>
      <c r="G29">
        <f>SUMIF(RawDataDead!$B:$B,$A29,RawDataDead!J:J)</f>
        <v>0</v>
      </c>
      <c r="H29">
        <f>SUMIF(RawDataDead!$B:$B,$A29,RawDataDead!K:K)</f>
        <v>0</v>
      </c>
      <c r="I29">
        <f>SUMIF(RawDataDead!$B:$B,$A29,RawDataDead!L:L)</f>
        <v>0</v>
      </c>
      <c r="J29">
        <f>SUMIF(RawDataDead!$B:$B,$A29,RawDataDead!M:M)</f>
        <v>0</v>
      </c>
      <c r="K29">
        <f>SUMIF(RawDataDead!$B:$B,$A29,RawDataDead!N:N)</f>
        <v>0</v>
      </c>
      <c r="L29">
        <f>SUMIF(RawDataDead!$B:$B,$A29,RawDataDead!O:O)</f>
        <v>0</v>
      </c>
      <c r="M29">
        <f>SUMIF(RawDataDead!$B:$B,$A29,RawDataDead!P:P)</f>
        <v>0</v>
      </c>
      <c r="N29">
        <f>SUMIF(RawDataDead!$B:$B,$A29,RawDataDead!Q:Q)</f>
        <v>0</v>
      </c>
      <c r="O29">
        <f>SUMIF(RawDataDead!$B:$B,$A29,RawDataDead!R:R)</f>
        <v>0</v>
      </c>
      <c r="P29">
        <f>SUMIF(RawDataDead!$B:$B,$A29,RawDataDead!S:S)</f>
        <v>0</v>
      </c>
      <c r="Q29">
        <f>SUMIF(RawDataDead!$B:$B,$A29,RawDataDead!T:T)</f>
        <v>0</v>
      </c>
      <c r="R29">
        <f>SUMIF(RawDataDead!$B:$B,$A29,RawDataDead!U:U)</f>
        <v>0</v>
      </c>
      <c r="S29">
        <f>SUMIF(RawDataDead!$B:$B,$A29,RawDataDead!V:V)</f>
        <v>0</v>
      </c>
      <c r="T29">
        <f>SUMIF(RawDataDead!$B:$B,$A29,RawDataDead!W:W)</f>
        <v>0</v>
      </c>
      <c r="U29">
        <f>SUMIF(RawDataDead!$B:$B,$A29,RawDataDead!X:X)</f>
        <v>0</v>
      </c>
      <c r="V29">
        <f>SUMIF(RawDataDead!$B:$B,$A29,RawDataDead!Y:Y)</f>
        <v>0</v>
      </c>
      <c r="W29">
        <f>SUMIF(RawDataDead!$B:$B,$A29,RawDataDead!Z:Z)</f>
        <v>0</v>
      </c>
      <c r="X29">
        <f>SUMIF(RawDataDead!$B:$B,$A29,RawDataDead!AA:AA)</f>
        <v>0</v>
      </c>
      <c r="Y29">
        <f>SUMIF(RawDataDead!$B:$B,$A29,RawDataDead!AB:AB)</f>
        <v>0</v>
      </c>
      <c r="Z29">
        <f>SUMIF(RawDataDead!$B:$B,$A29,RawDataDead!AC:AC)</f>
        <v>0</v>
      </c>
      <c r="AA29">
        <f>SUMIF(RawDataDead!$B:$B,$A29,RawDataDead!AD:AD)</f>
        <v>0</v>
      </c>
      <c r="AB29">
        <f>SUMIF(RawDataDead!$B:$B,$A29,RawDataDead!AE:AE)</f>
        <v>0</v>
      </c>
      <c r="AC29">
        <f>SUMIF(RawDataDead!$B:$B,$A29,RawDataDead!AF:AF)</f>
        <v>0</v>
      </c>
      <c r="AD29">
        <f>SUMIF(RawDataDead!$B:$B,$A29,RawDataDead!AG:AG)</f>
        <v>0</v>
      </c>
      <c r="AE29">
        <f>SUMIF(RawDataDead!$B:$B,$A29,RawDataDead!AH:AH)</f>
        <v>0</v>
      </c>
      <c r="AF29">
        <f>SUMIF(RawDataDead!$B:$B,$A29,RawDataDead!AI:AI)</f>
        <v>0</v>
      </c>
      <c r="AG29">
        <f>SUMIF(RawDataDead!$B:$B,$A29,RawDataDead!AJ:AJ)</f>
        <v>0</v>
      </c>
      <c r="AH29">
        <f>SUMIF(RawDataDead!$B:$B,$A29,RawDataDead!AK:AK)</f>
        <v>0</v>
      </c>
      <c r="AI29">
        <f>SUMIF(RawDataDead!$B:$B,$A29,RawDataDead!AL:AL)</f>
        <v>0</v>
      </c>
      <c r="AJ29">
        <f>SUMIF(RawDataDead!$B:$B,$A29,RawDataDead!AM:AM)</f>
        <v>0</v>
      </c>
      <c r="AK29">
        <f>SUMIF(RawDataDead!$B:$B,$A29,RawDataDead!AN:AN)</f>
        <v>0</v>
      </c>
      <c r="AL29">
        <f>SUMIF(RawDataDead!$B:$B,$A29,RawDataDead!AO:AO)</f>
        <v>0</v>
      </c>
      <c r="AM29">
        <f>SUMIF(RawDataDead!$B:$B,$A29,RawDataDead!AP:AP)</f>
        <v>0</v>
      </c>
      <c r="AN29">
        <f>SUMIF(RawDataDead!$B:$B,$A29,RawDataDead!AQ:AQ)</f>
        <v>0</v>
      </c>
      <c r="AO29">
        <f>SUMIF(RawDataDead!$B:$B,$A29,RawDataDead!AR:AR)</f>
        <v>0</v>
      </c>
      <c r="AP29">
        <f>SUMIF(RawDataDead!$B:$B,$A29,RawDataDead!AS:AS)</f>
        <v>0</v>
      </c>
      <c r="AQ29">
        <f>SUMIF(RawDataDead!$B:$B,$A29,RawDataDead!AT:AT)</f>
        <v>0</v>
      </c>
      <c r="AR29">
        <f>SUMIF(RawDataDead!$B:$B,$A29,RawDataDead!AU:AU)</f>
        <v>0</v>
      </c>
      <c r="AS29">
        <f>SUMIF(RawDataDead!$B:$B,$A29,RawDataDead!AV:AV)</f>
        <v>0</v>
      </c>
      <c r="AT29">
        <f>SUMIF(RawDataDead!$B:$B,$A29,RawDataDead!AW:AW)</f>
        <v>0</v>
      </c>
      <c r="AU29">
        <f>SUMIF(RawDataDead!$B:$B,$A29,RawDataDead!AX:AX)</f>
        <v>0</v>
      </c>
      <c r="AV29">
        <f>SUMIF(RawDataDead!$B:$B,$A29,RawDataDead!AY:AY)</f>
        <v>0</v>
      </c>
      <c r="AW29">
        <f>SUMIF(RawDataDead!$B:$B,$A29,RawDataDead!AZ:AZ)</f>
        <v>0</v>
      </c>
      <c r="AX29">
        <f>SUMIF(RawDataDead!$B:$B,$A29,RawDataDead!BA:BA)</f>
        <v>0</v>
      </c>
      <c r="AY29">
        <f>SUMIF(RawDataDead!$B:$B,$A29,RawDataDead!BB:BB)</f>
        <v>0</v>
      </c>
      <c r="AZ29">
        <f>SUMIF(RawDataDead!$B:$B,$A29,RawDataDead!BC:BC)</f>
        <v>0</v>
      </c>
      <c r="BA29">
        <f>SUMIF(RawDataDead!$B:$B,$A29,RawDataDead!BD:BD)</f>
        <v>0</v>
      </c>
      <c r="BB29">
        <f>SUMIF(RawDataDead!$B:$B,$A29,RawDataDead!BE:BE)</f>
        <v>0</v>
      </c>
      <c r="BC29">
        <f>SUMIF(RawDataDead!$B:$B,$A29,RawDataDead!BF:BF)</f>
        <v>0</v>
      </c>
      <c r="BD29">
        <f>SUMIF(RawDataDead!$B:$B,$A29,RawDataDead!BG:BG)</f>
        <v>0</v>
      </c>
      <c r="BE29">
        <f>SUMIF(RawDataDead!$B:$B,$A29,RawDataDead!BH:BH)</f>
        <v>1</v>
      </c>
      <c r="BF29">
        <f>SUMIF(RawDataDead!$B:$B,$A29,RawDataDead!BI:BI)</f>
        <v>0</v>
      </c>
      <c r="BG29">
        <f>SUMIF(RawDataDead!$B:$B,$A29,RawDataDead!BJ:BJ)</f>
        <v>0</v>
      </c>
      <c r="BH29">
        <f>SUMIF(RawDataDead!$B:$B,$A29,RawDataDead!BK:BK)</f>
        <v>0</v>
      </c>
      <c r="BI29">
        <f>SUMIF(RawDataDead!$B:$B,$A29,RawDataDead!BL:BL)</f>
        <v>0</v>
      </c>
      <c r="BJ29">
        <f>SUMIF(RawDataDead!$B:$B,$A29,RawDataDead!BM:BM)</f>
        <v>0</v>
      </c>
      <c r="BK29">
        <f>SUMIF(RawDataDead!$B:$B,$A29,RawDataDead!BN:BN)</f>
        <v>0</v>
      </c>
      <c r="BL29">
        <f>SUMIF(RawDataDead!$B:$B,$A29,RawDataDead!BO:BO)</f>
        <v>0</v>
      </c>
      <c r="BM29">
        <f>SUMIF(RawDataDead!$B:$B,$A29,RawDataDead!BP:BP)</f>
        <v>0</v>
      </c>
      <c r="BN29">
        <f>SUMIF(RawDataDead!$B:$B,$A29,RawDataDead!BQ:BQ)</f>
        <v>0</v>
      </c>
      <c r="BO29">
        <f>SUMIF(RawDataDead!$B:$B,$A29,RawDataDead!BR:BR)</f>
        <v>0</v>
      </c>
      <c r="BP29">
        <f>SUMIF(RawDataDead!$B:$B,$A29,RawDataDead!BS:BS)</f>
        <v>0</v>
      </c>
      <c r="BQ29">
        <f>SUMIF(RawDataDead!$B:$B,$A29,RawDataDead!BT:BT)</f>
        <v>0</v>
      </c>
      <c r="BR29">
        <f>SUMIF(RawDataDead!$B:$B,$A29,RawDataDead!BU:BU)</f>
        <v>0</v>
      </c>
      <c r="BS29">
        <f>SUMIF(RawDataDead!$B:$B,$A29,RawDataDead!BV:BV)</f>
        <v>0</v>
      </c>
      <c r="BT29">
        <f>SUMIF(RawDataDead!$B:$B,$A29,RawDataDead!BW:BW)</f>
        <v>0</v>
      </c>
    </row>
    <row r="30" spans="1:72" ht="15" thickBot="1" x14ac:dyDescent="0.35">
      <c r="A30" s="3" t="s">
        <v>369</v>
      </c>
      <c r="B30">
        <f>SUMIF(RawDataDead!$B:$B,$A30,RawDataDead!E:E)</f>
        <v>0</v>
      </c>
      <c r="C30">
        <f>SUMIF(RawDataDead!$B:$B,$A30,RawDataDead!F:F)</f>
        <v>0</v>
      </c>
      <c r="D30">
        <f>SUMIF(RawDataDead!$B:$B,$A30,RawDataDead!G:G)</f>
        <v>0</v>
      </c>
      <c r="E30">
        <f>SUMIF(RawDataDead!$B:$B,$A30,RawDataDead!H:H)</f>
        <v>0</v>
      </c>
      <c r="F30">
        <f>SUMIF(RawDataDead!$B:$B,$A30,RawDataDead!I:I)</f>
        <v>0</v>
      </c>
      <c r="G30">
        <f>SUMIF(RawDataDead!$B:$B,$A30,RawDataDead!J:J)</f>
        <v>0</v>
      </c>
      <c r="H30">
        <f>SUMIF(RawDataDead!$B:$B,$A30,RawDataDead!K:K)</f>
        <v>0</v>
      </c>
      <c r="I30">
        <f>SUMIF(RawDataDead!$B:$B,$A30,RawDataDead!L:L)</f>
        <v>0</v>
      </c>
      <c r="J30">
        <f>SUMIF(RawDataDead!$B:$B,$A30,RawDataDead!M:M)</f>
        <v>0</v>
      </c>
      <c r="K30">
        <f>SUMIF(RawDataDead!$B:$B,$A30,RawDataDead!N:N)</f>
        <v>0</v>
      </c>
      <c r="L30">
        <f>SUMIF(RawDataDead!$B:$B,$A30,RawDataDead!O:O)</f>
        <v>0</v>
      </c>
      <c r="M30">
        <f>SUMIF(RawDataDead!$B:$B,$A30,RawDataDead!P:P)</f>
        <v>0</v>
      </c>
      <c r="N30">
        <f>SUMIF(RawDataDead!$B:$B,$A30,RawDataDead!Q:Q)</f>
        <v>0</v>
      </c>
      <c r="O30">
        <f>SUMIF(RawDataDead!$B:$B,$A30,RawDataDead!R:R)</f>
        <v>0</v>
      </c>
      <c r="P30">
        <f>SUMIF(RawDataDead!$B:$B,$A30,RawDataDead!S:S)</f>
        <v>0</v>
      </c>
      <c r="Q30">
        <f>SUMIF(RawDataDead!$B:$B,$A30,RawDataDead!T:T)</f>
        <v>0</v>
      </c>
      <c r="R30">
        <f>SUMIF(RawDataDead!$B:$B,$A30,RawDataDead!U:U)</f>
        <v>0</v>
      </c>
      <c r="S30">
        <f>SUMIF(RawDataDead!$B:$B,$A30,RawDataDead!V:V)</f>
        <v>0</v>
      </c>
      <c r="T30">
        <f>SUMIF(RawDataDead!$B:$B,$A30,RawDataDead!W:W)</f>
        <v>0</v>
      </c>
      <c r="U30">
        <f>SUMIF(RawDataDead!$B:$B,$A30,RawDataDead!X:X)</f>
        <v>0</v>
      </c>
      <c r="V30">
        <f>SUMIF(RawDataDead!$B:$B,$A30,RawDataDead!Y:Y)</f>
        <v>0</v>
      </c>
      <c r="W30">
        <f>SUMIF(RawDataDead!$B:$B,$A30,RawDataDead!Z:Z)</f>
        <v>0</v>
      </c>
      <c r="X30">
        <f>SUMIF(RawDataDead!$B:$B,$A30,RawDataDead!AA:AA)</f>
        <v>0</v>
      </c>
      <c r="Y30">
        <f>SUMIF(RawDataDead!$B:$B,$A30,RawDataDead!AB:AB)</f>
        <v>0</v>
      </c>
      <c r="Z30">
        <f>SUMIF(RawDataDead!$B:$B,$A30,RawDataDead!AC:AC)</f>
        <v>0</v>
      </c>
      <c r="AA30">
        <f>SUMIF(RawDataDead!$B:$B,$A30,RawDataDead!AD:AD)</f>
        <v>0</v>
      </c>
      <c r="AB30">
        <f>SUMIF(RawDataDead!$B:$B,$A30,RawDataDead!AE:AE)</f>
        <v>0</v>
      </c>
      <c r="AC30">
        <f>SUMIF(RawDataDead!$B:$B,$A30,RawDataDead!AF:AF)</f>
        <v>0</v>
      </c>
      <c r="AD30">
        <f>SUMIF(RawDataDead!$B:$B,$A30,RawDataDead!AG:AG)</f>
        <v>0</v>
      </c>
      <c r="AE30">
        <f>SUMIF(RawDataDead!$B:$B,$A30,RawDataDead!AH:AH)</f>
        <v>0</v>
      </c>
      <c r="AF30">
        <f>SUMIF(RawDataDead!$B:$B,$A30,RawDataDead!AI:AI)</f>
        <v>0</v>
      </c>
      <c r="AG30">
        <f>SUMIF(RawDataDead!$B:$B,$A30,RawDataDead!AJ:AJ)</f>
        <v>0</v>
      </c>
      <c r="AH30">
        <f>SUMIF(RawDataDead!$B:$B,$A30,RawDataDead!AK:AK)</f>
        <v>0</v>
      </c>
      <c r="AI30">
        <f>SUMIF(RawDataDead!$B:$B,$A30,RawDataDead!AL:AL)</f>
        <v>0</v>
      </c>
      <c r="AJ30">
        <f>SUMIF(RawDataDead!$B:$B,$A30,RawDataDead!AM:AM)</f>
        <v>0</v>
      </c>
      <c r="AK30">
        <f>SUMIF(RawDataDead!$B:$B,$A30,RawDataDead!AN:AN)</f>
        <v>0</v>
      </c>
      <c r="AL30">
        <f>SUMIF(RawDataDead!$B:$B,$A30,RawDataDead!AO:AO)</f>
        <v>0</v>
      </c>
      <c r="AM30">
        <f>SUMIF(RawDataDead!$B:$B,$A30,RawDataDead!AP:AP)</f>
        <v>0</v>
      </c>
      <c r="AN30">
        <f>SUMIF(RawDataDead!$B:$B,$A30,RawDataDead!AQ:AQ)</f>
        <v>0</v>
      </c>
      <c r="AO30">
        <f>SUMIF(RawDataDead!$B:$B,$A30,RawDataDead!AR:AR)</f>
        <v>0</v>
      </c>
      <c r="AP30">
        <f>SUMIF(RawDataDead!$B:$B,$A30,RawDataDead!AS:AS)</f>
        <v>0</v>
      </c>
      <c r="AQ30">
        <f>SUMIF(RawDataDead!$B:$B,$A30,RawDataDead!AT:AT)</f>
        <v>0</v>
      </c>
      <c r="AR30">
        <f>SUMIF(RawDataDead!$B:$B,$A30,RawDataDead!AU:AU)</f>
        <v>0</v>
      </c>
      <c r="AS30">
        <f>SUMIF(RawDataDead!$B:$B,$A30,RawDataDead!AV:AV)</f>
        <v>0</v>
      </c>
      <c r="AT30">
        <f>SUMIF(RawDataDead!$B:$B,$A30,RawDataDead!AW:AW)</f>
        <v>0</v>
      </c>
      <c r="AU30">
        <f>SUMIF(RawDataDead!$B:$B,$A30,RawDataDead!AX:AX)</f>
        <v>0</v>
      </c>
      <c r="AV30">
        <f>SUMIF(RawDataDead!$B:$B,$A30,RawDataDead!AY:AY)</f>
        <v>0</v>
      </c>
      <c r="AW30">
        <f>SUMIF(RawDataDead!$B:$B,$A30,RawDataDead!AZ:AZ)</f>
        <v>0</v>
      </c>
      <c r="AX30">
        <f>SUMIF(RawDataDead!$B:$B,$A30,RawDataDead!BA:BA)</f>
        <v>0</v>
      </c>
      <c r="AY30">
        <f>SUMIF(RawDataDead!$B:$B,$A30,RawDataDead!BB:BB)</f>
        <v>0</v>
      </c>
      <c r="AZ30">
        <f>SUMIF(RawDataDead!$B:$B,$A30,RawDataDead!BC:BC)</f>
        <v>0</v>
      </c>
      <c r="BA30">
        <f>SUMIF(RawDataDead!$B:$B,$A30,RawDataDead!BD:BD)</f>
        <v>0</v>
      </c>
      <c r="BB30">
        <f>SUMIF(RawDataDead!$B:$B,$A30,RawDataDead!BE:BE)</f>
        <v>0</v>
      </c>
      <c r="BC30">
        <f>SUMIF(RawDataDead!$B:$B,$A30,RawDataDead!BF:BF)</f>
        <v>0</v>
      </c>
      <c r="BD30">
        <f>SUMIF(RawDataDead!$B:$B,$A30,RawDataDead!BG:BG)</f>
        <v>0</v>
      </c>
      <c r="BE30">
        <f>SUMIF(RawDataDead!$B:$B,$A30,RawDataDead!BH:BH)</f>
        <v>0</v>
      </c>
      <c r="BF30">
        <f>SUMIF(RawDataDead!$B:$B,$A30,RawDataDead!BI:BI)</f>
        <v>0</v>
      </c>
      <c r="BG30">
        <f>SUMIF(RawDataDead!$B:$B,$A30,RawDataDead!BJ:BJ)</f>
        <v>0</v>
      </c>
      <c r="BH30">
        <f>SUMIF(RawDataDead!$B:$B,$A30,RawDataDead!BK:BK)</f>
        <v>0</v>
      </c>
      <c r="BI30">
        <f>SUMIF(RawDataDead!$B:$B,$A30,RawDataDead!BL:BL)</f>
        <v>0</v>
      </c>
      <c r="BJ30">
        <f>SUMIF(RawDataDead!$B:$B,$A30,RawDataDead!BM:BM)</f>
        <v>0</v>
      </c>
      <c r="BK30">
        <f>SUMIF(RawDataDead!$B:$B,$A30,RawDataDead!BN:BN)</f>
        <v>0</v>
      </c>
      <c r="BL30">
        <f>SUMIF(RawDataDead!$B:$B,$A30,RawDataDead!BO:BO)</f>
        <v>0</v>
      </c>
      <c r="BM30">
        <f>SUMIF(RawDataDead!$B:$B,$A30,RawDataDead!BP:BP)</f>
        <v>0</v>
      </c>
      <c r="BN30">
        <f>SUMIF(RawDataDead!$B:$B,$A30,RawDataDead!BQ:BQ)</f>
        <v>0</v>
      </c>
      <c r="BO30">
        <f>SUMIF(RawDataDead!$B:$B,$A30,RawDataDead!BR:BR)</f>
        <v>0</v>
      </c>
      <c r="BP30">
        <f>SUMIF(RawDataDead!$B:$B,$A30,RawDataDead!BS:BS)</f>
        <v>0</v>
      </c>
      <c r="BQ30">
        <f>SUMIF(RawDataDead!$B:$B,$A30,RawDataDead!BT:BT)</f>
        <v>0</v>
      </c>
      <c r="BR30">
        <f>SUMIF(RawDataDead!$B:$B,$A30,RawDataDead!BU:BU)</f>
        <v>0</v>
      </c>
      <c r="BS30">
        <f>SUMIF(RawDataDead!$B:$B,$A30,RawDataDead!BV:BV)</f>
        <v>0</v>
      </c>
      <c r="BT30">
        <f>SUMIF(RawDataDead!$B:$B,$A30,RawDataDead!BW:BW)</f>
        <v>0</v>
      </c>
    </row>
    <row r="31" spans="1:72" ht="15" thickBot="1" x14ac:dyDescent="0.35">
      <c r="A31" s="4" t="s">
        <v>168</v>
      </c>
      <c r="B31">
        <f>SUMIF(RawDataDead!$B:$B,$A31,RawDataDead!E:E)</f>
        <v>0</v>
      </c>
      <c r="C31">
        <f>SUMIF(RawDataDead!$B:$B,$A31,RawDataDead!F:F)</f>
        <v>0</v>
      </c>
      <c r="D31">
        <f>SUMIF(RawDataDead!$B:$B,$A31,RawDataDead!G:G)</f>
        <v>0</v>
      </c>
      <c r="E31">
        <f>SUMIF(RawDataDead!$B:$B,$A31,RawDataDead!H:H)</f>
        <v>0</v>
      </c>
      <c r="F31">
        <f>SUMIF(RawDataDead!$B:$B,$A31,RawDataDead!I:I)</f>
        <v>0</v>
      </c>
      <c r="G31">
        <f>SUMIF(RawDataDead!$B:$B,$A31,RawDataDead!J:J)</f>
        <v>0</v>
      </c>
      <c r="H31">
        <f>SUMIF(RawDataDead!$B:$B,$A31,RawDataDead!K:K)</f>
        <v>0</v>
      </c>
      <c r="I31">
        <f>SUMIF(RawDataDead!$B:$B,$A31,RawDataDead!L:L)</f>
        <v>0</v>
      </c>
      <c r="J31">
        <f>SUMIF(RawDataDead!$B:$B,$A31,RawDataDead!M:M)</f>
        <v>0</v>
      </c>
      <c r="K31">
        <f>SUMIF(RawDataDead!$B:$B,$A31,RawDataDead!N:N)</f>
        <v>0</v>
      </c>
      <c r="L31">
        <f>SUMIF(RawDataDead!$B:$B,$A31,RawDataDead!O:O)</f>
        <v>0</v>
      </c>
      <c r="M31">
        <f>SUMIF(RawDataDead!$B:$B,$A31,RawDataDead!P:P)</f>
        <v>0</v>
      </c>
      <c r="N31">
        <f>SUMIF(RawDataDead!$B:$B,$A31,RawDataDead!Q:Q)</f>
        <v>0</v>
      </c>
      <c r="O31">
        <f>SUMIF(RawDataDead!$B:$B,$A31,RawDataDead!R:R)</f>
        <v>0</v>
      </c>
      <c r="P31">
        <f>SUMIF(RawDataDead!$B:$B,$A31,RawDataDead!S:S)</f>
        <v>0</v>
      </c>
      <c r="Q31">
        <f>SUMIF(RawDataDead!$B:$B,$A31,RawDataDead!T:T)</f>
        <v>0</v>
      </c>
      <c r="R31">
        <f>SUMIF(RawDataDead!$B:$B,$A31,RawDataDead!U:U)</f>
        <v>0</v>
      </c>
      <c r="S31">
        <f>SUMIF(RawDataDead!$B:$B,$A31,RawDataDead!V:V)</f>
        <v>0</v>
      </c>
      <c r="T31">
        <f>SUMIF(RawDataDead!$B:$B,$A31,RawDataDead!W:W)</f>
        <v>0</v>
      </c>
      <c r="U31">
        <f>SUMIF(RawDataDead!$B:$B,$A31,RawDataDead!X:X)</f>
        <v>0</v>
      </c>
      <c r="V31">
        <f>SUMIF(RawDataDead!$B:$B,$A31,RawDataDead!Y:Y)</f>
        <v>0</v>
      </c>
      <c r="W31">
        <f>SUMIF(RawDataDead!$B:$B,$A31,RawDataDead!Z:Z)</f>
        <v>0</v>
      </c>
      <c r="X31">
        <f>SUMIF(RawDataDead!$B:$B,$A31,RawDataDead!AA:AA)</f>
        <v>0</v>
      </c>
      <c r="Y31">
        <f>SUMIF(RawDataDead!$B:$B,$A31,RawDataDead!AB:AB)</f>
        <v>0</v>
      </c>
      <c r="Z31">
        <f>SUMIF(RawDataDead!$B:$B,$A31,RawDataDead!AC:AC)</f>
        <v>0</v>
      </c>
      <c r="AA31">
        <f>SUMIF(RawDataDead!$B:$B,$A31,RawDataDead!AD:AD)</f>
        <v>0</v>
      </c>
      <c r="AB31">
        <f>SUMIF(RawDataDead!$B:$B,$A31,RawDataDead!AE:AE)</f>
        <v>0</v>
      </c>
      <c r="AC31">
        <f>SUMIF(RawDataDead!$B:$B,$A31,RawDataDead!AF:AF)</f>
        <v>0</v>
      </c>
      <c r="AD31">
        <f>SUMIF(RawDataDead!$B:$B,$A31,RawDataDead!AG:AG)</f>
        <v>0</v>
      </c>
      <c r="AE31">
        <f>SUMIF(RawDataDead!$B:$B,$A31,RawDataDead!AH:AH)</f>
        <v>0</v>
      </c>
      <c r="AF31">
        <f>SUMIF(RawDataDead!$B:$B,$A31,RawDataDead!AI:AI)</f>
        <v>0</v>
      </c>
      <c r="AG31">
        <f>SUMIF(RawDataDead!$B:$B,$A31,RawDataDead!AJ:AJ)</f>
        <v>0</v>
      </c>
      <c r="AH31">
        <f>SUMIF(RawDataDead!$B:$B,$A31,RawDataDead!AK:AK)</f>
        <v>0</v>
      </c>
      <c r="AI31">
        <f>SUMIF(RawDataDead!$B:$B,$A31,RawDataDead!AL:AL)</f>
        <v>0</v>
      </c>
      <c r="AJ31">
        <f>SUMIF(RawDataDead!$B:$B,$A31,RawDataDead!AM:AM)</f>
        <v>0</v>
      </c>
      <c r="AK31">
        <f>SUMIF(RawDataDead!$B:$B,$A31,RawDataDead!AN:AN)</f>
        <v>0</v>
      </c>
      <c r="AL31">
        <f>SUMIF(RawDataDead!$B:$B,$A31,RawDataDead!AO:AO)</f>
        <v>0</v>
      </c>
      <c r="AM31">
        <f>SUMIF(RawDataDead!$B:$B,$A31,RawDataDead!AP:AP)</f>
        <v>0</v>
      </c>
      <c r="AN31">
        <f>SUMIF(RawDataDead!$B:$B,$A31,RawDataDead!AQ:AQ)</f>
        <v>0</v>
      </c>
      <c r="AO31">
        <f>SUMIF(RawDataDead!$B:$B,$A31,RawDataDead!AR:AR)</f>
        <v>0</v>
      </c>
      <c r="AP31">
        <f>SUMIF(RawDataDead!$B:$B,$A31,RawDataDead!AS:AS)</f>
        <v>0</v>
      </c>
      <c r="AQ31">
        <f>SUMIF(RawDataDead!$B:$B,$A31,RawDataDead!AT:AT)</f>
        <v>0</v>
      </c>
      <c r="AR31">
        <f>SUMIF(RawDataDead!$B:$B,$A31,RawDataDead!AU:AU)</f>
        <v>0</v>
      </c>
      <c r="AS31">
        <f>SUMIF(RawDataDead!$B:$B,$A31,RawDataDead!AV:AV)</f>
        <v>0</v>
      </c>
      <c r="AT31">
        <f>SUMIF(RawDataDead!$B:$B,$A31,RawDataDead!AW:AW)</f>
        <v>0</v>
      </c>
      <c r="AU31">
        <f>SUMIF(RawDataDead!$B:$B,$A31,RawDataDead!AX:AX)</f>
        <v>0</v>
      </c>
      <c r="AV31">
        <f>SUMIF(RawDataDead!$B:$B,$A31,RawDataDead!AY:AY)</f>
        <v>0</v>
      </c>
      <c r="AW31">
        <f>SUMIF(RawDataDead!$B:$B,$A31,RawDataDead!AZ:AZ)</f>
        <v>0</v>
      </c>
      <c r="AX31">
        <f>SUMIF(RawDataDead!$B:$B,$A31,RawDataDead!BA:BA)</f>
        <v>0</v>
      </c>
      <c r="AY31">
        <f>SUMIF(RawDataDead!$B:$B,$A31,RawDataDead!BB:BB)</f>
        <v>0</v>
      </c>
      <c r="AZ31">
        <f>SUMIF(RawDataDead!$B:$B,$A31,RawDataDead!BC:BC)</f>
        <v>0</v>
      </c>
      <c r="BA31">
        <f>SUMIF(RawDataDead!$B:$B,$A31,RawDataDead!BD:BD)</f>
        <v>0</v>
      </c>
      <c r="BB31">
        <f>SUMIF(RawDataDead!$B:$B,$A31,RawDataDead!BE:BE)</f>
        <v>1</v>
      </c>
      <c r="BC31">
        <f>SUMIF(RawDataDead!$B:$B,$A31,RawDataDead!BF:BF)</f>
        <v>1</v>
      </c>
      <c r="BD31">
        <f>SUMIF(RawDataDead!$B:$B,$A31,RawDataDead!BG:BG)</f>
        <v>1</v>
      </c>
      <c r="BE31">
        <f>SUMIF(RawDataDead!$B:$B,$A31,RawDataDead!BH:BH)</f>
        <v>1</v>
      </c>
      <c r="BF31">
        <f>SUMIF(RawDataDead!$B:$B,$A31,RawDataDead!BI:BI)</f>
        <v>0</v>
      </c>
      <c r="BG31">
        <f>SUMIF(RawDataDead!$B:$B,$A31,RawDataDead!BJ:BJ)</f>
        <v>0</v>
      </c>
      <c r="BH31">
        <f>SUMIF(RawDataDead!$B:$B,$A31,RawDataDead!BK:BK)</f>
        <v>0</v>
      </c>
      <c r="BI31">
        <f>SUMIF(RawDataDead!$B:$B,$A31,RawDataDead!BL:BL)</f>
        <v>0</v>
      </c>
      <c r="BJ31">
        <f>SUMIF(RawDataDead!$B:$B,$A31,RawDataDead!BM:BM)</f>
        <v>0</v>
      </c>
      <c r="BK31">
        <f>SUMIF(RawDataDead!$B:$B,$A31,RawDataDead!BN:BN)</f>
        <v>0</v>
      </c>
      <c r="BL31">
        <f>SUMIF(RawDataDead!$B:$B,$A31,RawDataDead!BO:BO)</f>
        <v>0</v>
      </c>
      <c r="BM31">
        <f>SUMIF(RawDataDead!$B:$B,$A31,RawDataDead!BP:BP)</f>
        <v>0</v>
      </c>
      <c r="BN31">
        <f>SUMIF(RawDataDead!$B:$B,$A31,RawDataDead!BQ:BQ)</f>
        <v>0</v>
      </c>
      <c r="BO31">
        <f>SUMIF(RawDataDead!$B:$B,$A31,RawDataDead!BR:BR)</f>
        <v>0</v>
      </c>
      <c r="BP31">
        <f>SUMIF(RawDataDead!$B:$B,$A31,RawDataDead!BS:BS)</f>
        <v>0</v>
      </c>
      <c r="BQ31">
        <f>SUMIF(RawDataDead!$B:$B,$A31,RawDataDead!BT:BT)</f>
        <v>0</v>
      </c>
      <c r="BR31">
        <f>SUMIF(RawDataDead!$B:$B,$A31,RawDataDead!BU:BU)</f>
        <v>0</v>
      </c>
      <c r="BS31">
        <f>SUMIF(RawDataDead!$B:$B,$A31,RawDataDead!BV:BV)</f>
        <v>0</v>
      </c>
      <c r="BT31">
        <f>SUMIF(RawDataDead!$B:$B,$A31,RawDataDead!BW:BW)</f>
        <v>0</v>
      </c>
    </row>
    <row r="32" spans="1:72" ht="15" thickBot="1" x14ac:dyDescent="0.35">
      <c r="A32" s="4" t="s">
        <v>119</v>
      </c>
      <c r="B32">
        <f>SUMIF(RawDataDead!$B:$B,$A32,RawDataDead!E:E)</f>
        <v>0</v>
      </c>
      <c r="C32">
        <f>SUMIF(RawDataDead!$B:$B,$A32,RawDataDead!F:F)</f>
        <v>0</v>
      </c>
      <c r="D32">
        <f>SUMIF(RawDataDead!$B:$B,$A32,RawDataDead!G:G)</f>
        <v>0</v>
      </c>
      <c r="E32">
        <f>SUMIF(RawDataDead!$B:$B,$A32,RawDataDead!H:H)</f>
        <v>0</v>
      </c>
      <c r="F32">
        <f>SUMIF(RawDataDead!$B:$B,$A32,RawDataDead!I:I)</f>
        <v>0</v>
      </c>
      <c r="G32">
        <f>SUMIF(RawDataDead!$B:$B,$A32,RawDataDead!J:J)</f>
        <v>0</v>
      </c>
      <c r="H32">
        <f>SUMIF(RawDataDead!$B:$B,$A32,RawDataDead!K:K)</f>
        <v>0</v>
      </c>
      <c r="I32">
        <f>SUMIF(RawDataDead!$B:$B,$A32,RawDataDead!L:L)</f>
        <v>0</v>
      </c>
      <c r="J32">
        <f>SUMIF(RawDataDead!$B:$B,$A32,RawDataDead!M:M)</f>
        <v>0</v>
      </c>
      <c r="K32">
        <f>SUMIF(RawDataDead!$B:$B,$A32,RawDataDead!N:N)</f>
        <v>0</v>
      </c>
      <c r="L32">
        <f>SUMIF(RawDataDead!$B:$B,$A32,RawDataDead!O:O)</f>
        <v>0</v>
      </c>
      <c r="M32">
        <f>SUMIF(RawDataDead!$B:$B,$A32,RawDataDead!P:P)</f>
        <v>0</v>
      </c>
      <c r="N32">
        <f>SUMIF(RawDataDead!$B:$B,$A32,RawDataDead!Q:Q)</f>
        <v>0</v>
      </c>
      <c r="O32">
        <f>SUMIF(RawDataDead!$B:$B,$A32,RawDataDead!R:R)</f>
        <v>0</v>
      </c>
      <c r="P32">
        <f>SUMIF(RawDataDead!$B:$B,$A32,RawDataDead!S:S)</f>
        <v>0</v>
      </c>
      <c r="Q32">
        <f>SUMIF(RawDataDead!$B:$B,$A32,RawDataDead!T:T)</f>
        <v>0</v>
      </c>
      <c r="R32">
        <f>SUMIF(RawDataDead!$B:$B,$A32,RawDataDead!U:U)</f>
        <v>0</v>
      </c>
      <c r="S32">
        <f>SUMIF(RawDataDead!$B:$B,$A32,RawDataDead!V:V)</f>
        <v>0</v>
      </c>
      <c r="T32">
        <f>SUMIF(RawDataDead!$B:$B,$A32,RawDataDead!W:W)</f>
        <v>0</v>
      </c>
      <c r="U32">
        <f>SUMIF(RawDataDead!$B:$B,$A32,RawDataDead!X:X)</f>
        <v>0</v>
      </c>
      <c r="V32">
        <f>SUMIF(RawDataDead!$B:$B,$A32,RawDataDead!Y:Y)</f>
        <v>0</v>
      </c>
      <c r="W32">
        <f>SUMIF(RawDataDead!$B:$B,$A32,RawDataDead!Z:Z)</f>
        <v>0</v>
      </c>
      <c r="X32">
        <f>SUMIF(RawDataDead!$B:$B,$A32,RawDataDead!AA:AA)</f>
        <v>0</v>
      </c>
      <c r="Y32">
        <f>SUMIF(RawDataDead!$B:$B,$A32,RawDataDead!AB:AB)</f>
        <v>0</v>
      </c>
      <c r="Z32">
        <f>SUMIF(RawDataDead!$B:$B,$A32,RawDataDead!AC:AC)</f>
        <v>0</v>
      </c>
      <c r="AA32">
        <f>SUMIF(RawDataDead!$B:$B,$A32,RawDataDead!AD:AD)</f>
        <v>0</v>
      </c>
      <c r="AB32">
        <f>SUMIF(RawDataDead!$B:$B,$A32,RawDataDead!AE:AE)</f>
        <v>0</v>
      </c>
      <c r="AC32">
        <f>SUMIF(RawDataDead!$B:$B,$A32,RawDataDead!AF:AF)</f>
        <v>0</v>
      </c>
      <c r="AD32">
        <f>SUMIF(RawDataDead!$B:$B,$A32,RawDataDead!AG:AG)</f>
        <v>0</v>
      </c>
      <c r="AE32">
        <f>SUMIF(RawDataDead!$B:$B,$A32,RawDataDead!AH:AH)</f>
        <v>0</v>
      </c>
      <c r="AF32">
        <f>SUMIF(RawDataDead!$B:$B,$A32,RawDataDead!AI:AI)</f>
        <v>0</v>
      </c>
      <c r="AG32">
        <f>SUMIF(RawDataDead!$B:$B,$A32,RawDataDead!AJ:AJ)</f>
        <v>0</v>
      </c>
      <c r="AH32">
        <f>SUMIF(RawDataDead!$B:$B,$A32,RawDataDead!AK:AK)</f>
        <v>0</v>
      </c>
      <c r="AI32">
        <f>SUMIF(RawDataDead!$B:$B,$A32,RawDataDead!AL:AL)</f>
        <v>0</v>
      </c>
      <c r="AJ32">
        <f>SUMIF(RawDataDead!$B:$B,$A32,RawDataDead!AM:AM)</f>
        <v>0</v>
      </c>
      <c r="AK32">
        <f>SUMIF(RawDataDead!$B:$B,$A32,RawDataDead!AN:AN)</f>
        <v>0</v>
      </c>
      <c r="AL32">
        <f>SUMIF(RawDataDead!$B:$B,$A32,RawDataDead!AO:AO)</f>
        <v>0</v>
      </c>
      <c r="AM32">
        <f>SUMIF(RawDataDead!$B:$B,$A32,RawDataDead!AP:AP)</f>
        <v>0</v>
      </c>
      <c r="AN32">
        <f>SUMIF(RawDataDead!$B:$B,$A32,RawDataDead!AQ:AQ)</f>
        <v>0</v>
      </c>
      <c r="AO32">
        <f>SUMIF(RawDataDead!$B:$B,$A32,RawDataDead!AR:AR)</f>
        <v>0</v>
      </c>
      <c r="AP32">
        <f>SUMIF(RawDataDead!$B:$B,$A32,RawDataDead!AS:AS)</f>
        <v>0</v>
      </c>
      <c r="AQ32">
        <f>SUMIF(RawDataDead!$B:$B,$A32,RawDataDead!AT:AT)</f>
        <v>0</v>
      </c>
      <c r="AR32">
        <f>SUMIF(RawDataDead!$B:$B,$A32,RawDataDead!AU:AU)</f>
        <v>0</v>
      </c>
      <c r="AS32">
        <f>SUMIF(RawDataDead!$B:$B,$A32,RawDataDead!AV:AV)</f>
        <v>0</v>
      </c>
      <c r="AT32">
        <f>SUMIF(RawDataDead!$B:$B,$A32,RawDataDead!AW:AW)</f>
        <v>0</v>
      </c>
      <c r="AU32">
        <f>SUMIF(RawDataDead!$B:$B,$A32,RawDataDead!AX:AX)</f>
        <v>0</v>
      </c>
      <c r="AV32">
        <f>SUMIF(RawDataDead!$B:$B,$A32,RawDataDead!AY:AY)</f>
        <v>0</v>
      </c>
      <c r="AW32">
        <f>SUMIF(RawDataDead!$B:$B,$A32,RawDataDead!AZ:AZ)</f>
        <v>0</v>
      </c>
      <c r="AX32">
        <f>SUMIF(RawDataDead!$B:$B,$A32,RawDataDead!BA:BA)</f>
        <v>0</v>
      </c>
      <c r="AY32">
        <f>SUMIF(RawDataDead!$B:$B,$A32,RawDataDead!BB:BB)</f>
        <v>0</v>
      </c>
      <c r="AZ32">
        <f>SUMIF(RawDataDead!$B:$B,$A32,RawDataDead!BC:BC)</f>
        <v>0</v>
      </c>
      <c r="BA32">
        <f>SUMIF(RawDataDead!$B:$B,$A32,RawDataDead!BD:BD)</f>
        <v>0</v>
      </c>
      <c r="BB32">
        <f>SUMIF(RawDataDead!$B:$B,$A32,RawDataDead!BE:BE)</f>
        <v>0</v>
      </c>
      <c r="BC32">
        <f>SUMIF(RawDataDead!$B:$B,$A32,RawDataDead!BF:BF)</f>
        <v>5</v>
      </c>
      <c r="BD32">
        <f>SUMIF(RawDataDead!$B:$B,$A32,RawDataDead!BG:BG)</f>
        <v>0</v>
      </c>
      <c r="BE32">
        <f>SUMIF(RawDataDead!$B:$B,$A32,RawDataDead!BH:BH)</f>
        <v>1</v>
      </c>
      <c r="BF32">
        <f>SUMIF(RawDataDead!$B:$B,$A32,RawDataDead!BI:BI)</f>
        <v>0</v>
      </c>
      <c r="BG32">
        <f>SUMIF(RawDataDead!$B:$B,$A32,RawDataDead!BJ:BJ)</f>
        <v>0</v>
      </c>
      <c r="BH32">
        <f>SUMIF(RawDataDead!$B:$B,$A32,RawDataDead!BK:BK)</f>
        <v>0</v>
      </c>
      <c r="BI32">
        <f>SUMIF(RawDataDead!$B:$B,$A32,RawDataDead!BL:BL)</f>
        <v>0</v>
      </c>
      <c r="BJ32">
        <f>SUMIF(RawDataDead!$B:$B,$A32,RawDataDead!BM:BM)</f>
        <v>0</v>
      </c>
      <c r="BK32">
        <f>SUMIF(RawDataDead!$B:$B,$A32,RawDataDead!BN:BN)</f>
        <v>0</v>
      </c>
      <c r="BL32">
        <f>SUMIF(RawDataDead!$B:$B,$A32,RawDataDead!BO:BO)</f>
        <v>0</v>
      </c>
      <c r="BM32">
        <f>SUMIF(RawDataDead!$B:$B,$A32,RawDataDead!BP:BP)</f>
        <v>0</v>
      </c>
      <c r="BN32">
        <f>SUMIF(RawDataDead!$B:$B,$A32,RawDataDead!BQ:BQ)</f>
        <v>0</v>
      </c>
      <c r="BO32">
        <f>SUMIF(RawDataDead!$B:$B,$A32,RawDataDead!BR:BR)</f>
        <v>0</v>
      </c>
      <c r="BP32">
        <f>SUMIF(RawDataDead!$B:$B,$A32,RawDataDead!BS:BS)</f>
        <v>0</v>
      </c>
      <c r="BQ32">
        <f>SUMIF(RawDataDead!$B:$B,$A32,RawDataDead!BT:BT)</f>
        <v>0</v>
      </c>
      <c r="BR32">
        <f>SUMIF(RawDataDead!$B:$B,$A32,RawDataDead!BU:BU)</f>
        <v>0</v>
      </c>
      <c r="BS32">
        <f>SUMIF(RawDataDead!$B:$B,$A32,RawDataDead!BV:BV)</f>
        <v>0</v>
      </c>
      <c r="BT32">
        <f>SUMIF(RawDataDead!$B:$B,$A32,RawDataDead!BW:BW)</f>
        <v>0</v>
      </c>
    </row>
    <row r="33" spans="1:72" ht="15" thickBot="1" x14ac:dyDescent="0.35">
      <c r="A33" s="3" t="s">
        <v>135</v>
      </c>
      <c r="B33">
        <f>SUMIF(RawDataDead!$B:$B,$A33,RawDataDead!E:E)</f>
        <v>0</v>
      </c>
      <c r="C33">
        <f>SUMIF(RawDataDead!$B:$B,$A33,RawDataDead!F:F)</f>
        <v>0</v>
      </c>
      <c r="D33">
        <f>SUMIF(RawDataDead!$B:$B,$A33,RawDataDead!G:G)</f>
        <v>0</v>
      </c>
      <c r="E33">
        <f>SUMIF(RawDataDead!$B:$B,$A33,RawDataDead!H:H)</f>
        <v>0</v>
      </c>
      <c r="F33">
        <f>SUMIF(RawDataDead!$B:$B,$A33,RawDataDead!I:I)</f>
        <v>0</v>
      </c>
      <c r="G33">
        <f>SUMIF(RawDataDead!$B:$B,$A33,RawDataDead!J:J)</f>
        <v>0</v>
      </c>
      <c r="H33">
        <f>SUMIF(RawDataDead!$B:$B,$A33,RawDataDead!K:K)</f>
        <v>0</v>
      </c>
      <c r="I33">
        <f>SUMIF(RawDataDead!$B:$B,$A33,RawDataDead!L:L)</f>
        <v>0</v>
      </c>
      <c r="J33">
        <f>SUMIF(RawDataDead!$B:$B,$A33,RawDataDead!M:M)</f>
        <v>0</v>
      </c>
      <c r="K33">
        <f>SUMIF(RawDataDead!$B:$B,$A33,RawDataDead!N:N)</f>
        <v>0</v>
      </c>
      <c r="L33">
        <f>SUMIF(RawDataDead!$B:$B,$A33,RawDataDead!O:O)</f>
        <v>0</v>
      </c>
      <c r="M33">
        <f>SUMIF(RawDataDead!$B:$B,$A33,RawDataDead!P:P)</f>
        <v>0</v>
      </c>
      <c r="N33">
        <f>SUMIF(RawDataDead!$B:$B,$A33,RawDataDead!Q:Q)</f>
        <v>0</v>
      </c>
      <c r="O33">
        <f>SUMIF(RawDataDead!$B:$B,$A33,RawDataDead!R:R)</f>
        <v>0</v>
      </c>
      <c r="P33">
        <f>SUMIF(RawDataDead!$B:$B,$A33,RawDataDead!S:S)</f>
        <v>0</v>
      </c>
      <c r="Q33">
        <f>SUMIF(RawDataDead!$B:$B,$A33,RawDataDead!T:T)</f>
        <v>0</v>
      </c>
      <c r="R33">
        <f>SUMIF(RawDataDead!$B:$B,$A33,RawDataDead!U:U)</f>
        <v>0</v>
      </c>
      <c r="S33">
        <f>SUMIF(RawDataDead!$B:$B,$A33,RawDataDead!V:V)</f>
        <v>0</v>
      </c>
      <c r="T33">
        <f>SUMIF(RawDataDead!$B:$B,$A33,RawDataDead!W:W)</f>
        <v>0</v>
      </c>
      <c r="U33">
        <f>SUMIF(RawDataDead!$B:$B,$A33,RawDataDead!X:X)</f>
        <v>0</v>
      </c>
      <c r="V33">
        <f>SUMIF(RawDataDead!$B:$B,$A33,RawDataDead!Y:Y)</f>
        <v>0</v>
      </c>
      <c r="W33">
        <f>SUMIF(RawDataDead!$B:$B,$A33,RawDataDead!Z:Z)</f>
        <v>0</v>
      </c>
      <c r="X33">
        <f>SUMIF(RawDataDead!$B:$B,$A33,RawDataDead!AA:AA)</f>
        <v>0</v>
      </c>
      <c r="Y33">
        <f>SUMIF(RawDataDead!$B:$B,$A33,RawDataDead!AB:AB)</f>
        <v>0</v>
      </c>
      <c r="Z33">
        <f>SUMIF(RawDataDead!$B:$B,$A33,RawDataDead!AC:AC)</f>
        <v>0</v>
      </c>
      <c r="AA33">
        <f>SUMIF(RawDataDead!$B:$B,$A33,RawDataDead!AD:AD)</f>
        <v>0</v>
      </c>
      <c r="AB33">
        <f>SUMIF(RawDataDead!$B:$B,$A33,RawDataDead!AE:AE)</f>
        <v>0</v>
      </c>
      <c r="AC33">
        <f>SUMIF(RawDataDead!$B:$B,$A33,RawDataDead!AF:AF)</f>
        <v>0</v>
      </c>
      <c r="AD33">
        <f>SUMIF(RawDataDead!$B:$B,$A33,RawDataDead!AG:AG)</f>
        <v>0</v>
      </c>
      <c r="AE33">
        <f>SUMIF(RawDataDead!$B:$B,$A33,RawDataDead!AH:AH)</f>
        <v>0</v>
      </c>
      <c r="AF33">
        <f>SUMIF(RawDataDead!$B:$B,$A33,RawDataDead!AI:AI)</f>
        <v>0</v>
      </c>
      <c r="AG33">
        <f>SUMIF(RawDataDead!$B:$B,$A33,RawDataDead!AJ:AJ)</f>
        <v>0</v>
      </c>
      <c r="AH33">
        <f>SUMIF(RawDataDead!$B:$B,$A33,RawDataDead!AK:AK)</f>
        <v>0</v>
      </c>
      <c r="AI33">
        <f>SUMIF(RawDataDead!$B:$B,$A33,RawDataDead!AL:AL)</f>
        <v>0</v>
      </c>
      <c r="AJ33">
        <f>SUMIF(RawDataDead!$B:$B,$A33,RawDataDead!AM:AM)</f>
        <v>0</v>
      </c>
      <c r="AK33">
        <f>SUMIF(RawDataDead!$B:$B,$A33,RawDataDead!AN:AN)</f>
        <v>0</v>
      </c>
      <c r="AL33">
        <f>SUMIF(RawDataDead!$B:$B,$A33,RawDataDead!AO:AO)</f>
        <v>0</v>
      </c>
      <c r="AM33">
        <f>SUMIF(RawDataDead!$B:$B,$A33,RawDataDead!AP:AP)</f>
        <v>0</v>
      </c>
      <c r="AN33">
        <f>SUMIF(RawDataDead!$B:$B,$A33,RawDataDead!AQ:AQ)</f>
        <v>0</v>
      </c>
      <c r="AO33">
        <f>SUMIF(RawDataDead!$B:$B,$A33,RawDataDead!AR:AR)</f>
        <v>0</v>
      </c>
      <c r="AP33">
        <f>SUMIF(RawDataDead!$B:$B,$A33,RawDataDead!AS:AS)</f>
        <v>0</v>
      </c>
      <c r="AQ33">
        <f>SUMIF(RawDataDead!$B:$B,$A33,RawDataDead!AT:AT)</f>
        <v>0</v>
      </c>
      <c r="AR33">
        <f>SUMIF(RawDataDead!$B:$B,$A33,RawDataDead!AU:AU)</f>
        <v>0</v>
      </c>
      <c r="AS33">
        <f>SUMIF(RawDataDead!$B:$B,$A33,RawDataDead!AV:AV)</f>
        <v>0</v>
      </c>
      <c r="AT33">
        <f>SUMIF(RawDataDead!$B:$B,$A33,RawDataDead!AW:AW)</f>
        <v>0</v>
      </c>
      <c r="AU33">
        <f>SUMIF(RawDataDead!$B:$B,$A33,RawDataDead!AX:AX)</f>
        <v>0</v>
      </c>
      <c r="AV33">
        <f>SUMIF(RawDataDead!$B:$B,$A33,RawDataDead!AY:AY)</f>
        <v>0</v>
      </c>
      <c r="AW33">
        <f>SUMIF(RawDataDead!$B:$B,$A33,RawDataDead!AZ:AZ)</f>
        <v>0</v>
      </c>
      <c r="AX33">
        <f>SUMIF(RawDataDead!$B:$B,$A33,RawDataDead!BA:BA)</f>
        <v>0</v>
      </c>
      <c r="AY33">
        <f>SUMIF(RawDataDead!$B:$B,$A33,RawDataDead!BB:BB)</f>
        <v>0</v>
      </c>
      <c r="AZ33">
        <f>SUMIF(RawDataDead!$B:$B,$A33,RawDataDead!BC:BC)</f>
        <v>0</v>
      </c>
      <c r="BA33">
        <f>SUMIF(RawDataDead!$B:$B,$A33,RawDataDead!BD:BD)</f>
        <v>0</v>
      </c>
      <c r="BB33">
        <f>SUMIF(RawDataDead!$B:$B,$A33,RawDataDead!BE:BE)</f>
        <v>0</v>
      </c>
      <c r="BC33">
        <f>SUMIF(RawDataDead!$B:$B,$A33,RawDataDead!BF:BF)</f>
        <v>0</v>
      </c>
      <c r="BD33">
        <f>SUMIF(RawDataDead!$B:$B,$A33,RawDataDead!BG:BG)</f>
        <v>0</v>
      </c>
      <c r="BE33">
        <f>SUMIF(RawDataDead!$B:$B,$A33,RawDataDead!BH:BH)</f>
        <v>1</v>
      </c>
      <c r="BF33">
        <f>SUMIF(RawDataDead!$B:$B,$A33,RawDataDead!BI:BI)</f>
        <v>0</v>
      </c>
      <c r="BG33">
        <f>SUMIF(RawDataDead!$B:$B,$A33,RawDataDead!BJ:BJ)</f>
        <v>0</v>
      </c>
      <c r="BH33">
        <f>SUMIF(RawDataDead!$B:$B,$A33,RawDataDead!BK:BK)</f>
        <v>0</v>
      </c>
      <c r="BI33">
        <f>SUMIF(RawDataDead!$B:$B,$A33,RawDataDead!BL:BL)</f>
        <v>0</v>
      </c>
      <c r="BJ33">
        <f>SUMIF(RawDataDead!$B:$B,$A33,RawDataDead!BM:BM)</f>
        <v>0</v>
      </c>
      <c r="BK33">
        <f>SUMIF(RawDataDead!$B:$B,$A33,RawDataDead!BN:BN)</f>
        <v>0</v>
      </c>
      <c r="BL33">
        <f>SUMIF(RawDataDead!$B:$B,$A33,RawDataDead!BO:BO)</f>
        <v>0</v>
      </c>
      <c r="BM33">
        <f>SUMIF(RawDataDead!$B:$B,$A33,RawDataDead!BP:BP)</f>
        <v>0</v>
      </c>
      <c r="BN33">
        <f>SUMIF(RawDataDead!$B:$B,$A33,RawDataDead!BQ:BQ)</f>
        <v>0</v>
      </c>
      <c r="BO33">
        <f>SUMIF(RawDataDead!$B:$B,$A33,RawDataDead!BR:BR)</f>
        <v>0</v>
      </c>
      <c r="BP33">
        <f>SUMIF(RawDataDead!$B:$B,$A33,RawDataDead!BS:BS)</f>
        <v>0</v>
      </c>
      <c r="BQ33">
        <f>SUMIF(RawDataDead!$B:$B,$A33,RawDataDead!BT:BT)</f>
        <v>0</v>
      </c>
      <c r="BR33">
        <f>SUMIF(RawDataDead!$B:$B,$A33,RawDataDead!BU:BU)</f>
        <v>0</v>
      </c>
      <c r="BS33">
        <f>SUMIF(RawDataDead!$B:$B,$A33,RawDataDead!BV:BV)</f>
        <v>0</v>
      </c>
      <c r="BT33">
        <f>SUMIF(RawDataDead!$B:$B,$A33,RawDataDead!BW:BW)</f>
        <v>0</v>
      </c>
    </row>
    <row r="34" spans="1:72" ht="15" thickBot="1" x14ac:dyDescent="0.35">
      <c r="A34" s="3" t="s">
        <v>97</v>
      </c>
      <c r="B34">
        <f>SUMIF(RawDataDead!$B:$B,$A34,RawDataDead!E:E)</f>
        <v>0</v>
      </c>
      <c r="C34">
        <f>SUMIF(RawDataDead!$B:$B,$A34,RawDataDead!F:F)</f>
        <v>0</v>
      </c>
      <c r="D34">
        <f>SUMIF(RawDataDead!$B:$B,$A34,RawDataDead!G:G)</f>
        <v>0</v>
      </c>
      <c r="E34">
        <f>SUMIF(RawDataDead!$B:$B,$A34,RawDataDead!H:H)</f>
        <v>0</v>
      </c>
      <c r="F34">
        <f>SUMIF(RawDataDead!$B:$B,$A34,RawDataDead!I:I)</f>
        <v>0</v>
      </c>
      <c r="G34">
        <f>SUMIF(RawDataDead!$B:$B,$A34,RawDataDead!J:J)</f>
        <v>0</v>
      </c>
      <c r="H34">
        <f>SUMIF(RawDataDead!$B:$B,$A34,RawDataDead!K:K)</f>
        <v>0</v>
      </c>
      <c r="I34">
        <f>SUMIF(RawDataDead!$B:$B,$A34,RawDataDead!L:L)</f>
        <v>0</v>
      </c>
      <c r="J34">
        <f>SUMIF(RawDataDead!$B:$B,$A34,RawDataDead!M:M)</f>
        <v>0</v>
      </c>
      <c r="K34">
        <f>SUMIF(RawDataDead!$B:$B,$A34,RawDataDead!N:N)</f>
        <v>0</v>
      </c>
      <c r="L34">
        <f>SUMIF(RawDataDead!$B:$B,$A34,RawDataDead!O:O)</f>
        <v>0</v>
      </c>
      <c r="M34">
        <f>SUMIF(RawDataDead!$B:$B,$A34,RawDataDead!P:P)</f>
        <v>0</v>
      </c>
      <c r="N34">
        <f>SUMIF(RawDataDead!$B:$B,$A34,RawDataDead!Q:Q)</f>
        <v>0</v>
      </c>
      <c r="O34">
        <f>SUMIF(RawDataDead!$B:$B,$A34,RawDataDead!R:R)</f>
        <v>0</v>
      </c>
      <c r="P34">
        <f>SUMIF(RawDataDead!$B:$B,$A34,RawDataDead!S:S)</f>
        <v>0</v>
      </c>
      <c r="Q34">
        <f>SUMIF(RawDataDead!$B:$B,$A34,RawDataDead!T:T)</f>
        <v>0</v>
      </c>
      <c r="R34">
        <f>SUMIF(RawDataDead!$B:$B,$A34,RawDataDead!U:U)</f>
        <v>0</v>
      </c>
      <c r="S34">
        <f>SUMIF(RawDataDead!$B:$B,$A34,RawDataDead!V:V)</f>
        <v>0</v>
      </c>
      <c r="T34">
        <f>SUMIF(RawDataDead!$B:$B,$A34,RawDataDead!W:W)</f>
        <v>0</v>
      </c>
      <c r="U34">
        <f>SUMIF(RawDataDead!$B:$B,$A34,RawDataDead!X:X)</f>
        <v>0</v>
      </c>
      <c r="V34">
        <f>SUMIF(RawDataDead!$B:$B,$A34,RawDataDead!Y:Y)</f>
        <v>0</v>
      </c>
      <c r="W34">
        <f>SUMIF(RawDataDead!$B:$B,$A34,RawDataDead!Z:Z)</f>
        <v>0</v>
      </c>
      <c r="X34">
        <f>SUMIF(RawDataDead!$B:$B,$A34,RawDataDead!AA:AA)</f>
        <v>0</v>
      </c>
      <c r="Y34">
        <f>SUMIF(RawDataDead!$B:$B,$A34,RawDataDead!AB:AB)</f>
        <v>0</v>
      </c>
      <c r="Z34">
        <f>SUMIF(RawDataDead!$B:$B,$A34,RawDataDead!AC:AC)</f>
        <v>0</v>
      </c>
      <c r="AA34">
        <f>SUMIF(RawDataDead!$B:$B,$A34,RawDataDead!AD:AD)</f>
        <v>0</v>
      </c>
      <c r="AB34">
        <f>SUMIF(RawDataDead!$B:$B,$A34,RawDataDead!AE:AE)</f>
        <v>0</v>
      </c>
      <c r="AC34">
        <f>SUMIF(RawDataDead!$B:$B,$A34,RawDataDead!AF:AF)</f>
        <v>0</v>
      </c>
      <c r="AD34">
        <f>SUMIF(RawDataDead!$B:$B,$A34,RawDataDead!AG:AG)</f>
        <v>0</v>
      </c>
      <c r="AE34">
        <f>SUMIF(RawDataDead!$B:$B,$A34,RawDataDead!AH:AH)</f>
        <v>0</v>
      </c>
      <c r="AF34">
        <f>SUMIF(RawDataDead!$B:$B,$A34,RawDataDead!AI:AI)</f>
        <v>0</v>
      </c>
      <c r="AG34">
        <f>SUMIF(RawDataDead!$B:$B,$A34,RawDataDead!AJ:AJ)</f>
        <v>0</v>
      </c>
      <c r="AH34">
        <f>SUMIF(RawDataDead!$B:$B,$A34,RawDataDead!AK:AK)</f>
        <v>0</v>
      </c>
      <c r="AI34">
        <f>SUMIF(RawDataDead!$B:$B,$A34,RawDataDead!AL:AL)</f>
        <v>0</v>
      </c>
      <c r="AJ34">
        <f>SUMIF(RawDataDead!$B:$B,$A34,RawDataDead!AM:AM)</f>
        <v>0</v>
      </c>
      <c r="AK34">
        <f>SUMIF(RawDataDead!$B:$B,$A34,RawDataDead!AN:AN)</f>
        <v>0</v>
      </c>
      <c r="AL34">
        <f>SUMIF(RawDataDead!$B:$B,$A34,RawDataDead!AO:AO)</f>
        <v>0</v>
      </c>
      <c r="AM34">
        <f>SUMIF(RawDataDead!$B:$B,$A34,RawDataDead!AP:AP)</f>
        <v>0</v>
      </c>
      <c r="AN34">
        <f>SUMIF(RawDataDead!$B:$B,$A34,RawDataDead!AQ:AQ)</f>
        <v>0</v>
      </c>
      <c r="AO34">
        <f>SUMIF(RawDataDead!$B:$B,$A34,RawDataDead!AR:AR)</f>
        <v>0</v>
      </c>
      <c r="AP34">
        <f>SUMIF(RawDataDead!$B:$B,$A34,RawDataDead!AS:AS)</f>
        <v>0</v>
      </c>
      <c r="AQ34">
        <f>SUMIF(RawDataDead!$B:$B,$A34,RawDataDead!AT:AT)</f>
        <v>0</v>
      </c>
      <c r="AR34">
        <f>SUMIF(RawDataDead!$B:$B,$A34,RawDataDead!AU:AU)</f>
        <v>2</v>
      </c>
      <c r="AS34">
        <f>SUMIF(RawDataDead!$B:$B,$A34,RawDataDead!AV:AV)</f>
        <v>2</v>
      </c>
      <c r="AT34">
        <f>SUMIF(RawDataDead!$B:$B,$A34,RawDataDead!AW:AW)</f>
        <v>3</v>
      </c>
      <c r="AU34">
        <f>SUMIF(RawDataDead!$B:$B,$A34,RawDataDead!AX:AX)</f>
        <v>4</v>
      </c>
      <c r="AV34">
        <f>SUMIF(RawDataDead!$B:$B,$A34,RawDataDead!AY:AY)</f>
        <v>6</v>
      </c>
      <c r="AW34">
        <f>SUMIF(RawDataDead!$B:$B,$A34,RawDataDead!AZ:AZ)</f>
        <v>6</v>
      </c>
      <c r="AX34">
        <f>SUMIF(RawDataDead!$B:$B,$A34,RawDataDead!BA:BA)</f>
        <v>7</v>
      </c>
      <c r="AY34">
        <f>SUMIF(RawDataDead!$B:$B,$A34,RawDataDead!BB:BB)</f>
        <v>7</v>
      </c>
      <c r="AZ34">
        <f>SUMIF(RawDataDead!$B:$B,$A34,RawDataDead!BC:BC)</f>
        <v>8</v>
      </c>
      <c r="BA34">
        <f>SUMIF(RawDataDead!$B:$B,$A34,RawDataDead!BD:BD)</f>
        <v>9</v>
      </c>
      <c r="BB34">
        <f>SUMIF(RawDataDead!$B:$B,$A34,RawDataDead!BE:BE)</f>
        <v>10</v>
      </c>
      <c r="BC34">
        <f>SUMIF(RawDataDead!$B:$B,$A34,RawDataDead!BF:BF)</f>
        <v>10</v>
      </c>
      <c r="BD34">
        <f>SUMIF(RawDataDead!$B:$B,$A34,RawDataDead!BG:BG)</f>
        <v>10</v>
      </c>
      <c r="BE34">
        <f>SUMIF(RawDataDead!$B:$B,$A34,RawDataDead!BH:BH)</f>
        <v>11</v>
      </c>
      <c r="BF34">
        <f>SUMIF(RawDataDead!$B:$B,$A34,RawDataDead!BI:BI)</f>
        <v>0</v>
      </c>
      <c r="BG34">
        <f>SUMIF(RawDataDead!$B:$B,$A34,RawDataDead!BJ:BJ)</f>
        <v>0</v>
      </c>
      <c r="BH34">
        <f>SUMIF(RawDataDead!$B:$B,$A34,RawDataDead!BK:BK)</f>
        <v>0</v>
      </c>
      <c r="BI34">
        <f>SUMIF(RawDataDead!$B:$B,$A34,RawDataDead!BL:BL)</f>
        <v>0</v>
      </c>
      <c r="BJ34">
        <f>SUMIF(RawDataDead!$B:$B,$A34,RawDataDead!BM:BM)</f>
        <v>0</v>
      </c>
      <c r="BK34">
        <f>SUMIF(RawDataDead!$B:$B,$A34,RawDataDead!BN:BN)</f>
        <v>0</v>
      </c>
      <c r="BL34">
        <f>SUMIF(RawDataDead!$B:$B,$A34,RawDataDead!BO:BO)</f>
        <v>0</v>
      </c>
      <c r="BM34">
        <f>SUMIF(RawDataDead!$B:$B,$A34,RawDataDead!BP:BP)</f>
        <v>0</v>
      </c>
      <c r="BN34">
        <f>SUMIF(RawDataDead!$B:$B,$A34,RawDataDead!BQ:BQ)</f>
        <v>0</v>
      </c>
      <c r="BO34">
        <f>SUMIF(RawDataDead!$B:$B,$A34,RawDataDead!BR:BR)</f>
        <v>0</v>
      </c>
      <c r="BP34">
        <f>SUMIF(RawDataDead!$B:$B,$A34,RawDataDead!BS:BS)</f>
        <v>0</v>
      </c>
      <c r="BQ34">
        <f>SUMIF(RawDataDead!$B:$B,$A34,RawDataDead!BT:BT)</f>
        <v>0</v>
      </c>
      <c r="BR34">
        <f>SUMIF(RawDataDead!$B:$B,$A34,RawDataDead!BU:BU)</f>
        <v>0</v>
      </c>
      <c r="BS34">
        <f>SUMIF(RawDataDead!$B:$B,$A34,RawDataDead!BV:BV)</f>
        <v>0</v>
      </c>
      <c r="BT34">
        <f>SUMIF(RawDataDead!$B:$B,$A34,RawDataDead!BW:BW)</f>
        <v>0</v>
      </c>
    </row>
    <row r="35" spans="1:72" ht="15" thickBot="1" x14ac:dyDescent="0.35">
      <c r="A35" s="4" t="s">
        <v>125</v>
      </c>
      <c r="B35">
        <f>SUMIF(RawDataDead!$B:$B,$A35,RawDataDead!E:E)</f>
        <v>0</v>
      </c>
      <c r="C35">
        <f>SUMIF(RawDataDead!$B:$B,$A35,RawDataDead!F:F)</f>
        <v>0</v>
      </c>
      <c r="D35">
        <f>SUMIF(RawDataDead!$B:$B,$A35,RawDataDead!G:G)</f>
        <v>0</v>
      </c>
      <c r="E35">
        <f>SUMIF(RawDataDead!$B:$B,$A35,RawDataDead!H:H)</f>
        <v>0</v>
      </c>
      <c r="F35">
        <f>SUMIF(RawDataDead!$B:$B,$A35,RawDataDead!I:I)</f>
        <v>0</v>
      </c>
      <c r="G35">
        <f>SUMIF(RawDataDead!$B:$B,$A35,RawDataDead!J:J)</f>
        <v>0</v>
      </c>
      <c r="H35">
        <f>SUMIF(RawDataDead!$B:$B,$A35,RawDataDead!K:K)</f>
        <v>0</v>
      </c>
      <c r="I35">
        <f>SUMIF(RawDataDead!$B:$B,$A35,RawDataDead!L:L)</f>
        <v>0</v>
      </c>
      <c r="J35">
        <f>SUMIF(RawDataDead!$B:$B,$A35,RawDataDead!M:M)</f>
        <v>0</v>
      </c>
      <c r="K35">
        <f>SUMIF(RawDataDead!$B:$B,$A35,RawDataDead!N:N)</f>
        <v>0</v>
      </c>
      <c r="L35">
        <f>SUMIF(RawDataDead!$B:$B,$A35,RawDataDead!O:O)</f>
        <v>0</v>
      </c>
      <c r="M35">
        <f>SUMIF(RawDataDead!$B:$B,$A35,RawDataDead!P:P)</f>
        <v>0</v>
      </c>
      <c r="N35">
        <f>SUMIF(RawDataDead!$B:$B,$A35,RawDataDead!Q:Q)</f>
        <v>0</v>
      </c>
      <c r="O35">
        <f>SUMIF(RawDataDead!$B:$B,$A35,RawDataDead!R:R)</f>
        <v>0</v>
      </c>
      <c r="P35">
        <f>SUMIF(RawDataDead!$B:$B,$A35,RawDataDead!S:S)</f>
        <v>0</v>
      </c>
      <c r="Q35">
        <f>SUMIF(RawDataDead!$B:$B,$A35,RawDataDead!T:T)</f>
        <v>0</v>
      </c>
      <c r="R35">
        <f>SUMIF(RawDataDead!$B:$B,$A35,RawDataDead!U:U)</f>
        <v>0</v>
      </c>
      <c r="S35">
        <f>SUMIF(RawDataDead!$B:$B,$A35,RawDataDead!V:V)</f>
        <v>0</v>
      </c>
      <c r="T35">
        <f>SUMIF(RawDataDead!$B:$B,$A35,RawDataDead!W:W)</f>
        <v>0</v>
      </c>
      <c r="U35">
        <f>SUMIF(RawDataDead!$B:$B,$A35,RawDataDead!X:X)</f>
        <v>0</v>
      </c>
      <c r="V35">
        <f>SUMIF(RawDataDead!$B:$B,$A35,RawDataDead!Y:Y)</f>
        <v>0</v>
      </c>
      <c r="W35">
        <f>SUMIF(RawDataDead!$B:$B,$A35,RawDataDead!Z:Z)</f>
        <v>0</v>
      </c>
      <c r="X35">
        <f>SUMIF(RawDataDead!$B:$B,$A35,RawDataDead!AA:AA)</f>
        <v>0</v>
      </c>
      <c r="Y35">
        <f>SUMIF(RawDataDead!$B:$B,$A35,RawDataDead!AB:AB)</f>
        <v>0</v>
      </c>
      <c r="Z35">
        <f>SUMIF(RawDataDead!$B:$B,$A35,RawDataDead!AC:AC)</f>
        <v>0</v>
      </c>
      <c r="AA35">
        <f>SUMIF(RawDataDead!$B:$B,$A35,RawDataDead!AD:AD)</f>
        <v>0</v>
      </c>
      <c r="AB35">
        <f>SUMIF(RawDataDead!$B:$B,$A35,RawDataDead!AE:AE)</f>
        <v>0</v>
      </c>
      <c r="AC35">
        <f>SUMIF(RawDataDead!$B:$B,$A35,RawDataDead!AF:AF)</f>
        <v>0</v>
      </c>
      <c r="AD35">
        <f>SUMIF(RawDataDead!$B:$B,$A35,RawDataDead!AG:AG)</f>
        <v>0</v>
      </c>
      <c r="AE35">
        <f>SUMIF(RawDataDead!$B:$B,$A35,RawDataDead!AH:AH)</f>
        <v>0</v>
      </c>
      <c r="AF35">
        <f>SUMIF(RawDataDead!$B:$B,$A35,RawDataDead!AI:AI)</f>
        <v>0</v>
      </c>
      <c r="AG35">
        <f>SUMIF(RawDataDead!$B:$B,$A35,RawDataDead!AJ:AJ)</f>
        <v>0</v>
      </c>
      <c r="AH35">
        <f>SUMIF(RawDataDead!$B:$B,$A35,RawDataDead!AK:AK)</f>
        <v>0</v>
      </c>
      <c r="AI35">
        <f>SUMIF(RawDataDead!$B:$B,$A35,RawDataDead!AL:AL)</f>
        <v>0</v>
      </c>
      <c r="AJ35">
        <f>SUMIF(RawDataDead!$B:$B,$A35,RawDataDead!AM:AM)</f>
        <v>0</v>
      </c>
      <c r="AK35">
        <f>SUMIF(RawDataDead!$B:$B,$A35,RawDataDead!AN:AN)</f>
        <v>0</v>
      </c>
      <c r="AL35">
        <f>SUMIF(RawDataDead!$B:$B,$A35,RawDataDead!AO:AO)</f>
        <v>0</v>
      </c>
      <c r="AM35">
        <f>SUMIF(RawDataDead!$B:$B,$A35,RawDataDead!AP:AP)</f>
        <v>0</v>
      </c>
      <c r="AN35">
        <f>SUMIF(RawDataDead!$B:$B,$A35,RawDataDead!AQ:AQ)</f>
        <v>0</v>
      </c>
      <c r="AO35">
        <f>SUMIF(RawDataDead!$B:$B,$A35,RawDataDead!AR:AR)</f>
        <v>0</v>
      </c>
      <c r="AP35">
        <f>SUMIF(RawDataDead!$B:$B,$A35,RawDataDead!AS:AS)</f>
        <v>0</v>
      </c>
      <c r="AQ35">
        <f>SUMIF(RawDataDead!$B:$B,$A35,RawDataDead!AT:AT)</f>
        <v>0</v>
      </c>
      <c r="AR35">
        <f>SUMIF(RawDataDead!$B:$B,$A35,RawDataDead!AU:AU)</f>
        <v>0</v>
      </c>
      <c r="AS35">
        <f>SUMIF(RawDataDead!$B:$B,$A35,RawDataDead!AV:AV)</f>
        <v>0</v>
      </c>
      <c r="AT35">
        <f>SUMIF(RawDataDead!$B:$B,$A35,RawDataDead!AW:AW)</f>
        <v>0</v>
      </c>
      <c r="AU35">
        <f>SUMIF(RawDataDead!$B:$B,$A35,RawDataDead!AX:AX)</f>
        <v>0</v>
      </c>
      <c r="AV35">
        <f>SUMIF(RawDataDead!$B:$B,$A35,RawDataDead!AY:AY)</f>
        <v>0</v>
      </c>
      <c r="AW35">
        <f>SUMIF(RawDataDead!$B:$B,$A35,RawDataDead!AZ:AZ)</f>
        <v>0</v>
      </c>
      <c r="AX35">
        <f>SUMIF(RawDataDead!$B:$B,$A35,RawDataDead!BA:BA)</f>
        <v>0</v>
      </c>
      <c r="AY35">
        <f>SUMIF(RawDataDead!$B:$B,$A35,RawDataDead!BB:BB)</f>
        <v>1</v>
      </c>
      <c r="AZ35">
        <f>SUMIF(RawDataDead!$B:$B,$A35,RawDataDead!BC:BC)</f>
        <v>1</v>
      </c>
      <c r="BA35">
        <f>SUMIF(RawDataDead!$B:$B,$A35,RawDataDead!BD:BD)</f>
        <v>1</v>
      </c>
      <c r="BB35">
        <f>SUMIF(RawDataDead!$B:$B,$A35,RawDataDead!BE:BE)</f>
        <v>2</v>
      </c>
      <c r="BC35">
        <f>SUMIF(RawDataDead!$B:$B,$A35,RawDataDead!BF:BF)</f>
        <v>2</v>
      </c>
      <c r="BD35">
        <f>SUMIF(RawDataDead!$B:$B,$A35,RawDataDead!BG:BG)</f>
        <v>2</v>
      </c>
      <c r="BE35">
        <f>SUMIF(RawDataDead!$B:$B,$A35,RawDataDead!BH:BH)</f>
        <v>2</v>
      </c>
      <c r="BF35">
        <f>SUMIF(RawDataDead!$B:$B,$A35,RawDataDead!BI:BI)</f>
        <v>0</v>
      </c>
      <c r="BG35">
        <f>SUMIF(RawDataDead!$B:$B,$A35,RawDataDead!BJ:BJ)</f>
        <v>0</v>
      </c>
      <c r="BH35">
        <f>SUMIF(RawDataDead!$B:$B,$A35,RawDataDead!BK:BK)</f>
        <v>0</v>
      </c>
      <c r="BI35">
        <f>SUMIF(RawDataDead!$B:$B,$A35,RawDataDead!BL:BL)</f>
        <v>0</v>
      </c>
      <c r="BJ35">
        <f>SUMIF(RawDataDead!$B:$B,$A35,RawDataDead!BM:BM)</f>
        <v>0</v>
      </c>
      <c r="BK35">
        <f>SUMIF(RawDataDead!$B:$B,$A35,RawDataDead!BN:BN)</f>
        <v>0</v>
      </c>
      <c r="BL35">
        <f>SUMIF(RawDataDead!$B:$B,$A35,RawDataDead!BO:BO)</f>
        <v>0</v>
      </c>
      <c r="BM35">
        <f>SUMIF(RawDataDead!$B:$B,$A35,RawDataDead!BP:BP)</f>
        <v>0</v>
      </c>
      <c r="BN35">
        <f>SUMIF(RawDataDead!$B:$B,$A35,RawDataDead!BQ:BQ)</f>
        <v>0</v>
      </c>
      <c r="BO35">
        <f>SUMIF(RawDataDead!$B:$B,$A35,RawDataDead!BR:BR)</f>
        <v>0</v>
      </c>
      <c r="BP35">
        <f>SUMIF(RawDataDead!$B:$B,$A35,RawDataDead!BS:BS)</f>
        <v>0</v>
      </c>
      <c r="BQ35">
        <f>SUMIF(RawDataDead!$B:$B,$A35,RawDataDead!BT:BT)</f>
        <v>0</v>
      </c>
      <c r="BR35">
        <f>SUMIF(RawDataDead!$B:$B,$A35,RawDataDead!BU:BU)</f>
        <v>0</v>
      </c>
      <c r="BS35">
        <f>SUMIF(RawDataDead!$B:$B,$A35,RawDataDead!BV:BV)</f>
        <v>0</v>
      </c>
      <c r="BT35">
        <f>SUMIF(RawDataDead!$B:$B,$A35,RawDataDead!BW:BW)</f>
        <v>0</v>
      </c>
    </row>
    <row r="36" spans="1:72" ht="15" thickBot="1" x14ac:dyDescent="0.35">
      <c r="A36" s="3" t="s">
        <v>113</v>
      </c>
      <c r="B36">
        <f>SUMIF(RawDataDead!$B:$B,$A36,RawDataDead!E:E)</f>
        <v>0</v>
      </c>
      <c r="C36">
        <f>SUMIF(RawDataDead!$B:$B,$A36,RawDataDead!F:F)</f>
        <v>0</v>
      </c>
      <c r="D36">
        <f>SUMIF(RawDataDead!$B:$B,$A36,RawDataDead!G:G)</f>
        <v>0</v>
      </c>
      <c r="E36">
        <f>SUMIF(RawDataDead!$B:$B,$A36,RawDataDead!H:H)</f>
        <v>0</v>
      </c>
      <c r="F36">
        <f>SUMIF(RawDataDead!$B:$B,$A36,RawDataDead!I:I)</f>
        <v>0</v>
      </c>
      <c r="G36">
        <f>SUMIF(RawDataDead!$B:$B,$A36,RawDataDead!J:J)</f>
        <v>0</v>
      </c>
      <c r="H36">
        <f>SUMIF(RawDataDead!$B:$B,$A36,RawDataDead!K:K)</f>
        <v>0</v>
      </c>
      <c r="I36">
        <f>SUMIF(RawDataDead!$B:$B,$A36,RawDataDead!L:L)</f>
        <v>0</v>
      </c>
      <c r="J36">
        <f>SUMIF(RawDataDead!$B:$B,$A36,RawDataDead!M:M)</f>
        <v>0</v>
      </c>
      <c r="K36">
        <f>SUMIF(RawDataDead!$B:$B,$A36,RawDataDead!N:N)</f>
        <v>0</v>
      </c>
      <c r="L36">
        <f>SUMIF(RawDataDead!$B:$B,$A36,RawDataDead!O:O)</f>
        <v>0</v>
      </c>
      <c r="M36">
        <f>SUMIF(RawDataDead!$B:$B,$A36,RawDataDead!P:P)</f>
        <v>0</v>
      </c>
      <c r="N36">
        <f>SUMIF(RawDataDead!$B:$B,$A36,RawDataDead!Q:Q)</f>
        <v>0</v>
      </c>
      <c r="O36">
        <f>SUMIF(RawDataDead!$B:$B,$A36,RawDataDead!R:R)</f>
        <v>0</v>
      </c>
      <c r="P36">
        <f>SUMIF(RawDataDead!$B:$B,$A36,RawDataDead!S:S)</f>
        <v>0</v>
      </c>
      <c r="Q36">
        <f>SUMIF(RawDataDead!$B:$B,$A36,RawDataDead!T:T)</f>
        <v>0</v>
      </c>
      <c r="R36">
        <f>SUMIF(RawDataDead!$B:$B,$A36,RawDataDead!U:U)</f>
        <v>0</v>
      </c>
      <c r="S36">
        <f>SUMIF(RawDataDead!$B:$B,$A36,RawDataDead!V:V)</f>
        <v>0</v>
      </c>
      <c r="T36">
        <f>SUMIF(RawDataDead!$B:$B,$A36,RawDataDead!W:W)</f>
        <v>0</v>
      </c>
      <c r="U36">
        <f>SUMIF(RawDataDead!$B:$B,$A36,RawDataDead!X:X)</f>
        <v>0</v>
      </c>
      <c r="V36">
        <f>SUMIF(RawDataDead!$B:$B,$A36,RawDataDead!Y:Y)</f>
        <v>0</v>
      </c>
      <c r="W36">
        <f>SUMIF(RawDataDead!$B:$B,$A36,RawDataDead!Z:Z)</f>
        <v>0</v>
      </c>
      <c r="X36">
        <f>SUMIF(RawDataDead!$B:$B,$A36,RawDataDead!AA:AA)</f>
        <v>0</v>
      </c>
      <c r="Y36">
        <f>SUMIF(RawDataDead!$B:$B,$A36,RawDataDead!AB:AB)</f>
        <v>0</v>
      </c>
      <c r="Z36">
        <f>SUMIF(RawDataDead!$B:$B,$A36,RawDataDead!AC:AC)</f>
        <v>0</v>
      </c>
      <c r="AA36">
        <f>SUMIF(RawDataDead!$B:$B,$A36,RawDataDead!AD:AD)</f>
        <v>0</v>
      </c>
      <c r="AB36">
        <f>SUMIF(RawDataDead!$B:$B,$A36,RawDataDead!AE:AE)</f>
        <v>0</v>
      </c>
      <c r="AC36">
        <f>SUMIF(RawDataDead!$B:$B,$A36,RawDataDead!AF:AF)</f>
        <v>0</v>
      </c>
      <c r="AD36">
        <f>SUMIF(RawDataDead!$B:$B,$A36,RawDataDead!AG:AG)</f>
        <v>0</v>
      </c>
      <c r="AE36">
        <f>SUMIF(RawDataDead!$B:$B,$A36,RawDataDead!AH:AH)</f>
        <v>0</v>
      </c>
      <c r="AF36">
        <f>SUMIF(RawDataDead!$B:$B,$A36,RawDataDead!AI:AI)</f>
        <v>0</v>
      </c>
      <c r="AG36">
        <f>SUMIF(RawDataDead!$B:$B,$A36,RawDataDead!AJ:AJ)</f>
        <v>0</v>
      </c>
      <c r="AH36">
        <f>SUMIF(RawDataDead!$B:$B,$A36,RawDataDead!AK:AK)</f>
        <v>0</v>
      </c>
      <c r="AI36">
        <f>SUMIF(RawDataDead!$B:$B,$A36,RawDataDead!AL:AL)</f>
        <v>0</v>
      </c>
      <c r="AJ36">
        <f>SUMIF(RawDataDead!$B:$B,$A36,RawDataDead!AM:AM)</f>
        <v>0</v>
      </c>
      <c r="AK36">
        <f>SUMIF(RawDataDead!$B:$B,$A36,RawDataDead!AN:AN)</f>
        <v>0</v>
      </c>
      <c r="AL36">
        <f>SUMIF(RawDataDead!$B:$B,$A36,RawDataDead!AO:AO)</f>
        <v>0</v>
      </c>
      <c r="AM36">
        <f>SUMIF(RawDataDead!$B:$B,$A36,RawDataDead!AP:AP)</f>
        <v>0</v>
      </c>
      <c r="AN36">
        <f>SUMIF(RawDataDead!$B:$B,$A36,RawDataDead!AQ:AQ)</f>
        <v>0</v>
      </c>
      <c r="AO36">
        <f>SUMIF(RawDataDead!$B:$B,$A36,RawDataDead!AR:AR)</f>
        <v>0</v>
      </c>
      <c r="AP36">
        <f>SUMIF(RawDataDead!$B:$B,$A36,RawDataDead!AS:AS)</f>
        <v>0</v>
      </c>
      <c r="AQ36">
        <f>SUMIF(RawDataDead!$B:$B,$A36,RawDataDead!AT:AT)</f>
        <v>0</v>
      </c>
      <c r="AR36">
        <f>SUMIF(RawDataDead!$B:$B,$A36,RawDataDead!AU:AU)</f>
        <v>0</v>
      </c>
      <c r="AS36">
        <f>SUMIF(RawDataDead!$B:$B,$A36,RawDataDead!AV:AV)</f>
        <v>0</v>
      </c>
      <c r="AT36">
        <f>SUMIF(RawDataDead!$B:$B,$A36,RawDataDead!AW:AW)</f>
        <v>0</v>
      </c>
      <c r="AU36">
        <f>SUMIF(RawDataDead!$B:$B,$A36,RawDataDead!AX:AX)</f>
        <v>0</v>
      </c>
      <c r="AV36">
        <f>SUMIF(RawDataDead!$B:$B,$A36,RawDataDead!AY:AY)</f>
        <v>0</v>
      </c>
      <c r="AW36">
        <f>SUMIF(RawDataDead!$B:$B,$A36,RawDataDead!AZ:AZ)</f>
        <v>0</v>
      </c>
      <c r="AX36">
        <f>SUMIF(RawDataDead!$B:$B,$A36,RawDataDead!BA:BA)</f>
        <v>0</v>
      </c>
      <c r="AY36">
        <f>SUMIF(RawDataDead!$B:$B,$A36,RawDataDead!BB:BB)</f>
        <v>0</v>
      </c>
      <c r="AZ36">
        <f>SUMIF(RawDataDead!$B:$B,$A36,RawDataDead!BC:BC)</f>
        <v>0</v>
      </c>
      <c r="BA36">
        <f>SUMIF(RawDataDead!$B:$B,$A36,RawDataDead!BD:BD)</f>
        <v>0</v>
      </c>
      <c r="BB36">
        <f>SUMIF(RawDataDead!$B:$B,$A36,RawDataDead!BE:BE)</f>
        <v>0</v>
      </c>
      <c r="BC36">
        <f>SUMIF(RawDataDead!$B:$B,$A36,RawDataDead!BF:BF)</f>
        <v>0</v>
      </c>
      <c r="BD36">
        <f>SUMIF(RawDataDead!$B:$B,$A36,RawDataDead!BG:BG)</f>
        <v>0</v>
      </c>
      <c r="BE36">
        <f>SUMIF(RawDataDead!$B:$B,$A36,RawDataDead!BH:BH)</f>
        <v>0</v>
      </c>
      <c r="BF36">
        <f>SUMIF(RawDataDead!$B:$B,$A36,RawDataDead!BI:BI)</f>
        <v>0</v>
      </c>
      <c r="BG36">
        <f>SUMIF(RawDataDead!$B:$B,$A36,RawDataDead!BJ:BJ)</f>
        <v>0</v>
      </c>
      <c r="BH36">
        <f>SUMIF(RawDataDead!$B:$B,$A36,RawDataDead!BK:BK)</f>
        <v>0</v>
      </c>
      <c r="BI36">
        <f>SUMIF(RawDataDead!$B:$B,$A36,RawDataDead!BL:BL)</f>
        <v>0</v>
      </c>
      <c r="BJ36">
        <f>SUMIF(RawDataDead!$B:$B,$A36,RawDataDead!BM:BM)</f>
        <v>0</v>
      </c>
      <c r="BK36">
        <f>SUMIF(RawDataDead!$B:$B,$A36,RawDataDead!BN:BN)</f>
        <v>0</v>
      </c>
      <c r="BL36">
        <f>SUMIF(RawDataDead!$B:$B,$A36,RawDataDead!BO:BO)</f>
        <v>0</v>
      </c>
      <c r="BM36">
        <f>SUMIF(RawDataDead!$B:$B,$A36,RawDataDead!BP:BP)</f>
        <v>0</v>
      </c>
      <c r="BN36">
        <f>SUMIF(RawDataDead!$B:$B,$A36,RawDataDead!BQ:BQ)</f>
        <v>0</v>
      </c>
      <c r="BO36">
        <f>SUMIF(RawDataDead!$B:$B,$A36,RawDataDead!BR:BR)</f>
        <v>0</v>
      </c>
      <c r="BP36">
        <f>SUMIF(RawDataDead!$B:$B,$A36,RawDataDead!BS:BS)</f>
        <v>0</v>
      </c>
      <c r="BQ36">
        <f>SUMIF(RawDataDead!$B:$B,$A36,RawDataDead!BT:BT)</f>
        <v>0</v>
      </c>
      <c r="BR36">
        <f>SUMIF(RawDataDead!$B:$B,$A36,RawDataDead!BU:BU)</f>
        <v>0</v>
      </c>
      <c r="BS36">
        <f>SUMIF(RawDataDead!$B:$B,$A36,RawDataDead!BV:BV)</f>
        <v>0</v>
      </c>
      <c r="BT36">
        <f>SUMIF(RawDataDead!$B:$B,$A36,RawDataDead!BW:BW)</f>
        <v>0</v>
      </c>
    </row>
    <row r="37" spans="1:72" ht="15" thickBot="1" x14ac:dyDescent="0.35">
      <c r="A37" s="4" t="s">
        <v>140</v>
      </c>
      <c r="B37">
        <f>SUMIF(RawDataDead!$B:$B,$A37,RawDataDead!E:E)</f>
        <v>0</v>
      </c>
      <c r="C37">
        <f>SUMIF(RawDataDead!$B:$B,$A37,RawDataDead!F:F)</f>
        <v>0</v>
      </c>
      <c r="D37">
        <f>SUMIF(RawDataDead!$B:$B,$A37,RawDataDead!G:G)</f>
        <v>0</v>
      </c>
      <c r="E37">
        <f>SUMIF(RawDataDead!$B:$B,$A37,RawDataDead!H:H)</f>
        <v>0</v>
      </c>
      <c r="F37">
        <f>SUMIF(RawDataDead!$B:$B,$A37,RawDataDead!I:I)</f>
        <v>0</v>
      </c>
      <c r="G37">
        <f>SUMIF(RawDataDead!$B:$B,$A37,RawDataDead!J:J)</f>
        <v>0</v>
      </c>
      <c r="H37">
        <f>SUMIF(RawDataDead!$B:$B,$A37,RawDataDead!K:K)</f>
        <v>0</v>
      </c>
      <c r="I37">
        <f>SUMIF(RawDataDead!$B:$B,$A37,RawDataDead!L:L)</f>
        <v>0</v>
      </c>
      <c r="J37">
        <f>SUMIF(RawDataDead!$B:$B,$A37,RawDataDead!M:M)</f>
        <v>0</v>
      </c>
      <c r="K37">
        <f>SUMIF(RawDataDead!$B:$B,$A37,RawDataDead!N:N)</f>
        <v>0</v>
      </c>
      <c r="L37">
        <f>SUMIF(RawDataDead!$B:$B,$A37,RawDataDead!O:O)</f>
        <v>0</v>
      </c>
      <c r="M37">
        <f>SUMIF(RawDataDead!$B:$B,$A37,RawDataDead!P:P)</f>
        <v>0</v>
      </c>
      <c r="N37">
        <f>SUMIF(RawDataDead!$B:$B,$A37,RawDataDead!Q:Q)</f>
        <v>0</v>
      </c>
      <c r="O37">
        <f>SUMIF(RawDataDead!$B:$B,$A37,RawDataDead!R:R)</f>
        <v>0</v>
      </c>
      <c r="P37">
        <f>SUMIF(RawDataDead!$B:$B,$A37,RawDataDead!S:S)</f>
        <v>0</v>
      </c>
      <c r="Q37">
        <f>SUMIF(RawDataDead!$B:$B,$A37,RawDataDead!T:T)</f>
        <v>0</v>
      </c>
      <c r="R37">
        <f>SUMIF(RawDataDead!$B:$B,$A37,RawDataDead!U:U)</f>
        <v>0</v>
      </c>
      <c r="S37">
        <f>SUMIF(RawDataDead!$B:$B,$A37,RawDataDead!V:V)</f>
        <v>0</v>
      </c>
      <c r="T37">
        <f>SUMIF(RawDataDead!$B:$B,$A37,RawDataDead!W:W)</f>
        <v>0</v>
      </c>
      <c r="U37">
        <f>SUMIF(RawDataDead!$B:$B,$A37,RawDataDead!X:X)</f>
        <v>0</v>
      </c>
      <c r="V37">
        <f>SUMIF(RawDataDead!$B:$B,$A37,RawDataDead!Y:Y)</f>
        <v>0</v>
      </c>
      <c r="W37">
        <f>SUMIF(RawDataDead!$B:$B,$A37,RawDataDead!Z:Z)</f>
        <v>0</v>
      </c>
      <c r="X37">
        <f>SUMIF(RawDataDead!$B:$B,$A37,RawDataDead!AA:AA)</f>
        <v>0</v>
      </c>
      <c r="Y37">
        <f>SUMIF(RawDataDead!$B:$B,$A37,RawDataDead!AB:AB)</f>
        <v>0</v>
      </c>
      <c r="Z37">
        <f>SUMIF(RawDataDead!$B:$B,$A37,RawDataDead!AC:AC)</f>
        <v>0</v>
      </c>
      <c r="AA37">
        <f>SUMIF(RawDataDead!$B:$B,$A37,RawDataDead!AD:AD)</f>
        <v>0</v>
      </c>
      <c r="AB37">
        <f>SUMIF(RawDataDead!$B:$B,$A37,RawDataDead!AE:AE)</f>
        <v>0</v>
      </c>
      <c r="AC37">
        <f>SUMIF(RawDataDead!$B:$B,$A37,RawDataDead!AF:AF)</f>
        <v>0</v>
      </c>
      <c r="AD37">
        <f>SUMIF(RawDataDead!$B:$B,$A37,RawDataDead!AG:AG)</f>
        <v>0</v>
      </c>
      <c r="AE37">
        <f>SUMIF(RawDataDead!$B:$B,$A37,RawDataDead!AH:AH)</f>
        <v>0</v>
      </c>
      <c r="AF37">
        <f>SUMIF(RawDataDead!$B:$B,$A37,RawDataDead!AI:AI)</f>
        <v>0</v>
      </c>
      <c r="AG37">
        <f>SUMIF(RawDataDead!$B:$B,$A37,RawDataDead!AJ:AJ)</f>
        <v>0</v>
      </c>
      <c r="AH37">
        <f>SUMIF(RawDataDead!$B:$B,$A37,RawDataDead!AK:AK)</f>
        <v>0</v>
      </c>
      <c r="AI37">
        <f>SUMIF(RawDataDead!$B:$B,$A37,RawDataDead!AL:AL)</f>
        <v>0</v>
      </c>
      <c r="AJ37">
        <f>SUMIF(RawDataDead!$B:$B,$A37,RawDataDead!AM:AM)</f>
        <v>0</v>
      </c>
      <c r="AK37">
        <f>SUMIF(RawDataDead!$B:$B,$A37,RawDataDead!AN:AN)</f>
        <v>0</v>
      </c>
      <c r="AL37">
        <f>SUMIF(RawDataDead!$B:$B,$A37,RawDataDead!AO:AO)</f>
        <v>0</v>
      </c>
      <c r="AM37">
        <f>SUMIF(RawDataDead!$B:$B,$A37,RawDataDead!AP:AP)</f>
        <v>0</v>
      </c>
      <c r="AN37">
        <f>SUMIF(RawDataDead!$B:$B,$A37,RawDataDead!AQ:AQ)</f>
        <v>0</v>
      </c>
      <c r="AO37">
        <f>SUMIF(RawDataDead!$B:$B,$A37,RawDataDead!AR:AR)</f>
        <v>0</v>
      </c>
      <c r="AP37">
        <f>SUMIF(RawDataDead!$B:$B,$A37,RawDataDead!AS:AS)</f>
        <v>0</v>
      </c>
      <c r="AQ37">
        <f>SUMIF(RawDataDead!$B:$B,$A37,RawDataDead!AT:AT)</f>
        <v>0</v>
      </c>
      <c r="AR37">
        <f>SUMIF(RawDataDead!$B:$B,$A37,RawDataDead!AU:AU)</f>
        <v>0</v>
      </c>
      <c r="AS37">
        <f>SUMIF(RawDataDead!$B:$B,$A37,RawDataDead!AV:AV)</f>
        <v>0</v>
      </c>
      <c r="AT37">
        <f>SUMIF(RawDataDead!$B:$B,$A37,RawDataDead!AW:AW)</f>
        <v>0</v>
      </c>
      <c r="AU37">
        <f>SUMIF(RawDataDead!$B:$B,$A37,RawDataDead!AX:AX)</f>
        <v>0</v>
      </c>
      <c r="AV37">
        <f>SUMIF(RawDataDead!$B:$B,$A37,RawDataDead!AY:AY)</f>
        <v>0</v>
      </c>
      <c r="AW37">
        <f>SUMIF(RawDataDead!$B:$B,$A37,RawDataDead!AZ:AZ)</f>
        <v>0</v>
      </c>
      <c r="AX37">
        <f>SUMIF(RawDataDead!$B:$B,$A37,RawDataDead!BA:BA)</f>
        <v>0</v>
      </c>
      <c r="AY37">
        <f>SUMIF(RawDataDead!$B:$B,$A37,RawDataDead!BB:BB)</f>
        <v>0</v>
      </c>
      <c r="AZ37">
        <f>SUMIF(RawDataDead!$B:$B,$A37,RawDataDead!BC:BC)</f>
        <v>0</v>
      </c>
      <c r="BA37">
        <f>SUMIF(RawDataDead!$B:$B,$A37,RawDataDead!BD:BD)</f>
        <v>0</v>
      </c>
      <c r="BB37">
        <f>SUMIF(RawDataDead!$B:$B,$A37,RawDataDead!BE:BE)</f>
        <v>0</v>
      </c>
      <c r="BC37">
        <f>SUMIF(RawDataDead!$B:$B,$A37,RawDataDead!BF:BF)</f>
        <v>0</v>
      </c>
      <c r="BD37">
        <f>SUMIF(RawDataDead!$B:$B,$A37,RawDataDead!BG:BG)</f>
        <v>0</v>
      </c>
      <c r="BE37">
        <f>SUMIF(RawDataDead!$B:$B,$A37,RawDataDead!BH:BH)</f>
        <v>0</v>
      </c>
      <c r="BF37">
        <f>SUMIF(RawDataDead!$B:$B,$A37,RawDataDead!BI:BI)</f>
        <v>0</v>
      </c>
      <c r="BG37">
        <f>SUMIF(RawDataDead!$B:$B,$A37,RawDataDead!BJ:BJ)</f>
        <v>0</v>
      </c>
      <c r="BH37">
        <f>SUMIF(RawDataDead!$B:$B,$A37,RawDataDead!BK:BK)</f>
        <v>0</v>
      </c>
      <c r="BI37">
        <f>SUMIF(RawDataDead!$B:$B,$A37,RawDataDead!BL:BL)</f>
        <v>0</v>
      </c>
      <c r="BJ37">
        <f>SUMIF(RawDataDead!$B:$B,$A37,RawDataDead!BM:BM)</f>
        <v>0</v>
      </c>
      <c r="BK37">
        <f>SUMIF(RawDataDead!$B:$B,$A37,RawDataDead!BN:BN)</f>
        <v>0</v>
      </c>
      <c r="BL37">
        <f>SUMIF(RawDataDead!$B:$B,$A37,RawDataDead!BO:BO)</f>
        <v>0</v>
      </c>
      <c r="BM37">
        <f>SUMIF(RawDataDead!$B:$B,$A37,RawDataDead!BP:BP)</f>
        <v>0</v>
      </c>
      <c r="BN37">
        <f>SUMIF(RawDataDead!$B:$B,$A37,RawDataDead!BQ:BQ)</f>
        <v>0</v>
      </c>
      <c r="BO37">
        <f>SUMIF(RawDataDead!$B:$B,$A37,RawDataDead!BR:BR)</f>
        <v>0</v>
      </c>
      <c r="BP37">
        <f>SUMIF(RawDataDead!$B:$B,$A37,RawDataDead!BS:BS)</f>
        <v>0</v>
      </c>
      <c r="BQ37">
        <f>SUMIF(RawDataDead!$B:$B,$A37,RawDataDead!BT:BT)</f>
        <v>0</v>
      </c>
      <c r="BR37">
        <f>SUMIF(RawDataDead!$B:$B,$A37,RawDataDead!BU:BU)</f>
        <v>0</v>
      </c>
      <c r="BS37">
        <f>SUMIF(RawDataDead!$B:$B,$A37,RawDataDead!BV:BV)</f>
        <v>0</v>
      </c>
      <c r="BT37">
        <f>SUMIF(RawDataDead!$B:$B,$A37,RawDataDead!BW:BW)</f>
        <v>0</v>
      </c>
    </row>
    <row r="38" spans="1:72" ht="15" thickBot="1" x14ac:dyDescent="0.35">
      <c r="A38" s="4" t="s">
        <v>82</v>
      </c>
      <c r="B38">
        <f>SUMIF(RawDataDead!$B:$B,$A38,RawDataDead!E:E)</f>
        <v>0</v>
      </c>
      <c r="C38">
        <f>SUMIF(RawDataDead!$B:$B,$A38,RawDataDead!F:F)</f>
        <v>0</v>
      </c>
      <c r="D38">
        <f>SUMIF(RawDataDead!$B:$B,$A38,RawDataDead!G:G)</f>
        <v>0</v>
      </c>
      <c r="E38">
        <f>SUMIF(RawDataDead!$B:$B,$A38,RawDataDead!H:H)</f>
        <v>0</v>
      </c>
      <c r="F38">
        <f>SUMIF(RawDataDead!$B:$B,$A38,RawDataDead!I:I)</f>
        <v>0</v>
      </c>
      <c r="G38">
        <f>SUMIF(RawDataDead!$B:$B,$A38,RawDataDead!J:J)</f>
        <v>0</v>
      </c>
      <c r="H38">
        <f>SUMIF(RawDataDead!$B:$B,$A38,RawDataDead!K:K)</f>
        <v>0</v>
      </c>
      <c r="I38">
        <f>SUMIF(RawDataDead!$B:$B,$A38,RawDataDead!L:L)</f>
        <v>0</v>
      </c>
      <c r="J38">
        <f>SUMIF(RawDataDead!$B:$B,$A38,RawDataDead!M:M)</f>
        <v>0</v>
      </c>
      <c r="K38">
        <f>SUMIF(RawDataDead!$B:$B,$A38,RawDataDead!N:N)</f>
        <v>0</v>
      </c>
      <c r="L38">
        <f>SUMIF(RawDataDead!$B:$B,$A38,RawDataDead!O:O)</f>
        <v>0</v>
      </c>
      <c r="M38">
        <f>SUMIF(RawDataDead!$B:$B,$A38,RawDataDead!P:P)</f>
        <v>0</v>
      </c>
      <c r="N38">
        <f>SUMIF(RawDataDead!$B:$B,$A38,RawDataDead!Q:Q)</f>
        <v>0</v>
      </c>
      <c r="O38">
        <f>SUMIF(RawDataDead!$B:$B,$A38,RawDataDead!R:R)</f>
        <v>0</v>
      </c>
      <c r="P38">
        <f>SUMIF(RawDataDead!$B:$B,$A38,RawDataDead!S:S)</f>
        <v>0</v>
      </c>
      <c r="Q38">
        <f>SUMIF(RawDataDead!$B:$B,$A38,RawDataDead!T:T)</f>
        <v>0</v>
      </c>
      <c r="R38">
        <f>SUMIF(RawDataDead!$B:$B,$A38,RawDataDead!U:U)</f>
        <v>0</v>
      </c>
      <c r="S38">
        <f>SUMIF(RawDataDead!$B:$B,$A38,RawDataDead!V:V)</f>
        <v>0</v>
      </c>
      <c r="T38">
        <f>SUMIF(RawDataDead!$B:$B,$A38,RawDataDead!W:W)</f>
        <v>0</v>
      </c>
      <c r="U38">
        <f>SUMIF(RawDataDead!$B:$B,$A38,RawDataDead!X:X)</f>
        <v>0</v>
      </c>
      <c r="V38">
        <f>SUMIF(RawDataDead!$B:$B,$A38,RawDataDead!Y:Y)</f>
        <v>0</v>
      </c>
      <c r="W38">
        <f>SUMIF(RawDataDead!$B:$B,$A38,RawDataDead!Z:Z)</f>
        <v>0</v>
      </c>
      <c r="X38">
        <f>SUMIF(RawDataDead!$B:$B,$A38,RawDataDead!AA:AA)</f>
        <v>0</v>
      </c>
      <c r="Y38">
        <f>SUMIF(RawDataDead!$B:$B,$A38,RawDataDead!AB:AB)</f>
        <v>0</v>
      </c>
      <c r="Z38">
        <f>SUMIF(RawDataDead!$B:$B,$A38,RawDataDead!AC:AC)</f>
        <v>0</v>
      </c>
      <c r="AA38">
        <f>SUMIF(RawDataDead!$B:$B,$A38,RawDataDead!AD:AD)</f>
        <v>0</v>
      </c>
      <c r="AB38">
        <f>SUMIF(RawDataDead!$B:$B,$A38,RawDataDead!AE:AE)</f>
        <v>0</v>
      </c>
      <c r="AC38">
        <f>SUMIF(RawDataDead!$B:$B,$A38,RawDataDead!AF:AF)</f>
        <v>0</v>
      </c>
      <c r="AD38">
        <f>SUMIF(RawDataDead!$B:$B,$A38,RawDataDead!AG:AG)</f>
        <v>0</v>
      </c>
      <c r="AE38">
        <f>SUMIF(RawDataDead!$B:$B,$A38,RawDataDead!AH:AH)</f>
        <v>0</v>
      </c>
      <c r="AF38">
        <f>SUMIF(RawDataDead!$B:$B,$A38,RawDataDead!AI:AI)</f>
        <v>0</v>
      </c>
      <c r="AG38">
        <f>SUMIF(RawDataDead!$B:$B,$A38,RawDataDead!AJ:AJ)</f>
        <v>0</v>
      </c>
      <c r="AH38">
        <f>SUMIF(RawDataDead!$B:$B,$A38,RawDataDead!AK:AK)</f>
        <v>0</v>
      </c>
      <c r="AI38">
        <f>SUMIF(RawDataDead!$B:$B,$A38,RawDataDead!AL:AL)</f>
        <v>0</v>
      </c>
      <c r="AJ38">
        <f>SUMIF(RawDataDead!$B:$B,$A38,RawDataDead!AM:AM)</f>
        <v>0</v>
      </c>
      <c r="AK38">
        <f>SUMIF(RawDataDead!$B:$B,$A38,RawDataDead!AN:AN)</f>
        <v>0</v>
      </c>
      <c r="AL38">
        <f>SUMIF(RawDataDead!$B:$B,$A38,RawDataDead!AO:AO)</f>
        <v>0</v>
      </c>
      <c r="AM38">
        <f>SUMIF(RawDataDead!$B:$B,$A38,RawDataDead!AP:AP)</f>
        <v>0</v>
      </c>
      <c r="AN38">
        <f>SUMIF(RawDataDead!$B:$B,$A38,RawDataDead!AQ:AQ)</f>
        <v>0</v>
      </c>
      <c r="AO38">
        <f>SUMIF(RawDataDead!$B:$B,$A38,RawDataDead!AR:AR)</f>
        <v>0</v>
      </c>
      <c r="AP38">
        <f>SUMIF(RawDataDead!$B:$B,$A38,RawDataDead!AS:AS)</f>
        <v>0</v>
      </c>
      <c r="AQ38">
        <f>SUMIF(RawDataDead!$B:$B,$A38,RawDataDead!AT:AT)</f>
        <v>0</v>
      </c>
      <c r="AR38">
        <f>SUMIF(RawDataDead!$B:$B,$A38,RawDataDead!AU:AU)</f>
        <v>0</v>
      </c>
      <c r="AS38">
        <f>SUMIF(RawDataDead!$B:$B,$A38,RawDataDead!AV:AV)</f>
        <v>0</v>
      </c>
      <c r="AT38">
        <f>SUMIF(RawDataDead!$B:$B,$A38,RawDataDead!AW:AW)</f>
        <v>0</v>
      </c>
      <c r="AU38">
        <f>SUMIF(RawDataDead!$B:$B,$A38,RawDataDead!AX:AX)</f>
        <v>0</v>
      </c>
      <c r="AV38">
        <f>SUMIF(RawDataDead!$B:$B,$A38,RawDataDead!AY:AY)</f>
        <v>0</v>
      </c>
      <c r="AW38">
        <f>SUMIF(RawDataDead!$B:$B,$A38,RawDataDead!AZ:AZ)</f>
        <v>0</v>
      </c>
      <c r="AX38">
        <f>SUMIF(RawDataDead!$B:$B,$A38,RawDataDead!BA:BA)</f>
        <v>0</v>
      </c>
      <c r="AY38">
        <f>SUMIF(RawDataDead!$B:$B,$A38,RawDataDead!BB:BB)</f>
        <v>0</v>
      </c>
      <c r="AZ38">
        <f>SUMIF(RawDataDead!$B:$B,$A38,RawDataDead!BC:BC)</f>
        <v>0</v>
      </c>
      <c r="BA38">
        <f>SUMIF(RawDataDead!$B:$B,$A38,RawDataDead!BD:BD)</f>
        <v>0</v>
      </c>
      <c r="BB38">
        <f>SUMIF(RawDataDead!$B:$B,$A38,RawDataDead!BE:BE)</f>
        <v>0</v>
      </c>
      <c r="BC38">
        <f>SUMIF(RawDataDead!$B:$B,$A38,RawDataDead!BF:BF)</f>
        <v>0</v>
      </c>
      <c r="BD38">
        <f>SUMIF(RawDataDead!$B:$B,$A38,RawDataDead!BG:BG)</f>
        <v>0</v>
      </c>
      <c r="BE38">
        <f>SUMIF(RawDataDead!$B:$B,$A38,RawDataDead!BH:BH)</f>
        <v>0</v>
      </c>
      <c r="BF38">
        <f>SUMIF(RawDataDead!$B:$B,$A38,RawDataDead!BI:BI)</f>
        <v>0</v>
      </c>
      <c r="BG38">
        <f>SUMIF(RawDataDead!$B:$B,$A38,RawDataDead!BJ:BJ)</f>
        <v>0</v>
      </c>
      <c r="BH38">
        <f>SUMIF(RawDataDead!$B:$B,$A38,RawDataDead!BK:BK)</f>
        <v>0</v>
      </c>
      <c r="BI38">
        <f>SUMIF(RawDataDead!$B:$B,$A38,RawDataDead!BL:BL)</f>
        <v>0</v>
      </c>
      <c r="BJ38">
        <f>SUMIF(RawDataDead!$B:$B,$A38,RawDataDead!BM:BM)</f>
        <v>0</v>
      </c>
      <c r="BK38">
        <f>SUMIF(RawDataDead!$B:$B,$A38,RawDataDead!BN:BN)</f>
        <v>0</v>
      </c>
      <c r="BL38">
        <f>SUMIF(RawDataDead!$B:$B,$A38,RawDataDead!BO:BO)</f>
        <v>0</v>
      </c>
      <c r="BM38">
        <f>SUMIF(RawDataDead!$B:$B,$A38,RawDataDead!BP:BP)</f>
        <v>0</v>
      </c>
      <c r="BN38">
        <f>SUMIF(RawDataDead!$B:$B,$A38,RawDataDead!BQ:BQ)</f>
        <v>0</v>
      </c>
      <c r="BO38">
        <f>SUMIF(RawDataDead!$B:$B,$A38,RawDataDead!BR:BR)</f>
        <v>0</v>
      </c>
      <c r="BP38">
        <f>SUMIF(RawDataDead!$B:$B,$A38,RawDataDead!BS:BS)</f>
        <v>0</v>
      </c>
      <c r="BQ38">
        <f>SUMIF(RawDataDead!$B:$B,$A38,RawDataDead!BT:BT)</f>
        <v>0</v>
      </c>
      <c r="BR38">
        <f>SUMIF(RawDataDead!$B:$B,$A38,RawDataDead!BU:BU)</f>
        <v>0</v>
      </c>
      <c r="BS38">
        <f>SUMIF(RawDataDead!$B:$B,$A38,RawDataDead!BV:BV)</f>
        <v>0</v>
      </c>
      <c r="BT38">
        <f>SUMIF(RawDataDead!$B:$B,$A38,RawDataDead!BW:BW)</f>
        <v>0</v>
      </c>
    </row>
    <row r="39" spans="1:72" ht="15" thickBot="1" x14ac:dyDescent="0.35">
      <c r="A39" s="4" t="s">
        <v>84</v>
      </c>
      <c r="B39">
        <f>SUMIF(RawDataDead!$B:$B,$A39,RawDataDead!E:E)</f>
        <v>0</v>
      </c>
      <c r="C39">
        <f>SUMIF(RawDataDead!$B:$B,$A39,RawDataDead!F:F)</f>
        <v>0</v>
      </c>
      <c r="D39">
        <f>SUMIF(RawDataDead!$B:$B,$A39,RawDataDead!G:G)</f>
        <v>0</v>
      </c>
      <c r="E39">
        <f>SUMIF(RawDataDead!$B:$B,$A39,RawDataDead!H:H)</f>
        <v>0</v>
      </c>
      <c r="F39">
        <f>SUMIF(RawDataDead!$B:$B,$A39,RawDataDead!I:I)</f>
        <v>0</v>
      </c>
      <c r="G39">
        <f>SUMIF(RawDataDead!$B:$B,$A39,RawDataDead!J:J)</f>
        <v>0</v>
      </c>
      <c r="H39">
        <f>SUMIF(RawDataDead!$B:$B,$A39,RawDataDead!K:K)</f>
        <v>0</v>
      </c>
      <c r="I39">
        <f>SUMIF(RawDataDead!$B:$B,$A39,RawDataDead!L:L)</f>
        <v>0</v>
      </c>
      <c r="J39">
        <f>SUMIF(RawDataDead!$B:$B,$A39,RawDataDead!M:M)</f>
        <v>0</v>
      </c>
      <c r="K39">
        <f>SUMIF(RawDataDead!$B:$B,$A39,RawDataDead!N:N)</f>
        <v>0</v>
      </c>
      <c r="L39">
        <f>SUMIF(RawDataDead!$B:$B,$A39,RawDataDead!O:O)</f>
        <v>0</v>
      </c>
      <c r="M39">
        <f>SUMIF(RawDataDead!$B:$B,$A39,RawDataDead!P:P)</f>
        <v>0</v>
      </c>
      <c r="N39">
        <f>SUMIF(RawDataDead!$B:$B,$A39,RawDataDead!Q:Q)</f>
        <v>0</v>
      </c>
      <c r="O39">
        <f>SUMIF(RawDataDead!$B:$B,$A39,RawDataDead!R:R)</f>
        <v>0</v>
      </c>
      <c r="P39">
        <f>SUMIF(RawDataDead!$B:$B,$A39,RawDataDead!S:S)</f>
        <v>0</v>
      </c>
      <c r="Q39">
        <f>SUMIF(RawDataDead!$B:$B,$A39,RawDataDead!T:T)</f>
        <v>0</v>
      </c>
      <c r="R39">
        <f>SUMIF(RawDataDead!$B:$B,$A39,RawDataDead!U:U)</f>
        <v>0</v>
      </c>
      <c r="S39">
        <f>SUMIF(RawDataDead!$B:$B,$A39,RawDataDead!V:V)</f>
        <v>0</v>
      </c>
      <c r="T39">
        <f>SUMIF(RawDataDead!$B:$B,$A39,RawDataDead!W:W)</f>
        <v>0</v>
      </c>
      <c r="U39">
        <f>SUMIF(RawDataDead!$B:$B,$A39,RawDataDead!X:X)</f>
        <v>0</v>
      </c>
      <c r="V39">
        <f>SUMIF(RawDataDead!$B:$B,$A39,RawDataDead!Y:Y)</f>
        <v>0</v>
      </c>
      <c r="W39">
        <f>SUMIF(RawDataDead!$B:$B,$A39,RawDataDead!Z:Z)</f>
        <v>0</v>
      </c>
      <c r="X39">
        <f>SUMIF(RawDataDead!$B:$B,$A39,RawDataDead!AA:AA)</f>
        <v>0</v>
      </c>
      <c r="Y39">
        <f>SUMIF(RawDataDead!$B:$B,$A39,RawDataDead!AB:AB)</f>
        <v>0</v>
      </c>
      <c r="Z39">
        <f>SUMIF(RawDataDead!$B:$B,$A39,RawDataDead!AC:AC)</f>
        <v>0</v>
      </c>
      <c r="AA39">
        <f>SUMIF(RawDataDead!$B:$B,$A39,RawDataDead!AD:AD)</f>
        <v>0</v>
      </c>
      <c r="AB39">
        <f>SUMIF(RawDataDead!$B:$B,$A39,RawDataDead!AE:AE)</f>
        <v>0</v>
      </c>
      <c r="AC39">
        <f>SUMIF(RawDataDead!$B:$B,$A39,RawDataDead!AF:AF)</f>
        <v>0</v>
      </c>
      <c r="AD39">
        <f>SUMIF(RawDataDead!$B:$B,$A39,RawDataDead!AG:AG)</f>
        <v>0</v>
      </c>
      <c r="AE39">
        <f>SUMIF(RawDataDead!$B:$B,$A39,RawDataDead!AH:AH)</f>
        <v>0</v>
      </c>
      <c r="AF39">
        <f>SUMIF(RawDataDead!$B:$B,$A39,RawDataDead!AI:AI)</f>
        <v>0</v>
      </c>
      <c r="AG39">
        <f>SUMIF(RawDataDead!$B:$B,$A39,RawDataDead!AJ:AJ)</f>
        <v>0</v>
      </c>
      <c r="AH39">
        <f>SUMIF(RawDataDead!$B:$B,$A39,RawDataDead!AK:AK)</f>
        <v>0</v>
      </c>
      <c r="AI39">
        <f>SUMIF(RawDataDead!$B:$B,$A39,RawDataDead!AL:AL)</f>
        <v>0</v>
      </c>
      <c r="AJ39">
        <f>SUMIF(RawDataDead!$B:$B,$A39,RawDataDead!AM:AM)</f>
        <v>0</v>
      </c>
      <c r="AK39">
        <f>SUMIF(RawDataDead!$B:$B,$A39,RawDataDead!AN:AN)</f>
        <v>0</v>
      </c>
      <c r="AL39">
        <f>SUMIF(RawDataDead!$B:$B,$A39,RawDataDead!AO:AO)</f>
        <v>0</v>
      </c>
      <c r="AM39">
        <f>SUMIF(RawDataDead!$B:$B,$A39,RawDataDead!AP:AP)</f>
        <v>0</v>
      </c>
      <c r="AN39">
        <f>SUMIF(RawDataDead!$B:$B,$A39,RawDataDead!AQ:AQ)</f>
        <v>0</v>
      </c>
      <c r="AO39">
        <f>SUMIF(RawDataDead!$B:$B,$A39,RawDataDead!AR:AR)</f>
        <v>0</v>
      </c>
      <c r="AP39">
        <f>SUMIF(RawDataDead!$B:$B,$A39,RawDataDead!AS:AS)</f>
        <v>0</v>
      </c>
      <c r="AQ39">
        <f>SUMIF(RawDataDead!$B:$B,$A39,RawDataDead!AT:AT)</f>
        <v>0</v>
      </c>
      <c r="AR39">
        <f>SUMIF(RawDataDead!$B:$B,$A39,RawDataDead!AU:AU)</f>
        <v>0</v>
      </c>
      <c r="AS39">
        <f>SUMIF(RawDataDead!$B:$B,$A39,RawDataDead!AV:AV)</f>
        <v>0</v>
      </c>
      <c r="AT39">
        <f>SUMIF(RawDataDead!$B:$B,$A39,RawDataDead!AW:AW)</f>
        <v>0</v>
      </c>
      <c r="AU39">
        <f>SUMIF(RawDataDead!$B:$B,$A39,RawDataDead!AX:AX)</f>
        <v>0</v>
      </c>
      <c r="AV39">
        <f>SUMIF(RawDataDead!$B:$B,$A39,RawDataDead!AY:AY)</f>
        <v>0</v>
      </c>
      <c r="AW39">
        <f>SUMIF(RawDataDead!$B:$B,$A39,RawDataDead!AZ:AZ)</f>
        <v>0</v>
      </c>
      <c r="AX39">
        <f>SUMIF(RawDataDead!$B:$B,$A39,RawDataDead!BA:BA)</f>
        <v>0</v>
      </c>
      <c r="AY39">
        <f>SUMIF(RawDataDead!$B:$B,$A39,RawDataDead!BB:BB)</f>
        <v>1</v>
      </c>
      <c r="AZ39">
        <f>SUMIF(RawDataDead!$B:$B,$A39,RawDataDead!BC:BC)</f>
        <v>1</v>
      </c>
      <c r="BA39">
        <f>SUMIF(RawDataDead!$B:$B,$A39,RawDataDead!BD:BD)</f>
        <v>2</v>
      </c>
      <c r="BB39">
        <f>SUMIF(RawDataDead!$B:$B,$A39,RawDataDead!BE:BE)</f>
        <v>2</v>
      </c>
      <c r="BC39">
        <f>SUMIF(RawDataDead!$B:$B,$A39,RawDataDead!BF:BF)</f>
        <v>2</v>
      </c>
      <c r="BD39">
        <f>SUMIF(RawDataDead!$B:$B,$A39,RawDataDead!BG:BG)</f>
        <v>2</v>
      </c>
      <c r="BE39">
        <f>SUMIF(RawDataDead!$B:$B,$A39,RawDataDead!BH:BH)</f>
        <v>3</v>
      </c>
      <c r="BF39">
        <f>SUMIF(RawDataDead!$B:$B,$A39,RawDataDead!BI:BI)</f>
        <v>0</v>
      </c>
      <c r="BG39">
        <f>SUMIF(RawDataDead!$B:$B,$A39,RawDataDead!BJ:BJ)</f>
        <v>0</v>
      </c>
      <c r="BH39">
        <f>SUMIF(RawDataDead!$B:$B,$A39,RawDataDead!BK:BK)</f>
        <v>0</v>
      </c>
      <c r="BI39">
        <f>SUMIF(RawDataDead!$B:$B,$A39,RawDataDead!BL:BL)</f>
        <v>0</v>
      </c>
      <c r="BJ39">
        <f>SUMIF(RawDataDead!$B:$B,$A39,RawDataDead!BM:BM)</f>
        <v>0</v>
      </c>
      <c r="BK39">
        <f>SUMIF(RawDataDead!$B:$B,$A39,RawDataDead!BN:BN)</f>
        <v>0</v>
      </c>
      <c r="BL39">
        <f>SUMIF(RawDataDead!$B:$B,$A39,RawDataDead!BO:BO)</f>
        <v>0</v>
      </c>
      <c r="BM39">
        <f>SUMIF(RawDataDead!$B:$B,$A39,RawDataDead!BP:BP)</f>
        <v>0</v>
      </c>
      <c r="BN39">
        <f>SUMIF(RawDataDead!$B:$B,$A39,RawDataDead!BQ:BQ)</f>
        <v>0</v>
      </c>
      <c r="BO39">
        <f>SUMIF(RawDataDead!$B:$B,$A39,RawDataDead!BR:BR)</f>
        <v>0</v>
      </c>
      <c r="BP39">
        <f>SUMIF(RawDataDead!$B:$B,$A39,RawDataDead!BS:BS)</f>
        <v>0</v>
      </c>
      <c r="BQ39">
        <f>SUMIF(RawDataDead!$B:$B,$A39,RawDataDead!BT:BT)</f>
        <v>0</v>
      </c>
      <c r="BR39">
        <f>SUMIF(RawDataDead!$B:$B,$A39,RawDataDead!BU:BU)</f>
        <v>0</v>
      </c>
      <c r="BS39">
        <f>SUMIF(RawDataDead!$B:$B,$A39,RawDataDead!BV:BV)</f>
        <v>0</v>
      </c>
      <c r="BT39">
        <f>SUMIF(RawDataDead!$B:$B,$A39,RawDataDead!BW:BW)</f>
        <v>0</v>
      </c>
    </row>
    <row r="40" spans="1:72" ht="15" thickBot="1" x14ac:dyDescent="0.35">
      <c r="A40" s="4" t="s">
        <v>92</v>
      </c>
      <c r="B40">
        <f>SUMIF(RawDataDead!$B:$B,$A40,RawDataDead!E:E)</f>
        <v>0</v>
      </c>
      <c r="C40">
        <f>SUMIF(RawDataDead!$B:$B,$A40,RawDataDead!F:F)</f>
        <v>0</v>
      </c>
      <c r="D40">
        <f>SUMIF(RawDataDead!$B:$B,$A40,RawDataDead!G:G)</f>
        <v>0</v>
      </c>
      <c r="E40">
        <f>SUMIF(RawDataDead!$B:$B,$A40,RawDataDead!H:H)</f>
        <v>0</v>
      </c>
      <c r="F40">
        <f>SUMIF(RawDataDead!$B:$B,$A40,RawDataDead!I:I)</f>
        <v>0</v>
      </c>
      <c r="G40">
        <f>SUMIF(RawDataDead!$B:$B,$A40,RawDataDead!J:J)</f>
        <v>0</v>
      </c>
      <c r="H40">
        <f>SUMIF(RawDataDead!$B:$B,$A40,RawDataDead!K:K)</f>
        <v>0</v>
      </c>
      <c r="I40">
        <f>SUMIF(RawDataDead!$B:$B,$A40,RawDataDead!L:L)</f>
        <v>0</v>
      </c>
      <c r="J40">
        <f>SUMIF(RawDataDead!$B:$B,$A40,RawDataDead!M:M)</f>
        <v>0</v>
      </c>
      <c r="K40">
        <f>SUMIF(RawDataDead!$B:$B,$A40,RawDataDead!N:N)</f>
        <v>0</v>
      </c>
      <c r="L40">
        <f>SUMIF(RawDataDead!$B:$B,$A40,RawDataDead!O:O)</f>
        <v>0</v>
      </c>
      <c r="M40">
        <f>SUMIF(RawDataDead!$B:$B,$A40,RawDataDead!P:P)</f>
        <v>0</v>
      </c>
      <c r="N40">
        <f>SUMIF(RawDataDead!$B:$B,$A40,RawDataDead!Q:Q)</f>
        <v>0</v>
      </c>
      <c r="O40">
        <f>SUMIF(RawDataDead!$B:$B,$A40,RawDataDead!R:R)</f>
        <v>0</v>
      </c>
      <c r="P40">
        <f>SUMIF(RawDataDead!$B:$B,$A40,RawDataDead!S:S)</f>
        <v>0</v>
      </c>
      <c r="Q40">
        <f>SUMIF(RawDataDead!$B:$B,$A40,RawDataDead!T:T)</f>
        <v>0</v>
      </c>
      <c r="R40">
        <f>SUMIF(RawDataDead!$B:$B,$A40,RawDataDead!U:U)</f>
        <v>0</v>
      </c>
      <c r="S40">
        <f>SUMIF(RawDataDead!$B:$B,$A40,RawDataDead!V:V)</f>
        <v>0</v>
      </c>
      <c r="T40">
        <f>SUMIF(RawDataDead!$B:$B,$A40,RawDataDead!W:W)</f>
        <v>0</v>
      </c>
      <c r="U40">
        <f>SUMIF(RawDataDead!$B:$B,$A40,RawDataDead!X:X)</f>
        <v>0</v>
      </c>
      <c r="V40">
        <f>SUMIF(RawDataDead!$B:$B,$A40,RawDataDead!Y:Y)</f>
        <v>0</v>
      </c>
      <c r="W40">
        <f>SUMIF(RawDataDead!$B:$B,$A40,RawDataDead!Z:Z)</f>
        <v>0</v>
      </c>
      <c r="X40">
        <f>SUMIF(RawDataDead!$B:$B,$A40,RawDataDead!AA:AA)</f>
        <v>0</v>
      </c>
      <c r="Y40">
        <f>SUMIF(RawDataDead!$B:$B,$A40,RawDataDead!AB:AB)</f>
        <v>0</v>
      </c>
      <c r="Z40">
        <f>SUMIF(RawDataDead!$B:$B,$A40,RawDataDead!AC:AC)</f>
        <v>0</v>
      </c>
      <c r="AA40">
        <f>SUMIF(RawDataDead!$B:$B,$A40,RawDataDead!AD:AD)</f>
        <v>0</v>
      </c>
      <c r="AB40">
        <f>SUMIF(RawDataDead!$B:$B,$A40,RawDataDead!AE:AE)</f>
        <v>0</v>
      </c>
      <c r="AC40">
        <f>SUMIF(RawDataDead!$B:$B,$A40,RawDataDead!AF:AF)</f>
        <v>0</v>
      </c>
      <c r="AD40">
        <f>SUMIF(RawDataDead!$B:$B,$A40,RawDataDead!AG:AG)</f>
        <v>0</v>
      </c>
      <c r="AE40">
        <f>SUMIF(RawDataDead!$B:$B,$A40,RawDataDead!AH:AH)</f>
        <v>0</v>
      </c>
      <c r="AF40">
        <f>SUMIF(RawDataDead!$B:$B,$A40,RawDataDead!AI:AI)</f>
        <v>0</v>
      </c>
      <c r="AG40">
        <f>SUMIF(RawDataDead!$B:$B,$A40,RawDataDead!AJ:AJ)</f>
        <v>0</v>
      </c>
      <c r="AH40">
        <f>SUMIF(RawDataDead!$B:$B,$A40,RawDataDead!AK:AK)</f>
        <v>0</v>
      </c>
      <c r="AI40">
        <f>SUMIF(RawDataDead!$B:$B,$A40,RawDataDead!AL:AL)</f>
        <v>0</v>
      </c>
      <c r="AJ40">
        <f>SUMIF(RawDataDead!$B:$B,$A40,RawDataDead!AM:AM)</f>
        <v>0</v>
      </c>
      <c r="AK40">
        <f>SUMIF(RawDataDead!$B:$B,$A40,RawDataDead!AN:AN)</f>
        <v>0</v>
      </c>
      <c r="AL40">
        <f>SUMIF(RawDataDead!$B:$B,$A40,RawDataDead!AO:AO)</f>
        <v>0</v>
      </c>
      <c r="AM40">
        <f>SUMIF(RawDataDead!$B:$B,$A40,RawDataDead!AP:AP)</f>
        <v>0</v>
      </c>
      <c r="AN40">
        <f>SUMIF(RawDataDead!$B:$B,$A40,RawDataDead!AQ:AQ)</f>
        <v>0</v>
      </c>
      <c r="AO40">
        <f>SUMIF(RawDataDead!$B:$B,$A40,RawDataDead!AR:AR)</f>
        <v>0</v>
      </c>
      <c r="AP40">
        <f>SUMIF(RawDataDead!$B:$B,$A40,RawDataDead!AS:AS)</f>
        <v>0</v>
      </c>
      <c r="AQ40">
        <f>SUMIF(RawDataDead!$B:$B,$A40,RawDataDead!AT:AT)</f>
        <v>0</v>
      </c>
      <c r="AR40">
        <f>SUMIF(RawDataDead!$B:$B,$A40,RawDataDead!AU:AU)</f>
        <v>0</v>
      </c>
      <c r="AS40">
        <f>SUMIF(RawDataDead!$B:$B,$A40,RawDataDead!AV:AV)</f>
        <v>0</v>
      </c>
      <c r="AT40">
        <f>SUMIF(RawDataDead!$B:$B,$A40,RawDataDead!AW:AW)</f>
        <v>0</v>
      </c>
      <c r="AU40">
        <f>SUMIF(RawDataDead!$B:$B,$A40,RawDataDead!AX:AX)</f>
        <v>0</v>
      </c>
      <c r="AV40">
        <f>SUMIF(RawDataDead!$B:$B,$A40,RawDataDead!AY:AY)</f>
        <v>1</v>
      </c>
      <c r="AW40">
        <f>SUMIF(RawDataDead!$B:$B,$A40,RawDataDead!AZ:AZ)</f>
        <v>1</v>
      </c>
      <c r="AX40">
        <f>SUMIF(RawDataDead!$B:$B,$A40,RawDataDead!BA:BA)</f>
        <v>1</v>
      </c>
      <c r="AY40">
        <f>SUMIF(RawDataDead!$B:$B,$A40,RawDataDead!BB:BB)</f>
        <v>1</v>
      </c>
      <c r="AZ40">
        <f>SUMIF(RawDataDead!$B:$B,$A40,RawDataDead!BC:BC)</f>
        <v>1</v>
      </c>
      <c r="BA40">
        <f>SUMIF(RawDataDead!$B:$B,$A40,RawDataDead!BD:BD)</f>
        <v>2</v>
      </c>
      <c r="BB40">
        <f>SUMIF(RawDataDead!$B:$B,$A40,RawDataDead!BE:BE)</f>
        <v>2</v>
      </c>
      <c r="BC40">
        <f>SUMIF(RawDataDead!$B:$B,$A40,RawDataDead!BF:BF)</f>
        <v>2</v>
      </c>
      <c r="BD40">
        <f>SUMIF(RawDataDead!$B:$B,$A40,RawDataDead!BG:BG)</f>
        <v>2</v>
      </c>
      <c r="BE40">
        <f>SUMIF(RawDataDead!$B:$B,$A40,RawDataDead!BH:BH)</f>
        <v>4</v>
      </c>
      <c r="BF40">
        <f>SUMIF(RawDataDead!$B:$B,$A40,RawDataDead!BI:BI)</f>
        <v>0</v>
      </c>
      <c r="BG40">
        <f>SUMIF(RawDataDead!$B:$B,$A40,RawDataDead!BJ:BJ)</f>
        <v>0</v>
      </c>
      <c r="BH40">
        <f>SUMIF(RawDataDead!$B:$B,$A40,RawDataDead!BK:BK)</f>
        <v>0</v>
      </c>
      <c r="BI40">
        <f>SUMIF(RawDataDead!$B:$B,$A40,RawDataDead!BL:BL)</f>
        <v>0</v>
      </c>
      <c r="BJ40">
        <f>SUMIF(RawDataDead!$B:$B,$A40,RawDataDead!BM:BM)</f>
        <v>0</v>
      </c>
      <c r="BK40">
        <f>SUMIF(RawDataDead!$B:$B,$A40,RawDataDead!BN:BN)</f>
        <v>0</v>
      </c>
      <c r="BL40">
        <f>SUMIF(RawDataDead!$B:$B,$A40,RawDataDead!BO:BO)</f>
        <v>0</v>
      </c>
      <c r="BM40">
        <f>SUMIF(RawDataDead!$B:$B,$A40,RawDataDead!BP:BP)</f>
        <v>0</v>
      </c>
      <c r="BN40">
        <f>SUMIF(RawDataDead!$B:$B,$A40,RawDataDead!BQ:BQ)</f>
        <v>0</v>
      </c>
      <c r="BO40">
        <f>SUMIF(RawDataDead!$B:$B,$A40,RawDataDead!BR:BR)</f>
        <v>0</v>
      </c>
      <c r="BP40">
        <f>SUMIF(RawDataDead!$B:$B,$A40,RawDataDead!BS:BS)</f>
        <v>0</v>
      </c>
      <c r="BQ40">
        <f>SUMIF(RawDataDead!$B:$B,$A40,RawDataDead!BT:BT)</f>
        <v>0</v>
      </c>
      <c r="BR40">
        <f>SUMIF(RawDataDead!$B:$B,$A40,RawDataDead!BU:BU)</f>
        <v>0</v>
      </c>
      <c r="BS40">
        <f>SUMIF(RawDataDead!$B:$B,$A40,RawDataDead!BV:BV)</f>
        <v>0</v>
      </c>
      <c r="BT40">
        <f>SUMIF(RawDataDead!$B:$B,$A40,RawDataDead!BW:BW)</f>
        <v>0</v>
      </c>
    </row>
    <row r="41" spans="1:72" ht="15" thickBot="1" x14ac:dyDescent="0.35">
      <c r="A41" s="3" t="s">
        <v>101</v>
      </c>
      <c r="B41">
        <f>SUMIF(RawDataDead!$B:$B,$A41,RawDataDead!E:E)</f>
        <v>0</v>
      </c>
      <c r="C41">
        <f>SUMIF(RawDataDead!$B:$B,$A41,RawDataDead!F:F)</f>
        <v>0</v>
      </c>
      <c r="D41">
        <f>SUMIF(RawDataDead!$B:$B,$A41,RawDataDead!G:G)</f>
        <v>0</v>
      </c>
      <c r="E41">
        <f>SUMIF(RawDataDead!$B:$B,$A41,RawDataDead!H:H)</f>
        <v>0</v>
      </c>
      <c r="F41">
        <f>SUMIF(RawDataDead!$B:$B,$A41,RawDataDead!I:I)</f>
        <v>0</v>
      </c>
      <c r="G41">
        <f>SUMIF(RawDataDead!$B:$B,$A41,RawDataDead!J:J)</f>
        <v>0</v>
      </c>
      <c r="H41">
        <f>SUMIF(RawDataDead!$B:$B,$A41,RawDataDead!K:K)</f>
        <v>0</v>
      </c>
      <c r="I41">
        <f>SUMIF(RawDataDead!$B:$B,$A41,RawDataDead!L:L)</f>
        <v>0</v>
      </c>
      <c r="J41">
        <f>SUMIF(RawDataDead!$B:$B,$A41,RawDataDead!M:M)</f>
        <v>0</v>
      </c>
      <c r="K41">
        <f>SUMIF(RawDataDead!$B:$B,$A41,RawDataDead!N:N)</f>
        <v>0</v>
      </c>
      <c r="L41">
        <f>SUMIF(RawDataDead!$B:$B,$A41,RawDataDead!O:O)</f>
        <v>0</v>
      </c>
      <c r="M41">
        <f>SUMIF(RawDataDead!$B:$B,$A41,RawDataDead!P:P)</f>
        <v>0</v>
      </c>
      <c r="N41">
        <f>SUMIF(RawDataDead!$B:$B,$A41,RawDataDead!Q:Q)</f>
        <v>0</v>
      </c>
      <c r="O41">
        <f>SUMIF(RawDataDead!$B:$B,$A41,RawDataDead!R:R)</f>
        <v>0</v>
      </c>
      <c r="P41">
        <f>SUMIF(RawDataDead!$B:$B,$A41,RawDataDead!S:S)</f>
        <v>0</v>
      </c>
      <c r="Q41">
        <f>SUMIF(RawDataDead!$B:$B,$A41,RawDataDead!T:T)</f>
        <v>0</v>
      </c>
      <c r="R41">
        <f>SUMIF(RawDataDead!$B:$B,$A41,RawDataDead!U:U)</f>
        <v>0</v>
      </c>
      <c r="S41">
        <f>SUMIF(RawDataDead!$B:$B,$A41,RawDataDead!V:V)</f>
        <v>0</v>
      </c>
      <c r="T41">
        <f>SUMIF(RawDataDead!$B:$B,$A41,RawDataDead!W:W)</f>
        <v>0</v>
      </c>
      <c r="U41">
        <f>SUMIF(RawDataDead!$B:$B,$A41,RawDataDead!X:X)</f>
        <v>0</v>
      </c>
      <c r="V41">
        <f>SUMIF(RawDataDead!$B:$B,$A41,RawDataDead!Y:Y)</f>
        <v>0</v>
      </c>
      <c r="W41">
        <f>SUMIF(RawDataDead!$B:$B,$A41,RawDataDead!Z:Z)</f>
        <v>0</v>
      </c>
      <c r="X41">
        <f>SUMIF(RawDataDead!$B:$B,$A41,RawDataDead!AA:AA)</f>
        <v>0</v>
      </c>
      <c r="Y41">
        <f>SUMIF(RawDataDead!$B:$B,$A41,RawDataDead!AB:AB)</f>
        <v>0</v>
      </c>
      <c r="Z41">
        <f>SUMIF(RawDataDead!$B:$B,$A41,RawDataDead!AC:AC)</f>
        <v>0</v>
      </c>
      <c r="AA41">
        <f>SUMIF(RawDataDead!$B:$B,$A41,RawDataDead!AD:AD)</f>
        <v>0</v>
      </c>
      <c r="AB41">
        <f>SUMIF(RawDataDead!$B:$B,$A41,RawDataDead!AE:AE)</f>
        <v>0</v>
      </c>
      <c r="AC41">
        <f>SUMIF(RawDataDead!$B:$B,$A41,RawDataDead!AF:AF)</f>
        <v>0</v>
      </c>
      <c r="AD41">
        <f>SUMIF(RawDataDead!$B:$B,$A41,RawDataDead!AG:AG)</f>
        <v>0</v>
      </c>
      <c r="AE41">
        <f>SUMIF(RawDataDead!$B:$B,$A41,RawDataDead!AH:AH)</f>
        <v>0</v>
      </c>
      <c r="AF41">
        <f>SUMIF(RawDataDead!$B:$B,$A41,RawDataDead!AI:AI)</f>
        <v>0</v>
      </c>
      <c r="AG41">
        <f>SUMIF(RawDataDead!$B:$B,$A41,RawDataDead!AJ:AJ)</f>
        <v>0</v>
      </c>
      <c r="AH41">
        <f>SUMIF(RawDataDead!$B:$B,$A41,RawDataDead!AK:AK)</f>
        <v>0</v>
      </c>
      <c r="AI41">
        <f>SUMIF(RawDataDead!$B:$B,$A41,RawDataDead!AL:AL)</f>
        <v>0</v>
      </c>
      <c r="AJ41">
        <f>SUMIF(RawDataDead!$B:$B,$A41,RawDataDead!AM:AM)</f>
        <v>0</v>
      </c>
      <c r="AK41">
        <f>SUMIF(RawDataDead!$B:$B,$A41,RawDataDead!AN:AN)</f>
        <v>0</v>
      </c>
      <c r="AL41">
        <f>SUMIF(RawDataDead!$B:$B,$A41,RawDataDead!AO:AO)</f>
        <v>0</v>
      </c>
      <c r="AM41">
        <f>SUMIF(RawDataDead!$B:$B,$A41,RawDataDead!AP:AP)</f>
        <v>0</v>
      </c>
      <c r="AN41">
        <f>SUMIF(RawDataDead!$B:$B,$A41,RawDataDead!AQ:AQ)</f>
        <v>0</v>
      </c>
      <c r="AO41">
        <f>SUMIF(RawDataDead!$B:$B,$A41,RawDataDead!AR:AR)</f>
        <v>0</v>
      </c>
      <c r="AP41">
        <f>SUMIF(RawDataDead!$B:$B,$A41,RawDataDead!AS:AS)</f>
        <v>0</v>
      </c>
      <c r="AQ41">
        <f>SUMIF(RawDataDead!$B:$B,$A41,RawDataDead!AT:AT)</f>
        <v>0</v>
      </c>
      <c r="AR41">
        <f>SUMIF(RawDataDead!$B:$B,$A41,RawDataDead!AU:AU)</f>
        <v>0</v>
      </c>
      <c r="AS41">
        <f>SUMIF(RawDataDead!$B:$B,$A41,RawDataDead!AV:AV)</f>
        <v>0</v>
      </c>
      <c r="AT41">
        <f>SUMIF(RawDataDead!$B:$B,$A41,RawDataDead!AW:AW)</f>
        <v>0</v>
      </c>
      <c r="AU41">
        <f>SUMIF(RawDataDead!$B:$B,$A41,RawDataDead!AX:AX)</f>
        <v>0</v>
      </c>
      <c r="AV41">
        <f>SUMIF(RawDataDead!$B:$B,$A41,RawDataDead!AY:AY)</f>
        <v>0</v>
      </c>
      <c r="AW41">
        <f>SUMIF(RawDataDead!$B:$B,$A41,RawDataDead!AZ:AZ)</f>
        <v>0</v>
      </c>
      <c r="AX41">
        <f>SUMIF(RawDataDead!$B:$B,$A41,RawDataDead!BA:BA)</f>
        <v>0</v>
      </c>
      <c r="AY41">
        <f>SUMIF(RawDataDead!$B:$B,$A41,RawDataDead!BB:BB)</f>
        <v>0</v>
      </c>
      <c r="AZ41">
        <f>SUMIF(RawDataDead!$B:$B,$A41,RawDataDead!BC:BC)</f>
        <v>0</v>
      </c>
      <c r="BA41">
        <f>SUMIF(RawDataDead!$B:$B,$A41,RawDataDead!BD:BD)</f>
        <v>0</v>
      </c>
      <c r="BB41">
        <f>SUMIF(RawDataDead!$B:$B,$A41,RawDataDead!BE:BE)</f>
        <v>0</v>
      </c>
      <c r="BC41">
        <f>SUMIF(RawDataDead!$B:$B,$A41,RawDataDead!BF:BF)</f>
        <v>0</v>
      </c>
      <c r="BD41">
        <f>SUMIF(RawDataDead!$B:$B,$A41,RawDataDead!BG:BG)</f>
        <v>0</v>
      </c>
      <c r="BE41">
        <f>SUMIF(RawDataDead!$B:$B,$A41,RawDataDead!BH:BH)</f>
        <v>0</v>
      </c>
      <c r="BF41">
        <f>SUMIF(RawDataDead!$B:$B,$A41,RawDataDead!BI:BI)</f>
        <v>0</v>
      </c>
      <c r="BG41">
        <f>SUMIF(RawDataDead!$B:$B,$A41,RawDataDead!BJ:BJ)</f>
        <v>0</v>
      </c>
      <c r="BH41">
        <f>SUMIF(RawDataDead!$B:$B,$A41,RawDataDead!BK:BK)</f>
        <v>0</v>
      </c>
      <c r="BI41">
        <f>SUMIF(RawDataDead!$B:$B,$A41,RawDataDead!BL:BL)</f>
        <v>0</v>
      </c>
      <c r="BJ41">
        <f>SUMIF(RawDataDead!$B:$B,$A41,RawDataDead!BM:BM)</f>
        <v>0</v>
      </c>
      <c r="BK41">
        <f>SUMIF(RawDataDead!$B:$B,$A41,RawDataDead!BN:BN)</f>
        <v>0</v>
      </c>
      <c r="BL41">
        <f>SUMIF(RawDataDead!$B:$B,$A41,RawDataDead!BO:BO)</f>
        <v>0</v>
      </c>
      <c r="BM41">
        <f>SUMIF(RawDataDead!$B:$B,$A41,RawDataDead!BP:BP)</f>
        <v>0</v>
      </c>
      <c r="BN41">
        <f>SUMIF(RawDataDead!$B:$B,$A41,RawDataDead!BQ:BQ)</f>
        <v>0</v>
      </c>
      <c r="BO41">
        <f>SUMIF(RawDataDead!$B:$B,$A41,RawDataDead!BR:BR)</f>
        <v>0</v>
      </c>
      <c r="BP41">
        <f>SUMIF(RawDataDead!$B:$B,$A41,RawDataDead!BS:BS)</f>
        <v>0</v>
      </c>
      <c r="BQ41">
        <f>SUMIF(RawDataDead!$B:$B,$A41,RawDataDead!BT:BT)</f>
        <v>0</v>
      </c>
      <c r="BR41">
        <f>SUMIF(RawDataDead!$B:$B,$A41,RawDataDead!BU:BU)</f>
        <v>0</v>
      </c>
      <c r="BS41">
        <f>SUMIF(RawDataDead!$B:$B,$A41,RawDataDead!BV:BV)</f>
        <v>0</v>
      </c>
      <c r="BT41">
        <f>SUMIF(RawDataDead!$B:$B,$A41,RawDataDead!BW:BW)</f>
        <v>0</v>
      </c>
    </row>
    <row r="42" spans="1:72" ht="15" thickBot="1" x14ac:dyDescent="0.35">
      <c r="A42" s="4" t="s">
        <v>117</v>
      </c>
      <c r="B42">
        <f>SUMIF(RawDataDead!$B:$B,$A42,RawDataDead!E:E)</f>
        <v>0</v>
      </c>
      <c r="C42">
        <f>SUMIF(RawDataDead!$B:$B,$A42,RawDataDead!F:F)</f>
        <v>0</v>
      </c>
      <c r="D42">
        <f>SUMIF(RawDataDead!$B:$B,$A42,RawDataDead!G:G)</f>
        <v>0</v>
      </c>
      <c r="E42">
        <f>SUMIF(RawDataDead!$B:$B,$A42,RawDataDead!H:H)</f>
        <v>0</v>
      </c>
      <c r="F42">
        <f>SUMIF(RawDataDead!$B:$B,$A42,RawDataDead!I:I)</f>
        <v>0</v>
      </c>
      <c r="G42">
        <f>SUMIF(RawDataDead!$B:$B,$A42,RawDataDead!J:J)</f>
        <v>0</v>
      </c>
      <c r="H42">
        <f>SUMIF(RawDataDead!$B:$B,$A42,RawDataDead!K:K)</f>
        <v>0</v>
      </c>
      <c r="I42">
        <f>SUMIF(RawDataDead!$B:$B,$A42,RawDataDead!L:L)</f>
        <v>0</v>
      </c>
      <c r="J42">
        <f>SUMIF(RawDataDead!$B:$B,$A42,RawDataDead!M:M)</f>
        <v>0</v>
      </c>
      <c r="K42">
        <f>SUMIF(RawDataDead!$B:$B,$A42,RawDataDead!N:N)</f>
        <v>0</v>
      </c>
      <c r="L42">
        <f>SUMIF(RawDataDead!$B:$B,$A42,RawDataDead!O:O)</f>
        <v>0</v>
      </c>
      <c r="M42">
        <f>SUMIF(RawDataDead!$B:$B,$A42,RawDataDead!P:P)</f>
        <v>0</v>
      </c>
      <c r="N42">
        <f>SUMIF(RawDataDead!$B:$B,$A42,RawDataDead!Q:Q)</f>
        <v>0</v>
      </c>
      <c r="O42">
        <f>SUMIF(RawDataDead!$B:$B,$A42,RawDataDead!R:R)</f>
        <v>0</v>
      </c>
      <c r="P42">
        <f>SUMIF(RawDataDead!$B:$B,$A42,RawDataDead!S:S)</f>
        <v>0</v>
      </c>
      <c r="Q42">
        <f>SUMIF(RawDataDead!$B:$B,$A42,RawDataDead!T:T)</f>
        <v>0</v>
      </c>
      <c r="R42">
        <f>SUMIF(RawDataDead!$B:$B,$A42,RawDataDead!U:U)</f>
        <v>0</v>
      </c>
      <c r="S42">
        <f>SUMIF(RawDataDead!$B:$B,$A42,RawDataDead!V:V)</f>
        <v>0</v>
      </c>
      <c r="T42">
        <f>SUMIF(RawDataDead!$B:$B,$A42,RawDataDead!W:W)</f>
        <v>0</v>
      </c>
      <c r="U42">
        <f>SUMIF(RawDataDead!$B:$B,$A42,RawDataDead!X:X)</f>
        <v>0</v>
      </c>
      <c r="V42">
        <f>SUMIF(RawDataDead!$B:$B,$A42,RawDataDead!Y:Y)</f>
        <v>0</v>
      </c>
      <c r="W42">
        <f>SUMIF(RawDataDead!$B:$B,$A42,RawDataDead!Z:Z)</f>
        <v>0</v>
      </c>
      <c r="X42">
        <f>SUMIF(RawDataDead!$B:$B,$A42,RawDataDead!AA:AA)</f>
        <v>0</v>
      </c>
      <c r="Y42">
        <f>SUMIF(RawDataDead!$B:$B,$A42,RawDataDead!AB:AB)</f>
        <v>0</v>
      </c>
      <c r="Z42">
        <f>SUMIF(RawDataDead!$B:$B,$A42,RawDataDead!AC:AC)</f>
        <v>0</v>
      </c>
      <c r="AA42">
        <f>SUMIF(RawDataDead!$B:$B,$A42,RawDataDead!AD:AD)</f>
        <v>0</v>
      </c>
      <c r="AB42">
        <f>SUMIF(RawDataDead!$B:$B,$A42,RawDataDead!AE:AE)</f>
        <v>0</v>
      </c>
      <c r="AC42">
        <f>SUMIF(RawDataDead!$B:$B,$A42,RawDataDead!AF:AF)</f>
        <v>0</v>
      </c>
      <c r="AD42">
        <f>SUMIF(RawDataDead!$B:$B,$A42,RawDataDead!AG:AG)</f>
        <v>0</v>
      </c>
      <c r="AE42">
        <f>SUMIF(RawDataDead!$B:$B,$A42,RawDataDead!AH:AH)</f>
        <v>0</v>
      </c>
      <c r="AF42">
        <f>SUMIF(RawDataDead!$B:$B,$A42,RawDataDead!AI:AI)</f>
        <v>0</v>
      </c>
      <c r="AG42">
        <f>SUMIF(RawDataDead!$B:$B,$A42,RawDataDead!AJ:AJ)</f>
        <v>0</v>
      </c>
      <c r="AH42">
        <f>SUMIF(RawDataDead!$B:$B,$A42,RawDataDead!AK:AK)</f>
        <v>0</v>
      </c>
      <c r="AI42">
        <f>SUMIF(RawDataDead!$B:$B,$A42,RawDataDead!AL:AL)</f>
        <v>0</v>
      </c>
      <c r="AJ42">
        <f>SUMIF(RawDataDead!$B:$B,$A42,RawDataDead!AM:AM)</f>
        <v>0</v>
      </c>
      <c r="AK42">
        <f>SUMIF(RawDataDead!$B:$B,$A42,RawDataDead!AN:AN)</f>
        <v>0</v>
      </c>
      <c r="AL42">
        <f>SUMIF(RawDataDead!$B:$B,$A42,RawDataDead!AO:AO)</f>
        <v>0</v>
      </c>
      <c r="AM42">
        <f>SUMIF(RawDataDead!$B:$B,$A42,RawDataDead!AP:AP)</f>
        <v>0</v>
      </c>
      <c r="AN42">
        <f>SUMIF(RawDataDead!$B:$B,$A42,RawDataDead!AQ:AQ)</f>
        <v>0</v>
      </c>
      <c r="AO42">
        <f>SUMIF(RawDataDead!$B:$B,$A42,RawDataDead!AR:AR)</f>
        <v>0</v>
      </c>
      <c r="AP42">
        <f>SUMIF(RawDataDead!$B:$B,$A42,RawDataDead!AS:AS)</f>
        <v>0</v>
      </c>
      <c r="AQ42">
        <f>SUMIF(RawDataDead!$B:$B,$A42,RawDataDead!AT:AT)</f>
        <v>1</v>
      </c>
      <c r="AR42">
        <f>SUMIF(RawDataDead!$B:$B,$A42,RawDataDead!AU:AU)</f>
        <v>1</v>
      </c>
      <c r="AS42">
        <f>SUMIF(RawDataDead!$B:$B,$A42,RawDataDead!AV:AV)</f>
        <v>1</v>
      </c>
      <c r="AT42">
        <f>SUMIF(RawDataDead!$B:$B,$A42,RawDataDead!AW:AW)</f>
        <v>1</v>
      </c>
      <c r="AU42">
        <f>SUMIF(RawDataDead!$B:$B,$A42,RawDataDead!AX:AX)</f>
        <v>1</v>
      </c>
      <c r="AV42">
        <f>SUMIF(RawDataDead!$B:$B,$A42,RawDataDead!AY:AY)</f>
        <v>1</v>
      </c>
      <c r="AW42">
        <f>SUMIF(RawDataDead!$B:$B,$A42,RawDataDead!AZ:AZ)</f>
        <v>1</v>
      </c>
      <c r="AX42">
        <f>SUMIF(RawDataDead!$B:$B,$A42,RawDataDead!BA:BA)</f>
        <v>2</v>
      </c>
      <c r="AY42">
        <f>SUMIF(RawDataDead!$B:$B,$A42,RawDataDead!BB:BB)</f>
        <v>2</v>
      </c>
      <c r="AZ42">
        <f>SUMIF(RawDataDead!$B:$B,$A42,RawDataDead!BC:BC)</f>
        <v>3</v>
      </c>
      <c r="BA42">
        <f>SUMIF(RawDataDead!$B:$B,$A42,RawDataDead!BD:BD)</f>
        <v>5</v>
      </c>
      <c r="BB42">
        <f>SUMIF(RawDataDead!$B:$B,$A42,RawDataDead!BE:BE)</f>
        <v>5</v>
      </c>
      <c r="BC42">
        <f>SUMIF(RawDataDead!$B:$B,$A42,RawDataDead!BF:BF)</f>
        <v>5</v>
      </c>
      <c r="BD42">
        <f>SUMIF(RawDataDead!$B:$B,$A42,RawDataDead!BG:BG)</f>
        <v>7</v>
      </c>
      <c r="BE42">
        <f>SUMIF(RawDataDead!$B:$B,$A42,RawDataDead!BH:BH)</f>
        <v>7</v>
      </c>
      <c r="BF42">
        <f>SUMIF(RawDataDead!$B:$B,$A42,RawDataDead!BI:BI)</f>
        <v>0</v>
      </c>
      <c r="BG42">
        <f>SUMIF(RawDataDead!$B:$B,$A42,RawDataDead!BJ:BJ)</f>
        <v>0</v>
      </c>
      <c r="BH42">
        <f>SUMIF(RawDataDead!$B:$B,$A42,RawDataDead!BK:BK)</f>
        <v>0</v>
      </c>
      <c r="BI42">
        <f>SUMIF(RawDataDead!$B:$B,$A42,RawDataDead!BL:BL)</f>
        <v>0</v>
      </c>
      <c r="BJ42">
        <f>SUMIF(RawDataDead!$B:$B,$A42,RawDataDead!BM:BM)</f>
        <v>0</v>
      </c>
      <c r="BK42">
        <f>SUMIF(RawDataDead!$B:$B,$A42,RawDataDead!BN:BN)</f>
        <v>0</v>
      </c>
      <c r="BL42">
        <f>SUMIF(RawDataDead!$B:$B,$A42,RawDataDead!BO:BO)</f>
        <v>0</v>
      </c>
      <c r="BM42">
        <f>SUMIF(RawDataDead!$B:$B,$A42,RawDataDead!BP:BP)</f>
        <v>0</v>
      </c>
      <c r="BN42">
        <f>SUMIF(RawDataDead!$B:$B,$A42,RawDataDead!BQ:BQ)</f>
        <v>0</v>
      </c>
      <c r="BO42">
        <f>SUMIF(RawDataDead!$B:$B,$A42,RawDataDead!BR:BR)</f>
        <v>0</v>
      </c>
      <c r="BP42">
        <f>SUMIF(RawDataDead!$B:$B,$A42,RawDataDead!BS:BS)</f>
        <v>0</v>
      </c>
      <c r="BQ42">
        <f>SUMIF(RawDataDead!$B:$B,$A42,RawDataDead!BT:BT)</f>
        <v>0</v>
      </c>
      <c r="BR42">
        <f>SUMIF(RawDataDead!$B:$B,$A42,RawDataDead!BU:BU)</f>
        <v>0</v>
      </c>
      <c r="BS42">
        <f>SUMIF(RawDataDead!$B:$B,$A42,RawDataDead!BV:BV)</f>
        <v>0</v>
      </c>
      <c r="BT42">
        <f>SUMIF(RawDataDead!$B:$B,$A42,RawDataDead!BW:BW)</f>
        <v>0</v>
      </c>
    </row>
    <row r="43" spans="1:72" ht="15" thickBot="1" x14ac:dyDescent="0.35">
      <c r="A43" s="4" t="s">
        <v>115</v>
      </c>
      <c r="B43">
        <f>SUMIF(RawDataDead!$B:$B,$A43,RawDataDead!E:E)</f>
        <v>0</v>
      </c>
      <c r="C43">
        <f>SUMIF(RawDataDead!$B:$B,$A43,RawDataDead!F:F)</f>
        <v>0</v>
      </c>
      <c r="D43">
        <f>SUMIF(RawDataDead!$B:$B,$A43,RawDataDead!G:G)</f>
        <v>0</v>
      </c>
      <c r="E43">
        <f>SUMIF(RawDataDead!$B:$B,$A43,RawDataDead!H:H)</f>
        <v>0</v>
      </c>
      <c r="F43">
        <f>SUMIF(RawDataDead!$B:$B,$A43,RawDataDead!I:I)</f>
        <v>0</v>
      </c>
      <c r="G43">
        <f>SUMIF(RawDataDead!$B:$B,$A43,RawDataDead!J:J)</f>
        <v>0</v>
      </c>
      <c r="H43">
        <f>SUMIF(RawDataDead!$B:$B,$A43,RawDataDead!K:K)</f>
        <v>0</v>
      </c>
      <c r="I43">
        <f>SUMIF(RawDataDead!$B:$B,$A43,RawDataDead!L:L)</f>
        <v>0</v>
      </c>
      <c r="J43">
        <f>SUMIF(RawDataDead!$B:$B,$A43,RawDataDead!M:M)</f>
        <v>0</v>
      </c>
      <c r="K43">
        <f>SUMIF(RawDataDead!$B:$B,$A43,RawDataDead!N:N)</f>
        <v>0</v>
      </c>
      <c r="L43">
        <f>SUMIF(RawDataDead!$B:$B,$A43,RawDataDead!O:O)</f>
        <v>0</v>
      </c>
      <c r="M43">
        <f>SUMIF(RawDataDead!$B:$B,$A43,RawDataDead!P:P)</f>
        <v>0</v>
      </c>
      <c r="N43">
        <f>SUMIF(RawDataDead!$B:$B,$A43,RawDataDead!Q:Q)</f>
        <v>0</v>
      </c>
      <c r="O43">
        <f>SUMIF(RawDataDead!$B:$B,$A43,RawDataDead!R:R)</f>
        <v>0</v>
      </c>
      <c r="P43">
        <f>SUMIF(RawDataDead!$B:$B,$A43,RawDataDead!S:S)</f>
        <v>0</v>
      </c>
      <c r="Q43">
        <f>SUMIF(RawDataDead!$B:$B,$A43,RawDataDead!T:T)</f>
        <v>0</v>
      </c>
      <c r="R43">
        <f>SUMIF(RawDataDead!$B:$B,$A43,RawDataDead!U:U)</f>
        <v>0</v>
      </c>
      <c r="S43">
        <f>SUMIF(RawDataDead!$B:$B,$A43,RawDataDead!V:V)</f>
        <v>0</v>
      </c>
      <c r="T43">
        <f>SUMIF(RawDataDead!$B:$B,$A43,RawDataDead!W:W)</f>
        <v>0</v>
      </c>
      <c r="U43">
        <f>SUMIF(RawDataDead!$B:$B,$A43,RawDataDead!X:X)</f>
        <v>0</v>
      </c>
      <c r="V43">
        <f>SUMIF(RawDataDead!$B:$B,$A43,RawDataDead!Y:Y)</f>
        <v>0</v>
      </c>
      <c r="W43">
        <f>SUMIF(RawDataDead!$B:$B,$A43,RawDataDead!Z:Z)</f>
        <v>0</v>
      </c>
      <c r="X43">
        <f>SUMIF(RawDataDead!$B:$B,$A43,RawDataDead!AA:AA)</f>
        <v>0</v>
      </c>
      <c r="Y43">
        <f>SUMIF(RawDataDead!$B:$B,$A43,RawDataDead!AB:AB)</f>
        <v>0</v>
      </c>
      <c r="Z43">
        <f>SUMIF(RawDataDead!$B:$B,$A43,RawDataDead!AC:AC)</f>
        <v>0</v>
      </c>
      <c r="AA43">
        <f>SUMIF(RawDataDead!$B:$B,$A43,RawDataDead!AD:AD)</f>
        <v>0</v>
      </c>
      <c r="AB43">
        <f>SUMIF(RawDataDead!$B:$B,$A43,RawDataDead!AE:AE)</f>
        <v>0</v>
      </c>
      <c r="AC43">
        <f>SUMIF(RawDataDead!$B:$B,$A43,RawDataDead!AF:AF)</f>
        <v>0</v>
      </c>
      <c r="AD43">
        <f>SUMIF(RawDataDead!$B:$B,$A43,RawDataDead!AG:AG)</f>
        <v>0</v>
      </c>
      <c r="AE43">
        <f>SUMIF(RawDataDead!$B:$B,$A43,RawDataDead!AH:AH)</f>
        <v>0</v>
      </c>
      <c r="AF43">
        <f>SUMIF(RawDataDead!$B:$B,$A43,RawDataDead!AI:AI)</f>
        <v>0</v>
      </c>
      <c r="AG43">
        <f>SUMIF(RawDataDead!$B:$B,$A43,RawDataDead!AJ:AJ)</f>
        <v>0</v>
      </c>
      <c r="AH43">
        <f>SUMIF(RawDataDead!$B:$B,$A43,RawDataDead!AK:AK)</f>
        <v>0</v>
      </c>
      <c r="AI43">
        <f>SUMIF(RawDataDead!$B:$B,$A43,RawDataDead!AL:AL)</f>
        <v>0</v>
      </c>
      <c r="AJ43">
        <f>SUMIF(RawDataDead!$B:$B,$A43,RawDataDead!AM:AM)</f>
        <v>0</v>
      </c>
      <c r="AK43">
        <f>SUMIF(RawDataDead!$B:$B,$A43,RawDataDead!AN:AN)</f>
        <v>0</v>
      </c>
      <c r="AL43">
        <f>SUMIF(RawDataDead!$B:$B,$A43,RawDataDead!AO:AO)</f>
        <v>0</v>
      </c>
      <c r="AM43">
        <f>SUMIF(RawDataDead!$B:$B,$A43,RawDataDead!AP:AP)</f>
        <v>0</v>
      </c>
      <c r="AN43">
        <f>SUMIF(RawDataDead!$B:$B,$A43,RawDataDead!AQ:AQ)</f>
        <v>0</v>
      </c>
      <c r="AO43">
        <f>SUMIF(RawDataDead!$B:$B,$A43,RawDataDead!AR:AR)</f>
        <v>0</v>
      </c>
      <c r="AP43">
        <f>SUMIF(RawDataDead!$B:$B,$A43,RawDataDead!AS:AS)</f>
        <v>0</v>
      </c>
      <c r="AQ43">
        <f>SUMIF(RawDataDead!$B:$B,$A43,RawDataDead!AT:AT)</f>
        <v>0</v>
      </c>
      <c r="AR43">
        <f>SUMIF(RawDataDead!$B:$B,$A43,RawDataDead!AU:AU)</f>
        <v>0</v>
      </c>
      <c r="AS43">
        <f>SUMIF(RawDataDead!$B:$B,$A43,RawDataDead!AV:AV)</f>
        <v>0</v>
      </c>
      <c r="AT43">
        <f>SUMIF(RawDataDead!$B:$B,$A43,RawDataDead!AW:AW)</f>
        <v>0</v>
      </c>
      <c r="AU43">
        <f>SUMIF(RawDataDead!$B:$B,$A43,RawDataDead!AX:AX)</f>
        <v>0</v>
      </c>
      <c r="AV43">
        <f>SUMIF(RawDataDead!$B:$B,$A43,RawDataDead!AY:AY)</f>
        <v>0</v>
      </c>
      <c r="AW43">
        <f>SUMIF(RawDataDead!$B:$B,$A43,RawDataDead!AZ:AZ)</f>
        <v>0</v>
      </c>
      <c r="AX43">
        <f>SUMIF(RawDataDead!$B:$B,$A43,RawDataDead!BA:BA)</f>
        <v>0</v>
      </c>
      <c r="AY43">
        <f>SUMIF(RawDataDead!$B:$B,$A43,RawDataDead!BB:BB)</f>
        <v>0</v>
      </c>
      <c r="AZ43">
        <f>SUMIF(RawDataDead!$B:$B,$A43,RawDataDead!BC:BC)</f>
        <v>0</v>
      </c>
      <c r="BA43">
        <f>SUMIF(RawDataDead!$B:$B,$A43,RawDataDead!BD:BD)</f>
        <v>0</v>
      </c>
      <c r="BB43">
        <f>SUMIF(RawDataDead!$B:$B,$A43,RawDataDead!BE:BE)</f>
        <v>0</v>
      </c>
      <c r="BC43">
        <f>SUMIF(RawDataDead!$B:$B,$A43,RawDataDead!BF:BF)</f>
        <v>0</v>
      </c>
      <c r="BD43">
        <f>SUMIF(RawDataDead!$B:$B,$A43,RawDataDead!BG:BG)</f>
        <v>0</v>
      </c>
      <c r="BE43">
        <f>SUMIF(RawDataDead!$B:$B,$A43,RawDataDead!BH:BH)</f>
        <v>0</v>
      </c>
      <c r="BF43">
        <f>SUMIF(RawDataDead!$B:$B,$A43,RawDataDead!BI:BI)</f>
        <v>0</v>
      </c>
      <c r="BG43">
        <f>SUMIF(RawDataDead!$B:$B,$A43,RawDataDead!BJ:BJ)</f>
        <v>0</v>
      </c>
      <c r="BH43">
        <f>SUMIF(RawDataDead!$B:$B,$A43,RawDataDead!BK:BK)</f>
        <v>0</v>
      </c>
      <c r="BI43">
        <f>SUMIF(RawDataDead!$B:$B,$A43,RawDataDead!BL:BL)</f>
        <v>0</v>
      </c>
      <c r="BJ43">
        <f>SUMIF(RawDataDead!$B:$B,$A43,RawDataDead!BM:BM)</f>
        <v>0</v>
      </c>
      <c r="BK43">
        <f>SUMIF(RawDataDead!$B:$B,$A43,RawDataDead!BN:BN)</f>
        <v>0</v>
      </c>
      <c r="BL43">
        <f>SUMIF(RawDataDead!$B:$B,$A43,RawDataDead!BO:BO)</f>
        <v>0</v>
      </c>
      <c r="BM43">
        <f>SUMIF(RawDataDead!$B:$B,$A43,RawDataDead!BP:BP)</f>
        <v>0</v>
      </c>
      <c r="BN43">
        <f>SUMIF(RawDataDead!$B:$B,$A43,RawDataDead!BQ:BQ)</f>
        <v>0</v>
      </c>
      <c r="BO43">
        <f>SUMIF(RawDataDead!$B:$B,$A43,RawDataDead!BR:BR)</f>
        <v>0</v>
      </c>
      <c r="BP43">
        <f>SUMIF(RawDataDead!$B:$B,$A43,RawDataDead!BS:BS)</f>
        <v>0</v>
      </c>
      <c r="BQ43">
        <f>SUMIF(RawDataDead!$B:$B,$A43,RawDataDead!BT:BT)</f>
        <v>0</v>
      </c>
      <c r="BR43">
        <f>SUMIF(RawDataDead!$B:$B,$A43,RawDataDead!BU:BU)</f>
        <v>0</v>
      </c>
      <c r="BS43">
        <f>SUMIF(RawDataDead!$B:$B,$A43,RawDataDead!BV:BV)</f>
        <v>0</v>
      </c>
      <c r="BT43">
        <f>SUMIF(RawDataDead!$B:$B,$A43,RawDataDead!BW:BW)</f>
        <v>0</v>
      </c>
    </row>
    <row r="44" spans="1:72" ht="15" thickBot="1" x14ac:dyDescent="0.35">
      <c r="A44" s="4" t="s">
        <v>94</v>
      </c>
      <c r="B44">
        <f>SUMIF(RawDataDead!$B:$B,$A44,RawDataDead!E:E)</f>
        <v>0</v>
      </c>
      <c r="C44">
        <f>SUMIF(RawDataDead!$B:$B,$A44,RawDataDead!F:F)</f>
        <v>0</v>
      </c>
      <c r="D44">
        <f>SUMIF(RawDataDead!$B:$B,$A44,RawDataDead!G:G)</f>
        <v>0</v>
      </c>
      <c r="E44">
        <f>SUMIF(RawDataDead!$B:$B,$A44,RawDataDead!H:H)</f>
        <v>0</v>
      </c>
      <c r="F44">
        <f>SUMIF(RawDataDead!$B:$B,$A44,RawDataDead!I:I)</f>
        <v>0</v>
      </c>
      <c r="G44">
        <f>SUMIF(RawDataDead!$B:$B,$A44,RawDataDead!J:J)</f>
        <v>0</v>
      </c>
      <c r="H44">
        <f>SUMIF(RawDataDead!$B:$B,$A44,RawDataDead!K:K)</f>
        <v>0</v>
      </c>
      <c r="I44">
        <f>SUMIF(RawDataDead!$B:$B,$A44,RawDataDead!L:L)</f>
        <v>0</v>
      </c>
      <c r="J44">
        <f>SUMIF(RawDataDead!$B:$B,$A44,RawDataDead!M:M)</f>
        <v>0</v>
      </c>
      <c r="K44">
        <f>SUMIF(RawDataDead!$B:$B,$A44,RawDataDead!N:N)</f>
        <v>0</v>
      </c>
      <c r="L44">
        <f>SUMIF(RawDataDead!$B:$B,$A44,RawDataDead!O:O)</f>
        <v>0</v>
      </c>
      <c r="M44">
        <f>SUMIF(RawDataDead!$B:$B,$A44,RawDataDead!P:P)</f>
        <v>0</v>
      </c>
      <c r="N44">
        <f>SUMIF(RawDataDead!$B:$B,$A44,RawDataDead!Q:Q)</f>
        <v>0</v>
      </c>
      <c r="O44">
        <f>SUMIF(RawDataDead!$B:$B,$A44,RawDataDead!R:R)</f>
        <v>0</v>
      </c>
      <c r="P44">
        <f>SUMIF(RawDataDead!$B:$B,$A44,RawDataDead!S:S)</f>
        <v>0</v>
      </c>
      <c r="Q44">
        <f>SUMIF(RawDataDead!$B:$B,$A44,RawDataDead!T:T)</f>
        <v>0</v>
      </c>
      <c r="R44">
        <f>SUMIF(RawDataDead!$B:$B,$A44,RawDataDead!U:U)</f>
        <v>0</v>
      </c>
      <c r="S44">
        <f>SUMIF(RawDataDead!$B:$B,$A44,RawDataDead!V:V)</f>
        <v>0</v>
      </c>
      <c r="T44">
        <f>SUMIF(RawDataDead!$B:$B,$A44,RawDataDead!W:W)</f>
        <v>0</v>
      </c>
      <c r="U44">
        <f>SUMIF(RawDataDead!$B:$B,$A44,RawDataDead!X:X)</f>
        <v>0</v>
      </c>
      <c r="V44">
        <f>SUMIF(RawDataDead!$B:$B,$A44,RawDataDead!Y:Y)</f>
        <v>0</v>
      </c>
      <c r="W44">
        <f>SUMIF(RawDataDead!$B:$B,$A44,RawDataDead!Z:Z)</f>
        <v>0</v>
      </c>
      <c r="X44">
        <f>SUMIF(RawDataDead!$B:$B,$A44,RawDataDead!AA:AA)</f>
        <v>0</v>
      </c>
      <c r="Y44">
        <f>SUMIF(RawDataDead!$B:$B,$A44,RawDataDead!AB:AB)</f>
        <v>0</v>
      </c>
      <c r="Z44">
        <f>SUMIF(RawDataDead!$B:$B,$A44,RawDataDead!AC:AC)</f>
        <v>0</v>
      </c>
      <c r="AA44">
        <f>SUMIF(RawDataDead!$B:$B,$A44,RawDataDead!AD:AD)</f>
        <v>0</v>
      </c>
      <c r="AB44">
        <f>SUMIF(RawDataDead!$B:$B,$A44,RawDataDead!AE:AE)</f>
        <v>0</v>
      </c>
      <c r="AC44">
        <f>SUMIF(RawDataDead!$B:$B,$A44,RawDataDead!AF:AF)</f>
        <v>0</v>
      </c>
      <c r="AD44">
        <f>SUMIF(RawDataDead!$B:$B,$A44,RawDataDead!AG:AG)</f>
        <v>0</v>
      </c>
      <c r="AE44">
        <f>SUMIF(RawDataDead!$B:$B,$A44,RawDataDead!AH:AH)</f>
        <v>0</v>
      </c>
      <c r="AF44">
        <f>SUMIF(RawDataDead!$B:$B,$A44,RawDataDead!AI:AI)</f>
        <v>0</v>
      </c>
      <c r="AG44">
        <f>SUMIF(RawDataDead!$B:$B,$A44,RawDataDead!AJ:AJ)</f>
        <v>0</v>
      </c>
      <c r="AH44">
        <f>SUMIF(RawDataDead!$B:$B,$A44,RawDataDead!AK:AK)</f>
        <v>0</v>
      </c>
      <c r="AI44">
        <f>SUMIF(RawDataDead!$B:$B,$A44,RawDataDead!AL:AL)</f>
        <v>0</v>
      </c>
      <c r="AJ44">
        <f>SUMIF(RawDataDead!$B:$B,$A44,RawDataDead!AM:AM)</f>
        <v>0</v>
      </c>
      <c r="AK44">
        <f>SUMIF(RawDataDead!$B:$B,$A44,RawDataDead!AN:AN)</f>
        <v>0</v>
      </c>
      <c r="AL44">
        <f>SUMIF(RawDataDead!$B:$B,$A44,RawDataDead!AO:AO)</f>
        <v>0</v>
      </c>
      <c r="AM44">
        <f>SUMIF(RawDataDead!$B:$B,$A44,RawDataDead!AP:AP)</f>
        <v>0</v>
      </c>
      <c r="AN44">
        <f>SUMIF(RawDataDead!$B:$B,$A44,RawDataDead!AQ:AQ)</f>
        <v>0</v>
      </c>
      <c r="AO44">
        <f>SUMIF(RawDataDead!$B:$B,$A44,RawDataDead!AR:AR)</f>
        <v>0</v>
      </c>
      <c r="AP44">
        <f>SUMIF(RawDataDead!$B:$B,$A44,RawDataDead!AS:AS)</f>
        <v>0</v>
      </c>
      <c r="AQ44">
        <f>SUMIF(RawDataDead!$B:$B,$A44,RawDataDead!AT:AT)</f>
        <v>0</v>
      </c>
      <c r="AR44">
        <f>SUMIF(RawDataDead!$B:$B,$A44,RawDataDead!AU:AU)</f>
        <v>0</v>
      </c>
      <c r="AS44">
        <f>SUMIF(RawDataDead!$B:$B,$A44,RawDataDead!AV:AV)</f>
        <v>0</v>
      </c>
      <c r="AT44">
        <f>SUMIF(RawDataDead!$B:$B,$A44,RawDataDead!AW:AW)</f>
        <v>0</v>
      </c>
      <c r="AU44">
        <f>SUMIF(RawDataDead!$B:$B,$A44,RawDataDead!AX:AX)</f>
        <v>0</v>
      </c>
      <c r="AV44">
        <f>SUMIF(RawDataDead!$B:$B,$A44,RawDataDead!AY:AY)</f>
        <v>0</v>
      </c>
      <c r="AW44">
        <f>SUMIF(RawDataDead!$B:$B,$A44,RawDataDead!AZ:AZ)</f>
        <v>0</v>
      </c>
      <c r="AX44">
        <f>SUMIF(RawDataDead!$B:$B,$A44,RawDataDead!BA:BA)</f>
        <v>1</v>
      </c>
      <c r="AY44">
        <f>SUMIF(RawDataDead!$B:$B,$A44,RawDataDead!BB:BB)</f>
        <v>3</v>
      </c>
      <c r="AZ44">
        <f>SUMIF(RawDataDead!$B:$B,$A44,RawDataDead!BC:BC)</f>
        <v>3</v>
      </c>
      <c r="BA44">
        <f>SUMIF(RawDataDead!$B:$B,$A44,RawDataDead!BD:BD)</f>
        <v>3</v>
      </c>
      <c r="BB44">
        <f>SUMIF(RawDataDead!$B:$B,$A44,RawDataDead!BE:BE)</f>
        <v>3</v>
      </c>
      <c r="BC44">
        <f>SUMIF(RawDataDead!$B:$B,$A44,RawDataDead!BF:BF)</f>
        <v>3</v>
      </c>
      <c r="BD44">
        <f>SUMIF(RawDataDead!$B:$B,$A44,RawDataDead!BG:BG)</f>
        <v>3</v>
      </c>
      <c r="BE44">
        <f>SUMIF(RawDataDead!$B:$B,$A44,RawDataDead!BH:BH)</f>
        <v>3</v>
      </c>
      <c r="BF44">
        <f>SUMIF(RawDataDead!$B:$B,$A44,RawDataDead!BI:BI)</f>
        <v>0</v>
      </c>
      <c r="BG44">
        <f>SUMIF(RawDataDead!$B:$B,$A44,RawDataDead!BJ:BJ)</f>
        <v>0</v>
      </c>
      <c r="BH44">
        <f>SUMIF(RawDataDead!$B:$B,$A44,RawDataDead!BK:BK)</f>
        <v>0</v>
      </c>
      <c r="BI44">
        <f>SUMIF(RawDataDead!$B:$B,$A44,RawDataDead!BL:BL)</f>
        <v>0</v>
      </c>
      <c r="BJ44">
        <f>SUMIF(RawDataDead!$B:$B,$A44,RawDataDead!BM:BM)</f>
        <v>0</v>
      </c>
      <c r="BK44">
        <f>SUMIF(RawDataDead!$B:$B,$A44,RawDataDead!BN:BN)</f>
        <v>0</v>
      </c>
      <c r="BL44">
        <f>SUMIF(RawDataDead!$B:$B,$A44,RawDataDead!BO:BO)</f>
        <v>0</v>
      </c>
      <c r="BM44">
        <f>SUMIF(RawDataDead!$B:$B,$A44,RawDataDead!BP:BP)</f>
        <v>0</v>
      </c>
      <c r="BN44">
        <f>SUMIF(RawDataDead!$B:$B,$A44,RawDataDead!BQ:BQ)</f>
        <v>0</v>
      </c>
      <c r="BO44">
        <f>SUMIF(RawDataDead!$B:$B,$A44,RawDataDead!BR:BR)</f>
        <v>0</v>
      </c>
      <c r="BP44">
        <f>SUMIF(RawDataDead!$B:$B,$A44,RawDataDead!BS:BS)</f>
        <v>0</v>
      </c>
      <c r="BQ44">
        <f>SUMIF(RawDataDead!$B:$B,$A44,RawDataDead!BT:BT)</f>
        <v>0</v>
      </c>
      <c r="BR44">
        <f>SUMIF(RawDataDead!$B:$B,$A44,RawDataDead!BU:BU)</f>
        <v>0</v>
      </c>
      <c r="BS44">
        <f>SUMIF(RawDataDead!$B:$B,$A44,RawDataDead!BV:BV)</f>
        <v>0</v>
      </c>
      <c r="BT44">
        <f>SUMIF(RawDataDead!$B:$B,$A44,RawDataDead!BW:BW)</f>
        <v>0</v>
      </c>
    </row>
    <row r="45" spans="1:72" ht="15" thickBot="1" x14ac:dyDescent="0.35">
      <c r="A45" s="3" t="s">
        <v>62</v>
      </c>
      <c r="B45">
        <f>SUMIF(RawDataDead!$B:$B,$A45,RawDataDead!E:E)</f>
        <v>0</v>
      </c>
      <c r="C45">
        <f>SUMIF(RawDataDead!$B:$B,$A45,RawDataDead!F:F)</f>
        <v>0</v>
      </c>
      <c r="D45">
        <f>SUMIF(RawDataDead!$B:$B,$A45,RawDataDead!G:G)</f>
        <v>0</v>
      </c>
      <c r="E45">
        <f>SUMIF(RawDataDead!$B:$B,$A45,RawDataDead!H:H)</f>
        <v>0</v>
      </c>
      <c r="F45">
        <f>SUMIF(RawDataDead!$B:$B,$A45,RawDataDead!I:I)</f>
        <v>0</v>
      </c>
      <c r="G45">
        <f>SUMIF(RawDataDead!$B:$B,$A45,RawDataDead!J:J)</f>
        <v>0</v>
      </c>
      <c r="H45">
        <f>SUMIF(RawDataDead!$B:$B,$A45,RawDataDead!K:K)</f>
        <v>0</v>
      </c>
      <c r="I45">
        <f>SUMIF(RawDataDead!$B:$B,$A45,RawDataDead!L:L)</f>
        <v>0</v>
      </c>
      <c r="J45">
        <f>SUMIF(RawDataDead!$B:$B,$A45,RawDataDead!M:M)</f>
        <v>0</v>
      </c>
      <c r="K45">
        <f>SUMIF(RawDataDead!$B:$B,$A45,RawDataDead!N:N)</f>
        <v>0</v>
      </c>
      <c r="L45">
        <f>SUMIF(RawDataDead!$B:$B,$A45,RawDataDead!O:O)</f>
        <v>0</v>
      </c>
      <c r="M45">
        <f>SUMIF(RawDataDead!$B:$B,$A45,RawDataDead!P:P)</f>
        <v>0</v>
      </c>
      <c r="N45">
        <f>SUMIF(RawDataDead!$B:$B,$A45,RawDataDead!Q:Q)</f>
        <v>0</v>
      </c>
      <c r="O45">
        <f>SUMIF(RawDataDead!$B:$B,$A45,RawDataDead!R:R)</f>
        <v>0</v>
      </c>
      <c r="P45">
        <f>SUMIF(RawDataDead!$B:$B,$A45,RawDataDead!S:S)</f>
        <v>0</v>
      </c>
      <c r="Q45">
        <f>SUMIF(RawDataDead!$B:$B,$A45,RawDataDead!T:T)</f>
        <v>0</v>
      </c>
      <c r="R45">
        <f>SUMIF(RawDataDead!$B:$B,$A45,RawDataDead!U:U)</f>
        <v>0</v>
      </c>
      <c r="S45">
        <f>SUMIF(RawDataDead!$B:$B,$A45,RawDataDead!V:V)</f>
        <v>0</v>
      </c>
      <c r="T45">
        <f>SUMIF(RawDataDead!$B:$B,$A45,RawDataDead!W:W)</f>
        <v>0</v>
      </c>
      <c r="U45">
        <f>SUMIF(RawDataDead!$B:$B,$A45,RawDataDead!X:X)</f>
        <v>0</v>
      </c>
      <c r="V45">
        <f>SUMIF(RawDataDead!$B:$B,$A45,RawDataDead!Y:Y)</f>
        <v>0</v>
      </c>
      <c r="W45">
        <f>SUMIF(RawDataDead!$B:$B,$A45,RawDataDead!Z:Z)</f>
        <v>0</v>
      </c>
      <c r="X45">
        <f>SUMIF(RawDataDead!$B:$B,$A45,RawDataDead!AA:AA)</f>
        <v>0</v>
      </c>
      <c r="Y45">
        <f>SUMIF(RawDataDead!$B:$B,$A45,RawDataDead!AB:AB)</f>
        <v>0</v>
      </c>
      <c r="Z45">
        <f>SUMIF(RawDataDead!$B:$B,$A45,RawDataDead!AC:AC)</f>
        <v>0</v>
      </c>
      <c r="AA45">
        <f>SUMIF(RawDataDead!$B:$B,$A45,RawDataDead!AD:AD)</f>
        <v>0</v>
      </c>
      <c r="AB45">
        <f>SUMIF(RawDataDead!$B:$B,$A45,RawDataDead!AE:AE)</f>
        <v>0</v>
      </c>
      <c r="AC45">
        <f>SUMIF(RawDataDead!$B:$B,$A45,RawDataDead!AF:AF)</f>
        <v>0</v>
      </c>
      <c r="AD45">
        <f>SUMIF(RawDataDead!$B:$B,$A45,RawDataDead!AG:AG)</f>
        <v>0</v>
      </c>
      <c r="AE45">
        <f>SUMIF(RawDataDead!$B:$B,$A45,RawDataDead!AH:AH)</f>
        <v>0</v>
      </c>
      <c r="AF45">
        <f>SUMIF(RawDataDead!$B:$B,$A45,RawDataDead!AI:AI)</f>
        <v>0</v>
      </c>
      <c r="AG45">
        <f>SUMIF(RawDataDead!$B:$B,$A45,RawDataDead!AJ:AJ)</f>
        <v>0</v>
      </c>
      <c r="AH45">
        <f>SUMIF(RawDataDead!$B:$B,$A45,RawDataDead!AK:AK)</f>
        <v>0</v>
      </c>
      <c r="AI45">
        <f>SUMIF(RawDataDead!$B:$B,$A45,RawDataDead!AL:AL)</f>
        <v>0</v>
      </c>
      <c r="AJ45">
        <f>SUMIF(RawDataDead!$B:$B,$A45,RawDataDead!AM:AM)</f>
        <v>0</v>
      </c>
      <c r="AK45">
        <f>SUMIF(RawDataDead!$B:$B,$A45,RawDataDead!AN:AN)</f>
        <v>0</v>
      </c>
      <c r="AL45">
        <f>SUMIF(RawDataDead!$B:$B,$A45,RawDataDead!AO:AO)</f>
        <v>0</v>
      </c>
      <c r="AM45">
        <f>SUMIF(RawDataDead!$B:$B,$A45,RawDataDead!AP:AP)</f>
        <v>0</v>
      </c>
      <c r="AN45">
        <f>SUMIF(RawDataDead!$B:$B,$A45,RawDataDead!AQ:AQ)</f>
        <v>0</v>
      </c>
      <c r="AO45">
        <f>SUMIF(RawDataDead!$B:$B,$A45,RawDataDead!AR:AR)</f>
        <v>1</v>
      </c>
      <c r="AP45">
        <f>SUMIF(RawDataDead!$B:$B,$A45,RawDataDead!AS:AS)</f>
        <v>1</v>
      </c>
      <c r="AQ45">
        <f>SUMIF(RawDataDead!$B:$B,$A45,RawDataDead!AT:AT)</f>
        <v>1</v>
      </c>
      <c r="AR45">
        <f>SUMIF(RawDataDead!$B:$B,$A45,RawDataDead!AU:AU)</f>
        <v>1</v>
      </c>
      <c r="AS45">
        <f>SUMIF(RawDataDead!$B:$B,$A45,RawDataDead!AV:AV)</f>
        <v>1</v>
      </c>
      <c r="AT45">
        <f>SUMIF(RawDataDead!$B:$B,$A45,RawDataDead!AW:AW)</f>
        <v>1</v>
      </c>
      <c r="AU45">
        <f>SUMIF(RawDataDead!$B:$B,$A45,RawDataDead!AX:AX)</f>
        <v>1</v>
      </c>
      <c r="AV45">
        <f>SUMIF(RawDataDead!$B:$B,$A45,RawDataDead!AY:AY)</f>
        <v>1</v>
      </c>
      <c r="AW45">
        <f>SUMIF(RawDataDead!$B:$B,$A45,RawDataDead!AZ:AZ)</f>
        <v>1</v>
      </c>
      <c r="AX45">
        <f>SUMIF(RawDataDead!$B:$B,$A45,RawDataDead!BA:BA)</f>
        <v>1</v>
      </c>
      <c r="AY45">
        <f>SUMIF(RawDataDead!$B:$B,$A45,RawDataDead!BB:BB)</f>
        <v>1</v>
      </c>
      <c r="AZ45">
        <f>SUMIF(RawDataDead!$B:$B,$A45,RawDataDead!BC:BC)</f>
        <v>1</v>
      </c>
      <c r="BA45">
        <f>SUMIF(RawDataDead!$B:$B,$A45,RawDataDead!BD:BD)</f>
        <v>1</v>
      </c>
      <c r="BB45">
        <f>SUMIF(RawDataDead!$B:$B,$A45,RawDataDead!BE:BE)</f>
        <v>1</v>
      </c>
      <c r="BC45">
        <f>SUMIF(RawDataDead!$B:$B,$A45,RawDataDead!BF:BF)</f>
        <v>1</v>
      </c>
      <c r="BD45">
        <f>SUMIF(RawDataDead!$B:$B,$A45,RawDataDead!BG:BG)</f>
        <v>1</v>
      </c>
      <c r="BE45">
        <f>SUMIF(RawDataDead!$B:$B,$A45,RawDataDead!BH:BH)</f>
        <v>1</v>
      </c>
      <c r="BF45">
        <f>SUMIF(RawDataDead!$B:$B,$A45,RawDataDead!BI:BI)</f>
        <v>0</v>
      </c>
      <c r="BG45">
        <f>SUMIF(RawDataDead!$B:$B,$A45,RawDataDead!BJ:BJ)</f>
        <v>0</v>
      </c>
      <c r="BH45">
        <f>SUMIF(RawDataDead!$B:$B,$A45,RawDataDead!BK:BK)</f>
        <v>0</v>
      </c>
      <c r="BI45">
        <f>SUMIF(RawDataDead!$B:$B,$A45,RawDataDead!BL:BL)</f>
        <v>0</v>
      </c>
      <c r="BJ45">
        <f>SUMIF(RawDataDead!$B:$B,$A45,RawDataDead!BM:BM)</f>
        <v>0</v>
      </c>
      <c r="BK45">
        <f>SUMIF(RawDataDead!$B:$B,$A45,RawDataDead!BN:BN)</f>
        <v>0</v>
      </c>
      <c r="BL45">
        <f>SUMIF(RawDataDead!$B:$B,$A45,RawDataDead!BO:BO)</f>
        <v>0</v>
      </c>
      <c r="BM45">
        <f>SUMIF(RawDataDead!$B:$B,$A45,RawDataDead!BP:BP)</f>
        <v>0</v>
      </c>
      <c r="BN45">
        <f>SUMIF(RawDataDead!$B:$B,$A45,RawDataDead!BQ:BQ)</f>
        <v>0</v>
      </c>
      <c r="BO45">
        <f>SUMIF(RawDataDead!$B:$B,$A45,RawDataDead!BR:BR)</f>
        <v>0</v>
      </c>
      <c r="BP45">
        <f>SUMIF(RawDataDead!$B:$B,$A45,RawDataDead!BS:BS)</f>
        <v>0</v>
      </c>
      <c r="BQ45">
        <f>SUMIF(RawDataDead!$B:$B,$A45,RawDataDead!BT:BT)</f>
        <v>0</v>
      </c>
      <c r="BR45">
        <f>SUMIF(RawDataDead!$B:$B,$A45,RawDataDead!BU:BU)</f>
        <v>0</v>
      </c>
      <c r="BS45">
        <f>SUMIF(RawDataDead!$B:$B,$A45,RawDataDead!BV:BV)</f>
        <v>0</v>
      </c>
      <c r="BT45">
        <f>SUMIF(RawDataDead!$B:$B,$A45,RawDataDead!BW:BW)</f>
        <v>0</v>
      </c>
    </row>
    <row r="46" spans="1:72" ht="15" thickBot="1" x14ac:dyDescent="0.35">
      <c r="A46" s="4" t="s">
        <v>134</v>
      </c>
      <c r="B46">
        <f>SUMIF(RawDataDead!$B:$B,$A46,RawDataDead!E:E)</f>
        <v>0</v>
      </c>
      <c r="C46">
        <f>SUMIF(RawDataDead!$B:$B,$A46,RawDataDead!F:F)</f>
        <v>0</v>
      </c>
      <c r="D46">
        <f>SUMIF(RawDataDead!$B:$B,$A46,RawDataDead!G:G)</f>
        <v>0</v>
      </c>
      <c r="E46">
        <f>SUMIF(RawDataDead!$B:$B,$A46,RawDataDead!H:H)</f>
        <v>0</v>
      </c>
      <c r="F46">
        <f>SUMIF(RawDataDead!$B:$B,$A46,RawDataDead!I:I)</f>
        <v>0</v>
      </c>
      <c r="G46">
        <f>SUMIF(RawDataDead!$B:$B,$A46,RawDataDead!J:J)</f>
        <v>0</v>
      </c>
      <c r="H46">
        <f>SUMIF(RawDataDead!$B:$B,$A46,RawDataDead!K:K)</f>
        <v>0</v>
      </c>
      <c r="I46">
        <f>SUMIF(RawDataDead!$B:$B,$A46,RawDataDead!L:L)</f>
        <v>0</v>
      </c>
      <c r="J46">
        <f>SUMIF(RawDataDead!$B:$B,$A46,RawDataDead!M:M)</f>
        <v>0</v>
      </c>
      <c r="K46">
        <f>SUMIF(RawDataDead!$B:$B,$A46,RawDataDead!N:N)</f>
        <v>0</v>
      </c>
      <c r="L46">
        <f>SUMIF(RawDataDead!$B:$B,$A46,RawDataDead!O:O)</f>
        <v>0</v>
      </c>
      <c r="M46">
        <f>SUMIF(RawDataDead!$B:$B,$A46,RawDataDead!P:P)</f>
        <v>0</v>
      </c>
      <c r="N46">
        <f>SUMIF(RawDataDead!$B:$B,$A46,RawDataDead!Q:Q)</f>
        <v>0</v>
      </c>
      <c r="O46">
        <f>SUMIF(RawDataDead!$B:$B,$A46,RawDataDead!R:R)</f>
        <v>0</v>
      </c>
      <c r="P46">
        <f>SUMIF(RawDataDead!$B:$B,$A46,RawDataDead!S:S)</f>
        <v>0</v>
      </c>
      <c r="Q46">
        <f>SUMIF(RawDataDead!$B:$B,$A46,RawDataDead!T:T)</f>
        <v>0</v>
      </c>
      <c r="R46">
        <f>SUMIF(RawDataDead!$B:$B,$A46,RawDataDead!U:U)</f>
        <v>0</v>
      </c>
      <c r="S46">
        <f>SUMIF(RawDataDead!$B:$B,$A46,RawDataDead!V:V)</f>
        <v>0</v>
      </c>
      <c r="T46">
        <f>SUMIF(RawDataDead!$B:$B,$A46,RawDataDead!W:W)</f>
        <v>0</v>
      </c>
      <c r="U46">
        <f>SUMIF(RawDataDead!$B:$B,$A46,RawDataDead!X:X)</f>
        <v>0</v>
      </c>
      <c r="V46">
        <f>SUMIF(RawDataDead!$B:$B,$A46,RawDataDead!Y:Y)</f>
        <v>0</v>
      </c>
      <c r="W46">
        <f>SUMIF(RawDataDead!$B:$B,$A46,RawDataDead!Z:Z)</f>
        <v>0</v>
      </c>
      <c r="X46">
        <f>SUMIF(RawDataDead!$B:$B,$A46,RawDataDead!AA:AA)</f>
        <v>0</v>
      </c>
      <c r="Y46">
        <f>SUMIF(RawDataDead!$B:$B,$A46,RawDataDead!AB:AB)</f>
        <v>0</v>
      </c>
      <c r="Z46">
        <f>SUMIF(RawDataDead!$B:$B,$A46,RawDataDead!AC:AC)</f>
        <v>0</v>
      </c>
      <c r="AA46">
        <f>SUMIF(RawDataDead!$B:$B,$A46,RawDataDead!AD:AD)</f>
        <v>0</v>
      </c>
      <c r="AB46">
        <f>SUMIF(RawDataDead!$B:$B,$A46,RawDataDead!AE:AE)</f>
        <v>0</v>
      </c>
      <c r="AC46">
        <f>SUMIF(RawDataDead!$B:$B,$A46,RawDataDead!AF:AF)</f>
        <v>0</v>
      </c>
      <c r="AD46">
        <f>SUMIF(RawDataDead!$B:$B,$A46,RawDataDead!AG:AG)</f>
        <v>0</v>
      </c>
      <c r="AE46">
        <f>SUMIF(RawDataDead!$B:$B,$A46,RawDataDead!AH:AH)</f>
        <v>0</v>
      </c>
      <c r="AF46">
        <f>SUMIF(RawDataDead!$B:$B,$A46,RawDataDead!AI:AI)</f>
        <v>0</v>
      </c>
      <c r="AG46">
        <f>SUMIF(RawDataDead!$B:$B,$A46,RawDataDead!AJ:AJ)</f>
        <v>0</v>
      </c>
      <c r="AH46">
        <f>SUMIF(RawDataDead!$B:$B,$A46,RawDataDead!AK:AK)</f>
        <v>0</v>
      </c>
      <c r="AI46">
        <f>SUMIF(RawDataDead!$B:$B,$A46,RawDataDead!AL:AL)</f>
        <v>0</v>
      </c>
      <c r="AJ46">
        <f>SUMIF(RawDataDead!$B:$B,$A46,RawDataDead!AM:AM)</f>
        <v>0</v>
      </c>
      <c r="AK46">
        <f>SUMIF(RawDataDead!$B:$B,$A46,RawDataDead!AN:AN)</f>
        <v>0</v>
      </c>
      <c r="AL46">
        <f>SUMIF(RawDataDead!$B:$B,$A46,RawDataDead!AO:AO)</f>
        <v>0</v>
      </c>
      <c r="AM46">
        <f>SUMIF(RawDataDead!$B:$B,$A46,RawDataDead!AP:AP)</f>
        <v>0</v>
      </c>
      <c r="AN46">
        <f>SUMIF(RawDataDead!$B:$B,$A46,RawDataDead!AQ:AQ)</f>
        <v>0</v>
      </c>
      <c r="AO46">
        <f>SUMIF(RawDataDead!$B:$B,$A46,RawDataDead!AR:AR)</f>
        <v>0</v>
      </c>
      <c r="AP46">
        <f>SUMIF(RawDataDead!$B:$B,$A46,RawDataDead!AS:AS)</f>
        <v>0</v>
      </c>
      <c r="AQ46">
        <f>SUMIF(RawDataDead!$B:$B,$A46,RawDataDead!AT:AT)</f>
        <v>0</v>
      </c>
      <c r="AR46">
        <f>SUMIF(RawDataDead!$B:$B,$A46,RawDataDead!AU:AU)</f>
        <v>0</v>
      </c>
      <c r="AS46">
        <f>SUMIF(RawDataDead!$B:$B,$A46,RawDataDead!AV:AV)</f>
        <v>0</v>
      </c>
      <c r="AT46">
        <f>SUMIF(RawDataDead!$B:$B,$A46,RawDataDead!AW:AW)</f>
        <v>0</v>
      </c>
      <c r="AU46">
        <f>SUMIF(RawDataDead!$B:$B,$A46,RawDataDead!AX:AX)</f>
        <v>0</v>
      </c>
      <c r="AV46">
        <f>SUMIF(RawDataDead!$B:$B,$A46,RawDataDead!AY:AY)</f>
        <v>0</v>
      </c>
      <c r="AW46">
        <f>SUMIF(RawDataDead!$B:$B,$A46,RawDataDead!AZ:AZ)</f>
        <v>0</v>
      </c>
      <c r="AX46">
        <f>SUMIF(RawDataDead!$B:$B,$A46,RawDataDead!BA:BA)</f>
        <v>0</v>
      </c>
      <c r="AY46">
        <f>SUMIF(RawDataDead!$B:$B,$A46,RawDataDead!BB:BB)</f>
        <v>1</v>
      </c>
      <c r="AZ46">
        <f>SUMIF(RawDataDead!$B:$B,$A46,RawDataDead!BC:BC)</f>
        <v>1</v>
      </c>
      <c r="BA46">
        <f>SUMIF(RawDataDead!$B:$B,$A46,RawDataDead!BD:BD)</f>
        <v>4</v>
      </c>
      <c r="BB46">
        <f>SUMIF(RawDataDead!$B:$B,$A46,RawDataDead!BE:BE)</f>
        <v>5</v>
      </c>
      <c r="BC46">
        <f>SUMIF(RawDataDead!$B:$B,$A46,RawDataDead!BF:BF)</f>
        <v>5</v>
      </c>
      <c r="BD46">
        <f>SUMIF(RawDataDead!$B:$B,$A46,RawDataDead!BG:BG)</f>
        <v>5</v>
      </c>
      <c r="BE46">
        <f>SUMIF(RawDataDead!$B:$B,$A46,RawDataDead!BH:BH)</f>
        <v>5</v>
      </c>
      <c r="BF46">
        <f>SUMIF(RawDataDead!$B:$B,$A46,RawDataDead!BI:BI)</f>
        <v>0</v>
      </c>
      <c r="BG46">
        <f>SUMIF(RawDataDead!$B:$B,$A46,RawDataDead!BJ:BJ)</f>
        <v>0</v>
      </c>
      <c r="BH46">
        <f>SUMIF(RawDataDead!$B:$B,$A46,RawDataDead!BK:BK)</f>
        <v>0</v>
      </c>
      <c r="BI46">
        <f>SUMIF(RawDataDead!$B:$B,$A46,RawDataDead!BL:BL)</f>
        <v>0</v>
      </c>
      <c r="BJ46">
        <f>SUMIF(RawDataDead!$B:$B,$A46,RawDataDead!BM:BM)</f>
        <v>0</v>
      </c>
      <c r="BK46">
        <f>SUMIF(RawDataDead!$B:$B,$A46,RawDataDead!BN:BN)</f>
        <v>0</v>
      </c>
      <c r="BL46">
        <f>SUMIF(RawDataDead!$B:$B,$A46,RawDataDead!BO:BO)</f>
        <v>0</v>
      </c>
      <c r="BM46">
        <f>SUMIF(RawDataDead!$B:$B,$A46,RawDataDead!BP:BP)</f>
        <v>0</v>
      </c>
      <c r="BN46">
        <f>SUMIF(RawDataDead!$B:$B,$A46,RawDataDead!BQ:BQ)</f>
        <v>0</v>
      </c>
      <c r="BO46">
        <f>SUMIF(RawDataDead!$B:$B,$A46,RawDataDead!BR:BR)</f>
        <v>0</v>
      </c>
      <c r="BP46">
        <f>SUMIF(RawDataDead!$B:$B,$A46,RawDataDead!BS:BS)</f>
        <v>0</v>
      </c>
      <c r="BQ46">
        <f>SUMIF(RawDataDead!$B:$B,$A46,RawDataDead!BT:BT)</f>
        <v>0</v>
      </c>
      <c r="BR46">
        <f>SUMIF(RawDataDead!$B:$B,$A46,RawDataDead!BU:BU)</f>
        <v>0</v>
      </c>
      <c r="BS46">
        <f>SUMIF(RawDataDead!$B:$B,$A46,RawDataDead!BV:BV)</f>
        <v>0</v>
      </c>
      <c r="BT46">
        <f>SUMIF(RawDataDead!$B:$B,$A46,RawDataDead!BW:BW)</f>
        <v>0</v>
      </c>
    </row>
    <row r="47" spans="1:72" ht="15" thickBot="1" x14ac:dyDescent="0.35">
      <c r="A47" s="3" t="s">
        <v>164</v>
      </c>
      <c r="B47">
        <f>SUMIF(RawDataDead!$B:$B,$A47,RawDataDead!E:E)</f>
        <v>0</v>
      </c>
      <c r="C47">
        <f>SUMIF(RawDataDead!$B:$B,$A47,RawDataDead!F:F)</f>
        <v>0</v>
      </c>
      <c r="D47">
        <f>SUMIF(RawDataDead!$B:$B,$A47,RawDataDead!G:G)</f>
        <v>0</v>
      </c>
      <c r="E47">
        <f>SUMIF(RawDataDead!$B:$B,$A47,RawDataDead!H:H)</f>
        <v>0</v>
      </c>
      <c r="F47">
        <f>SUMIF(RawDataDead!$B:$B,$A47,RawDataDead!I:I)</f>
        <v>0</v>
      </c>
      <c r="G47">
        <f>SUMIF(RawDataDead!$B:$B,$A47,RawDataDead!J:J)</f>
        <v>0</v>
      </c>
      <c r="H47">
        <f>SUMIF(RawDataDead!$B:$B,$A47,RawDataDead!K:K)</f>
        <v>0</v>
      </c>
      <c r="I47">
        <f>SUMIF(RawDataDead!$B:$B,$A47,RawDataDead!L:L)</f>
        <v>0</v>
      </c>
      <c r="J47">
        <f>SUMIF(RawDataDead!$B:$B,$A47,RawDataDead!M:M)</f>
        <v>0</v>
      </c>
      <c r="K47">
        <f>SUMIF(RawDataDead!$B:$B,$A47,RawDataDead!N:N)</f>
        <v>0</v>
      </c>
      <c r="L47">
        <f>SUMIF(RawDataDead!$B:$B,$A47,RawDataDead!O:O)</f>
        <v>0</v>
      </c>
      <c r="M47">
        <f>SUMIF(RawDataDead!$B:$B,$A47,RawDataDead!P:P)</f>
        <v>0</v>
      </c>
      <c r="N47">
        <f>SUMIF(RawDataDead!$B:$B,$A47,RawDataDead!Q:Q)</f>
        <v>0</v>
      </c>
      <c r="O47">
        <f>SUMIF(RawDataDead!$B:$B,$A47,RawDataDead!R:R)</f>
        <v>0</v>
      </c>
      <c r="P47">
        <f>SUMIF(RawDataDead!$B:$B,$A47,RawDataDead!S:S)</f>
        <v>0</v>
      </c>
      <c r="Q47">
        <f>SUMIF(RawDataDead!$B:$B,$A47,RawDataDead!T:T)</f>
        <v>0</v>
      </c>
      <c r="R47">
        <f>SUMIF(RawDataDead!$B:$B,$A47,RawDataDead!U:U)</f>
        <v>0</v>
      </c>
      <c r="S47">
        <f>SUMIF(RawDataDead!$B:$B,$A47,RawDataDead!V:V)</f>
        <v>0</v>
      </c>
      <c r="T47">
        <f>SUMIF(RawDataDead!$B:$B,$A47,RawDataDead!W:W)</f>
        <v>0</v>
      </c>
      <c r="U47">
        <f>SUMIF(RawDataDead!$B:$B,$A47,RawDataDead!X:X)</f>
        <v>0</v>
      </c>
      <c r="V47">
        <f>SUMIF(RawDataDead!$B:$B,$A47,RawDataDead!Y:Y)</f>
        <v>0</v>
      </c>
      <c r="W47">
        <f>SUMIF(RawDataDead!$B:$B,$A47,RawDataDead!Z:Z)</f>
        <v>0</v>
      </c>
      <c r="X47">
        <f>SUMIF(RawDataDead!$B:$B,$A47,RawDataDead!AA:AA)</f>
        <v>0</v>
      </c>
      <c r="Y47">
        <f>SUMIF(RawDataDead!$B:$B,$A47,RawDataDead!AB:AB)</f>
        <v>0</v>
      </c>
      <c r="Z47">
        <f>SUMIF(RawDataDead!$B:$B,$A47,RawDataDead!AC:AC)</f>
        <v>0</v>
      </c>
      <c r="AA47">
        <f>SUMIF(RawDataDead!$B:$B,$A47,RawDataDead!AD:AD)</f>
        <v>0</v>
      </c>
      <c r="AB47">
        <f>SUMIF(RawDataDead!$B:$B,$A47,RawDataDead!AE:AE)</f>
        <v>0</v>
      </c>
      <c r="AC47">
        <f>SUMIF(RawDataDead!$B:$B,$A47,RawDataDead!AF:AF)</f>
        <v>0</v>
      </c>
      <c r="AD47">
        <f>SUMIF(RawDataDead!$B:$B,$A47,RawDataDead!AG:AG)</f>
        <v>0</v>
      </c>
      <c r="AE47">
        <f>SUMIF(RawDataDead!$B:$B,$A47,RawDataDead!AH:AH)</f>
        <v>0</v>
      </c>
      <c r="AF47">
        <f>SUMIF(RawDataDead!$B:$B,$A47,RawDataDead!AI:AI)</f>
        <v>0</v>
      </c>
      <c r="AG47">
        <f>SUMIF(RawDataDead!$B:$B,$A47,RawDataDead!AJ:AJ)</f>
        <v>0</v>
      </c>
      <c r="AH47">
        <f>SUMIF(RawDataDead!$B:$B,$A47,RawDataDead!AK:AK)</f>
        <v>0</v>
      </c>
      <c r="AI47">
        <f>SUMIF(RawDataDead!$B:$B,$A47,RawDataDead!AL:AL)</f>
        <v>0</v>
      </c>
      <c r="AJ47">
        <f>SUMIF(RawDataDead!$B:$B,$A47,RawDataDead!AM:AM)</f>
        <v>0</v>
      </c>
      <c r="AK47">
        <f>SUMIF(RawDataDead!$B:$B,$A47,RawDataDead!AN:AN)</f>
        <v>0</v>
      </c>
      <c r="AL47">
        <f>SUMIF(RawDataDead!$B:$B,$A47,RawDataDead!AO:AO)</f>
        <v>0</v>
      </c>
      <c r="AM47">
        <f>SUMIF(RawDataDead!$B:$B,$A47,RawDataDead!AP:AP)</f>
        <v>0</v>
      </c>
      <c r="AN47">
        <f>SUMIF(RawDataDead!$B:$B,$A47,RawDataDead!AQ:AQ)</f>
        <v>0</v>
      </c>
      <c r="AO47">
        <f>SUMIF(RawDataDead!$B:$B,$A47,RawDataDead!AR:AR)</f>
        <v>0</v>
      </c>
      <c r="AP47">
        <f>SUMIF(RawDataDead!$B:$B,$A47,RawDataDead!AS:AS)</f>
        <v>0</v>
      </c>
      <c r="AQ47">
        <f>SUMIF(RawDataDead!$B:$B,$A47,RawDataDead!AT:AT)</f>
        <v>0</v>
      </c>
      <c r="AR47">
        <f>SUMIF(RawDataDead!$B:$B,$A47,RawDataDead!AU:AU)</f>
        <v>0</v>
      </c>
      <c r="AS47">
        <f>SUMIF(RawDataDead!$B:$B,$A47,RawDataDead!AV:AV)</f>
        <v>0</v>
      </c>
      <c r="AT47">
        <f>SUMIF(RawDataDead!$B:$B,$A47,RawDataDead!AW:AW)</f>
        <v>0</v>
      </c>
      <c r="AU47">
        <f>SUMIF(RawDataDead!$B:$B,$A47,RawDataDead!AX:AX)</f>
        <v>0</v>
      </c>
      <c r="AV47">
        <f>SUMIF(RawDataDead!$B:$B,$A47,RawDataDead!AY:AY)</f>
        <v>0</v>
      </c>
      <c r="AW47">
        <f>SUMIF(RawDataDead!$B:$B,$A47,RawDataDead!AZ:AZ)</f>
        <v>0</v>
      </c>
      <c r="AX47">
        <f>SUMIF(RawDataDead!$B:$B,$A47,RawDataDead!BA:BA)</f>
        <v>0</v>
      </c>
      <c r="AY47">
        <f>SUMIF(RawDataDead!$B:$B,$A47,RawDataDead!BB:BB)</f>
        <v>0</v>
      </c>
      <c r="AZ47">
        <f>SUMIF(RawDataDead!$B:$B,$A47,RawDataDead!BC:BC)</f>
        <v>1</v>
      </c>
      <c r="BA47">
        <f>SUMIF(RawDataDead!$B:$B,$A47,RawDataDead!BD:BD)</f>
        <v>2</v>
      </c>
      <c r="BB47">
        <f>SUMIF(RawDataDead!$B:$B,$A47,RawDataDead!BE:BE)</f>
        <v>3</v>
      </c>
      <c r="BC47">
        <f>SUMIF(RawDataDead!$B:$B,$A47,RawDataDead!BF:BF)</f>
        <v>3</v>
      </c>
      <c r="BD47">
        <f>SUMIF(RawDataDead!$B:$B,$A47,RawDataDead!BG:BG)</f>
        <v>4</v>
      </c>
      <c r="BE47">
        <f>SUMIF(RawDataDead!$B:$B,$A47,RawDataDead!BH:BH)</f>
        <v>5</v>
      </c>
      <c r="BF47">
        <f>SUMIF(RawDataDead!$B:$B,$A47,RawDataDead!BI:BI)</f>
        <v>0</v>
      </c>
      <c r="BG47">
        <f>SUMIF(RawDataDead!$B:$B,$A47,RawDataDead!BJ:BJ)</f>
        <v>0</v>
      </c>
      <c r="BH47">
        <f>SUMIF(RawDataDead!$B:$B,$A47,RawDataDead!BK:BK)</f>
        <v>0</v>
      </c>
      <c r="BI47">
        <f>SUMIF(RawDataDead!$B:$B,$A47,RawDataDead!BL:BL)</f>
        <v>0</v>
      </c>
      <c r="BJ47">
        <f>SUMIF(RawDataDead!$B:$B,$A47,RawDataDead!BM:BM)</f>
        <v>0</v>
      </c>
      <c r="BK47">
        <f>SUMIF(RawDataDead!$B:$B,$A47,RawDataDead!BN:BN)</f>
        <v>0</v>
      </c>
      <c r="BL47">
        <f>SUMIF(RawDataDead!$B:$B,$A47,RawDataDead!BO:BO)</f>
        <v>0</v>
      </c>
      <c r="BM47">
        <f>SUMIF(RawDataDead!$B:$B,$A47,RawDataDead!BP:BP)</f>
        <v>0</v>
      </c>
      <c r="BN47">
        <f>SUMIF(RawDataDead!$B:$B,$A47,RawDataDead!BQ:BQ)</f>
        <v>0</v>
      </c>
      <c r="BO47">
        <f>SUMIF(RawDataDead!$B:$B,$A47,RawDataDead!BR:BR)</f>
        <v>0</v>
      </c>
      <c r="BP47">
        <f>SUMIF(RawDataDead!$B:$B,$A47,RawDataDead!BS:BS)</f>
        <v>0</v>
      </c>
      <c r="BQ47">
        <f>SUMIF(RawDataDead!$B:$B,$A47,RawDataDead!BT:BT)</f>
        <v>0</v>
      </c>
      <c r="BR47">
        <f>SUMIF(RawDataDead!$B:$B,$A47,RawDataDead!BU:BU)</f>
        <v>0</v>
      </c>
      <c r="BS47">
        <f>SUMIF(RawDataDead!$B:$B,$A47,RawDataDead!BV:BV)</f>
        <v>0</v>
      </c>
      <c r="BT47">
        <f>SUMIF(RawDataDead!$B:$B,$A47,RawDataDead!BW:BW)</f>
        <v>0</v>
      </c>
    </row>
    <row r="48" spans="1:72" ht="15" thickBot="1" x14ac:dyDescent="0.35">
      <c r="A48" s="3" t="s">
        <v>83</v>
      </c>
      <c r="B48">
        <f>SUMIF(RawDataDead!$B:$B,$A48,RawDataDead!E:E)</f>
        <v>0</v>
      </c>
      <c r="C48">
        <f>SUMIF(RawDataDead!$B:$B,$A48,RawDataDead!F:F)</f>
        <v>0</v>
      </c>
      <c r="D48">
        <f>SUMIF(RawDataDead!$B:$B,$A48,RawDataDead!G:G)</f>
        <v>0</v>
      </c>
      <c r="E48">
        <f>SUMIF(RawDataDead!$B:$B,$A48,RawDataDead!H:H)</f>
        <v>0</v>
      </c>
      <c r="F48">
        <f>SUMIF(RawDataDead!$B:$B,$A48,RawDataDead!I:I)</f>
        <v>0</v>
      </c>
      <c r="G48">
        <f>SUMIF(RawDataDead!$B:$B,$A48,RawDataDead!J:J)</f>
        <v>0</v>
      </c>
      <c r="H48">
        <f>SUMIF(RawDataDead!$B:$B,$A48,RawDataDead!K:K)</f>
        <v>0</v>
      </c>
      <c r="I48">
        <f>SUMIF(RawDataDead!$B:$B,$A48,RawDataDead!L:L)</f>
        <v>0</v>
      </c>
      <c r="J48">
        <f>SUMIF(RawDataDead!$B:$B,$A48,RawDataDead!M:M)</f>
        <v>0</v>
      </c>
      <c r="K48">
        <f>SUMIF(RawDataDead!$B:$B,$A48,RawDataDead!N:N)</f>
        <v>0</v>
      </c>
      <c r="L48">
        <f>SUMIF(RawDataDead!$B:$B,$A48,RawDataDead!O:O)</f>
        <v>0</v>
      </c>
      <c r="M48">
        <f>SUMIF(RawDataDead!$B:$B,$A48,RawDataDead!P:P)</f>
        <v>1</v>
      </c>
      <c r="N48">
        <f>SUMIF(RawDataDead!$B:$B,$A48,RawDataDead!Q:Q)</f>
        <v>1</v>
      </c>
      <c r="O48">
        <f>SUMIF(RawDataDead!$B:$B,$A48,RawDataDead!R:R)</f>
        <v>1</v>
      </c>
      <c r="P48">
        <f>SUMIF(RawDataDead!$B:$B,$A48,RawDataDead!S:S)</f>
        <v>1</v>
      </c>
      <c r="Q48">
        <f>SUMIF(RawDataDead!$B:$B,$A48,RawDataDead!T:T)</f>
        <v>1</v>
      </c>
      <c r="R48">
        <f>SUMIF(RawDataDead!$B:$B,$A48,RawDataDead!U:U)</f>
        <v>1</v>
      </c>
      <c r="S48">
        <f>SUMIF(RawDataDead!$B:$B,$A48,RawDataDead!V:V)</f>
        <v>1</v>
      </c>
      <c r="T48">
        <f>SUMIF(RawDataDead!$B:$B,$A48,RawDataDead!W:W)</f>
        <v>1</v>
      </c>
      <c r="U48">
        <f>SUMIF(RawDataDead!$B:$B,$A48,RawDataDead!X:X)</f>
        <v>1</v>
      </c>
      <c r="V48">
        <f>SUMIF(RawDataDead!$B:$B,$A48,RawDataDead!Y:Y)</f>
        <v>1</v>
      </c>
      <c r="W48">
        <f>SUMIF(RawDataDead!$B:$B,$A48,RawDataDead!Z:Z)</f>
        <v>1</v>
      </c>
      <c r="X48">
        <f>SUMIF(RawDataDead!$B:$B,$A48,RawDataDead!AA:AA)</f>
        <v>1</v>
      </c>
      <c r="Y48">
        <f>SUMIF(RawDataDead!$B:$B,$A48,RawDataDead!AB:AB)</f>
        <v>1</v>
      </c>
      <c r="Z48">
        <f>SUMIF(RawDataDead!$B:$B,$A48,RawDataDead!AC:AC)</f>
        <v>1</v>
      </c>
      <c r="AA48">
        <f>SUMIF(RawDataDead!$B:$B,$A48,RawDataDead!AD:AD)</f>
        <v>1</v>
      </c>
      <c r="AB48">
        <f>SUMIF(RawDataDead!$B:$B,$A48,RawDataDead!AE:AE)</f>
        <v>1</v>
      </c>
      <c r="AC48">
        <f>SUMIF(RawDataDead!$B:$B,$A48,RawDataDead!AF:AF)</f>
        <v>1</v>
      </c>
      <c r="AD48">
        <f>SUMIF(RawDataDead!$B:$B,$A48,RawDataDead!AG:AG)</f>
        <v>1</v>
      </c>
      <c r="AE48">
        <f>SUMIF(RawDataDead!$B:$B,$A48,RawDataDead!AH:AH)</f>
        <v>1</v>
      </c>
      <c r="AF48">
        <f>SUMIF(RawDataDead!$B:$B,$A48,RawDataDead!AI:AI)</f>
        <v>1</v>
      </c>
      <c r="AG48">
        <f>SUMIF(RawDataDead!$B:$B,$A48,RawDataDead!AJ:AJ)</f>
        <v>1</v>
      </c>
      <c r="AH48">
        <f>SUMIF(RawDataDead!$B:$B,$A48,RawDataDead!AK:AK)</f>
        <v>1</v>
      </c>
      <c r="AI48">
        <f>SUMIF(RawDataDead!$B:$B,$A48,RawDataDead!AL:AL)</f>
        <v>1</v>
      </c>
      <c r="AJ48">
        <f>SUMIF(RawDataDead!$B:$B,$A48,RawDataDead!AM:AM)</f>
        <v>1</v>
      </c>
      <c r="AK48">
        <f>SUMIF(RawDataDead!$B:$B,$A48,RawDataDead!AN:AN)</f>
        <v>1</v>
      </c>
      <c r="AL48">
        <f>SUMIF(RawDataDead!$B:$B,$A48,RawDataDead!AO:AO)</f>
        <v>1</v>
      </c>
      <c r="AM48">
        <f>SUMIF(RawDataDead!$B:$B,$A48,RawDataDead!AP:AP)</f>
        <v>1</v>
      </c>
      <c r="AN48">
        <f>SUMIF(RawDataDead!$B:$B,$A48,RawDataDead!AQ:AQ)</f>
        <v>1</v>
      </c>
      <c r="AO48">
        <f>SUMIF(RawDataDead!$B:$B,$A48,RawDataDead!AR:AR)</f>
        <v>1</v>
      </c>
      <c r="AP48">
        <f>SUMIF(RawDataDead!$B:$B,$A48,RawDataDead!AS:AS)</f>
        <v>1</v>
      </c>
      <c r="AQ48">
        <f>SUMIF(RawDataDead!$B:$B,$A48,RawDataDead!AT:AT)</f>
        <v>1</v>
      </c>
      <c r="AR48">
        <f>SUMIF(RawDataDead!$B:$B,$A48,RawDataDead!AU:AU)</f>
        <v>1</v>
      </c>
      <c r="AS48">
        <f>SUMIF(RawDataDead!$B:$B,$A48,RawDataDead!AV:AV)</f>
        <v>1</v>
      </c>
      <c r="AT48">
        <f>SUMIF(RawDataDead!$B:$B,$A48,RawDataDead!AW:AW)</f>
        <v>1</v>
      </c>
      <c r="AU48">
        <f>SUMIF(RawDataDead!$B:$B,$A48,RawDataDead!AX:AX)</f>
        <v>1</v>
      </c>
      <c r="AV48">
        <f>SUMIF(RawDataDead!$B:$B,$A48,RawDataDead!AY:AY)</f>
        <v>1</v>
      </c>
      <c r="AW48">
        <f>SUMIF(RawDataDead!$B:$B,$A48,RawDataDead!AZ:AZ)</f>
        <v>1</v>
      </c>
      <c r="AX48">
        <f>SUMIF(RawDataDead!$B:$B,$A48,RawDataDead!BA:BA)</f>
        <v>1</v>
      </c>
      <c r="AY48">
        <f>SUMIF(RawDataDead!$B:$B,$A48,RawDataDead!BB:BB)</f>
        <v>1</v>
      </c>
      <c r="AZ48">
        <f>SUMIF(RawDataDead!$B:$B,$A48,RawDataDead!BC:BC)</f>
        <v>2</v>
      </c>
      <c r="BA48">
        <f>SUMIF(RawDataDead!$B:$B,$A48,RawDataDead!BD:BD)</f>
        <v>5</v>
      </c>
      <c r="BB48">
        <f>SUMIF(RawDataDead!$B:$B,$A48,RawDataDead!BE:BE)</f>
        <v>8</v>
      </c>
      <c r="BC48">
        <f>SUMIF(RawDataDead!$B:$B,$A48,RawDataDead!BF:BF)</f>
        <v>11</v>
      </c>
      <c r="BD48">
        <f>SUMIF(RawDataDead!$B:$B,$A48,RawDataDead!BG:BG)</f>
        <v>12</v>
      </c>
      <c r="BE48">
        <f>SUMIF(RawDataDead!$B:$B,$A48,RawDataDead!BH:BH)</f>
        <v>12</v>
      </c>
      <c r="BF48">
        <f>SUMIF(RawDataDead!$B:$B,$A48,RawDataDead!BI:BI)</f>
        <v>0</v>
      </c>
      <c r="BG48">
        <f>SUMIF(RawDataDead!$B:$B,$A48,RawDataDead!BJ:BJ)</f>
        <v>0</v>
      </c>
      <c r="BH48">
        <f>SUMIF(RawDataDead!$B:$B,$A48,RawDataDead!BK:BK)</f>
        <v>0</v>
      </c>
      <c r="BI48">
        <f>SUMIF(RawDataDead!$B:$B,$A48,RawDataDead!BL:BL)</f>
        <v>0</v>
      </c>
      <c r="BJ48">
        <f>SUMIF(RawDataDead!$B:$B,$A48,RawDataDead!BM:BM)</f>
        <v>0</v>
      </c>
      <c r="BK48">
        <f>SUMIF(RawDataDead!$B:$B,$A48,RawDataDead!BN:BN)</f>
        <v>0</v>
      </c>
      <c r="BL48">
        <f>SUMIF(RawDataDead!$B:$B,$A48,RawDataDead!BO:BO)</f>
        <v>0</v>
      </c>
      <c r="BM48">
        <f>SUMIF(RawDataDead!$B:$B,$A48,RawDataDead!BP:BP)</f>
        <v>0</v>
      </c>
      <c r="BN48">
        <f>SUMIF(RawDataDead!$B:$B,$A48,RawDataDead!BQ:BQ)</f>
        <v>0</v>
      </c>
      <c r="BO48">
        <f>SUMIF(RawDataDead!$B:$B,$A48,RawDataDead!BR:BR)</f>
        <v>0</v>
      </c>
      <c r="BP48">
        <f>SUMIF(RawDataDead!$B:$B,$A48,RawDataDead!BS:BS)</f>
        <v>0</v>
      </c>
      <c r="BQ48">
        <f>SUMIF(RawDataDead!$B:$B,$A48,RawDataDead!BT:BT)</f>
        <v>0</v>
      </c>
      <c r="BR48">
        <f>SUMIF(RawDataDead!$B:$B,$A48,RawDataDead!BU:BU)</f>
        <v>0</v>
      </c>
      <c r="BS48">
        <f>SUMIF(RawDataDead!$B:$B,$A48,RawDataDead!BV:BV)</f>
        <v>0</v>
      </c>
      <c r="BT48">
        <f>SUMIF(RawDataDead!$B:$B,$A48,RawDataDead!BW:BW)</f>
        <v>0</v>
      </c>
    </row>
    <row r="49" spans="1:72" ht="15" thickBot="1" x14ac:dyDescent="0.35">
      <c r="A49" s="3" t="s">
        <v>370</v>
      </c>
      <c r="B49">
        <f>SUMIF(RawDataDead!$B:$B,$A49,RawDataDead!E:E)</f>
        <v>0</v>
      </c>
      <c r="C49">
        <f>SUMIF(RawDataDead!$B:$B,$A49,RawDataDead!F:F)</f>
        <v>0</v>
      </c>
      <c r="D49">
        <f>SUMIF(RawDataDead!$B:$B,$A49,RawDataDead!G:G)</f>
        <v>0</v>
      </c>
      <c r="E49">
        <f>SUMIF(RawDataDead!$B:$B,$A49,RawDataDead!H:H)</f>
        <v>0</v>
      </c>
      <c r="F49">
        <f>SUMIF(RawDataDead!$B:$B,$A49,RawDataDead!I:I)</f>
        <v>0</v>
      </c>
      <c r="G49">
        <f>SUMIF(RawDataDead!$B:$B,$A49,RawDataDead!J:J)</f>
        <v>0</v>
      </c>
      <c r="H49">
        <f>SUMIF(RawDataDead!$B:$B,$A49,RawDataDead!K:K)</f>
        <v>0</v>
      </c>
      <c r="I49">
        <f>SUMIF(RawDataDead!$B:$B,$A49,RawDataDead!L:L)</f>
        <v>0</v>
      </c>
      <c r="J49">
        <f>SUMIF(RawDataDead!$B:$B,$A49,RawDataDead!M:M)</f>
        <v>0</v>
      </c>
      <c r="K49">
        <f>SUMIF(RawDataDead!$B:$B,$A49,RawDataDead!N:N)</f>
        <v>0</v>
      </c>
      <c r="L49">
        <f>SUMIF(RawDataDead!$B:$B,$A49,RawDataDead!O:O)</f>
        <v>0</v>
      </c>
      <c r="M49">
        <f>SUMIF(RawDataDead!$B:$B,$A49,RawDataDead!P:P)</f>
        <v>0</v>
      </c>
      <c r="N49">
        <f>SUMIF(RawDataDead!$B:$B,$A49,RawDataDead!Q:Q)</f>
        <v>0</v>
      </c>
      <c r="O49">
        <f>SUMIF(RawDataDead!$B:$B,$A49,RawDataDead!R:R)</f>
        <v>0</v>
      </c>
      <c r="P49">
        <f>SUMIF(RawDataDead!$B:$B,$A49,RawDataDead!S:S)</f>
        <v>0</v>
      </c>
      <c r="Q49">
        <f>SUMIF(RawDataDead!$B:$B,$A49,RawDataDead!T:T)</f>
        <v>0</v>
      </c>
      <c r="R49">
        <f>SUMIF(RawDataDead!$B:$B,$A49,RawDataDead!U:U)</f>
        <v>0</v>
      </c>
      <c r="S49">
        <f>SUMIF(RawDataDead!$B:$B,$A49,RawDataDead!V:V)</f>
        <v>0</v>
      </c>
      <c r="T49">
        <f>SUMIF(RawDataDead!$B:$B,$A49,RawDataDead!W:W)</f>
        <v>0</v>
      </c>
      <c r="U49">
        <f>SUMIF(RawDataDead!$B:$B,$A49,RawDataDead!X:X)</f>
        <v>0</v>
      </c>
      <c r="V49">
        <f>SUMIF(RawDataDead!$B:$B,$A49,RawDataDead!Y:Y)</f>
        <v>0</v>
      </c>
      <c r="W49">
        <f>SUMIF(RawDataDead!$B:$B,$A49,RawDataDead!Z:Z)</f>
        <v>0</v>
      </c>
      <c r="X49">
        <f>SUMIF(RawDataDead!$B:$B,$A49,RawDataDead!AA:AA)</f>
        <v>0</v>
      </c>
      <c r="Y49">
        <f>SUMIF(RawDataDead!$B:$B,$A49,RawDataDead!AB:AB)</f>
        <v>0</v>
      </c>
      <c r="Z49">
        <f>SUMIF(RawDataDead!$B:$B,$A49,RawDataDead!AC:AC)</f>
        <v>0</v>
      </c>
      <c r="AA49">
        <f>SUMIF(RawDataDead!$B:$B,$A49,RawDataDead!AD:AD)</f>
        <v>1</v>
      </c>
      <c r="AB49">
        <f>SUMIF(RawDataDead!$B:$B,$A49,RawDataDead!AE:AE)</f>
        <v>1</v>
      </c>
      <c r="AC49">
        <f>SUMIF(RawDataDead!$B:$B,$A49,RawDataDead!AF:AF)</f>
        <v>1</v>
      </c>
      <c r="AD49">
        <f>SUMIF(RawDataDead!$B:$B,$A49,RawDataDead!AG:AG)</f>
        <v>1</v>
      </c>
      <c r="AE49">
        <f>SUMIF(RawDataDead!$B:$B,$A49,RawDataDead!AH:AH)</f>
        <v>1</v>
      </c>
      <c r="AF49">
        <f>SUMIF(RawDataDead!$B:$B,$A49,RawDataDead!AI:AI)</f>
        <v>1</v>
      </c>
      <c r="AG49">
        <f>SUMIF(RawDataDead!$B:$B,$A49,RawDataDead!AJ:AJ)</f>
        <v>1</v>
      </c>
      <c r="AH49">
        <f>SUMIF(RawDataDead!$B:$B,$A49,RawDataDead!AK:AK)</f>
        <v>1</v>
      </c>
      <c r="AI49">
        <f>SUMIF(RawDataDead!$B:$B,$A49,RawDataDead!AL:AL)</f>
        <v>1</v>
      </c>
      <c r="AJ49">
        <f>SUMIF(RawDataDead!$B:$B,$A49,RawDataDead!AM:AM)</f>
        <v>1</v>
      </c>
      <c r="AK49">
        <f>SUMIF(RawDataDead!$B:$B,$A49,RawDataDead!AN:AN)</f>
        <v>1</v>
      </c>
      <c r="AL49">
        <f>SUMIF(RawDataDead!$B:$B,$A49,RawDataDead!AO:AO)</f>
        <v>1</v>
      </c>
      <c r="AM49">
        <f>SUMIF(RawDataDead!$B:$B,$A49,RawDataDead!AP:AP)</f>
        <v>1</v>
      </c>
      <c r="AN49">
        <f>SUMIF(RawDataDead!$B:$B,$A49,RawDataDead!AQ:AQ)</f>
        <v>1</v>
      </c>
      <c r="AO49">
        <f>SUMIF(RawDataDead!$B:$B,$A49,RawDataDead!AR:AR)</f>
        <v>1</v>
      </c>
      <c r="AP49">
        <f>SUMIF(RawDataDead!$B:$B,$A49,RawDataDead!AS:AS)</f>
        <v>1</v>
      </c>
      <c r="AQ49">
        <f>SUMIF(RawDataDead!$B:$B,$A49,RawDataDead!AT:AT)</f>
        <v>1</v>
      </c>
      <c r="AR49">
        <f>SUMIF(RawDataDead!$B:$B,$A49,RawDataDead!AU:AU)</f>
        <v>1</v>
      </c>
      <c r="AS49">
        <f>SUMIF(RawDataDead!$B:$B,$A49,RawDataDead!AV:AV)</f>
        <v>1</v>
      </c>
      <c r="AT49">
        <f>SUMIF(RawDataDead!$B:$B,$A49,RawDataDead!AW:AW)</f>
        <v>1</v>
      </c>
      <c r="AU49">
        <f>SUMIF(RawDataDead!$B:$B,$A49,RawDataDead!AX:AX)</f>
        <v>1</v>
      </c>
      <c r="AV49">
        <f>SUMIF(RawDataDead!$B:$B,$A49,RawDataDead!AY:AY)</f>
        <v>1</v>
      </c>
      <c r="AW49">
        <f>SUMIF(RawDataDead!$B:$B,$A49,RawDataDead!AZ:AZ)</f>
        <v>1</v>
      </c>
      <c r="AX49">
        <f>SUMIF(RawDataDead!$B:$B,$A49,RawDataDead!BA:BA)</f>
        <v>1</v>
      </c>
      <c r="AY49">
        <f>SUMIF(RawDataDead!$B:$B,$A49,RawDataDead!BB:BB)</f>
        <v>1</v>
      </c>
      <c r="AZ49">
        <f>SUMIF(RawDataDead!$B:$B,$A49,RawDataDead!BC:BC)</f>
        <v>1</v>
      </c>
      <c r="BA49">
        <f>SUMIF(RawDataDead!$B:$B,$A49,RawDataDead!BD:BD)</f>
        <v>1</v>
      </c>
      <c r="BB49">
        <f>SUMIF(RawDataDead!$B:$B,$A49,RawDataDead!BE:BE)</f>
        <v>1</v>
      </c>
      <c r="BC49">
        <f>SUMIF(RawDataDead!$B:$B,$A49,RawDataDead!BF:BF)</f>
        <v>1</v>
      </c>
      <c r="BD49">
        <f>SUMIF(RawDataDead!$B:$B,$A49,RawDataDead!BG:BG)</f>
        <v>1</v>
      </c>
      <c r="BE49">
        <f>SUMIF(RawDataDead!$B:$B,$A49,RawDataDead!BH:BH)</f>
        <v>1</v>
      </c>
      <c r="BF49">
        <f>SUMIF(RawDataDead!$B:$B,$A49,RawDataDead!BI:BI)</f>
        <v>0</v>
      </c>
      <c r="BG49">
        <f>SUMIF(RawDataDead!$B:$B,$A49,RawDataDead!BJ:BJ)</f>
        <v>0</v>
      </c>
      <c r="BH49">
        <f>SUMIF(RawDataDead!$B:$B,$A49,RawDataDead!BK:BK)</f>
        <v>0</v>
      </c>
      <c r="BI49">
        <f>SUMIF(RawDataDead!$B:$B,$A49,RawDataDead!BL:BL)</f>
        <v>0</v>
      </c>
      <c r="BJ49">
        <f>SUMIF(RawDataDead!$B:$B,$A49,RawDataDead!BM:BM)</f>
        <v>0</v>
      </c>
      <c r="BK49">
        <f>SUMIF(RawDataDead!$B:$B,$A49,RawDataDead!BN:BN)</f>
        <v>0</v>
      </c>
      <c r="BL49">
        <f>SUMIF(RawDataDead!$B:$B,$A49,RawDataDead!BO:BO)</f>
        <v>0</v>
      </c>
      <c r="BM49">
        <f>SUMIF(RawDataDead!$B:$B,$A49,RawDataDead!BP:BP)</f>
        <v>0</v>
      </c>
      <c r="BN49">
        <f>SUMIF(RawDataDead!$B:$B,$A49,RawDataDead!BQ:BQ)</f>
        <v>0</v>
      </c>
      <c r="BO49">
        <f>SUMIF(RawDataDead!$B:$B,$A49,RawDataDead!BR:BR)</f>
        <v>0</v>
      </c>
      <c r="BP49">
        <f>SUMIF(RawDataDead!$B:$B,$A49,RawDataDead!BS:BS)</f>
        <v>0</v>
      </c>
      <c r="BQ49">
        <f>SUMIF(RawDataDead!$B:$B,$A49,RawDataDead!BT:BT)</f>
        <v>0</v>
      </c>
      <c r="BR49">
        <f>SUMIF(RawDataDead!$B:$B,$A49,RawDataDead!BU:BU)</f>
        <v>0</v>
      </c>
      <c r="BS49">
        <f>SUMIF(RawDataDead!$B:$B,$A49,RawDataDead!BV:BV)</f>
        <v>0</v>
      </c>
      <c r="BT49">
        <f>SUMIF(RawDataDead!$B:$B,$A49,RawDataDead!BW:BW)</f>
        <v>0</v>
      </c>
    </row>
    <row r="50" spans="1:72" ht="15" thickBot="1" x14ac:dyDescent="0.35">
      <c r="A50" s="4" t="s">
        <v>371</v>
      </c>
      <c r="B50">
        <f>SUMIF(RawDataDead!$B:$B,$A50,RawDataDead!E:E)</f>
        <v>0</v>
      </c>
      <c r="C50">
        <f>SUMIF(RawDataDead!$B:$B,$A50,RawDataDead!F:F)</f>
        <v>0</v>
      </c>
      <c r="D50">
        <f>SUMIF(RawDataDead!$B:$B,$A50,RawDataDead!G:G)</f>
        <v>0</v>
      </c>
      <c r="E50">
        <f>SUMIF(RawDataDead!$B:$B,$A50,RawDataDead!H:H)</f>
        <v>0</v>
      </c>
      <c r="F50">
        <f>SUMIF(RawDataDead!$B:$B,$A50,RawDataDead!I:I)</f>
        <v>0</v>
      </c>
      <c r="G50">
        <f>SUMIF(RawDataDead!$B:$B,$A50,RawDataDead!J:J)</f>
        <v>0</v>
      </c>
      <c r="H50">
        <f>SUMIF(RawDataDead!$B:$B,$A50,RawDataDead!K:K)</f>
        <v>0</v>
      </c>
      <c r="I50">
        <f>SUMIF(RawDataDead!$B:$B,$A50,RawDataDead!L:L)</f>
        <v>0</v>
      </c>
      <c r="J50">
        <f>SUMIF(RawDataDead!$B:$B,$A50,RawDataDead!M:M)</f>
        <v>0</v>
      </c>
      <c r="K50">
        <f>SUMIF(RawDataDead!$B:$B,$A50,RawDataDead!N:N)</f>
        <v>0</v>
      </c>
      <c r="L50">
        <f>SUMIF(RawDataDead!$B:$B,$A50,RawDataDead!O:O)</f>
        <v>0</v>
      </c>
      <c r="M50">
        <f>SUMIF(RawDataDead!$B:$B,$A50,RawDataDead!P:P)</f>
        <v>0</v>
      </c>
      <c r="N50">
        <f>SUMIF(RawDataDead!$B:$B,$A50,RawDataDead!Q:Q)</f>
        <v>0</v>
      </c>
      <c r="O50">
        <f>SUMIF(RawDataDead!$B:$B,$A50,RawDataDead!R:R)</f>
        <v>0</v>
      </c>
      <c r="P50">
        <f>SUMIF(RawDataDead!$B:$B,$A50,RawDataDead!S:S)</f>
        <v>0</v>
      </c>
      <c r="Q50">
        <f>SUMIF(RawDataDead!$B:$B,$A50,RawDataDead!T:T)</f>
        <v>0</v>
      </c>
      <c r="R50">
        <f>SUMIF(RawDataDead!$B:$B,$A50,RawDataDead!U:U)</f>
        <v>0</v>
      </c>
      <c r="S50">
        <f>SUMIF(RawDataDead!$B:$B,$A50,RawDataDead!V:V)</f>
        <v>0</v>
      </c>
      <c r="T50">
        <f>SUMIF(RawDataDead!$B:$B,$A50,RawDataDead!W:W)</f>
        <v>0</v>
      </c>
      <c r="U50">
        <f>SUMIF(RawDataDead!$B:$B,$A50,RawDataDead!X:X)</f>
        <v>0</v>
      </c>
      <c r="V50">
        <f>SUMIF(RawDataDead!$B:$B,$A50,RawDataDead!Y:Y)</f>
        <v>0</v>
      </c>
      <c r="W50">
        <f>SUMIF(RawDataDead!$B:$B,$A50,RawDataDead!Z:Z)</f>
        <v>0</v>
      </c>
      <c r="X50">
        <f>SUMIF(RawDataDead!$B:$B,$A50,RawDataDead!AA:AA)</f>
        <v>0</v>
      </c>
      <c r="Y50">
        <f>SUMIF(RawDataDead!$B:$B,$A50,RawDataDead!AB:AB)</f>
        <v>0</v>
      </c>
      <c r="Z50">
        <f>SUMIF(RawDataDead!$B:$B,$A50,RawDataDead!AC:AC)</f>
        <v>0</v>
      </c>
      <c r="AA50">
        <f>SUMIF(RawDataDead!$B:$B,$A50,RawDataDead!AD:AD)</f>
        <v>0</v>
      </c>
      <c r="AB50">
        <f>SUMIF(RawDataDead!$B:$B,$A50,RawDataDead!AE:AE)</f>
        <v>0</v>
      </c>
      <c r="AC50">
        <f>SUMIF(RawDataDead!$B:$B,$A50,RawDataDead!AF:AF)</f>
        <v>0</v>
      </c>
      <c r="AD50">
        <f>SUMIF(RawDataDead!$B:$B,$A50,RawDataDead!AG:AG)</f>
        <v>0</v>
      </c>
      <c r="AE50">
        <f>SUMIF(RawDataDead!$B:$B,$A50,RawDataDead!AH:AH)</f>
        <v>0</v>
      </c>
      <c r="AF50">
        <f>SUMIF(RawDataDead!$B:$B,$A50,RawDataDead!AI:AI)</f>
        <v>0</v>
      </c>
      <c r="AG50">
        <f>SUMIF(RawDataDead!$B:$B,$A50,RawDataDead!AJ:AJ)</f>
        <v>0</v>
      </c>
      <c r="AH50">
        <f>SUMIF(RawDataDead!$B:$B,$A50,RawDataDead!AK:AK)</f>
        <v>0</v>
      </c>
      <c r="AI50">
        <f>SUMIF(RawDataDead!$B:$B,$A50,RawDataDead!AL:AL)</f>
        <v>0</v>
      </c>
      <c r="AJ50">
        <f>SUMIF(RawDataDead!$B:$B,$A50,RawDataDead!AM:AM)</f>
        <v>0</v>
      </c>
      <c r="AK50">
        <f>SUMIF(RawDataDead!$B:$B,$A50,RawDataDead!AN:AN)</f>
        <v>0</v>
      </c>
      <c r="AL50">
        <f>SUMIF(RawDataDead!$B:$B,$A50,RawDataDead!AO:AO)</f>
        <v>0</v>
      </c>
      <c r="AM50">
        <f>SUMIF(RawDataDead!$B:$B,$A50,RawDataDead!AP:AP)</f>
        <v>0</v>
      </c>
      <c r="AN50">
        <f>SUMIF(RawDataDead!$B:$B,$A50,RawDataDead!AQ:AQ)</f>
        <v>0</v>
      </c>
      <c r="AO50">
        <f>SUMIF(RawDataDead!$B:$B,$A50,RawDataDead!AR:AR)</f>
        <v>0</v>
      </c>
      <c r="AP50">
        <f>SUMIF(RawDataDead!$B:$B,$A50,RawDataDead!AS:AS)</f>
        <v>0</v>
      </c>
      <c r="AQ50">
        <f>SUMIF(RawDataDead!$B:$B,$A50,RawDataDead!AT:AT)</f>
        <v>0</v>
      </c>
      <c r="AR50">
        <f>SUMIF(RawDataDead!$B:$B,$A50,RawDataDead!AU:AU)</f>
        <v>0</v>
      </c>
      <c r="AS50">
        <f>SUMIF(RawDataDead!$B:$B,$A50,RawDataDead!AV:AV)</f>
        <v>0</v>
      </c>
      <c r="AT50">
        <f>SUMIF(RawDataDead!$B:$B,$A50,RawDataDead!AW:AW)</f>
        <v>0</v>
      </c>
      <c r="AU50">
        <f>SUMIF(RawDataDead!$B:$B,$A50,RawDataDead!AX:AX)</f>
        <v>0</v>
      </c>
      <c r="AV50">
        <f>SUMIF(RawDataDead!$B:$B,$A50,RawDataDead!AY:AY)</f>
        <v>0</v>
      </c>
      <c r="AW50">
        <f>SUMIF(RawDataDead!$B:$B,$A50,RawDataDead!AZ:AZ)</f>
        <v>0</v>
      </c>
      <c r="AX50">
        <f>SUMIF(RawDataDead!$B:$B,$A50,RawDataDead!BA:BA)</f>
        <v>0</v>
      </c>
      <c r="AY50">
        <f>SUMIF(RawDataDead!$B:$B,$A50,RawDataDead!BB:BB)</f>
        <v>0</v>
      </c>
      <c r="AZ50">
        <f>SUMIF(RawDataDead!$B:$B,$A50,RawDataDead!BC:BC)</f>
        <v>0</v>
      </c>
      <c r="BA50">
        <f>SUMIF(RawDataDead!$B:$B,$A50,RawDataDead!BD:BD)</f>
        <v>0</v>
      </c>
      <c r="BB50">
        <f>SUMIF(RawDataDead!$B:$B,$A50,RawDataDead!BE:BE)</f>
        <v>0</v>
      </c>
      <c r="BC50">
        <f>SUMIF(RawDataDead!$B:$B,$A50,RawDataDead!BF:BF)</f>
        <v>0</v>
      </c>
      <c r="BD50">
        <f>SUMIF(RawDataDead!$B:$B,$A50,RawDataDead!BG:BG)</f>
        <v>0</v>
      </c>
      <c r="BE50">
        <f>SUMIF(RawDataDead!$B:$B,$A50,RawDataDead!BH:BH)</f>
        <v>0</v>
      </c>
      <c r="BF50">
        <f>SUMIF(RawDataDead!$B:$B,$A50,RawDataDead!BI:BI)</f>
        <v>0</v>
      </c>
      <c r="BG50">
        <f>SUMIF(RawDataDead!$B:$B,$A50,RawDataDead!BJ:BJ)</f>
        <v>0</v>
      </c>
      <c r="BH50">
        <f>SUMIF(RawDataDead!$B:$B,$A50,RawDataDead!BK:BK)</f>
        <v>0</v>
      </c>
      <c r="BI50">
        <f>SUMIF(RawDataDead!$B:$B,$A50,RawDataDead!BL:BL)</f>
        <v>0</v>
      </c>
      <c r="BJ50">
        <f>SUMIF(RawDataDead!$B:$B,$A50,RawDataDead!BM:BM)</f>
        <v>0</v>
      </c>
      <c r="BK50">
        <f>SUMIF(RawDataDead!$B:$B,$A50,RawDataDead!BN:BN)</f>
        <v>0</v>
      </c>
      <c r="BL50">
        <f>SUMIF(RawDataDead!$B:$B,$A50,RawDataDead!BO:BO)</f>
        <v>0</v>
      </c>
      <c r="BM50">
        <f>SUMIF(RawDataDead!$B:$B,$A50,RawDataDead!BP:BP)</f>
        <v>0</v>
      </c>
      <c r="BN50">
        <f>SUMIF(RawDataDead!$B:$B,$A50,RawDataDead!BQ:BQ)</f>
        <v>0</v>
      </c>
      <c r="BO50">
        <f>SUMIF(RawDataDead!$B:$B,$A50,RawDataDead!BR:BR)</f>
        <v>0</v>
      </c>
      <c r="BP50">
        <f>SUMIF(RawDataDead!$B:$B,$A50,RawDataDead!BS:BS)</f>
        <v>0</v>
      </c>
      <c r="BQ50">
        <f>SUMIF(RawDataDead!$B:$B,$A50,RawDataDead!BT:BT)</f>
        <v>0</v>
      </c>
      <c r="BR50">
        <f>SUMIF(RawDataDead!$B:$B,$A50,RawDataDead!BU:BU)</f>
        <v>0</v>
      </c>
      <c r="BS50">
        <f>SUMIF(RawDataDead!$B:$B,$A50,RawDataDead!BV:BV)</f>
        <v>0</v>
      </c>
      <c r="BT50">
        <f>SUMIF(RawDataDead!$B:$B,$A50,RawDataDead!BW:BW)</f>
        <v>0</v>
      </c>
    </row>
    <row r="51" spans="1:72" ht="15" thickBot="1" x14ac:dyDescent="0.35">
      <c r="A51" s="3" t="s">
        <v>372</v>
      </c>
      <c r="B51">
        <f>SUMIF(RawDataDead!$B:$B,$A51,RawDataDead!E:E)</f>
        <v>0</v>
      </c>
      <c r="C51">
        <f>SUMIF(RawDataDead!$B:$B,$A51,RawDataDead!F:F)</f>
        <v>0</v>
      </c>
      <c r="D51">
        <f>SUMIF(RawDataDead!$B:$B,$A51,RawDataDead!G:G)</f>
        <v>0</v>
      </c>
      <c r="E51">
        <f>SUMIF(RawDataDead!$B:$B,$A51,RawDataDead!H:H)</f>
        <v>0</v>
      </c>
      <c r="F51">
        <f>SUMIF(RawDataDead!$B:$B,$A51,RawDataDead!I:I)</f>
        <v>0</v>
      </c>
      <c r="G51">
        <f>SUMIF(RawDataDead!$B:$B,$A51,RawDataDead!J:J)</f>
        <v>0</v>
      </c>
      <c r="H51">
        <f>SUMIF(RawDataDead!$B:$B,$A51,RawDataDead!K:K)</f>
        <v>0</v>
      </c>
      <c r="I51">
        <f>SUMIF(RawDataDead!$B:$B,$A51,RawDataDead!L:L)</f>
        <v>0</v>
      </c>
      <c r="J51">
        <f>SUMIF(RawDataDead!$B:$B,$A51,RawDataDead!M:M)</f>
        <v>0</v>
      </c>
      <c r="K51">
        <f>SUMIF(RawDataDead!$B:$B,$A51,RawDataDead!N:N)</f>
        <v>0</v>
      </c>
      <c r="L51">
        <f>SUMIF(RawDataDead!$B:$B,$A51,RawDataDead!O:O)</f>
        <v>0</v>
      </c>
      <c r="M51">
        <f>SUMIF(RawDataDead!$B:$B,$A51,RawDataDead!P:P)</f>
        <v>0</v>
      </c>
      <c r="N51">
        <f>SUMIF(RawDataDead!$B:$B,$A51,RawDataDead!Q:Q)</f>
        <v>0</v>
      </c>
      <c r="O51">
        <f>SUMIF(RawDataDead!$B:$B,$A51,RawDataDead!R:R)</f>
        <v>0</v>
      </c>
      <c r="P51">
        <f>SUMIF(RawDataDead!$B:$B,$A51,RawDataDead!S:S)</f>
        <v>0</v>
      </c>
      <c r="Q51">
        <f>SUMIF(RawDataDead!$B:$B,$A51,RawDataDead!T:T)</f>
        <v>0</v>
      </c>
      <c r="R51">
        <f>SUMIF(RawDataDead!$B:$B,$A51,RawDataDead!U:U)</f>
        <v>0</v>
      </c>
      <c r="S51">
        <f>SUMIF(RawDataDead!$B:$B,$A51,RawDataDead!V:V)</f>
        <v>0</v>
      </c>
      <c r="T51">
        <f>SUMIF(RawDataDead!$B:$B,$A51,RawDataDead!W:W)</f>
        <v>0</v>
      </c>
      <c r="U51">
        <f>SUMIF(RawDataDead!$B:$B,$A51,RawDataDead!X:X)</f>
        <v>0</v>
      </c>
      <c r="V51">
        <f>SUMIF(RawDataDead!$B:$B,$A51,RawDataDead!Y:Y)</f>
        <v>0</v>
      </c>
      <c r="W51">
        <f>SUMIF(RawDataDead!$B:$B,$A51,RawDataDead!Z:Z)</f>
        <v>0</v>
      </c>
      <c r="X51">
        <f>SUMIF(RawDataDead!$B:$B,$A51,RawDataDead!AA:AA)</f>
        <v>0</v>
      </c>
      <c r="Y51">
        <f>SUMIF(RawDataDead!$B:$B,$A51,RawDataDead!AB:AB)</f>
        <v>0</v>
      </c>
      <c r="Z51">
        <f>SUMIF(RawDataDead!$B:$B,$A51,RawDataDead!AC:AC)</f>
        <v>0</v>
      </c>
      <c r="AA51">
        <f>SUMIF(RawDataDead!$B:$B,$A51,RawDataDead!AD:AD)</f>
        <v>0</v>
      </c>
      <c r="AB51">
        <f>SUMIF(RawDataDead!$B:$B,$A51,RawDataDead!AE:AE)</f>
        <v>0</v>
      </c>
      <c r="AC51">
        <f>SUMIF(RawDataDead!$B:$B,$A51,RawDataDead!AF:AF)</f>
        <v>0</v>
      </c>
      <c r="AD51">
        <f>SUMIF(RawDataDead!$B:$B,$A51,RawDataDead!AG:AG)</f>
        <v>0</v>
      </c>
      <c r="AE51">
        <f>SUMIF(RawDataDead!$B:$B,$A51,RawDataDead!AH:AH)</f>
        <v>0</v>
      </c>
      <c r="AF51">
        <f>SUMIF(RawDataDead!$B:$B,$A51,RawDataDead!AI:AI)</f>
        <v>0</v>
      </c>
      <c r="AG51">
        <f>SUMIF(RawDataDead!$B:$B,$A51,RawDataDead!AJ:AJ)</f>
        <v>0</v>
      </c>
      <c r="AH51">
        <f>SUMIF(RawDataDead!$B:$B,$A51,RawDataDead!AK:AK)</f>
        <v>0</v>
      </c>
      <c r="AI51">
        <f>SUMIF(RawDataDead!$B:$B,$A51,RawDataDead!AL:AL)</f>
        <v>0</v>
      </c>
      <c r="AJ51">
        <f>SUMIF(RawDataDead!$B:$B,$A51,RawDataDead!AM:AM)</f>
        <v>0</v>
      </c>
      <c r="AK51">
        <f>SUMIF(RawDataDead!$B:$B,$A51,RawDataDead!AN:AN)</f>
        <v>0</v>
      </c>
      <c r="AL51">
        <f>SUMIF(RawDataDead!$B:$B,$A51,RawDataDead!AO:AO)</f>
        <v>0</v>
      </c>
      <c r="AM51">
        <f>SUMIF(RawDataDead!$B:$B,$A51,RawDataDead!AP:AP)</f>
        <v>0</v>
      </c>
      <c r="AN51">
        <f>SUMIF(RawDataDead!$B:$B,$A51,RawDataDead!AQ:AQ)</f>
        <v>0</v>
      </c>
      <c r="AO51">
        <f>SUMIF(RawDataDead!$B:$B,$A51,RawDataDead!AR:AR)</f>
        <v>0</v>
      </c>
      <c r="AP51">
        <f>SUMIF(RawDataDead!$B:$B,$A51,RawDataDead!AS:AS)</f>
        <v>0</v>
      </c>
      <c r="AQ51">
        <f>SUMIF(RawDataDead!$B:$B,$A51,RawDataDead!AT:AT)</f>
        <v>0</v>
      </c>
      <c r="AR51">
        <f>SUMIF(RawDataDead!$B:$B,$A51,RawDataDead!AU:AU)</f>
        <v>0</v>
      </c>
      <c r="AS51">
        <f>SUMIF(RawDataDead!$B:$B,$A51,RawDataDead!AV:AV)</f>
        <v>0</v>
      </c>
      <c r="AT51">
        <f>SUMIF(RawDataDead!$B:$B,$A51,RawDataDead!AW:AW)</f>
        <v>0</v>
      </c>
      <c r="AU51">
        <f>SUMIF(RawDataDead!$B:$B,$A51,RawDataDead!AX:AX)</f>
        <v>0</v>
      </c>
      <c r="AV51">
        <f>SUMIF(RawDataDead!$B:$B,$A51,RawDataDead!AY:AY)</f>
        <v>0</v>
      </c>
      <c r="AW51">
        <f>SUMIF(RawDataDead!$B:$B,$A51,RawDataDead!AZ:AZ)</f>
        <v>0</v>
      </c>
      <c r="AX51">
        <f>SUMIF(RawDataDead!$B:$B,$A51,RawDataDead!BA:BA)</f>
        <v>0</v>
      </c>
      <c r="AY51">
        <f>SUMIF(RawDataDead!$B:$B,$A51,RawDataDead!BB:BB)</f>
        <v>0</v>
      </c>
      <c r="AZ51">
        <f>SUMIF(RawDataDead!$B:$B,$A51,RawDataDead!BC:BC)</f>
        <v>0</v>
      </c>
      <c r="BA51">
        <f>SUMIF(RawDataDead!$B:$B,$A51,RawDataDead!BD:BD)</f>
        <v>0</v>
      </c>
      <c r="BB51">
        <f>SUMIF(RawDataDead!$B:$B,$A51,RawDataDead!BE:BE)</f>
        <v>0</v>
      </c>
      <c r="BC51">
        <f>SUMIF(RawDataDead!$B:$B,$A51,RawDataDead!BF:BF)</f>
        <v>0</v>
      </c>
      <c r="BD51">
        <f>SUMIF(RawDataDead!$B:$B,$A51,RawDataDead!BG:BG)</f>
        <v>0</v>
      </c>
      <c r="BE51">
        <f>SUMIF(RawDataDead!$B:$B,$A51,RawDataDead!BH:BH)</f>
        <v>0</v>
      </c>
      <c r="BF51">
        <f>SUMIF(RawDataDead!$B:$B,$A51,RawDataDead!BI:BI)</f>
        <v>0</v>
      </c>
      <c r="BG51">
        <f>SUMIF(RawDataDead!$B:$B,$A51,RawDataDead!BJ:BJ)</f>
        <v>0</v>
      </c>
      <c r="BH51">
        <f>SUMIF(RawDataDead!$B:$B,$A51,RawDataDead!BK:BK)</f>
        <v>0</v>
      </c>
      <c r="BI51">
        <f>SUMIF(RawDataDead!$B:$B,$A51,RawDataDead!BL:BL)</f>
        <v>0</v>
      </c>
      <c r="BJ51">
        <f>SUMIF(RawDataDead!$B:$B,$A51,RawDataDead!BM:BM)</f>
        <v>0</v>
      </c>
      <c r="BK51">
        <f>SUMIF(RawDataDead!$B:$B,$A51,RawDataDead!BN:BN)</f>
        <v>0</v>
      </c>
      <c r="BL51">
        <f>SUMIF(RawDataDead!$B:$B,$A51,RawDataDead!BO:BO)</f>
        <v>0</v>
      </c>
      <c r="BM51">
        <f>SUMIF(RawDataDead!$B:$B,$A51,RawDataDead!BP:BP)</f>
        <v>0</v>
      </c>
      <c r="BN51">
        <f>SUMIF(RawDataDead!$B:$B,$A51,RawDataDead!BQ:BQ)</f>
        <v>0</v>
      </c>
      <c r="BO51">
        <f>SUMIF(RawDataDead!$B:$B,$A51,RawDataDead!BR:BR)</f>
        <v>0</v>
      </c>
      <c r="BP51">
        <f>SUMIF(RawDataDead!$B:$B,$A51,RawDataDead!BS:BS)</f>
        <v>0</v>
      </c>
      <c r="BQ51">
        <f>SUMIF(RawDataDead!$B:$B,$A51,RawDataDead!BT:BT)</f>
        <v>0</v>
      </c>
      <c r="BR51">
        <f>SUMIF(RawDataDead!$B:$B,$A51,RawDataDead!BU:BU)</f>
        <v>0</v>
      </c>
      <c r="BS51">
        <f>SUMIF(RawDataDead!$B:$B,$A51,RawDataDead!BV:BV)</f>
        <v>0</v>
      </c>
      <c r="BT51">
        <f>SUMIF(RawDataDead!$B:$B,$A51,RawDataDead!BW:BW)</f>
        <v>0</v>
      </c>
    </row>
    <row r="52" spans="1:72" ht="15" thickBot="1" x14ac:dyDescent="0.35">
      <c r="A52" s="3" t="s">
        <v>151</v>
      </c>
      <c r="B52">
        <f>SUMIF(RawDataDead!$B:$B,$A52,RawDataDead!E:E)</f>
        <v>0</v>
      </c>
      <c r="C52">
        <f>SUMIF(RawDataDead!$B:$B,$A52,RawDataDead!F:F)</f>
        <v>0</v>
      </c>
      <c r="D52">
        <f>SUMIF(RawDataDead!$B:$B,$A52,RawDataDead!G:G)</f>
        <v>0</v>
      </c>
      <c r="E52">
        <f>SUMIF(RawDataDead!$B:$B,$A52,RawDataDead!H:H)</f>
        <v>0</v>
      </c>
      <c r="F52">
        <f>SUMIF(RawDataDead!$B:$B,$A52,RawDataDead!I:I)</f>
        <v>0</v>
      </c>
      <c r="G52">
        <f>SUMIF(RawDataDead!$B:$B,$A52,RawDataDead!J:J)</f>
        <v>0</v>
      </c>
      <c r="H52">
        <f>SUMIF(RawDataDead!$B:$B,$A52,RawDataDead!K:K)</f>
        <v>0</v>
      </c>
      <c r="I52">
        <f>SUMIF(RawDataDead!$B:$B,$A52,RawDataDead!L:L)</f>
        <v>0</v>
      </c>
      <c r="J52">
        <f>SUMIF(RawDataDead!$B:$B,$A52,RawDataDead!M:M)</f>
        <v>0</v>
      </c>
      <c r="K52">
        <f>SUMIF(RawDataDead!$B:$B,$A52,RawDataDead!N:N)</f>
        <v>0</v>
      </c>
      <c r="L52">
        <f>SUMIF(RawDataDead!$B:$B,$A52,RawDataDead!O:O)</f>
        <v>0</v>
      </c>
      <c r="M52">
        <f>SUMIF(RawDataDead!$B:$B,$A52,RawDataDead!P:P)</f>
        <v>0</v>
      </c>
      <c r="N52">
        <f>SUMIF(RawDataDead!$B:$B,$A52,RawDataDead!Q:Q)</f>
        <v>0</v>
      </c>
      <c r="O52">
        <f>SUMIF(RawDataDead!$B:$B,$A52,RawDataDead!R:R)</f>
        <v>0</v>
      </c>
      <c r="P52">
        <f>SUMIF(RawDataDead!$B:$B,$A52,RawDataDead!S:S)</f>
        <v>0</v>
      </c>
      <c r="Q52">
        <f>SUMIF(RawDataDead!$B:$B,$A52,RawDataDead!T:T)</f>
        <v>0</v>
      </c>
      <c r="R52">
        <f>SUMIF(RawDataDead!$B:$B,$A52,RawDataDead!U:U)</f>
        <v>0</v>
      </c>
      <c r="S52">
        <f>SUMIF(RawDataDead!$B:$B,$A52,RawDataDead!V:V)</f>
        <v>0</v>
      </c>
      <c r="T52">
        <f>SUMIF(RawDataDead!$B:$B,$A52,RawDataDead!W:W)</f>
        <v>0</v>
      </c>
      <c r="U52">
        <f>SUMIF(RawDataDead!$B:$B,$A52,RawDataDead!X:X)</f>
        <v>0</v>
      </c>
      <c r="V52">
        <f>SUMIF(RawDataDead!$B:$B,$A52,RawDataDead!Y:Y)</f>
        <v>0</v>
      </c>
      <c r="W52">
        <f>SUMIF(RawDataDead!$B:$B,$A52,RawDataDead!Z:Z)</f>
        <v>0</v>
      </c>
      <c r="X52">
        <f>SUMIF(RawDataDead!$B:$B,$A52,RawDataDead!AA:AA)</f>
        <v>0</v>
      </c>
      <c r="Y52">
        <f>SUMIF(RawDataDead!$B:$B,$A52,RawDataDead!AB:AB)</f>
        <v>0</v>
      </c>
      <c r="Z52">
        <f>SUMIF(RawDataDead!$B:$B,$A52,RawDataDead!AC:AC)</f>
        <v>0</v>
      </c>
      <c r="AA52">
        <f>SUMIF(RawDataDead!$B:$B,$A52,RawDataDead!AD:AD)</f>
        <v>0</v>
      </c>
      <c r="AB52">
        <f>SUMIF(RawDataDead!$B:$B,$A52,RawDataDead!AE:AE)</f>
        <v>0</v>
      </c>
      <c r="AC52">
        <f>SUMIF(RawDataDead!$B:$B,$A52,RawDataDead!AF:AF)</f>
        <v>0</v>
      </c>
      <c r="AD52">
        <f>SUMIF(RawDataDead!$B:$B,$A52,RawDataDead!AG:AG)</f>
        <v>0</v>
      </c>
      <c r="AE52">
        <f>SUMIF(RawDataDead!$B:$B,$A52,RawDataDead!AH:AH)</f>
        <v>0</v>
      </c>
      <c r="AF52">
        <f>SUMIF(RawDataDead!$B:$B,$A52,RawDataDead!AI:AI)</f>
        <v>0</v>
      </c>
      <c r="AG52">
        <f>SUMIF(RawDataDead!$B:$B,$A52,RawDataDead!AJ:AJ)</f>
        <v>0</v>
      </c>
      <c r="AH52">
        <f>SUMIF(RawDataDead!$B:$B,$A52,RawDataDead!AK:AK)</f>
        <v>0</v>
      </c>
      <c r="AI52">
        <f>SUMIF(RawDataDead!$B:$B,$A52,RawDataDead!AL:AL)</f>
        <v>0</v>
      </c>
      <c r="AJ52">
        <f>SUMIF(RawDataDead!$B:$B,$A52,RawDataDead!AM:AM)</f>
        <v>0</v>
      </c>
      <c r="AK52">
        <f>SUMIF(RawDataDead!$B:$B,$A52,RawDataDead!AN:AN)</f>
        <v>0</v>
      </c>
      <c r="AL52">
        <f>SUMIF(RawDataDead!$B:$B,$A52,RawDataDead!AO:AO)</f>
        <v>0</v>
      </c>
      <c r="AM52">
        <f>SUMIF(RawDataDead!$B:$B,$A52,RawDataDead!AP:AP)</f>
        <v>0</v>
      </c>
      <c r="AN52">
        <f>SUMIF(RawDataDead!$B:$B,$A52,RawDataDead!AQ:AQ)</f>
        <v>0</v>
      </c>
      <c r="AO52">
        <f>SUMIF(RawDataDead!$B:$B,$A52,RawDataDead!AR:AR)</f>
        <v>0</v>
      </c>
      <c r="AP52">
        <f>SUMIF(RawDataDead!$B:$B,$A52,RawDataDead!AS:AS)</f>
        <v>0</v>
      </c>
      <c r="AQ52">
        <f>SUMIF(RawDataDead!$B:$B,$A52,RawDataDead!AT:AT)</f>
        <v>0</v>
      </c>
      <c r="AR52">
        <f>SUMIF(RawDataDead!$B:$B,$A52,RawDataDead!AU:AU)</f>
        <v>0</v>
      </c>
      <c r="AS52">
        <f>SUMIF(RawDataDead!$B:$B,$A52,RawDataDead!AV:AV)</f>
        <v>0</v>
      </c>
      <c r="AT52">
        <f>SUMIF(RawDataDead!$B:$B,$A52,RawDataDead!AW:AW)</f>
        <v>0</v>
      </c>
      <c r="AU52">
        <f>SUMIF(RawDataDead!$B:$B,$A52,RawDataDead!AX:AX)</f>
        <v>0</v>
      </c>
      <c r="AV52">
        <f>SUMIF(RawDataDead!$B:$B,$A52,RawDataDead!AY:AY)</f>
        <v>0</v>
      </c>
      <c r="AW52">
        <f>SUMIF(RawDataDead!$B:$B,$A52,RawDataDead!AZ:AZ)</f>
        <v>0</v>
      </c>
      <c r="AX52">
        <f>SUMIF(RawDataDead!$B:$B,$A52,RawDataDead!BA:BA)</f>
        <v>0</v>
      </c>
      <c r="AY52">
        <f>SUMIF(RawDataDead!$B:$B,$A52,RawDataDead!BB:BB)</f>
        <v>0</v>
      </c>
      <c r="AZ52">
        <f>SUMIF(RawDataDead!$B:$B,$A52,RawDataDead!BC:BC)</f>
        <v>0</v>
      </c>
      <c r="BA52">
        <f>SUMIF(RawDataDead!$B:$B,$A52,RawDataDead!BD:BD)</f>
        <v>0</v>
      </c>
      <c r="BB52">
        <f>SUMIF(RawDataDead!$B:$B,$A52,RawDataDead!BE:BE)</f>
        <v>0</v>
      </c>
      <c r="BC52">
        <f>SUMIF(RawDataDead!$B:$B,$A52,RawDataDead!BF:BF)</f>
        <v>0</v>
      </c>
      <c r="BD52">
        <f>SUMIF(RawDataDead!$B:$B,$A52,RawDataDead!BG:BG)</f>
        <v>0</v>
      </c>
      <c r="BE52">
        <f>SUMIF(RawDataDead!$B:$B,$A52,RawDataDead!BH:BH)</f>
        <v>0</v>
      </c>
      <c r="BF52">
        <f>SUMIF(RawDataDead!$B:$B,$A52,RawDataDead!BI:BI)</f>
        <v>0</v>
      </c>
      <c r="BG52">
        <f>SUMIF(RawDataDead!$B:$B,$A52,RawDataDead!BJ:BJ)</f>
        <v>0</v>
      </c>
      <c r="BH52">
        <f>SUMIF(RawDataDead!$B:$B,$A52,RawDataDead!BK:BK)</f>
        <v>0</v>
      </c>
      <c r="BI52">
        <f>SUMIF(RawDataDead!$B:$B,$A52,RawDataDead!BL:BL)</f>
        <v>0</v>
      </c>
      <c r="BJ52">
        <f>SUMIF(RawDataDead!$B:$B,$A52,RawDataDead!BM:BM)</f>
        <v>0</v>
      </c>
      <c r="BK52">
        <f>SUMIF(RawDataDead!$B:$B,$A52,RawDataDead!BN:BN)</f>
        <v>0</v>
      </c>
      <c r="BL52">
        <f>SUMIF(RawDataDead!$B:$B,$A52,RawDataDead!BO:BO)</f>
        <v>0</v>
      </c>
      <c r="BM52">
        <f>SUMIF(RawDataDead!$B:$B,$A52,RawDataDead!BP:BP)</f>
        <v>0</v>
      </c>
      <c r="BN52">
        <f>SUMIF(RawDataDead!$B:$B,$A52,RawDataDead!BQ:BQ)</f>
        <v>0</v>
      </c>
      <c r="BO52">
        <f>SUMIF(RawDataDead!$B:$B,$A52,RawDataDead!BR:BR)</f>
        <v>0</v>
      </c>
      <c r="BP52">
        <f>SUMIF(RawDataDead!$B:$B,$A52,RawDataDead!BS:BS)</f>
        <v>0</v>
      </c>
      <c r="BQ52">
        <f>SUMIF(RawDataDead!$B:$B,$A52,RawDataDead!BT:BT)</f>
        <v>0</v>
      </c>
      <c r="BR52">
        <f>SUMIF(RawDataDead!$B:$B,$A52,RawDataDead!BU:BU)</f>
        <v>0</v>
      </c>
      <c r="BS52">
        <f>SUMIF(RawDataDead!$B:$B,$A52,RawDataDead!BV:BV)</f>
        <v>0</v>
      </c>
      <c r="BT52">
        <f>SUMIF(RawDataDead!$B:$B,$A52,RawDataDead!BW:BW)</f>
        <v>0</v>
      </c>
    </row>
    <row r="53" spans="1:72" ht="15" thickBot="1" x14ac:dyDescent="0.35">
      <c r="A53" s="4" t="s">
        <v>260</v>
      </c>
      <c r="B53">
        <f>SUMIF(RawDataDead!$B:$B,$A53,RawDataDead!E:E)</f>
        <v>0</v>
      </c>
      <c r="C53">
        <f>SUMIF(RawDataDead!$B:$B,$A53,RawDataDead!F:F)</f>
        <v>0</v>
      </c>
      <c r="D53">
        <f>SUMIF(RawDataDead!$B:$B,$A53,RawDataDead!G:G)</f>
        <v>0</v>
      </c>
      <c r="E53">
        <f>SUMIF(RawDataDead!$B:$B,$A53,RawDataDead!H:H)</f>
        <v>0</v>
      </c>
      <c r="F53">
        <f>SUMIF(RawDataDead!$B:$B,$A53,RawDataDead!I:I)</f>
        <v>0</v>
      </c>
      <c r="G53">
        <f>SUMIF(RawDataDead!$B:$B,$A53,RawDataDead!J:J)</f>
        <v>0</v>
      </c>
      <c r="H53">
        <f>SUMIF(RawDataDead!$B:$B,$A53,RawDataDead!K:K)</f>
        <v>0</v>
      </c>
      <c r="I53">
        <f>SUMIF(RawDataDead!$B:$B,$A53,RawDataDead!L:L)</f>
        <v>0</v>
      </c>
      <c r="J53">
        <f>SUMIF(RawDataDead!$B:$B,$A53,RawDataDead!M:M)</f>
        <v>0</v>
      </c>
      <c r="K53">
        <f>SUMIF(RawDataDead!$B:$B,$A53,RawDataDead!N:N)</f>
        <v>0</v>
      </c>
      <c r="L53">
        <f>SUMIF(RawDataDead!$B:$B,$A53,RawDataDead!O:O)</f>
        <v>0</v>
      </c>
      <c r="M53">
        <f>SUMIF(RawDataDead!$B:$B,$A53,RawDataDead!P:P)</f>
        <v>0</v>
      </c>
      <c r="N53">
        <f>SUMIF(RawDataDead!$B:$B,$A53,RawDataDead!Q:Q)</f>
        <v>0</v>
      </c>
      <c r="O53">
        <f>SUMIF(RawDataDead!$B:$B,$A53,RawDataDead!R:R)</f>
        <v>0</v>
      </c>
      <c r="P53">
        <f>SUMIF(RawDataDead!$B:$B,$A53,RawDataDead!S:S)</f>
        <v>0</v>
      </c>
      <c r="Q53">
        <f>SUMIF(RawDataDead!$B:$B,$A53,RawDataDead!T:T)</f>
        <v>0</v>
      </c>
      <c r="R53">
        <f>SUMIF(RawDataDead!$B:$B,$A53,RawDataDead!U:U)</f>
        <v>0</v>
      </c>
      <c r="S53">
        <f>SUMIF(RawDataDead!$B:$B,$A53,RawDataDead!V:V)</f>
        <v>0</v>
      </c>
      <c r="T53">
        <f>SUMIF(RawDataDead!$B:$B,$A53,RawDataDead!W:W)</f>
        <v>0</v>
      </c>
      <c r="U53">
        <f>SUMIF(RawDataDead!$B:$B,$A53,RawDataDead!X:X)</f>
        <v>0</v>
      </c>
      <c r="V53">
        <f>SUMIF(RawDataDead!$B:$B,$A53,RawDataDead!Y:Y)</f>
        <v>0</v>
      </c>
      <c r="W53">
        <f>SUMIF(RawDataDead!$B:$B,$A53,RawDataDead!Z:Z)</f>
        <v>0</v>
      </c>
      <c r="X53">
        <f>SUMIF(RawDataDead!$B:$B,$A53,RawDataDead!AA:AA)</f>
        <v>0</v>
      </c>
      <c r="Y53">
        <f>SUMIF(RawDataDead!$B:$B,$A53,RawDataDead!AB:AB)</f>
        <v>0</v>
      </c>
      <c r="Z53">
        <f>SUMIF(RawDataDead!$B:$B,$A53,RawDataDead!AC:AC)</f>
        <v>0</v>
      </c>
      <c r="AA53">
        <f>SUMIF(RawDataDead!$B:$B,$A53,RawDataDead!AD:AD)</f>
        <v>0</v>
      </c>
      <c r="AB53">
        <f>SUMIF(RawDataDead!$B:$B,$A53,RawDataDead!AE:AE)</f>
        <v>0</v>
      </c>
      <c r="AC53">
        <f>SUMIF(RawDataDead!$B:$B,$A53,RawDataDead!AF:AF)</f>
        <v>0</v>
      </c>
      <c r="AD53">
        <f>SUMIF(RawDataDead!$B:$B,$A53,RawDataDead!AG:AG)</f>
        <v>0</v>
      </c>
      <c r="AE53">
        <f>SUMIF(RawDataDead!$B:$B,$A53,RawDataDead!AH:AH)</f>
        <v>0</v>
      </c>
      <c r="AF53">
        <f>SUMIF(RawDataDead!$B:$B,$A53,RawDataDead!AI:AI)</f>
        <v>0</v>
      </c>
      <c r="AG53">
        <f>SUMIF(RawDataDead!$B:$B,$A53,RawDataDead!AJ:AJ)</f>
        <v>0</v>
      </c>
      <c r="AH53">
        <f>SUMIF(RawDataDead!$B:$B,$A53,RawDataDead!AK:AK)</f>
        <v>0</v>
      </c>
      <c r="AI53">
        <f>SUMIF(RawDataDead!$B:$B,$A53,RawDataDead!AL:AL)</f>
        <v>0</v>
      </c>
      <c r="AJ53">
        <f>SUMIF(RawDataDead!$B:$B,$A53,RawDataDead!AM:AM)</f>
        <v>0</v>
      </c>
      <c r="AK53">
        <f>SUMIF(RawDataDead!$B:$B,$A53,RawDataDead!AN:AN)</f>
        <v>0</v>
      </c>
      <c r="AL53">
        <f>SUMIF(RawDataDead!$B:$B,$A53,RawDataDead!AO:AO)</f>
        <v>0</v>
      </c>
      <c r="AM53">
        <f>SUMIF(RawDataDead!$B:$B,$A53,RawDataDead!AP:AP)</f>
        <v>0</v>
      </c>
      <c r="AN53">
        <f>SUMIF(RawDataDead!$B:$B,$A53,RawDataDead!AQ:AQ)</f>
        <v>0</v>
      </c>
      <c r="AO53">
        <f>SUMIF(RawDataDead!$B:$B,$A53,RawDataDead!AR:AR)</f>
        <v>0</v>
      </c>
      <c r="AP53">
        <f>SUMIF(RawDataDead!$B:$B,$A53,RawDataDead!AS:AS)</f>
        <v>0</v>
      </c>
      <c r="AQ53">
        <f>SUMIF(RawDataDead!$B:$B,$A53,RawDataDead!AT:AT)</f>
        <v>0</v>
      </c>
      <c r="AR53">
        <f>SUMIF(RawDataDead!$B:$B,$A53,RawDataDead!AU:AU)</f>
        <v>0</v>
      </c>
      <c r="AS53">
        <f>SUMIF(RawDataDead!$B:$B,$A53,RawDataDead!AV:AV)</f>
        <v>0</v>
      </c>
      <c r="AT53">
        <f>SUMIF(RawDataDead!$B:$B,$A53,RawDataDead!AW:AW)</f>
        <v>0</v>
      </c>
      <c r="AU53">
        <f>SUMIF(RawDataDead!$B:$B,$A53,RawDataDead!AX:AX)</f>
        <v>0</v>
      </c>
      <c r="AV53">
        <f>SUMIF(RawDataDead!$B:$B,$A53,RawDataDead!AY:AY)</f>
        <v>0</v>
      </c>
      <c r="AW53">
        <f>SUMIF(RawDataDead!$B:$B,$A53,RawDataDead!AZ:AZ)</f>
        <v>0</v>
      </c>
      <c r="AX53">
        <f>SUMIF(RawDataDead!$B:$B,$A53,RawDataDead!BA:BA)</f>
        <v>0</v>
      </c>
      <c r="AY53">
        <f>SUMIF(RawDataDead!$B:$B,$A53,RawDataDead!BB:BB)</f>
        <v>0</v>
      </c>
      <c r="AZ53">
        <f>SUMIF(RawDataDead!$B:$B,$A53,RawDataDead!BC:BC)</f>
        <v>0</v>
      </c>
      <c r="BA53">
        <f>SUMIF(RawDataDead!$B:$B,$A53,RawDataDead!BD:BD)</f>
        <v>0</v>
      </c>
      <c r="BB53">
        <f>SUMIF(RawDataDead!$B:$B,$A53,RawDataDead!BE:BE)</f>
        <v>0</v>
      </c>
      <c r="BC53">
        <f>SUMIF(RawDataDead!$B:$B,$A53,RawDataDead!BF:BF)</f>
        <v>0</v>
      </c>
      <c r="BD53">
        <f>SUMIF(RawDataDead!$B:$B,$A53,RawDataDead!BG:BG)</f>
        <v>0</v>
      </c>
      <c r="BE53">
        <f>SUMIF(RawDataDead!$B:$B,$A53,RawDataDead!BH:BH)</f>
        <v>0</v>
      </c>
      <c r="BF53">
        <f>SUMIF(RawDataDead!$B:$B,$A53,RawDataDead!BI:BI)</f>
        <v>0</v>
      </c>
      <c r="BG53">
        <f>SUMIF(RawDataDead!$B:$B,$A53,RawDataDead!BJ:BJ)</f>
        <v>0</v>
      </c>
      <c r="BH53">
        <f>SUMIF(RawDataDead!$B:$B,$A53,RawDataDead!BK:BK)</f>
        <v>0</v>
      </c>
      <c r="BI53">
        <f>SUMIF(RawDataDead!$B:$B,$A53,RawDataDead!BL:BL)</f>
        <v>0</v>
      </c>
      <c r="BJ53">
        <f>SUMIF(RawDataDead!$B:$B,$A53,RawDataDead!BM:BM)</f>
        <v>0</v>
      </c>
      <c r="BK53">
        <f>SUMIF(RawDataDead!$B:$B,$A53,RawDataDead!BN:BN)</f>
        <v>0</v>
      </c>
      <c r="BL53">
        <f>SUMIF(RawDataDead!$B:$B,$A53,RawDataDead!BO:BO)</f>
        <v>0</v>
      </c>
      <c r="BM53">
        <f>SUMIF(RawDataDead!$B:$B,$A53,RawDataDead!BP:BP)</f>
        <v>0</v>
      </c>
      <c r="BN53">
        <f>SUMIF(RawDataDead!$B:$B,$A53,RawDataDead!BQ:BQ)</f>
        <v>0</v>
      </c>
      <c r="BO53">
        <f>SUMIF(RawDataDead!$B:$B,$A53,RawDataDead!BR:BR)</f>
        <v>0</v>
      </c>
      <c r="BP53">
        <f>SUMIF(RawDataDead!$B:$B,$A53,RawDataDead!BS:BS)</f>
        <v>0</v>
      </c>
      <c r="BQ53">
        <f>SUMIF(RawDataDead!$B:$B,$A53,RawDataDead!BT:BT)</f>
        <v>0</v>
      </c>
      <c r="BR53">
        <f>SUMIF(RawDataDead!$B:$B,$A53,RawDataDead!BU:BU)</f>
        <v>0</v>
      </c>
      <c r="BS53">
        <f>SUMIF(RawDataDead!$B:$B,$A53,RawDataDead!BV:BV)</f>
        <v>0</v>
      </c>
      <c r="BT53">
        <f>SUMIF(RawDataDead!$B:$B,$A53,RawDataDead!BW:BW)</f>
        <v>0</v>
      </c>
    </row>
    <row r="54" spans="1:72" ht="15" thickBot="1" x14ac:dyDescent="0.35">
      <c r="A54" s="3" t="s">
        <v>188</v>
      </c>
      <c r="B54">
        <f>SUMIF(RawDataDead!$B:$B,$A54,RawDataDead!E:E)</f>
        <v>0</v>
      </c>
      <c r="C54">
        <f>SUMIF(RawDataDead!$B:$B,$A54,RawDataDead!F:F)</f>
        <v>0</v>
      </c>
      <c r="D54">
        <f>SUMIF(RawDataDead!$B:$B,$A54,RawDataDead!G:G)</f>
        <v>0</v>
      </c>
      <c r="E54">
        <f>SUMIF(RawDataDead!$B:$B,$A54,RawDataDead!H:H)</f>
        <v>0</v>
      </c>
      <c r="F54">
        <f>SUMIF(RawDataDead!$B:$B,$A54,RawDataDead!I:I)</f>
        <v>0</v>
      </c>
      <c r="G54">
        <f>SUMIF(RawDataDead!$B:$B,$A54,RawDataDead!J:J)</f>
        <v>0</v>
      </c>
      <c r="H54">
        <f>SUMIF(RawDataDead!$B:$B,$A54,RawDataDead!K:K)</f>
        <v>0</v>
      </c>
      <c r="I54">
        <f>SUMIF(RawDataDead!$B:$B,$A54,RawDataDead!L:L)</f>
        <v>0</v>
      </c>
      <c r="J54">
        <f>SUMIF(RawDataDead!$B:$B,$A54,RawDataDead!M:M)</f>
        <v>0</v>
      </c>
      <c r="K54">
        <f>SUMIF(RawDataDead!$B:$B,$A54,RawDataDead!N:N)</f>
        <v>0</v>
      </c>
      <c r="L54">
        <f>SUMIF(RawDataDead!$B:$B,$A54,RawDataDead!O:O)</f>
        <v>0</v>
      </c>
      <c r="M54">
        <f>SUMIF(RawDataDead!$B:$B,$A54,RawDataDead!P:P)</f>
        <v>0</v>
      </c>
      <c r="N54">
        <f>SUMIF(RawDataDead!$B:$B,$A54,RawDataDead!Q:Q)</f>
        <v>0</v>
      </c>
      <c r="O54">
        <f>SUMIF(RawDataDead!$B:$B,$A54,RawDataDead!R:R)</f>
        <v>0</v>
      </c>
      <c r="P54">
        <f>SUMIF(RawDataDead!$B:$B,$A54,RawDataDead!S:S)</f>
        <v>0</v>
      </c>
      <c r="Q54">
        <f>SUMIF(RawDataDead!$B:$B,$A54,RawDataDead!T:T)</f>
        <v>0</v>
      </c>
      <c r="R54">
        <f>SUMIF(RawDataDead!$B:$B,$A54,RawDataDead!U:U)</f>
        <v>0</v>
      </c>
      <c r="S54">
        <f>SUMIF(RawDataDead!$B:$B,$A54,RawDataDead!V:V)</f>
        <v>0</v>
      </c>
      <c r="T54">
        <f>SUMIF(RawDataDead!$B:$B,$A54,RawDataDead!W:W)</f>
        <v>0</v>
      </c>
      <c r="U54">
        <f>SUMIF(RawDataDead!$B:$B,$A54,RawDataDead!X:X)</f>
        <v>0</v>
      </c>
      <c r="V54">
        <f>SUMIF(RawDataDead!$B:$B,$A54,RawDataDead!Y:Y)</f>
        <v>0</v>
      </c>
      <c r="W54">
        <f>SUMIF(RawDataDead!$B:$B,$A54,RawDataDead!Z:Z)</f>
        <v>0</v>
      </c>
      <c r="X54">
        <f>SUMIF(RawDataDead!$B:$B,$A54,RawDataDead!AA:AA)</f>
        <v>0</v>
      </c>
      <c r="Y54">
        <f>SUMIF(RawDataDead!$B:$B,$A54,RawDataDead!AB:AB)</f>
        <v>0</v>
      </c>
      <c r="Z54">
        <f>SUMIF(RawDataDead!$B:$B,$A54,RawDataDead!AC:AC)</f>
        <v>0</v>
      </c>
      <c r="AA54">
        <f>SUMIF(RawDataDead!$B:$B,$A54,RawDataDead!AD:AD)</f>
        <v>0</v>
      </c>
      <c r="AB54">
        <f>SUMIF(RawDataDead!$B:$B,$A54,RawDataDead!AE:AE)</f>
        <v>0</v>
      </c>
      <c r="AC54">
        <f>SUMIF(RawDataDead!$B:$B,$A54,RawDataDead!AF:AF)</f>
        <v>0</v>
      </c>
      <c r="AD54">
        <f>SUMIF(RawDataDead!$B:$B,$A54,RawDataDead!AG:AG)</f>
        <v>0</v>
      </c>
      <c r="AE54">
        <f>SUMIF(RawDataDead!$B:$B,$A54,RawDataDead!AH:AH)</f>
        <v>0</v>
      </c>
      <c r="AF54">
        <f>SUMIF(RawDataDead!$B:$B,$A54,RawDataDead!AI:AI)</f>
        <v>0</v>
      </c>
      <c r="AG54">
        <f>SUMIF(RawDataDead!$B:$B,$A54,RawDataDead!AJ:AJ)</f>
        <v>0</v>
      </c>
      <c r="AH54">
        <f>SUMIF(RawDataDead!$B:$B,$A54,RawDataDead!AK:AK)</f>
        <v>0</v>
      </c>
      <c r="AI54">
        <f>SUMIF(RawDataDead!$B:$B,$A54,RawDataDead!AL:AL)</f>
        <v>0</v>
      </c>
      <c r="AJ54">
        <f>SUMIF(RawDataDead!$B:$B,$A54,RawDataDead!AM:AM)</f>
        <v>0</v>
      </c>
      <c r="AK54">
        <f>SUMIF(RawDataDead!$B:$B,$A54,RawDataDead!AN:AN)</f>
        <v>0</v>
      </c>
      <c r="AL54">
        <f>SUMIF(RawDataDead!$B:$B,$A54,RawDataDead!AO:AO)</f>
        <v>0</v>
      </c>
      <c r="AM54">
        <f>SUMIF(RawDataDead!$B:$B,$A54,RawDataDead!AP:AP)</f>
        <v>0</v>
      </c>
      <c r="AN54">
        <f>SUMIF(RawDataDead!$B:$B,$A54,RawDataDead!AQ:AQ)</f>
        <v>0</v>
      </c>
      <c r="AO54">
        <f>SUMIF(RawDataDead!$B:$B,$A54,RawDataDead!AR:AR)</f>
        <v>0</v>
      </c>
      <c r="AP54">
        <f>SUMIF(RawDataDead!$B:$B,$A54,RawDataDead!AS:AS)</f>
        <v>0</v>
      </c>
      <c r="AQ54">
        <f>SUMIF(RawDataDead!$B:$B,$A54,RawDataDead!AT:AT)</f>
        <v>0</v>
      </c>
      <c r="AR54">
        <f>SUMIF(RawDataDead!$B:$B,$A54,RawDataDead!AU:AU)</f>
        <v>0</v>
      </c>
      <c r="AS54">
        <f>SUMIF(RawDataDead!$B:$B,$A54,RawDataDead!AV:AV)</f>
        <v>0</v>
      </c>
      <c r="AT54">
        <f>SUMIF(RawDataDead!$B:$B,$A54,RawDataDead!AW:AW)</f>
        <v>0</v>
      </c>
      <c r="AU54">
        <f>SUMIF(RawDataDead!$B:$B,$A54,RawDataDead!AX:AX)</f>
        <v>0</v>
      </c>
      <c r="AV54">
        <f>SUMIF(RawDataDead!$B:$B,$A54,RawDataDead!AY:AY)</f>
        <v>0</v>
      </c>
      <c r="AW54">
        <f>SUMIF(RawDataDead!$B:$B,$A54,RawDataDead!AZ:AZ)</f>
        <v>0</v>
      </c>
      <c r="AX54">
        <f>SUMIF(RawDataDead!$B:$B,$A54,RawDataDead!BA:BA)</f>
        <v>0</v>
      </c>
      <c r="AY54">
        <f>SUMIF(RawDataDead!$B:$B,$A54,RawDataDead!BB:BB)</f>
        <v>0</v>
      </c>
      <c r="AZ54">
        <f>SUMIF(RawDataDead!$B:$B,$A54,RawDataDead!BC:BC)</f>
        <v>0</v>
      </c>
      <c r="BA54">
        <f>SUMIF(RawDataDead!$B:$B,$A54,RawDataDead!BD:BD)</f>
        <v>0</v>
      </c>
      <c r="BB54">
        <f>SUMIF(RawDataDead!$B:$B,$A54,RawDataDead!BE:BE)</f>
        <v>0</v>
      </c>
      <c r="BC54">
        <f>SUMIF(RawDataDead!$B:$B,$A54,RawDataDead!BF:BF)</f>
        <v>0</v>
      </c>
      <c r="BD54">
        <f>SUMIF(RawDataDead!$B:$B,$A54,RawDataDead!BG:BG)</f>
        <v>0</v>
      </c>
      <c r="BE54">
        <f>SUMIF(RawDataDead!$B:$B,$A54,RawDataDead!BH:BH)</f>
        <v>0</v>
      </c>
      <c r="BF54">
        <f>SUMIF(RawDataDead!$B:$B,$A54,RawDataDead!BI:BI)</f>
        <v>0</v>
      </c>
      <c r="BG54">
        <f>SUMIF(RawDataDead!$B:$B,$A54,RawDataDead!BJ:BJ)</f>
        <v>0</v>
      </c>
      <c r="BH54">
        <f>SUMIF(RawDataDead!$B:$B,$A54,RawDataDead!BK:BK)</f>
        <v>0</v>
      </c>
      <c r="BI54">
        <f>SUMIF(RawDataDead!$B:$B,$A54,RawDataDead!BL:BL)</f>
        <v>0</v>
      </c>
      <c r="BJ54">
        <f>SUMIF(RawDataDead!$B:$B,$A54,RawDataDead!BM:BM)</f>
        <v>0</v>
      </c>
      <c r="BK54">
        <f>SUMIF(RawDataDead!$B:$B,$A54,RawDataDead!BN:BN)</f>
        <v>0</v>
      </c>
      <c r="BL54">
        <f>SUMIF(RawDataDead!$B:$B,$A54,RawDataDead!BO:BO)</f>
        <v>0</v>
      </c>
      <c r="BM54">
        <f>SUMIF(RawDataDead!$B:$B,$A54,RawDataDead!BP:BP)</f>
        <v>0</v>
      </c>
      <c r="BN54">
        <f>SUMIF(RawDataDead!$B:$B,$A54,RawDataDead!BQ:BQ)</f>
        <v>0</v>
      </c>
      <c r="BO54">
        <f>SUMIF(RawDataDead!$B:$B,$A54,RawDataDead!BR:BR)</f>
        <v>0</v>
      </c>
      <c r="BP54">
        <f>SUMIF(RawDataDead!$B:$B,$A54,RawDataDead!BS:BS)</f>
        <v>0</v>
      </c>
      <c r="BQ54">
        <f>SUMIF(RawDataDead!$B:$B,$A54,RawDataDead!BT:BT)</f>
        <v>0</v>
      </c>
      <c r="BR54">
        <f>SUMIF(RawDataDead!$B:$B,$A54,RawDataDead!BU:BU)</f>
        <v>0</v>
      </c>
      <c r="BS54">
        <f>SUMIF(RawDataDead!$B:$B,$A54,RawDataDead!BV:BV)</f>
        <v>0</v>
      </c>
      <c r="BT54">
        <f>SUMIF(RawDataDead!$B:$B,$A54,RawDataDead!BW:BW)</f>
        <v>0</v>
      </c>
    </row>
    <row r="55" spans="1:72" ht="15" thickBot="1" x14ac:dyDescent="0.35">
      <c r="A55" s="3" t="s">
        <v>126</v>
      </c>
      <c r="B55">
        <f>SUMIF(RawDataDead!$B:$B,$A55,RawDataDead!E:E)</f>
        <v>0</v>
      </c>
      <c r="C55">
        <f>SUMIF(RawDataDead!$B:$B,$A55,RawDataDead!F:F)</f>
        <v>0</v>
      </c>
      <c r="D55">
        <f>SUMIF(RawDataDead!$B:$B,$A55,RawDataDead!G:G)</f>
        <v>0</v>
      </c>
      <c r="E55">
        <f>SUMIF(RawDataDead!$B:$B,$A55,RawDataDead!H:H)</f>
        <v>0</v>
      </c>
      <c r="F55">
        <f>SUMIF(RawDataDead!$B:$B,$A55,RawDataDead!I:I)</f>
        <v>0</v>
      </c>
      <c r="G55">
        <f>SUMIF(RawDataDead!$B:$B,$A55,RawDataDead!J:J)</f>
        <v>0</v>
      </c>
      <c r="H55">
        <f>SUMIF(RawDataDead!$B:$B,$A55,RawDataDead!K:K)</f>
        <v>0</v>
      </c>
      <c r="I55">
        <f>SUMIF(RawDataDead!$B:$B,$A55,RawDataDead!L:L)</f>
        <v>0</v>
      </c>
      <c r="J55">
        <f>SUMIF(RawDataDead!$B:$B,$A55,RawDataDead!M:M)</f>
        <v>0</v>
      </c>
      <c r="K55">
        <f>SUMIF(RawDataDead!$B:$B,$A55,RawDataDead!N:N)</f>
        <v>0</v>
      </c>
      <c r="L55">
        <f>SUMIF(RawDataDead!$B:$B,$A55,RawDataDead!O:O)</f>
        <v>0</v>
      </c>
      <c r="M55">
        <f>SUMIF(RawDataDead!$B:$B,$A55,RawDataDead!P:P)</f>
        <v>0</v>
      </c>
      <c r="N55">
        <f>SUMIF(RawDataDead!$B:$B,$A55,RawDataDead!Q:Q)</f>
        <v>0</v>
      </c>
      <c r="O55">
        <f>SUMIF(RawDataDead!$B:$B,$A55,RawDataDead!R:R)</f>
        <v>0</v>
      </c>
      <c r="P55">
        <f>SUMIF(RawDataDead!$B:$B,$A55,RawDataDead!S:S)</f>
        <v>0</v>
      </c>
      <c r="Q55">
        <f>SUMIF(RawDataDead!$B:$B,$A55,RawDataDead!T:T)</f>
        <v>0</v>
      </c>
      <c r="R55">
        <f>SUMIF(RawDataDead!$B:$B,$A55,RawDataDead!U:U)</f>
        <v>0</v>
      </c>
      <c r="S55">
        <f>SUMIF(RawDataDead!$B:$B,$A55,RawDataDead!V:V)</f>
        <v>0</v>
      </c>
      <c r="T55">
        <f>SUMIF(RawDataDead!$B:$B,$A55,RawDataDead!W:W)</f>
        <v>0</v>
      </c>
      <c r="U55">
        <f>SUMIF(RawDataDead!$B:$B,$A55,RawDataDead!X:X)</f>
        <v>0</v>
      </c>
      <c r="V55">
        <f>SUMIF(RawDataDead!$B:$B,$A55,RawDataDead!Y:Y)</f>
        <v>0</v>
      </c>
      <c r="W55">
        <f>SUMIF(RawDataDead!$B:$B,$A55,RawDataDead!Z:Z)</f>
        <v>0</v>
      </c>
      <c r="X55">
        <f>SUMIF(RawDataDead!$B:$B,$A55,RawDataDead!AA:AA)</f>
        <v>0</v>
      </c>
      <c r="Y55">
        <f>SUMIF(RawDataDead!$B:$B,$A55,RawDataDead!AB:AB)</f>
        <v>0</v>
      </c>
      <c r="Z55">
        <f>SUMIF(RawDataDead!$B:$B,$A55,RawDataDead!AC:AC)</f>
        <v>0</v>
      </c>
      <c r="AA55">
        <f>SUMIF(RawDataDead!$B:$B,$A55,RawDataDead!AD:AD)</f>
        <v>0</v>
      </c>
      <c r="AB55">
        <f>SUMIF(RawDataDead!$B:$B,$A55,RawDataDead!AE:AE)</f>
        <v>0</v>
      </c>
      <c r="AC55">
        <f>SUMIF(RawDataDead!$B:$B,$A55,RawDataDead!AF:AF)</f>
        <v>0</v>
      </c>
      <c r="AD55">
        <f>SUMIF(RawDataDead!$B:$B,$A55,RawDataDead!AG:AG)</f>
        <v>0</v>
      </c>
      <c r="AE55">
        <f>SUMIF(RawDataDead!$B:$B,$A55,RawDataDead!AH:AH)</f>
        <v>0</v>
      </c>
      <c r="AF55">
        <f>SUMIF(RawDataDead!$B:$B,$A55,RawDataDead!AI:AI)</f>
        <v>0</v>
      </c>
      <c r="AG55">
        <f>SUMIF(RawDataDead!$B:$B,$A55,RawDataDead!AJ:AJ)</f>
        <v>0</v>
      </c>
      <c r="AH55">
        <f>SUMIF(RawDataDead!$B:$B,$A55,RawDataDead!AK:AK)</f>
        <v>0</v>
      </c>
      <c r="AI55">
        <f>SUMIF(RawDataDead!$B:$B,$A55,RawDataDead!AL:AL)</f>
        <v>0</v>
      </c>
      <c r="AJ55">
        <f>SUMIF(RawDataDead!$B:$B,$A55,RawDataDead!AM:AM)</f>
        <v>0</v>
      </c>
      <c r="AK55">
        <f>SUMIF(RawDataDead!$B:$B,$A55,RawDataDead!AN:AN)</f>
        <v>0</v>
      </c>
      <c r="AL55">
        <f>SUMIF(RawDataDead!$B:$B,$A55,RawDataDead!AO:AO)</f>
        <v>0</v>
      </c>
      <c r="AM55">
        <f>SUMIF(RawDataDead!$B:$B,$A55,RawDataDead!AP:AP)</f>
        <v>0</v>
      </c>
      <c r="AN55">
        <f>SUMIF(RawDataDead!$B:$B,$A55,RawDataDead!AQ:AQ)</f>
        <v>0</v>
      </c>
      <c r="AO55">
        <f>SUMIF(RawDataDead!$B:$B,$A55,RawDataDead!AR:AR)</f>
        <v>0</v>
      </c>
      <c r="AP55">
        <f>SUMIF(RawDataDead!$B:$B,$A55,RawDataDead!AS:AS)</f>
        <v>0</v>
      </c>
      <c r="AQ55">
        <f>SUMIF(RawDataDead!$B:$B,$A55,RawDataDead!AT:AT)</f>
        <v>0</v>
      </c>
      <c r="AR55">
        <f>SUMIF(RawDataDead!$B:$B,$A55,RawDataDead!AU:AU)</f>
        <v>0</v>
      </c>
      <c r="AS55">
        <f>SUMIF(RawDataDead!$B:$B,$A55,RawDataDead!AV:AV)</f>
        <v>0</v>
      </c>
      <c r="AT55">
        <f>SUMIF(RawDataDead!$B:$B,$A55,RawDataDead!AW:AW)</f>
        <v>0</v>
      </c>
      <c r="AU55">
        <f>SUMIF(RawDataDead!$B:$B,$A55,RawDataDead!AX:AX)</f>
        <v>0</v>
      </c>
      <c r="AV55">
        <f>SUMIF(RawDataDead!$B:$B,$A55,RawDataDead!AY:AY)</f>
        <v>0</v>
      </c>
      <c r="AW55">
        <f>SUMIF(RawDataDead!$B:$B,$A55,RawDataDead!AZ:AZ)</f>
        <v>0</v>
      </c>
      <c r="AX55">
        <f>SUMIF(RawDataDead!$B:$B,$A55,RawDataDead!BA:BA)</f>
        <v>0</v>
      </c>
      <c r="AY55">
        <f>SUMIF(RawDataDead!$B:$B,$A55,RawDataDead!BB:BB)</f>
        <v>0</v>
      </c>
      <c r="AZ55">
        <f>SUMIF(RawDataDead!$B:$B,$A55,RawDataDead!BC:BC)</f>
        <v>0</v>
      </c>
      <c r="BA55">
        <f>SUMIF(RawDataDead!$B:$B,$A55,RawDataDead!BD:BD)</f>
        <v>0</v>
      </c>
      <c r="BB55">
        <f>SUMIF(RawDataDead!$B:$B,$A55,RawDataDead!BE:BE)</f>
        <v>1</v>
      </c>
      <c r="BC55">
        <f>SUMIF(RawDataDead!$B:$B,$A55,RawDataDead!BF:BF)</f>
        <v>1</v>
      </c>
      <c r="BD55">
        <f>SUMIF(RawDataDead!$B:$B,$A55,RawDataDead!BG:BG)</f>
        <v>1</v>
      </c>
      <c r="BE55">
        <f>SUMIF(RawDataDead!$B:$B,$A55,RawDataDead!BH:BH)</f>
        <v>1</v>
      </c>
      <c r="BF55">
        <f>SUMIF(RawDataDead!$B:$B,$A55,RawDataDead!BI:BI)</f>
        <v>0</v>
      </c>
      <c r="BG55">
        <f>SUMIF(RawDataDead!$B:$B,$A55,RawDataDead!BJ:BJ)</f>
        <v>0</v>
      </c>
      <c r="BH55">
        <f>SUMIF(RawDataDead!$B:$B,$A55,RawDataDead!BK:BK)</f>
        <v>0</v>
      </c>
      <c r="BI55">
        <f>SUMIF(RawDataDead!$B:$B,$A55,RawDataDead!BL:BL)</f>
        <v>0</v>
      </c>
      <c r="BJ55">
        <f>SUMIF(RawDataDead!$B:$B,$A55,RawDataDead!BM:BM)</f>
        <v>0</v>
      </c>
      <c r="BK55">
        <f>SUMIF(RawDataDead!$B:$B,$A55,RawDataDead!BN:BN)</f>
        <v>0</v>
      </c>
      <c r="BL55">
        <f>SUMIF(RawDataDead!$B:$B,$A55,RawDataDead!BO:BO)</f>
        <v>0</v>
      </c>
      <c r="BM55">
        <f>SUMIF(RawDataDead!$B:$B,$A55,RawDataDead!BP:BP)</f>
        <v>0</v>
      </c>
      <c r="BN55">
        <f>SUMIF(RawDataDead!$B:$B,$A55,RawDataDead!BQ:BQ)</f>
        <v>0</v>
      </c>
      <c r="BO55">
        <f>SUMIF(RawDataDead!$B:$B,$A55,RawDataDead!BR:BR)</f>
        <v>0</v>
      </c>
      <c r="BP55">
        <f>SUMIF(RawDataDead!$B:$B,$A55,RawDataDead!BS:BS)</f>
        <v>0</v>
      </c>
      <c r="BQ55">
        <f>SUMIF(RawDataDead!$B:$B,$A55,RawDataDead!BT:BT)</f>
        <v>0</v>
      </c>
      <c r="BR55">
        <f>SUMIF(RawDataDead!$B:$B,$A55,RawDataDead!BU:BU)</f>
        <v>0</v>
      </c>
      <c r="BS55">
        <f>SUMIF(RawDataDead!$B:$B,$A55,RawDataDead!BV:BV)</f>
        <v>0</v>
      </c>
      <c r="BT55">
        <f>SUMIF(RawDataDead!$B:$B,$A55,RawDataDead!BW:BW)</f>
        <v>0</v>
      </c>
    </row>
    <row r="56" spans="1:72" ht="15" thickBot="1" x14ac:dyDescent="0.35">
      <c r="A56" s="4" t="s">
        <v>257</v>
      </c>
      <c r="B56">
        <f>SUMIF(RawDataDead!$B:$B,$A56,RawDataDead!E:E)</f>
        <v>0</v>
      </c>
      <c r="C56">
        <f>SUMIF(RawDataDead!$B:$B,$A56,RawDataDead!F:F)</f>
        <v>0</v>
      </c>
      <c r="D56">
        <f>SUMIF(RawDataDead!$B:$B,$A56,RawDataDead!G:G)</f>
        <v>0</v>
      </c>
      <c r="E56">
        <f>SUMIF(RawDataDead!$B:$B,$A56,RawDataDead!H:H)</f>
        <v>0</v>
      </c>
      <c r="F56">
        <f>SUMIF(RawDataDead!$B:$B,$A56,RawDataDead!I:I)</f>
        <v>0</v>
      </c>
      <c r="G56">
        <f>SUMIF(RawDataDead!$B:$B,$A56,RawDataDead!J:J)</f>
        <v>0</v>
      </c>
      <c r="H56">
        <f>SUMIF(RawDataDead!$B:$B,$A56,RawDataDead!K:K)</f>
        <v>0</v>
      </c>
      <c r="I56">
        <f>SUMIF(RawDataDead!$B:$B,$A56,RawDataDead!L:L)</f>
        <v>0</v>
      </c>
      <c r="J56">
        <f>SUMIF(RawDataDead!$B:$B,$A56,RawDataDead!M:M)</f>
        <v>0</v>
      </c>
      <c r="K56">
        <f>SUMIF(RawDataDead!$B:$B,$A56,RawDataDead!N:N)</f>
        <v>0</v>
      </c>
      <c r="L56">
        <f>SUMIF(RawDataDead!$B:$B,$A56,RawDataDead!O:O)</f>
        <v>0</v>
      </c>
      <c r="M56">
        <f>SUMIF(RawDataDead!$B:$B,$A56,RawDataDead!P:P)</f>
        <v>0</v>
      </c>
      <c r="N56">
        <f>SUMIF(RawDataDead!$B:$B,$A56,RawDataDead!Q:Q)</f>
        <v>0</v>
      </c>
      <c r="O56">
        <f>SUMIF(RawDataDead!$B:$B,$A56,RawDataDead!R:R)</f>
        <v>0</v>
      </c>
      <c r="P56">
        <f>SUMIF(RawDataDead!$B:$B,$A56,RawDataDead!S:S)</f>
        <v>0</v>
      </c>
      <c r="Q56">
        <f>SUMIF(RawDataDead!$B:$B,$A56,RawDataDead!T:T)</f>
        <v>0</v>
      </c>
      <c r="R56">
        <f>SUMIF(RawDataDead!$B:$B,$A56,RawDataDead!U:U)</f>
        <v>0</v>
      </c>
      <c r="S56">
        <f>SUMIF(RawDataDead!$B:$B,$A56,RawDataDead!V:V)</f>
        <v>0</v>
      </c>
      <c r="T56">
        <f>SUMIF(RawDataDead!$B:$B,$A56,RawDataDead!W:W)</f>
        <v>0</v>
      </c>
      <c r="U56">
        <f>SUMIF(RawDataDead!$B:$B,$A56,RawDataDead!X:X)</f>
        <v>0</v>
      </c>
      <c r="V56">
        <f>SUMIF(RawDataDead!$B:$B,$A56,RawDataDead!Y:Y)</f>
        <v>0</v>
      </c>
      <c r="W56">
        <f>SUMIF(RawDataDead!$B:$B,$A56,RawDataDead!Z:Z)</f>
        <v>0</v>
      </c>
      <c r="X56">
        <f>SUMIF(RawDataDead!$B:$B,$A56,RawDataDead!AA:AA)</f>
        <v>0</v>
      </c>
      <c r="Y56">
        <f>SUMIF(RawDataDead!$B:$B,$A56,RawDataDead!AB:AB)</f>
        <v>0</v>
      </c>
      <c r="Z56">
        <f>SUMIF(RawDataDead!$B:$B,$A56,RawDataDead!AC:AC)</f>
        <v>0</v>
      </c>
      <c r="AA56">
        <f>SUMIF(RawDataDead!$B:$B,$A56,RawDataDead!AD:AD)</f>
        <v>0</v>
      </c>
      <c r="AB56">
        <f>SUMIF(RawDataDead!$B:$B,$A56,RawDataDead!AE:AE)</f>
        <v>0</v>
      </c>
      <c r="AC56">
        <f>SUMIF(RawDataDead!$B:$B,$A56,RawDataDead!AF:AF)</f>
        <v>0</v>
      </c>
      <c r="AD56">
        <f>SUMIF(RawDataDead!$B:$B,$A56,RawDataDead!AG:AG)</f>
        <v>0</v>
      </c>
      <c r="AE56">
        <f>SUMIF(RawDataDead!$B:$B,$A56,RawDataDead!AH:AH)</f>
        <v>0</v>
      </c>
      <c r="AF56">
        <f>SUMIF(RawDataDead!$B:$B,$A56,RawDataDead!AI:AI)</f>
        <v>0</v>
      </c>
      <c r="AG56">
        <f>SUMIF(RawDataDead!$B:$B,$A56,RawDataDead!AJ:AJ)</f>
        <v>0</v>
      </c>
      <c r="AH56">
        <f>SUMIF(RawDataDead!$B:$B,$A56,RawDataDead!AK:AK)</f>
        <v>0</v>
      </c>
      <c r="AI56">
        <f>SUMIF(RawDataDead!$B:$B,$A56,RawDataDead!AL:AL)</f>
        <v>0</v>
      </c>
      <c r="AJ56">
        <f>SUMIF(RawDataDead!$B:$B,$A56,RawDataDead!AM:AM)</f>
        <v>0</v>
      </c>
      <c r="AK56">
        <f>SUMIF(RawDataDead!$B:$B,$A56,RawDataDead!AN:AN)</f>
        <v>0</v>
      </c>
      <c r="AL56">
        <f>SUMIF(RawDataDead!$B:$B,$A56,RawDataDead!AO:AO)</f>
        <v>0</v>
      </c>
      <c r="AM56">
        <f>SUMIF(RawDataDead!$B:$B,$A56,RawDataDead!AP:AP)</f>
        <v>0</v>
      </c>
      <c r="AN56">
        <f>SUMIF(RawDataDead!$B:$B,$A56,RawDataDead!AQ:AQ)</f>
        <v>0</v>
      </c>
      <c r="AO56">
        <f>SUMIF(RawDataDead!$B:$B,$A56,RawDataDead!AR:AR)</f>
        <v>0</v>
      </c>
      <c r="AP56">
        <f>SUMIF(RawDataDead!$B:$B,$A56,RawDataDead!AS:AS)</f>
        <v>0</v>
      </c>
      <c r="AQ56">
        <f>SUMIF(RawDataDead!$B:$B,$A56,RawDataDead!AT:AT)</f>
        <v>0</v>
      </c>
      <c r="AR56">
        <f>SUMIF(RawDataDead!$B:$B,$A56,RawDataDead!AU:AU)</f>
        <v>0</v>
      </c>
      <c r="AS56">
        <f>SUMIF(RawDataDead!$B:$B,$A56,RawDataDead!AV:AV)</f>
        <v>0</v>
      </c>
      <c r="AT56">
        <f>SUMIF(RawDataDead!$B:$B,$A56,RawDataDead!AW:AW)</f>
        <v>0</v>
      </c>
      <c r="AU56">
        <f>SUMIF(RawDataDead!$B:$B,$A56,RawDataDead!AX:AX)</f>
        <v>0</v>
      </c>
      <c r="AV56">
        <f>SUMIF(RawDataDead!$B:$B,$A56,RawDataDead!AY:AY)</f>
        <v>0</v>
      </c>
      <c r="AW56">
        <f>SUMIF(RawDataDead!$B:$B,$A56,RawDataDead!AZ:AZ)</f>
        <v>0</v>
      </c>
      <c r="AX56">
        <f>SUMIF(RawDataDead!$B:$B,$A56,RawDataDead!BA:BA)</f>
        <v>0</v>
      </c>
      <c r="AY56">
        <f>SUMIF(RawDataDead!$B:$B,$A56,RawDataDead!BB:BB)</f>
        <v>1</v>
      </c>
      <c r="AZ56">
        <f>SUMIF(RawDataDead!$B:$B,$A56,RawDataDead!BC:BC)</f>
        <v>1</v>
      </c>
      <c r="BA56">
        <f>SUMIF(RawDataDead!$B:$B,$A56,RawDataDead!BD:BD)</f>
        <v>1</v>
      </c>
      <c r="BB56">
        <f>SUMIF(RawDataDead!$B:$B,$A56,RawDataDead!BE:BE)</f>
        <v>1</v>
      </c>
      <c r="BC56">
        <f>SUMIF(RawDataDead!$B:$B,$A56,RawDataDead!BF:BF)</f>
        <v>1</v>
      </c>
      <c r="BD56">
        <f>SUMIF(RawDataDead!$B:$B,$A56,RawDataDead!BG:BG)</f>
        <v>1</v>
      </c>
      <c r="BE56">
        <f>SUMIF(RawDataDead!$B:$B,$A56,RawDataDead!BH:BH)</f>
        <v>1</v>
      </c>
      <c r="BF56">
        <f>SUMIF(RawDataDead!$B:$B,$A56,RawDataDead!BI:BI)</f>
        <v>0</v>
      </c>
      <c r="BG56">
        <f>SUMIF(RawDataDead!$B:$B,$A56,RawDataDead!BJ:BJ)</f>
        <v>0</v>
      </c>
      <c r="BH56">
        <f>SUMIF(RawDataDead!$B:$B,$A56,RawDataDead!BK:BK)</f>
        <v>0</v>
      </c>
      <c r="BI56">
        <f>SUMIF(RawDataDead!$B:$B,$A56,RawDataDead!BL:BL)</f>
        <v>0</v>
      </c>
      <c r="BJ56">
        <f>SUMIF(RawDataDead!$B:$B,$A56,RawDataDead!BM:BM)</f>
        <v>0</v>
      </c>
      <c r="BK56">
        <f>SUMIF(RawDataDead!$B:$B,$A56,RawDataDead!BN:BN)</f>
        <v>0</v>
      </c>
      <c r="BL56">
        <f>SUMIF(RawDataDead!$B:$B,$A56,RawDataDead!BO:BO)</f>
        <v>0</v>
      </c>
      <c r="BM56">
        <f>SUMIF(RawDataDead!$B:$B,$A56,RawDataDead!BP:BP)</f>
        <v>0</v>
      </c>
      <c r="BN56">
        <f>SUMIF(RawDataDead!$B:$B,$A56,RawDataDead!BQ:BQ)</f>
        <v>0</v>
      </c>
      <c r="BO56">
        <f>SUMIF(RawDataDead!$B:$B,$A56,RawDataDead!BR:BR)</f>
        <v>0</v>
      </c>
      <c r="BP56">
        <f>SUMIF(RawDataDead!$B:$B,$A56,RawDataDead!BS:BS)</f>
        <v>0</v>
      </c>
      <c r="BQ56">
        <f>SUMIF(RawDataDead!$B:$B,$A56,RawDataDead!BT:BT)</f>
        <v>0</v>
      </c>
      <c r="BR56">
        <f>SUMIF(RawDataDead!$B:$B,$A56,RawDataDead!BU:BU)</f>
        <v>0</v>
      </c>
      <c r="BS56">
        <f>SUMIF(RawDataDead!$B:$B,$A56,RawDataDead!BV:BV)</f>
        <v>0</v>
      </c>
      <c r="BT56">
        <f>SUMIF(RawDataDead!$B:$B,$A56,RawDataDead!BW:BW)</f>
        <v>0</v>
      </c>
    </row>
    <row r="57" spans="1:72" ht="15" thickBot="1" x14ac:dyDescent="0.35">
      <c r="A57" s="3" t="s">
        <v>103</v>
      </c>
      <c r="B57">
        <f>SUMIF(RawDataDead!$B:$B,$A57,RawDataDead!E:E)</f>
        <v>0</v>
      </c>
      <c r="C57">
        <f>SUMIF(RawDataDead!$B:$B,$A57,RawDataDead!F:F)</f>
        <v>0</v>
      </c>
      <c r="D57">
        <f>SUMIF(RawDataDead!$B:$B,$A57,RawDataDead!G:G)</f>
        <v>0</v>
      </c>
      <c r="E57">
        <f>SUMIF(RawDataDead!$B:$B,$A57,RawDataDead!H:H)</f>
        <v>0</v>
      </c>
      <c r="F57">
        <f>SUMIF(RawDataDead!$B:$B,$A57,RawDataDead!I:I)</f>
        <v>0</v>
      </c>
      <c r="G57">
        <f>SUMIF(RawDataDead!$B:$B,$A57,RawDataDead!J:J)</f>
        <v>0</v>
      </c>
      <c r="H57">
        <f>SUMIF(RawDataDead!$B:$B,$A57,RawDataDead!K:K)</f>
        <v>0</v>
      </c>
      <c r="I57">
        <f>SUMIF(RawDataDead!$B:$B,$A57,RawDataDead!L:L)</f>
        <v>0</v>
      </c>
      <c r="J57">
        <f>SUMIF(RawDataDead!$B:$B,$A57,RawDataDead!M:M)</f>
        <v>0</v>
      </c>
      <c r="K57">
        <f>SUMIF(RawDataDead!$B:$B,$A57,RawDataDead!N:N)</f>
        <v>0</v>
      </c>
      <c r="L57">
        <f>SUMIF(RawDataDead!$B:$B,$A57,RawDataDead!O:O)</f>
        <v>0</v>
      </c>
      <c r="M57">
        <f>SUMIF(RawDataDead!$B:$B,$A57,RawDataDead!P:P)</f>
        <v>0</v>
      </c>
      <c r="N57">
        <f>SUMIF(RawDataDead!$B:$B,$A57,RawDataDead!Q:Q)</f>
        <v>0</v>
      </c>
      <c r="O57">
        <f>SUMIF(RawDataDead!$B:$B,$A57,RawDataDead!R:R)</f>
        <v>0</v>
      </c>
      <c r="P57">
        <f>SUMIF(RawDataDead!$B:$B,$A57,RawDataDead!S:S)</f>
        <v>0</v>
      </c>
      <c r="Q57">
        <f>SUMIF(RawDataDead!$B:$B,$A57,RawDataDead!T:T)</f>
        <v>0</v>
      </c>
      <c r="R57">
        <f>SUMIF(RawDataDead!$B:$B,$A57,RawDataDead!U:U)</f>
        <v>0</v>
      </c>
      <c r="S57">
        <f>SUMIF(RawDataDead!$B:$B,$A57,RawDataDead!V:V)</f>
        <v>0</v>
      </c>
      <c r="T57">
        <f>SUMIF(RawDataDead!$B:$B,$A57,RawDataDead!W:W)</f>
        <v>0</v>
      </c>
      <c r="U57">
        <f>SUMIF(RawDataDead!$B:$B,$A57,RawDataDead!X:X)</f>
        <v>0</v>
      </c>
      <c r="V57">
        <f>SUMIF(RawDataDead!$B:$B,$A57,RawDataDead!Y:Y)</f>
        <v>0</v>
      </c>
      <c r="W57">
        <f>SUMIF(RawDataDead!$B:$B,$A57,RawDataDead!Z:Z)</f>
        <v>0</v>
      </c>
      <c r="X57">
        <f>SUMIF(RawDataDead!$B:$B,$A57,RawDataDead!AA:AA)</f>
        <v>0</v>
      </c>
      <c r="Y57">
        <f>SUMIF(RawDataDead!$B:$B,$A57,RawDataDead!AB:AB)</f>
        <v>0</v>
      </c>
      <c r="Z57">
        <f>SUMIF(RawDataDead!$B:$B,$A57,RawDataDead!AC:AC)</f>
        <v>0</v>
      </c>
      <c r="AA57">
        <f>SUMIF(RawDataDead!$B:$B,$A57,RawDataDead!AD:AD)</f>
        <v>0</v>
      </c>
      <c r="AB57">
        <f>SUMIF(RawDataDead!$B:$B,$A57,RawDataDead!AE:AE)</f>
        <v>0</v>
      </c>
      <c r="AC57">
        <f>SUMIF(RawDataDead!$B:$B,$A57,RawDataDead!AF:AF)</f>
        <v>0</v>
      </c>
      <c r="AD57">
        <f>SUMIF(RawDataDead!$B:$B,$A57,RawDataDead!AG:AG)</f>
        <v>0</v>
      </c>
      <c r="AE57">
        <f>SUMIF(RawDataDead!$B:$B,$A57,RawDataDead!AH:AH)</f>
        <v>0</v>
      </c>
      <c r="AF57">
        <f>SUMIF(RawDataDead!$B:$B,$A57,RawDataDead!AI:AI)</f>
        <v>0</v>
      </c>
      <c r="AG57">
        <f>SUMIF(RawDataDead!$B:$B,$A57,RawDataDead!AJ:AJ)</f>
        <v>0</v>
      </c>
      <c r="AH57">
        <f>SUMIF(RawDataDead!$B:$B,$A57,RawDataDead!AK:AK)</f>
        <v>0</v>
      </c>
      <c r="AI57">
        <f>SUMIF(RawDataDead!$B:$B,$A57,RawDataDead!AL:AL)</f>
        <v>0</v>
      </c>
      <c r="AJ57">
        <f>SUMIF(RawDataDead!$B:$B,$A57,RawDataDead!AM:AM)</f>
        <v>0</v>
      </c>
      <c r="AK57">
        <f>SUMIF(RawDataDead!$B:$B,$A57,RawDataDead!AN:AN)</f>
        <v>0</v>
      </c>
      <c r="AL57">
        <f>SUMIF(RawDataDead!$B:$B,$A57,RawDataDead!AO:AO)</f>
        <v>0</v>
      </c>
      <c r="AM57">
        <f>SUMIF(RawDataDead!$B:$B,$A57,RawDataDead!AP:AP)</f>
        <v>0</v>
      </c>
      <c r="AN57">
        <f>SUMIF(RawDataDead!$B:$B,$A57,RawDataDead!AQ:AQ)</f>
        <v>0</v>
      </c>
      <c r="AO57">
        <f>SUMIF(RawDataDead!$B:$B,$A57,RawDataDead!AR:AR)</f>
        <v>0</v>
      </c>
      <c r="AP57">
        <f>SUMIF(RawDataDead!$B:$B,$A57,RawDataDead!AS:AS)</f>
        <v>0</v>
      </c>
      <c r="AQ57">
        <f>SUMIF(RawDataDead!$B:$B,$A57,RawDataDead!AT:AT)</f>
        <v>0</v>
      </c>
      <c r="AR57">
        <f>SUMIF(RawDataDead!$B:$B,$A57,RawDataDead!AU:AU)</f>
        <v>0</v>
      </c>
      <c r="AS57">
        <f>SUMIF(RawDataDead!$B:$B,$A57,RawDataDead!AV:AV)</f>
        <v>0</v>
      </c>
      <c r="AT57">
        <f>SUMIF(RawDataDead!$B:$B,$A57,RawDataDead!AW:AW)</f>
        <v>0</v>
      </c>
      <c r="AU57">
        <f>SUMIF(RawDataDead!$B:$B,$A57,RawDataDead!AX:AX)</f>
        <v>0</v>
      </c>
      <c r="AV57">
        <f>SUMIF(RawDataDead!$B:$B,$A57,RawDataDead!AY:AY)</f>
        <v>0</v>
      </c>
      <c r="AW57">
        <f>SUMIF(RawDataDead!$B:$B,$A57,RawDataDead!AZ:AZ)</f>
        <v>0</v>
      </c>
      <c r="AX57">
        <f>SUMIF(RawDataDead!$B:$B,$A57,RawDataDead!BA:BA)</f>
        <v>0</v>
      </c>
      <c r="AY57">
        <f>SUMIF(RawDataDead!$B:$B,$A57,RawDataDead!BB:BB)</f>
        <v>0</v>
      </c>
      <c r="AZ57">
        <f>SUMIF(RawDataDead!$B:$B,$A57,RawDataDead!BC:BC)</f>
        <v>0</v>
      </c>
      <c r="BA57">
        <f>SUMIF(RawDataDead!$B:$B,$A57,RawDataDead!BD:BD)</f>
        <v>0</v>
      </c>
      <c r="BB57">
        <f>SUMIF(RawDataDead!$B:$B,$A57,RawDataDead!BE:BE)</f>
        <v>0</v>
      </c>
      <c r="BC57">
        <f>SUMIF(RawDataDead!$B:$B,$A57,RawDataDead!BF:BF)</f>
        <v>0</v>
      </c>
      <c r="BD57">
        <f>SUMIF(RawDataDead!$B:$B,$A57,RawDataDead!BG:BG)</f>
        <v>0</v>
      </c>
      <c r="BE57">
        <f>SUMIF(RawDataDead!$B:$B,$A57,RawDataDead!BH:BH)</f>
        <v>0</v>
      </c>
      <c r="BF57">
        <f>SUMIF(RawDataDead!$B:$B,$A57,RawDataDead!BI:BI)</f>
        <v>0</v>
      </c>
      <c r="BG57">
        <f>SUMIF(RawDataDead!$B:$B,$A57,RawDataDead!BJ:BJ)</f>
        <v>0</v>
      </c>
      <c r="BH57">
        <f>SUMIF(RawDataDead!$B:$B,$A57,RawDataDead!BK:BK)</f>
        <v>0</v>
      </c>
      <c r="BI57">
        <f>SUMIF(RawDataDead!$B:$B,$A57,RawDataDead!BL:BL)</f>
        <v>0</v>
      </c>
      <c r="BJ57">
        <f>SUMIF(RawDataDead!$B:$B,$A57,RawDataDead!BM:BM)</f>
        <v>0</v>
      </c>
      <c r="BK57">
        <f>SUMIF(RawDataDead!$B:$B,$A57,RawDataDead!BN:BN)</f>
        <v>0</v>
      </c>
      <c r="BL57">
        <f>SUMIF(RawDataDead!$B:$B,$A57,RawDataDead!BO:BO)</f>
        <v>0</v>
      </c>
      <c r="BM57">
        <f>SUMIF(RawDataDead!$B:$B,$A57,RawDataDead!BP:BP)</f>
        <v>0</v>
      </c>
      <c r="BN57">
        <f>SUMIF(RawDataDead!$B:$B,$A57,RawDataDead!BQ:BQ)</f>
        <v>0</v>
      </c>
      <c r="BO57">
        <f>SUMIF(RawDataDead!$B:$B,$A57,RawDataDead!BR:BR)</f>
        <v>0</v>
      </c>
      <c r="BP57">
        <f>SUMIF(RawDataDead!$B:$B,$A57,RawDataDead!BS:BS)</f>
        <v>0</v>
      </c>
      <c r="BQ57">
        <f>SUMIF(RawDataDead!$B:$B,$A57,RawDataDead!BT:BT)</f>
        <v>0</v>
      </c>
      <c r="BR57">
        <f>SUMIF(RawDataDead!$B:$B,$A57,RawDataDead!BU:BU)</f>
        <v>0</v>
      </c>
      <c r="BS57">
        <f>SUMIF(RawDataDead!$B:$B,$A57,RawDataDead!BV:BV)</f>
        <v>0</v>
      </c>
      <c r="BT57">
        <f>SUMIF(RawDataDead!$B:$B,$A57,RawDataDead!BW:BW)</f>
        <v>0</v>
      </c>
    </row>
    <row r="58" spans="1:72" ht="15" thickBot="1" x14ac:dyDescent="0.35">
      <c r="A58" s="4" t="s">
        <v>189</v>
      </c>
      <c r="B58">
        <f>SUMIF(RawDataDead!$B:$B,$A58,RawDataDead!E:E)</f>
        <v>0</v>
      </c>
      <c r="C58">
        <f>SUMIF(RawDataDead!$B:$B,$A58,RawDataDead!F:F)</f>
        <v>0</v>
      </c>
      <c r="D58">
        <f>SUMIF(RawDataDead!$B:$B,$A58,RawDataDead!G:G)</f>
        <v>0</v>
      </c>
      <c r="E58">
        <f>SUMIF(RawDataDead!$B:$B,$A58,RawDataDead!H:H)</f>
        <v>0</v>
      </c>
      <c r="F58">
        <f>SUMIF(RawDataDead!$B:$B,$A58,RawDataDead!I:I)</f>
        <v>0</v>
      </c>
      <c r="G58">
        <f>SUMIF(RawDataDead!$B:$B,$A58,RawDataDead!J:J)</f>
        <v>0</v>
      </c>
      <c r="H58">
        <f>SUMIF(RawDataDead!$B:$B,$A58,RawDataDead!K:K)</f>
        <v>0</v>
      </c>
      <c r="I58">
        <f>SUMIF(RawDataDead!$B:$B,$A58,RawDataDead!L:L)</f>
        <v>0</v>
      </c>
      <c r="J58">
        <f>SUMIF(RawDataDead!$B:$B,$A58,RawDataDead!M:M)</f>
        <v>0</v>
      </c>
      <c r="K58">
        <f>SUMIF(RawDataDead!$B:$B,$A58,RawDataDead!N:N)</f>
        <v>0</v>
      </c>
      <c r="L58">
        <f>SUMIF(RawDataDead!$B:$B,$A58,RawDataDead!O:O)</f>
        <v>0</v>
      </c>
      <c r="M58">
        <f>SUMIF(RawDataDead!$B:$B,$A58,RawDataDead!P:P)</f>
        <v>0</v>
      </c>
      <c r="N58">
        <f>SUMIF(RawDataDead!$B:$B,$A58,RawDataDead!Q:Q)</f>
        <v>0</v>
      </c>
      <c r="O58">
        <f>SUMIF(RawDataDead!$B:$B,$A58,RawDataDead!R:R)</f>
        <v>0</v>
      </c>
      <c r="P58">
        <f>SUMIF(RawDataDead!$B:$B,$A58,RawDataDead!S:S)</f>
        <v>0</v>
      </c>
      <c r="Q58">
        <f>SUMIF(RawDataDead!$B:$B,$A58,RawDataDead!T:T)</f>
        <v>0</v>
      </c>
      <c r="R58">
        <f>SUMIF(RawDataDead!$B:$B,$A58,RawDataDead!U:U)</f>
        <v>0</v>
      </c>
      <c r="S58">
        <f>SUMIF(RawDataDead!$B:$B,$A58,RawDataDead!V:V)</f>
        <v>0</v>
      </c>
      <c r="T58">
        <f>SUMIF(RawDataDead!$B:$B,$A58,RawDataDead!W:W)</f>
        <v>0</v>
      </c>
      <c r="U58">
        <f>SUMIF(RawDataDead!$B:$B,$A58,RawDataDead!X:X)</f>
        <v>0</v>
      </c>
      <c r="V58">
        <f>SUMIF(RawDataDead!$B:$B,$A58,RawDataDead!Y:Y)</f>
        <v>0</v>
      </c>
      <c r="W58">
        <f>SUMIF(RawDataDead!$B:$B,$A58,RawDataDead!Z:Z)</f>
        <v>0</v>
      </c>
      <c r="X58">
        <f>SUMIF(RawDataDead!$B:$B,$A58,RawDataDead!AA:AA)</f>
        <v>0</v>
      </c>
      <c r="Y58">
        <f>SUMIF(RawDataDead!$B:$B,$A58,RawDataDead!AB:AB)</f>
        <v>0</v>
      </c>
      <c r="Z58">
        <f>SUMIF(RawDataDead!$B:$B,$A58,RawDataDead!AC:AC)</f>
        <v>0</v>
      </c>
      <c r="AA58">
        <f>SUMIF(RawDataDead!$B:$B,$A58,RawDataDead!AD:AD)</f>
        <v>0</v>
      </c>
      <c r="AB58">
        <f>SUMIF(RawDataDead!$B:$B,$A58,RawDataDead!AE:AE)</f>
        <v>0</v>
      </c>
      <c r="AC58">
        <f>SUMIF(RawDataDead!$B:$B,$A58,RawDataDead!AF:AF)</f>
        <v>0</v>
      </c>
      <c r="AD58">
        <f>SUMIF(RawDataDead!$B:$B,$A58,RawDataDead!AG:AG)</f>
        <v>0</v>
      </c>
      <c r="AE58">
        <f>SUMIF(RawDataDead!$B:$B,$A58,RawDataDead!AH:AH)</f>
        <v>0</v>
      </c>
      <c r="AF58">
        <f>SUMIF(RawDataDead!$B:$B,$A58,RawDataDead!AI:AI)</f>
        <v>0</v>
      </c>
      <c r="AG58">
        <f>SUMIF(RawDataDead!$B:$B,$A58,RawDataDead!AJ:AJ)</f>
        <v>0</v>
      </c>
      <c r="AH58">
        <f>SUMIF(RawDataDead!$B:$B,$A58,RawDataDead!AK:AK)</f>
        <v>0</v>
      </c>
      <c r="AI58">
        <f>SUMIF(RawDataDead!$B:$B,$A58,RawDataDead!AL:AL)</f>
        <v>0</v>
      </c>
      <c r="AJ58">
        <f>SUMIF(RawDataDead!$B:$B,$A58,RawDataDead!AM:AM)</f>
        <v>0</v>
      </c>
      <c r="AK58">
        <f>SUMIF(RawDataDead!$B:$B,$A58,RawDataDead!AN:AN)</f>
        <v>0</v>
      </c>
      <c r="AL58">
        <f>SUMIF(RawDataDead!$B:$B,$A58,RawDataDead!AO:AO)</f>
        <v>0</v>
      </c>
      <c r="AM58">
        <f>SUMIF(RawDataDead!$B:$B,$A58,RawDataDead!AP:AP)</f>
        <v>0</v>
      </c>
      <c r="AN58">
        <f>SUMIF(RawDataDead!$B:$B,$A58,RawDataDead!AQ:AQ)</f>
        <v>0</v>
      </c>
      <c r="AO58">
        <f>SUMIF(RawDataDead!$B:$B,$A58,RawDataDead!AR:AR)</f>
        <v>0</v>
      </c>
      <c r="AP58">
        <f>SUMIF(RawDataDead!$B:$B,$A58,RawDataDead!AS:AS)</f>
        <v>0</v>
      </c>
      <c r="AQ58">
        <f>SUMIF(RawDataDead!$B:$B,$A58,RawDataDead!AT:AT)</f>
        <v>0</v>
      </c>
      <c r="AR58">
        <f>SUMIF(RawDataDead!$B:$B,$A58,RawDataDead!AU:AU)</f>
        <v>0</v>
      </c>
      <c r="AS58">
        <f>SUMIF(RawDataDead!$B:$B,$A58,RawDataDead!AV:AV)</f>
        <v>0</v>
      </c>
      <c r="AT58">
        <f>SUMIF(RawDataDead!$B:$B,$A58,RawDataDead!AW:AW)</f>
        <v>0</v>
      </c>
      <c r="AU58">
        <f>SUMIF(RawDataDead!$B:$B,$A58,RawDataDead!AX:AX)</f>
        <v>0</v>
      </c>
      <c r="AV58">
        <f>SUMIF(RawDataDead!$B:$B,$A58,RawDataDead!AY:AY)</f>
        <v>0</v>
      </c>
      <c r="AW58">
        <f>SUMIF(RawDataDead!$B:$B,$A58,RawDataDead!AZ:AZ)</f>
        <v>0</v>
      </c>
      <c r="AX58">
        <f>SUMIF(RawDataDead!$B:$B,$A58,RawDataDead!BA:BA)</f>
        <v>0</v>
      </c>
      <c r="AY58">
        <f>SUMIF(RawDataDead!$B:$B,$A58,RawDataDead!BB:BB)</f>
        <v>0</v>
      </c>
      <c r="AZ58">
        <f>SUMIF(RawDataDead!$B:$B,$A58,RawDataDead!BC:BC)</f>
        <v>0</v>
      </c>
      <c r="BA58">
        <f>SUMIF(RawDataDead!$B:$B,$A58,RawDataDead!BD:BD)</f>
        <v>0</v>
      </c>
      <c r="BB58">
        <f>SUMIF(RawDataDead!$B:$B,$A58,RawDataDead!BE:BE)</f>
        <v>0</v>
      </c>
      <c r="BC58">
        <f>SUMIF(RawDataDead!$B:$B,$A58,RawDataDead!BF:BF)</f>
        <v>0</v>
      </c>
      <c r="BD58">
        <f>SUMIF(RawDataDead!$B:$B,$A58,RawDataDead!BG:BG)</f>
        <v>0</v>
      </c>
      <c r="BE58">
        <f>SUMIF(RawDataDead!$B:$B,$A58,RawDataDead!BH:BH)</f>
        <v>0</v>
      </c>
      <c r="BF58">
        <f>SUMIF(RawDataDead!$B:$B,$A58,RawDataDead!BI:BI)</f>
        <v>0</v>
      </c>
      <c r="BG58">
        <f>SUMIF(RawDataDead!$B:$B,$A58,RawDataDead!BJ:BJ)</f>
        <v>0</v>
      </c>
      <c r="BH58">
        <f>SUMIF(RawDataDead!$B:$B,$A58,RawDataDead!BK:BK)</f>
        <v>0</v>
      </c>
      <c r="BI58">
        <f>SUMIF(RawDataDead!$B:$B,$A58,RawDataDead!BL:BL)</f>
        <v>0</v>
      </c>
      <c r="BJ58">
        <f>SUMIF(RawDataDead!$B:$B,$A58,RawDataDead!BM:BM)</f>
        <v>0</v>
      </c>
      <c r="BK58">
        <f>SUMIF(RawDataDead!$B:$B,$A58,RawDataDead!BN:BN)</f>
        <v>0</v>
      </c>
      <c r="BL58">
        <f>SUMIF(RawDataDead!$B:$B,$A58,RawDataDead!BO:BO)</f>
        <v>0</v>
      </c>
      <c r="BM58">
        <f>SUMIF(RawDataDead!$B:$B,$A58,RawDataDead!BP:BP)</f>
        <v>0</v>
      </c>
      <c r="BN58">
        <f>SUMIF(RawDataDead!$B:$B,$A58,RawDataDead!BQ:BQ)</f>
        <v>0</v>
      </c>
      <c r="BO58">
        <f>SUMIF(RawDataDead!$B:$B,$A58,RawDataDead!BR:BR)</f>
        <v>0</v>
      </c>
      <c r="BP58">
        <f>SUMIF(RawDataDead!$B:$B,$A58,RawDataDead!BS:BS)</f>
        <v>0</v>
      </c>
      <c r="BQ58">
        <f>SUMIF(RawDataDead!$B:$B,$A58,RawDataDead!BT:BT)</f>
        <v>0</v>
      </c>
      <c r="BR58">
        <f>SUMIF(RawDataDead!$B:$B,$A58,RawDataDead!BU:BU)</f>
        <v>0</v>
      </c>
      <c r="BS58">
        <f>SUMIF(RawDataDead!$B:$B,$A58,RawDataDead!BV:BV)</f>
        <v>0</v>
      </c>
      <c r="BT58">
        <f>SUMIF(RawDataDead!$B:$B,$A58,RawDataDead!BW:BW)</f>
        <v>0</v>
      </c>
    </row>
    <row r="59" spans="1:72" ht="15" thickBot="1" x14ac:dyDescent="0.35">
      <c r="A59" s="4" t="s">
        <v>150</v>
      </c>
      <c r="B59">
        <f>SUMIF(RawDataDead!$B:$B,$A59,RawDataDead!E:E)</f>
        <v>0</v>
      </c>
      <c r="C59">
        <f>SUMIF(RawDataDead!$B:$B,$A59,RawDataDead!F:F)</f>
        <v>0</v>
      </c>
      <c r="D59">
        <f>SUMIF(RawDataDead!$B:$B,$A59,RawDataDead!G:G)</f>
        <v>0</v>
      </c>
      <c r="E59">
        <f>SUMIF(RawDataDead!$B:$B,$A59,RawDataDead!H:H)</f>
        <v>0</v>
      </c>
      <c r="F59">
        <f>SUMIF(RawDataDead!$B:$B,$A59,RawDataDead!I:I)</f>
        <v>0</v>
      </c>
      <c r="G59">
        <f>SUMIF(RawDataDead!$B:$B,$A59,RawDataDead!J:J)</f>
        <v>0</v>
      </c>
      <c r="H59">
        <f>SUMIF(RawDataDead!$B:$B,$A59,RawDataDead!K:K)</f>
        <v>0</v>
      </c>
      <c r="I59">
        <f>SUMIF(RawDataDead!$B:$B,$A59,RawDataDead!L:L)</f>
        <v>0</v>
      </c>
      <c r="J59">
        <f>SUMIF(RawDataDead!$B:$B,$A59,RawDataDead!M:M)</f>
        <v>0</v>
      </c>
      <c r="K59">
        <f>SUMIF(RawDataDead!$B:$B,$A59,RawDataDead!N:N)</f>
        <v>0</v>
      </c>
      <c r="L59">
        <f>SUMIF(RawDataDead!$B:$B,$A59,RawDataDead!O:O)</f>
        <v>0</v>
      </c>
      <c r="M59">
        <f>SUMIF(RawDataDead!$B:$B,$A59,RawDataDead!P:P)</f>
        <v>0</v>
      </c>
      <c r="N59">
        <f>SUMIF(RawDataDead!$B:$B,$A59,RawDataDead!Q:Q)</f>
        <v>0</v>
      </c>
      <c r="O59">
        <f>SUMIF(RawDataDead!$B:$B,$A59,RawDataDead!R:R)</f>
        <v>0</v>
      </c>
      <c r="P59">
        <f>SUMIF(RawDataDead!$B:$B,$A59,RawDataDead!S:S)</f>
        <v>0</v>
      </c>
      <c r="Q59">
        <f>SUMIF(RawDataDead!$B:$B,$A59,RawDataDead!T:T)</f>
        <v>0</v>
      </c>
      <c r="R59">
        <f>SUMIF(RawDataDead!$B:$B,$A59,RawDataDead!U:U)</f>
        <v>0</v>
      </c>
      <c r="S59">
        <f>SUMIF(RawDataDead!$B:$B,$A59,RawDataDead!V:V)</f>
        <v>0</v>
      </c>
      <c r="T59">
        <f>SUMIF(RawDataDead!$B:$B,$A59,RawDataDead!W:W)</f>
        <v>0</v>
      </c>
      <c r="U59">
        <f>SUMIF(RawDataDead!$B:$B,$A59,RawDataDead!X:X)</f>
        <v>0</v>
      </c>
      <c r="V59">
        <f>SUMIF(RawDataDead!$B:$B,$A59,RawDataDead!Y:Y)</f>
        <v>0</v>
      </c>
      <c r="W59">
        <f>SUMIF(RawDataDead!$B:$B,$A59,RawDataDead!Z:Z)</f>
        <v>0</v>
      </c>
      <c r="X59">
        <f>SUMIF(RawDataDead!$B:$B,$A59,RawDataDead!AA:AA)</f>
        <v>0</v>
      </c>
      <c r="Y59">
        <f>SUMIF(RawDataDead!$B:$B,$A59,RawDataDead!AB:AB)</f>
        <v>0</v>
      </c>
      <c r="Z59">
        <f>SUMIF(RawDataDead!$B:$B,$A59,RawDataDead!AC:AC)</f>
        <v>0</v>
      </c>
      <c r="AA59">
        <f>SUMIF(RawDataDead!$B:$B,$A59,RawDataDead!AD:AD)</f>
        <v>0</v>
      </c>
      <c r="AB59">
        <f>SUMIF(RawDataDead!$B:$B,$A59,RawDataDead!AE:AE)</f>
        <v>0</v>
      </c>
      <c r="AC59">
        <f>SUMIF(RawDataDead!$B:$B,$A59,RawDataDead!AF:AF)</f>
        <v>0</v>
      </c>
      <c r="AD59">
        <f>SUMIF(RawDataDead!$B:$B,$A59,RawDataDead!AG:AG)</f>
        <v>0</v>
      </c>
      <c r="AE59">
        <f>SUMIF(RawDataDead!$B:$B,$A59,RawDataDead!AH:AH)</f>
        <v>0</v>
      </c>
      <c r="AF59">
        <f>SUMIF(RawDataDead!$B:$B,$A59,RawDataDead!AI:AI)</f>
        <v>0</v>
      </c>
      <c r="AG59">
        <f>SUMIF(RawDataDead!$B:$B,$A59,RawDataDead!AJ:AJ)</f>
        <v>0</v>
      </c>
      <c r="AH59">
        <f>SUMIF(RawDataDead!$B:$B,$A59,RawDataDead!AK:AK)</f>
        <v>0</v>
      </c>
      <c r="AI59">
        <f>SUMIF(RawDataDead!$B:$B,$A59,RawDataDead!AL:AL)</f>
        <v>0</v>
      </c>
      <c r="AJ59">
        <f>SUMIF(RawDataDead!$B:$B,$A59,RawDataDead!AM:AM)</f>
        <v>0</v>
      </c>
      <c r="AK59">
        <f>SUMIF(RawDataDead!$B:$B,$A59,RawDataDead!AN:AN)</f>
        <v>0</v>
      </c>
      <c r="AL59">
        <f>SUMIF(RawDataDead!$B:$B,$A59,RawDataDead!AO:AO)</f>
        <v>0</v>
      </c>
      <c r="AM59">
        <f>SUMIF(RawDataDead!$B:$B,$A59,RawDataDead!AP:AP)</f>
        <v>0</v>
      </c>
      <c r="AN59">
        <f>SUMIF(RawDataDead!$B:$B,$A59,RawDataDead!AQ:AQ)</f>
        <v>0</v>
      </c>
      <c r="AO59">
        <f>SUMIF(RawDataDead!$B:$B,$A59,RawDataDead!AR:AR)</f>
        <v>0</v>
      </c>
      <c r="AP59">
        <f>SUMIF(RawDataDead!$B:$B,$A59,RawDataDead!AS:AS)</f>
        <v>0</v>
      </c>
      <c r="AQ59">
        <f>SUMIF(RawDataDead!$B:$B,$A59,RawDataDead!AT:AT)</f>
        <v>0</v>
      </c>
      <c r="AR59">
        <f>SUMIF(RawDataDead!$B:$B,$A59,RawDataDead!AU:AU)</f>
        <v>0</v>
      </c>
      <c r="AS59">
        <f>SUMIF(RawDataDead!$B:$B,$A59,RawDataDead!AV:AV)</f>
        <v>0</v>
      </c>
      <c r="AT59">
        <f>SUMIF(RawDataDead!$B:$B,$A59,RawDataDead!AW:AW)</f>
        <v>0</v>
      </c>
      <c r="AU59">
        <f>SUMIF(RawDataDead!$B:$B,$A59,RawDataDead!AX:AX)</f>
        <v>0</v>
      </c>
      <c r="AV59">
        <f>SUMIF(RawDataDead!$B:$B,$A59,RawDataDead!AY:AY)</f>
        <v>1</v>
      </c>
      <c r="AW59">
        <f>SUMIF(RawDataDead!$B:$B,$A59,RawDataDead!AZ:AZ)</f>
        <v>1</v>
      </c>
      <c r="AX59">
        <f>SUMIF(RawDataDead!$B:$B,$A59,RawDataDead!BA:BA)</f>
        <v>1</v>
      </c>
      <c r="AY59">
        <f>SUMIF(RawDataDead!$B:$B,$A59,RawDataDead!BB:BB)</f>
        <v>1</v>
      </c>
      <c r="AZ59">
        <f>SUMIF(RawDataDead!$B:$B,$A59,RawDataDead!BC:BC)</f>
        <v>1</v>
      </c>
      <c r="BA59">
        <f>SUMIF(RawDataDead!$B:$B,$A59,RawDataDead!BD:BD)</f>
        <v>2</v>
      </c>
      <c r="BB59">
        <f>SUMIF(RawDataDead!$B:$B,$A59,RawDataDead!BE:BE)</f>
        <v>2</v>
      </c>
      <c r="BC59">
        <f>SUMIF(RawDataDead!$B:$B,$A59,RawDataDead!BF:BF)</f>
        <v>2</v>
      </c>
      <c r="BD59">
        <f>SUMIF(RawDataDead!$B:$B,$A59,RawDataDead!BG:BG)</f>
        <v>2</v>
      </c>
      <c r="BE59">
        <f>SUMIF(RawDataDead!$B:$B,$A59,RawDataDead!BH:BH)</f>
        <v>2</v>
      </c>
      <c r="BF59">
        <f>SUMIF(RawDataDead!$B:$B,$A59,RawDataDead!BI:BI)</f>
        <v>0</v>
      </c>
      <c r="BG59">
        <f>SUMIF(RawDataDead!$B:$B,$A59,RawDataDead!BJ:BJ)</f>
        <v>0</v>
      </c>
      <c r="BH59">
        <f>SUMIF(RawDataDead!$B:$B,$A59,RawDataDead!BK:BK)</f>
        <v>0</v>
      </c>
      <c r="BI59">
        <f>SUMIF(RawDataDead!$B:$B,$A59,RawDataDead!BL:BL)</f>
        <v>0</v>
      </c>
      <c r="BJ59">
        <f>SUMIF(RawDataDead!$B:$B,$A59,RawDataDead!BM:BM)</f>
        <v>0</v>
      </c>
      <c r="BK59">
        <f>SUMIF(RawDataDead!$B:$B,$A59,RawDataDead!BN:BN)</f>
        <v>0</v>
      </c>
      <c r="BL59">
        <f>SUMIF(RawDataDead!$B:$B,$A59,RawDataDead!BO:BO)</f>
        <v>0</v>
      </c>
      <c r="BM59">
        <f>SUMIF(RawDataDead!$B:$B,$A59,RawDataDead!BP:BP)</f>
        <v>0</v>
      </c>
      <c r="BN59">
        <f>SUMIF(RawDataDead!$B:$B,$A59,RawDataDead!BQ:BQ)</f>
        <v>0</v>
      </c>
      <c r="BO59">
        <f>SUMIF(RawDataDead!$B:$B,$A59,RawDataDead!BR:BR)</f>
        <v>0</v>
      </c>
      <c r="BP59">
        <f>SUMIF(RawDataDead!$B:$B,$A59,RawDataDead!BS:BS)</f>
        <v>0</v>
      </c>
      <c r="BQ59">
        <f>SUMIF(RawDataDead!$B:$B,$A59,RawDataDead!BT:BT)</f>
        <v>0</v>
      </c>
      <c r="BR59">
        <f>SUMIF(RawDataDead!$B:$B,$A59,RawDataDead!BU:BU)</f>
        <v>0</v>
      </c>
      <c r="BS59">
        <f>SUMIF(RawDataDead!$B:$B,$A59,RawDataDead!BV:BV)</f>
        <v>0</v>
      </c>
      <c r="BT59">
        <f>SUMIF(RawDataDead!$B:$B,$A59,RawDataDead!BW:BW)</f>
        <v>0</v>
      </c>
    </row>
    <row r="60" spans="1:72" ht="15" thickBot="1" x14ac:dyDescent="0.35">
      <c r="A60" s="3" t="s">
        <v>107</v>
      </c>
      <c r="B60">
        <f>SUMIF(RawDataDead!$B:$B,$A60,RawDataDead!E:E)</f>
        <v>0</v>
      </c>
      <c r="C60">
        <f>SUMIF(RawDataDead!$B:$B,$A60,RawDataDead!F:F)</f>
        <v>0</v>
      </c>
      <c r="D60">
        <f>SUMIF(RawDataDead!$B:$B,$A60,RawDataDead!G:G)</f>
        <v>0</v>
      </c>
      <c r="E60">
        <f>SUMIF(RawDataDead!$B:$B,$A60,RawDataDead!H:H)</f>
        <v>0</v>
      </c>
      <c r="F60">
        <f>SUMIF(RawDataDead!$B:$B,$A60,RawDataDead!I:I)</f>
        <v>0</v>
      </c>
      <c r="G60">
        <f>SUMIF(RawDataDead!$B:$B,$A60,RawDataDead!J:J)</f>
        <v>0</v>
      </c>
      <c r="H60">
        <f>SUMIF(RawDataDead!$B:$B,$A60,RawDataDead!K:K)</f>
        <v>0</v>
      </c>
      <c r="I60">
        <f>SUMIF(RawDataDead!$B:$B,$A60,RawDataDead!L:L)</f>
        <v>0</v>
      </c>
      <c r="J60">
        <f>SUMIF(RawDataDead!$B:$B,$A60,RawDataDead!M:M)</f>
        <v>0</v>
      </c>
      <c r="K60">
        <f>SUMIF(RawDataDead!$B:$B,$A60,RawDataDead!N:N)</f>
        <v>0</v>
      </c>
      <c r="L60">
        <f>SUMIF(RawDataDead!$B:$B,$A60,RawDataDead!O:O)</f>
        <v>0</v>
      </c>
      <c r="M60">
        <f>SUMIF(RawDataDead!$B:$B,$A60,RawDataDead!P:P)</f>
        <v>0</v>
      </c>
      <c r="N60">
        <f>SUMIF(RawDataDead!$B:$B,$A60,RawDataDead!Q:Q)</f>
        <v>0</v>
      </c>
      <c r="O60">
        <f>SUMIF(RawDataDead!$B:$B,$A60,RawDataDead!R:R)</f>
        <v>0</v>
      </c>
      <c r="P60">
        <f>SUMIF(RawDataDead!$B:$B,$A60,RawDataDead!S:S)</f>
        <v>0</v>
      </c>
      <c r="Q60">
        <f>SUMIF(RawDataDead!$B:$B,$A60,RawDataDead!T:T)</f>
        <v>0</v>
      </c>
      <c r="R60">
        <f>SUMIF(RawDataDead!$B:$B,$A60,RawDataDead!U:U)</f>
        <v>0</v>
      </c>
      <c r="S60">
        <f>SUMIF(RawDataDead!$B:$B,$A60,RawDataDead!V:V)</f>
        <v>0</v>
      </c>
      <c r="T60">
        <f>SUMIF(RawDataDead!$B:$B,$A60,RawDataDead!W:W)</f>
        <v>0</v>
      </c>
      <c r="U60">
        <f>SUMIF(RawDataDead!$B:$B,$A60,RawDataDead!X:X)</f>
        <v>0</v>
      </c>
      <c r="V60">
        <f>SUMIF(RawDataDead!$B:$B,$A60,RawDataDead!Y:Y)</f>
        <v>0</v>
      </c>
      <c r="W60">
        <f>SUMIF(RawDataDead!$B:$B,$A60,RawDataDead!Z:Z)</f>
        <v>0</v>
      </c>
      <c r="X60">
        <f>SUMIF(RawDataDead!$B:$B,$A60,RawDataDead!AA:AA)</f>
        <v>0</v>
      </c>
      <c r="Y60">
        <f>SUMIF(RawDataDead!$B:$B,$A60,RawDataDead!AB:AB)</f>
        <v>0</v>
      </c>
      <c r="Z60">
        <f>SUMIF(RawDataDead!$B:$B,$A60,RawDataDead!AC:AC)</f>
        <v>0</v>
      </c>
      <c r="AA60">
        <f>SUMIF(RawDataDead!$B:$B,$A60,RawDataDead!AD:AD)</f>
        <v>0</v>
      </c>
      <c r="AB60">
        <f>SUMIF(RawDataDead!$B:$B,$A60,RawDataDead!AE:AE)</f>
        <v>0</v>
      </c>
      <c r="AC60">
        <f>SUMIF(RawDataDead!$B:$B,$A60,RawDataDead!AF:AF)</f>
        <v>0</v>
      </c>
      <c r="AD60">
        <f>SUMIF(RawDataDead!$B:$B,$A60,RawDataDead!AG:AG)</f>
        <v>0</v>
      </c>
      <c r="AE60">
        <f>SUMIF(RawDataDead!$B:$B,$A60,RawDataDead!AH:AH)</f>
        <v>0</v>
      </c>
      <c r="AF60">
        <f>SUMIF(RawDataDead!$B:$B,$A60,RawDataDead!AI:AI)</f>
        <v>0</v>
      </c>
      <c r="AG60">
        <f>SUMIF(RawDataDead!$B:$B,$A60,RawDataDead!AJ:AJ)</f>
        <v>0</v>
      </c>
      <c r="AH60">
        <f>SUMIF(RawDataDead!$B:$B,$A60,RawDataDead!AK:AK)</f>
        <v>0</v>
      </c>
      <c r="AI60">
        <f>SUMIF(RawDataDead!$B:$B,$A60,RawDataDead!AL:AL)</f>
        <v>0</v>
      </c>
      <c r="AJ60">
        <f>SUMIF(RawDataDead!$B:$B,$A60,RawDataDead!AM:AM)</f>
        <v>0</v>
      </c>
      <c r="AK60">
        <f>SUMIF(RawDataDead!$B:$B,$A60,RawDataDead!AN:AN)</f>
        <v>0</v>
      </c>
      <c r="AL60">
        <f>SUMIF(RawDataDead!$B:$B,$A60,RawDataDead!AO:AO)</f>
        <v>0</v>
      </c>
      <c r="AM60">
        <f>SUMIF(RawDataDead!$B:$B,$A60,RawDataDead!AP:AP)</f>
        <v>0</v>
      </c>
      <c r="AN60">
        <f>SUMIF(RawDataDead!$B:$B,$A60,RawDataDead!AQ:AQ)</f>
        <v>0</v>
      </c>
      <c r="AO60">
        <f>SUMIF(RawDataDead!$B:$B,$A60,RawDataDead!AR:AR)</f>
        <v>0</v>
      </c>
      <c r="AP60">
        <f>SUMIF(RawDataDead!$B:$B,$A60,RawDataDead!AS:AS)</f>
        <v>0</v>
      </c>
      <c r="AQ60">
        <f>SUMIF(RawDataDead!$B:$B,$A60,RawDataDead!AT:AT)</f>
        <v>0</v>
      </c>
      <c r="AR60">
        <f>SUMIF(RawDataDead!$B:$B,$A60,RawDataDead!AU:AU)</f>
        <v>0</v>
      </c>
      <c r="AS60">
        <f>SUMIF(RawDataDead!$B:$B,$A60,RawDataDead!AV:AV)</f>
        <v>0</v>
      </c>
      <c r="AT60">
        <f>SUMIF(RawDataDead!$B:$B,$A60,RawDataDead!AW:AW)</f>
        <v>0</v>
      </c>
      <c r="AU60">
        <f>SUMIF(RawDataDead!$B:$B,$A60,RawDataDead!AX:AX)</f>
        <v>0</v>
      </c>
      <c r="AV60">
        <f>SUMIF(RawDataDead!$B:$B,$A60,RawDataDead!AY:AY)</f>
        <v>0</v>
      </c>
      <c r="AW60">
        <f>SUMIF(RawDataDead!$B:$B,$A60,RawDataDead!AZ:AZ)</f>
        <v>0</v>
      </c>
      <c r="AX60">
        <f>SUMIF(RawDataDead!$B:$B,$A60,RawDataDead!BA:BA)</f>
        <v>0</v>
      </c>
      <c r="AY60">
        <f>SUMIF(RawDataDead!$B:$B,$A60,RawDataDead!BB:BB)</f>
        <v>0</v>
      </c>
      <c r="AZ60">
        <f>SUMIF(RawDataDead!$B:$B,$A60,RawDataDead!BC:BC)</f>
        <v>0</v>
      </c>
      <c r="BA60">
        <f>SUMIF(RawDataDead!$B:$B,$A60,RawDataDead!BD:BD)</f>
        <v>0</v>
      </c>
      <c r="BB60">
        <f>SUMIF(RawDataDead!$B:$B,$A60,RawDataDead!BE:BE)</f>
        <v>0</v>
      </c>
      <c r="BC60">
        <f>SUMIF(RawDataDead!$B:$B,$A60,RawDataDead!BF:BF)</f>
        <v>0</v>
      </c>
      <c r="BD60">
        <f>SUMIF(RawDataDead!$B:$B,$A60,RawDataDead!BG:BG)</f>
        <v>0</v>
      </c>
      <c r="BE60">
        <f>SUMIF(RawDataDead!$B:$B,$A60,RawDataDead!BH:BH)</f>
        <v>0</v>
      </c>
      <c r="BF60">
        <f>SUMIF(RawDataDead!$B:$B,$A60,RawDataDead!BI:BI)</f>
        <v>0</v>
      </c>
      <c r="BG60">
        <f>SUMIF(RawDataDead!$B:$B,$A60,RawDataDead!BJ:BJ)</f>
        <v>0</v>
      </c>
      <c r="BH60">
        <f>SUMIF(RawDataDead!$B:$B,$A60,RawDataDead!BK:BK)</f>
        <v>0</v>
      </c>
      <c r="BI60">
        <f>SUMIF(RawDataDead!$B:$B,$A60,RawDataDead!BL:BL)</f>
        <v>0</v>
      </c>
      <c r="BJ60">
        <f>SUMIF(RawDataDead!$B:$B,$A60,RawDataDead!BM:BM)</f>
        <v>0</v>
      </c>
      <c r="BK60">
        <f>SUMIF(RawDataDead!$B:$B,$A60,RawDataDead!BN:BN)</f>
        <v>0</v>
      </c>
      <c r="BL60">
        <f>SUMIF(RawDataDead!$B:$B,$A60,RawDataDead!BO:BO)</f>
        <v>0</v>
      </c>
      <c r="BM60">
        <f>SUMIF(RawDataDead!$B:$B,$A60,RawDataDead!BP:BP)</f>
        <v>0</v>
      </c>
      <c r="BN60">
        <f>SUMIF(RawDataDead!$B:$B,$A60,RawDataDead!BQ:BQ)</f>
        <v>0</v>
      </c>
      <c r="BO60">
        <f>SUMIF(RawDataDead!$B:$B,$A60,RawDataDead!BR:BR)</f>
        <v>0</v>
      </c>
      <c r="BP60">
        <f>SUMIF(RawDataDead!$B:$B,$A60,RawDataDead!BS:BS)</f>
        <v>0</v>
      </c>
      <c r="BQ60">
        <f>SUMIF(RawDataDead!$B:$B,$A60,RawDataDead!BT:BT)</f>
        <v>0</v>
      </c>
      <c r="BR60">
        <f>SUMIF(RawDataDead!$B:$B,$A60,RawDataDead!BU:BU)</f>
        <v>0</v>
      </c>
      <c r="BS60">
        <f>SUMIF(RawDataDead!$B:$B,$A60,RawDataDead!BV:BV)</f>
        <v>0</v>
      </c>
      <c r="BT60">
        <f>SUMIF(RawDataDead!$B:$B,$A60,RawDataDead!BW:BW)</f>
        <v>0</v>
      </c>
    </row>
    <row r="61" spans="1:72" ht="15" thickBot="1" x14ac:dyDescent="0.35">
      <c r="A61" s="4" t="s">
        <v>187</v>
      </c>
      <c r="B61">
        <f>SUMIF(RawDataDead!$B:$B,$A61,RawDataDead!E:E)</f>
        <v>0</v>
      </c>
      <c r="C61">
        <f>SUMIF(RawDataDead!$B:$B,$A61,RawDataDead!F:F)</f>
        <v>0</v>
      </c>
      <c r="D61">
        <f>SUMIF(RawDataDead!$B:$B,$A61,RawDataDead!G:G)</f>
        <v>0</v>
      </c>
      <c r="E61">
        <f>SUMIF(RawDataDead!$B:$B,$A61,RawDataDead!H:H)</f>
        <v>0</v>
      </c>
      <c r="F61">
        <f>SUMIF(RawDataDead!$B:$B,$A61,RawDataDead!I:I)</f>
        <v>0</v>
      </c>
      <c r="G61">
        <f>SUMIF(RawDataDead!$B:$B,$A61,RawDataDead!J:J)</f>
        <v>0</v>
      </c>
      <c r="H61">
        <f>SUMIF(RawDataDead!$B:$B,$A61,RawDataDead!K:K)</f>
        <v>0</v>
      </c>
      <c r="I61">
        <f>SUMIF(RawDataDead!$B:$B,$A61,RawDataDead!L:L)</f>
        <v>0</v>
      </c>
      <c r="J61">
        <f>SUMIF(RawDataDead!$B:$B,$A61,RawDataDead!M:M)</f>
        <v>0</v>
      </c>
      <c r="K61">
        <f>SUMIF(RawDataDead!$B:$B,$A61,RawDataDead!N:N)</f>
        <v>0</v>
      </c>
      <c r="L61">
        <f>SUMIF(RawDataDead!$B:$B,$A61,RawDataDead!O:O)</f>
        <v>0</v>
      </c>
      <c r="M61">
        <f>SUMIF(RawDataDead!$B:$B,$A61,RawDataDead!P:P)</f>
        <v>0</v>
      </c>
      <c r="N61">
        <f>SUMIF(RawDataDead!$B:$B,$A61,RawDataDead!Q:Q)</f>
        <v>0</v>
      </c>
      <c r="O61">
        <f>SUMIF(RawDataDead!$B:$B,$A61,RawDataDead!R:R)</f>
        <v>0</v>
      </c>
      <c r="P61">
        <f>SUMIF(RawDataDead!$B:$B,$A61,RawDataDead!S:S)</f>
        <v>0</v>
      </c>
      <c r="Q61">
        <f>SUMIF(RawDataDead!$B:$B,$A61,RawDataDead!T:T)</f>
        <v>0</v>
      </c>
      <c r="R61">
        <f>SUMIF(RawDataDead!$B:$B,$A61,RawDataDead!U:U)</f>
        <v>0</v>
      </c>
      <c r="S61">
        <f>SUMIF(RawDataDead!$B:$B,$A61,RawDataDead!V:V)</f>
        <v>0</v>
      </c>
      <c r="T61">
        <f>SUMIF(RawDataDead!$B:$B,$A61,RawDataDead!W:W)</f>
        <v>0</v>
      </c>
      <c r="U61">
        <f>SUMIF(RawDataDead!$B:$B,$A61,RawDataDead!X:X)</f>
        <v>0</v>
      </c>
      <c r="V61">
        <f>SUMIF(RawDataDead!$B:$B,$A61,RawDataDead!Y:Y)</f>
        <v>0</v>
      </c>
      <c r="W61">
        <f>SUMIF(RawDataDead!$B:$B,$A61,RawDataDead!Z:Z)</f>
        <v>0</v>
      </c>
      <c r="X61">
        <f>SUMIF(RawDataDead!$B:$B,$A61,RawDataDead!AA:AA)</f>
        <v>0</v>
      </c>
      <c r="Y61">
        <f>SUMIF(RawDataDead!$B:$B,$A61,RawDataDead!AB:AB)</f>
        <v>0</v>
      </c>
      <c r="Z61">
        <f>SUMIF(RawDataDead!$B:$B,$A61,RawDataDead!AC:AC)</f>
        <v>0</v>
      </c>
      <c r="AA61">
        <f>SUMIF(RawDataDead!$B:$B,$A61,RawDataDead!AD:AD)</f>
        <v>0</v>
      </c>
      <c r="AB61">
        <f>SUMIF(RawDataDead!$B:$B,$A61,RawDataDead!AE:AE)</f>
        <v>0</v>
      </c>
      <c r="AC61">
        <f>SUMIF(RawDataDead!$B:$B,$A61,RawDataDead!AF:AF)</f>
        <v>0</v>
      </c>
      <c r="AD61">
        <f>SUMIF(RawDataDead!$B:$B,$A61,RawDataDead!AG:AG)</f>
        <v>0</v>
      </c>
      <c r="AE61">
        <f>SUMIF(RawDataDead!$B:$B,$A61,RawDataDead!AH:AH)</f>
        <v>0</v>
      </c>
      <c r="AF61">
        <f>SUMIF(RawDataDead!$B:$B,$A61,RawDataDead!AI:AI)</f>
        <v>0</v>
      </c>
      <c r="AG61">
        <f>SUMIF(RawDataDead!$B:$B,$A61,RawDataDead!AJ:AJ)</f>
        <v>0</v>
      </c>
      <c r="AH61">
        <f>SUMIF(RawDataDead!$B:$B,$A61,RawDataDead!AK:AK)</f>
        <v>0</v>
      </c>
      <c r="AI61">
        <f>SUMIF(RawDataDead!$B:$B,$A61,RawDataDead!AL:AL)</f>
        <v>0</v>
      </c>
      <c r="AJ61">
        <f>SUMIF(RawDataDead!$B:$B,$A61,RawDataDead!AM:AM)</f>
        <v>0</v>
      </c>
      <c r="AK61">
        <f>SUMIF(RawDataDead!$B:$B,$A61,RawDataDead!AN:AN)</f>
        <v>0</v>
      </c>
      <c r="AL61">
        <f>SUMIF(RawDataDead!$B:$B,$A61,RawDataDead!AO:AO)</f>
        <v>0</v>
      </c>
      <c r="AM61">
        <f>SUMIF(RawDataDead!$B:$B,$A61,RawDataDead!AP:AP)</f>
        <v>0</v>
      </c>
      <c r="AN61">
        <f>SUMIF(RawDataDead!$B:$B,$A61,RawDataDead!AQ:AQ)</f>
        <v>0</v>
      </c>
      <c r="AO61">
        <f>SUMIF(RawDataDead!$B:$B,$A61,RawDataDead!AR:AR)</f>
        <v>0</v>
      </c>
      <c r="AP61">
        <f>SUMIF(RawDataDead!$B:$B,$A61,RawDataDead!AS:AS)</f>
        <v>0</v>
      </c>
      <c r="AQ61">
        <f>SUMIF(RawDataDead!$B:$B,$A61,RawDataDead!AT:AT)</f>
        <v>0</v>
      </c>
      <c r="AR61">
        <f>SUMIF(RawDataDead!$B:$B,$A61,RawDataDead!AU:AU)</f>
        <v>0</v>
      </c>
      <c r="AS61">
        <f>SUMIF(RawDataDead!$B:$B,$A61,RawDataDead!AV:AV)</f>
        <v>0</v>
      </c>
      <c r="AT61">
        <f>SUMIF(RawDataDead!$B:$B,$A61,RawDataDead!AW:AW)</f>
        <v>0</v>
      </c>
      <c r="AU61">
        <f>SUMIF(RawDataDead!$B:$B,$A61,RawDataDead!AX:AX)</f>
        <v>0</v>
      </c>
      <c r="AV61">
        <f>SUMIF(RawDataDead!$B:$B,$A61,RawDataDead!AY:AY)</f>
        <v>0</v>
      </c>
      <c r="AW61">
        <f>SUMIF(RawDataDead!$B:$B,$A61,RawDataDead!AZ:AZ)</f>
        <v>0</v>
      </c>
      <c r="AX61">
        <f>SUMIF(RawDataDead!$B:$B,$A61,RawDataDead!BA:BA)</f>
        <v>0</v>
      </c>
      <c r="AY61">
        <f>SUMIF(RawDataDead!$B:$B,$A61,RawDataDead!BB:BB)</f>
        <v>0</v>
      </c>
      <c r="AZ61">
        <f>SUMIF(RawDataDead!$B:$B,$A61,RawDataDead!BC:BC)</f>
        <v>0</v>
      </c>
      <c r="BA61">
        <f>SUMIF(RawDataDead!$B:$B,$A61,RawDataDead!BD:BD)</f>
        <v>0</v>
      </c>
      <c r="BB61">
        <f>SUMIF(RawDataDead!$B:$B,$A61,RawDataDead!BE:BE)</f>
        <v>0</v>
      </c>
      <c r="BC61">
        <f>SUMIF(RawDataDead!$B:$B,$A61,RawDataDead!BF:BF)</f>
        <v>0</v>
      </c>
      <c r="BD61">
        <f>SUMIF(RawDataDead!$B:$B,$A61,RawDataDead!BG:BG)</f>
        <v>0</v>
      </c>
      <c r="BE61">
        <f>SUMIF(RawDataDead!$B:$B,$A61,RawDataDead!BH:BH)</f>
        <v>0</v>
      </c>
      <c r="BF61">
        <f>SUMIF(RawDataDead!$B:$B,$A61,RawDataDead!BI:BI)</f>
        <v>0</v>
      </c>
      <c r="BG61">
        <f>SUMIF(RawDataDead!$B:$B,$A61,RawDataDead!BJ:BJ)</f>
        <v>0</v>
      </c>
      <c r="BH61">
        <f>SUMIF(RawDataDead!$B:$B,$A61,RawDataDead!BK:BK)</f>
        <v>0</v>
      </c>
      <c r="BI61">
        <f>SUMIF(RawDataDead!$B:$B,$A61,RawDataDead!BL:BL)</f>
        <v>0</v>
      </c>
      <c r="BJ61">
        <f>SUMIF(RawDataDead!$B:$B,$A61,RawDataDead!BM:BM)</f>
        <v>0</v>
      </c>
      <c r="BK61">
        <f>SUMIF(RawDataDead!$B:$B,$A61,RawDataDead!BN:BN)</f>
        <v>0</v>
      </c>
      <c r="BL61">
        <f>SUMIF(RawDataDead!$B:$B,$A61,RawDataDead!BO:BO)</f>
        <v>0</v>
      </c>
      <c r="BM61">
        <f>SUMIF(RawDataDead!$B:$B,$A61,RawDataDead!BP:BP)</f>
        <v>0</v>
      </c>
      <c r="BN61">
        <f>SUMIF(RawDataDead!$B:$B,$A61,RawDataDead!BQ:BQ)</f>
        <v>0</v>
      </c>
      <c r="BO61">
        <f>SUMIF(RawDataDead!$B:$B,$A61,RawDataDead!BR:BR)</f>
        <v>0</v>
      </c>
      <c r="BP61">
        <f>SUMIF(RawDataDead!$B:$B,$A61,RawDataDead!BS:BS)</f>
        <v>0</v>
      </c>
      <c r="BQ61">
        <f>SUMIF(RawDataDead!$B:$B,$A61,RawDataDead!BT:BT)</f>
        <v>0</v>
      </c>
      <c r="BR61">
        <f>SUMIF(RawDataDead!$B:$B,$A61,RawDataDead!BU:BU)</f>
        <v>0</v>
      </c>
      <c r="BS61">
        <f>SUMIF(RawDataDead!$B:$B,$A61,RawDataDead!BV:BV)</f>
        <v>0</v>
      </c>
      <c r="BT61">
        <f>SUMIF(RawDataDead!$B:$B,$A61,RawDataDead!BW:BW)</f>
        <v>0</v>
      </c>
    </row>
    <row r="62" spans="1:72" ht="15" thickBot="1" x14ac:dyDescent="0.35">
      <c r="A62" s="3" t="s">
        <v>118</v>
      </c>
      <c r="B62">
        <f>SUMIF(RawDataDead!$B:$B,$A62,RawDataDead!E:E)</f>
        <v>0</v>
      </c>
      <c r="C62">
        <f>SUMIF(RawDataDead!$B:$B,$A62,RawDataDead!F:F)</f>
        <v>0</v>
      </c>
      <c r="D62">
        <f>SUMIF(RawDataDead!$B:$B,$A62,RawDataDead!G:G)</f>
        <v>0</v>
      </c>
      <c r="E62">
        <f>SUMIF(RawDataDead!$B:$B,$A62,RawDataDead!H:H)</f>
        <v>0</v>
      </c>
      <c r="F62">
        <f>SUMIF(RawDataDead!$B:$B,$A62,RawDataDead!I:I)</f>
        <v>0</v>
      </c>
      <c r="G62">
        <f>SUMIF(RawDataDead!$B:$B,$A62,RawDataDead!J:J)</f>
        <v>0</v>
      </c>
      <c r="H62">
        <f>SUMIF(RawDataDead!$B:$B,$A62,RawDataDead!K:K)</f>
        <v>0</v>
      </c>
      <c r="I62">
        <f>SUMIF(RawDataDead!$B:$B,$A62,RawDataDead!L:L)</f>
        <v>0</v>
      </c>
      <c r="J62">
        <f>SUMIF(RawDataDead!$B:$B,$A62,RawDataDead!M:M)</f>
        <v>0</v>
      </c>
      <c r="K62">
        <f>SUMIF(RawDataDead!$B:$B,$A62,RawDataDead!N:N)</f>
        <v>0</v>
      </c>
      <c r="L62">
        <f>SUMIF(RawDataDead!$B:$B,$A62,RawDataDead!O:O)</f>
        <v>0</v>
      </c>
      <c r="M62">
        <f>SUMIF(RawDataDead!$B:$B,$A62,RawDataDead!P:P)</f>
        <v>0</v>
      </c>
      <c r="N62">
        <f>SUMIF(RawDataDead!$B:$B,$A62,RawDataDead!Q:Q)</f>
        <v>0</v>
      </c>
      <c r="O62">
        <f>SUMIF(RawDataDead!$B:$B,$A62,RawDataDead!R:R)</f>
        <v>0</v>
      </c>
      <c r="P62">
        <f>SUMIF(RawDataDead!$B:$B,$A62,RawDataDead!S:S)</f>
        <v>0</v>
      </c>
      <c r="Q62">
        <f>SUMIF(RawDataDead!$B:$B,$A62,RawDataDead!T:T)</f>
        <v>0</v>
      </c>
      <c r="R62">
        <f>SUMIF(RawDataDead!$B:$B,$A62,RawDataDead!U:U)</f>
        <v>0</v>
      </c>
      <c r="S62">
        <f>SUMIF(RawDataDead!$B:$B,$A62,RawDataDead!V:V)</f>
        <v>0</v>
      </c>
      <c r="T62">
        <f>SUMIF(RawDataDead!$B:$B,$A62,RawDataDead!W:W)</f>
        <v>0</v>
      </c>
      <c r="U62">
        <f>SUMIF(RawDataDead!$B:$B,$A62,RawDataDead!X:X)</f>
        <v>0</v>
      </c>
      <c r="V62">
        <f>SUMIF(RawDataDead!$B:$B,$A62,RawDataDead!Y:Y)</f>
        <v>0</v>
      </c>
      <c r="W62">
        <f>SUMIF(RawDataDead!$B:$B,$A62,RawDataDead!Z:Z)</f>
        <v>0</v>
      </c>
      <c r="X62">
        <f>SUMIF(RawDataDead!$B:$B,$A62,RawDataDead!AA:AA)</f>
        <v>0</v>
      </c>
      <c r="Y62">
        <f>SUMIF(RawDataDead!$B:$B,$A62,RawDataDead!AB:AB)</f>
        <v>0</v>
      </c>
      <c r="Z62">
        <f>SUMIF(RawDataDead!$B:$B,$A62,RawDataDead!AC:AC)</f>
        <v>0</v>
      </c>
      <c r="AA62">
        <f>SUMIF(RawDataDead!$B:$B,$A62,RawDataDead!AD:AD)</f>
        <v>0</v>
      </c>
      <c r="AB62">
        <f>SUMIF(RawDataDead!$B:$B,$A62,RawDataDead!AE:AE)</f>
        <v>0</v>
      </c>
      <c r="AC62">
        <f>SUMIF(RawDataDead!$B:$B,$A62,RawDataDead!AF:AF)</f>
        <v>0</v>
      </c>
      <c r="AD62">
        <f>SUMIF(RawDataDead!$B:$B,$A62,RawDataDead!AG:AG)</f>
        <v>0</v>
      </c>
      <c r="AE62">
        <f>SUMIF(RawDataDead!$B:$B,$A62,RawDataDead!AH:AH)</f>
        <v>0</v>
      </c>
      <c r="AF62">
        <f>SUMIF(RawDataDead!$B:$B,$A62,RawDataDead!AI:AI)</f>
        <v>0</v>
      </c>
      <c r="AG62">
        <f>SUMIF(RawDataDead!$B:$B,$A62,RawDataDead!AJ:AJ)</f>
        <v>0</v>
      </c>
      <c r="AH62">
        <f>SUMIF(RawDataDead!$B:$B,$A62,RawDataDead!AK:AK)</f>
        <v>0</v>
      </c>
      <c r="AI62">
        <f>SUMIF(RawDataDead!$B:$B,$A62,RawDataDead!AL:AL)</f>
        <v>0</v>
      </c>
      <c r="AJ62">
        <f>SUMIF(RawDataDead!$B:$B,$A62,RawDataDead!AM:AM)</f>
        <v>0</v>
      </c>
      <c r="AK62">
        <f>SUMIF(RawDataDead!$B:$B,$A62,RawDataDead!AN:AN)</f>
        <v>0</v>
      </c>
      <c r="AL62">
        <f>SUMIF(RawDataDead!$B:$B,$A62,RawDataDead!AO:AO)</f>
        <v>0</v>
      </c>
      <c r="AM62">
        <f>SUMIF(RawDataDead!$B:$B,$A62,RawDataDead!AP:AP)</f>
        <v>0</v>
      </c>
      <c r="AN62">
        <f>SUMIF(RawDataDead!$B:$B,$A62,RawDataDead!AQ:AQ)</f>
        <v>0</v>
      </c>
      <c r="AO62">
        <f>SUMIF(RawDataDead!$B:$B,$A62,RawDataDead!AR:AR)</f>
        <v>0</v>
      </c>
      <c r="AP62">
        <f>SUMIF(RawDataDead!$B:$B,$A62,RawDataDead!AS:AS)</f>
        <v>0</v>
      </c>
      <c r="AQ62">
        <f>SUMIF(RawDataDead!$B:$B,$A62,RawDataDead!AT:AT)</f>
        <v>0</v>
      </c>
      <c r="AR62">
        <f>SUMIF(RawDataDead!$B:$B,$A62,RawDataDead!AU:AU)</f>
        <v>0</v>
      </c>
      <c r="AS62">
        <f>SUMIF(RawDataDead!$B:$B,$A62,RawDataDead!AV:AV)</f>
        <v>0</v>
      </c>
      <c r="AT62">
        <f>SUMIF(RawDataDead!$B:$B,$A62,RawDataDead!AW:AW)</f>
        <v>0</v>
      </c>
      <c r="AU62">
        <f>SUMIF(RawDataDead!$B:$B,$A62,RawDataDead!AX:AX)</f>
        <v>0</v>
      </c>
      <c r="AV62">
        <f>SUMIF(RawDataDead!$B:$B,$A62,RawDataDead!AY:AY)</f>
        <v>0</v>
      </c>
      <c r="AW62">
        <f>SUMIF(RawDataDead!$B:$B,$A62,RawDataDead!AZ:AZ)</f>
        <v>0</v>
      </c>
      <c r="AX62">
        <f>SUMIF(RawDataDead!$B:$B,$A62,RawDataDead!BA:BA)</f>
        <v>0</v>
      </c>
      <c r="AY62">
        <f>SUMIF(RawDataDead!$B:$B,$A62,RawDataDead!BB:BB)</f>
        <v>0</v>
      </c>
      <c r="AZ62">
        <f>SUMIF(RawDataDead!$B:$B,$A62,RawDataDead!BC:BC)</f>
        <v>0</v>
      </c>
      <c r="BA62">
        <f>SUMIF(RawDataDead!$B:$B,$A62,RawDataDead!BD:BD)</f>
        <v>0</v>
      </c>
      <c r="BB62">
        <f>SUMIF(RawDataDead!$B:$B,$A62,RawDataDead!BE:BE)</f>
        <v>0</v>
      </c>
      <c r="BC62">
        <f>SUMIF(RawDataDead!$B:$B,$A62,RawDataDead!BF:BF)</f>
        <v>0</v>
      </c>
      <c r="BD62">
        <f>SUMIF(RawDataDead!$B:$B,$A62,RawDataDead!BG:BG)</f>
        <v>0</v>
      </c>
      <c r="BE62">
        <f>SUMIF(RawDataDead!$B:$B,$A62,RawDataDead!BH:BH)</f>
        <v>0</v>
      </c>
      <c r="BF62">
        <f>SUMIF(RawDataDead!$B:$B,$A62,RawDataDead!BI:BI)</f>
        <v>0</v>
      </c>
      <c r="BG62">
        <f>SUMIF(RawDataDead!$B:$B,$A62,RawDataDead!BJ:BJ)</f>
        <v>0</v>
      </c>
      <c r="BH62">
        <f>SUMIF(RawDataDead!$B:$B,$A62,RawDataDead!BK:BK)</f>
        <v>0</v>
      </c>
      <c r="BI62">
        <f>SUMIF(RawDataDead!$B:$B,$A62,RawDataDead!BL:BL)</f>
        <v>0</v>
      </c>
      <c r="BJ62">
        <f>SUMIF(RawDataDead!$B:$B,$A62,RawDataDead!BM:BM)</f>
        <v>0</v>
      </c>
      <c r="BK62">
        <f>SUMIF(RawDataDead!$B:$B,$A62,RawDataDead!BN:BN)</f>
        <v>0</v>
      </c>
      <c r="BL62">
        <f>SUMIF(RawDataDead!$B:$B,$A62,RawDataDead!BO:BO)</f>
        <v>0</v>
      </c>
      <c r="BM62">
        <f>SUMIF(RawDataDead!$B:$B,$A62,RawDataDead!BP:BP)</f>
        <v>0</v>
      </c>
      <c r="BN62">
        <f>SUMIF(RawDataDead!$B:$B,$A62,RawDataDead!BQ:BQ)</f>
        <v>0</v>
      </c>
      <c r="BO62">
        <f>SUMIF(RawDataDead!$B:$B,$A62,RawDataDead!BR:BR)</f>
        <v>0</v>
      </c>
      <c r="BP62">
        <f>SUMIF(RawDataDead!$B:$B,$A62,RawDataDead!BS:BS)</f>
        <v>0</v>
      </c>
      <c r="BQ62">
        <f>SUMIF(RawDataDead!$B:$B,$A62,RawDataDead!BT:BT)</f>
        <v>0</v>
      </c>
      <c r="BR62">
        <f>SUMIF(RawDataDead!$B:$B,$A62,RawDataDead!BU:BU)</f>
        <v>0</v>
      </c>
      <c r="BS62">
        <f>SUMIF(RawDataDead!$B:$B,$A62,RawDataDead!BV:BV)</f>
        <v>0</v>
      </c>
      <c r="BT62">
        <f>SUMIF(RawDataDead!$B:$B,$A62,RawDataDead!BW:BW)</f>
        <v>0</v>
      </c>
    </row>
    <row r="63" spans="1:72" ht="15" thickBot="1" x14ac:dyDescent="0.35">
      <c r="A63" s="3" t="s">
        <v>310</v>
      </c>
      <c r="B63">
        <f>SUMIF(RawDataDead!$B:$B,$A63,RawDataDead!E:E)</f>
        <v>0</v>
      </c>
      <c r="C63">
        <f>SUMIF(RawDataDead!$B:$B,$A63,RawDataDead!F:F)</f>
        <v>0</v>
      </c>
      <c r="D63">
        <f>SUMIF(RawDataDead!$B:$B,$A63,RawDataDead!G:G)</f>
        <v>0</v>
      </c>
      <c r="E63">
        <f>SUMIF(RawDataDead!$B:$B,$A63,RawDataDead!H:H)</f>
        <v>0</v>
      </c>
      <c r="F63">
        <f>SUMIF(RawDataDead!$B:$B,$A63,RawDataDead!I:I)</f>
        <v>0</v>
      </c>
      <c r="G63">
        <f>SUMIF(RawDataDead!$B:$B,$A63,RawDataDead!J:J)</f>
        <v>0</v>
      </c>
      <c r="H63">
        <f>SUMIF(RawDataDead!$B:$B,$A63,RawDataDead!K:K)</f>
        <v>0</v>
      </c>
      <c r="I63">
        <f>SUMIF(RawDataDead!$B:$B,$A63,RawDataDead!L:L)</f>
        <v>0</v>
      </c>
      <c r="J63">
        <f>SUMIF(RawDataDead!$B:$B,$A63,RawDataDead!M:M)</f>
        <v>0</v>
      </c>
      <c r="K63">
        <f>SUMIF(RawDataDead!$B:$B,$A63,RawDataDead!N:N)</f>
        <v>0</v>
      </c>
      <c r="L63">
        <f>SUMIF(RawDataDead!$B:$B,$A63,RawDataDead!O:O)</f>
        <v>0</v>
      </c>
      <c r="M63">
        <f>SUMIF(RawDataDead!$B:$B,$A63,RawDataDead!P:P)</f>
        <v>0</v>
      </c>
      <c r="N63">
        <f>SUMIF(RawDataDead!$B:$B,$A63,RawDataDead!Q:Q)</f>
        <v>0</v>
      </c>
      <c r="O63">
        <f>SUMIF(RawDataDead!$B:$B,$A63,RawDataDead!R:R)</f>
        <v>0</v>
      </c>
      <c r="P63">
        <f>SUMIF(RawDataDead!$B:$B,$A63,RawDataDead!S:S)</f>
        <v>0</v>
      </c>
      <c r="Q63">
        <f>SUMIF(RawDataDead!$B:$B,$A63,RawDataDead!T:T)</f>
        <v>0</v>
      </c>
      <c r="R63">
        <f>SUMIF(RawDataDead!$B:$B,$A63,RawDataDead!U:U)</f>
        <v>0</v>
      </c>
      <c r="S63">
        <f>SUMIF(RawDataDead!$B:$B,$A63,RawDataDead!V:V)</f>
        <v>0</v>
      </c>
      <c r="T63">
        <f>SUMIF(RawDataDead!$B:$B,$A63,RawDataDead!W:W)</f>
        <v>0</v>
      </c>
      <c r="U63">
        <f>SUMIF(RawDataDead!$B:$B,$A63,RawDataDead!X:X)</f>
        <v>0</v>
      </c>
      <c r="V63">
        <f>SUMIF(RawDataDead!$B:$B,$A63,RawDataDead!Y:Y)</f>
        <v>0</v>
      </c>
      <c r="W63">
        <f>SUMIF(RawDataDead!$B:$B,$A63,RawDataDead!Z:Z)</f>
        <v>0</v>
      </c>
      <c r="X63">
        <f>SUMIF(RawDataDead!$B:$B,$A63,RawDataDead!AA:AA)</f>
        <v>0</v>
      </c>
      <c r="Y63">
        <f>SUMIF(RawDataDead!$B:$B,$A63,RawDataDead!AB:AB)</f>
        <v>0</v>
      </c>
      <c r="Z63">
        <f>SUMIF(RawDataDead!$B:$B,$A63,RawDataDead!AC:AC)</f>
        <v>0</v>
      </c>
      <c r="AA63">
        <f>SUMIF(RawDataDead!$B:$B,$A63,RawDataDead!AD:AD)</f>
        <v>0</v>
      </c>
      <c r="AB63">
        <f>SUMIF(RawDataDead!$B:$B,$A63,RawDataDead!AE:AE)</f>
        <v>0</v>
      </c>
      <c r="AC63">
        <f>SUMIF(RawDataDead!$B:$B,$A63,RawDataDead!AF:AF)</f>
        <v>0</v>
      </c>
      <c r="AD63">
        <f>SUMIF(RawDataDead!$B:$B,$A63,RawDataDead!AG:AG)</f>
        <v>0</v>
      </c>
      <c r="AE63">
        <f>SUMIF(RawDataDead!$B:$B,$A63,RawDataDead!AH:AH)</f>
        <v>0</v>
      </c>
      <c r="AF63">
        <f>SUMIF(RawDataDead!$B:$B,$A63,RawDataDead!AI:AI)</f>
        <v>0</v>
      </c>
      <c r="AG63">
        <f>SUMIF(RawDataDead!$B:$B,$A63,RawDataDead!AJ:AJ)</f>
        <v>0</v>
      </c>
      <c r="AH63">
        <f>SUMIF(RawDataDead!$B:$B,$A63,RawDataDead!AK:AK)</f>
        <v>0</v>
      </c>
      <c r="AI63">
        <f>SUMIF(RawDataDead!$B:$B,$A63,RawDataDead!AL:AL)</f>
        <v>0</v>
      </c>
      <c r="AJ63">
        <f>SUMIF(RawDataDead!$B:$B,$A63,RawDataDead!AM:AM)</f>
        <v>0</v>
      </c>
      <c r="AK63">
        <f>SUMIF(RawDataDead!$B:$B,$A63,RawDataDead!AN:AN)</f>
        <v>0</v>
      </c>
      <c r="AL63">
        <f>SUMIF(RawDataDead!$B:$B,$A63,RawDataDead!AO:AO)</f>
        <v>0</v>
      </c>
      <c r="AM63">
        <f>SUMIF(RawDataDead!$B:$B,$A63,RawDataDead!AP:AP)</f>
        <v>0</v>
      </c>
      <c r="AN63">
        <f>SUMIF(RawDataDead!$B:$B,$A63,RawDataDead!AQ:AQ)</f>
        <v>0</v>
      </c>
      <c r="AO63">
        <f>SUMIF(RawDataDead!$B:$B,$A63,RawDataDead!AR:AR)</f>
        <v>0</v>
      </c>
      <c r="AP63">
        <f>SUMIF(RawDataDead!$B:$B,$A63,RawDataDead!AS:AS)</f>
        <v>0</v>
      </c>
      <c r="AQ63">
        <f>SUMIF(RawDataDead!$B:$B,$A63,RawDataDead!AT:AT)</f>
        <v>0</v>
      </c>
      <c r="AR63">
        <f>SUMIF(RawDataDead!$B:$B,$A63,RawDataDead!AU:AU)</f>
        <v>0</v>
      </c>
      <c r="AS63">
        <f>SUMIF(RawDataDead!$B:$B,$A63,RawDataDead!AV:AV)</f>
        <v>0</v>
      </c>
      <c r="AT63">
        <f>SUMIF(RawDataDead!$B:$B,$A63,RawDataDead!AW:AW)</f>
        <v>0</v>
      </c>
      <c r="AU63">
        <f>SUMIF(RawDataDead!$B:$B,$A63,RawDataDead!AX:AX)</f>
        <v>0</v>
      </c>
      <c r="AV63">
        <f>SUMIF(RawDataDead!$B:$B,$A63,RawDataDead!AY:AY)</f>
        <v>0</v>
      </c>
      <c r="AW63">
        <f>SUMIF(RawDataDead!$B:$B,$A63,RawDataDead!AZ:AZ)</f>
        <v>0</v>
      </c>
      <c r="AX63">
        <f>SUMIF(RawDataDead!$B:$B,$A63,RawDataDead!BA:BA)</f>
        <v>0</v>
      </c>
      <c r="AY63">
        <f>SUMIF(RawDataDead!$B:$B,$A63,RawDataDead!BB:BB)</f>
        <v>1</v>
      </c>
      <c r="AZ63">
        <f>SUMIF(RawDataDead!$B:$B,$A63,RawDataDead!BC:BC)</f>
        <v>1</v>
      </c>
      <c r="BA63">
        <f>SUMIF(RawDataDead!$B:$B,$A63,RawDataDead!BD:BD)</f>
        <v>1</v>
      </c>
      <c r="BB63">
        <f>SUMIF(RawDataDead!$B:$B,$A63,RawDataDead!BE:BE)</f>
        <v>1</v>
      </c>
      <c r="BC63">
        <f>SUMIF(RawDataDead!$B:$B,$A63,RawDataDead!BF:BF)</f>
        <v>1</v>
      </c>
      <c r="BD63">
        <f>SUMIF(RawDataDead!$B:$B,$A63,RawDataDead!BG:BG)</f>
        <v>1</v>
      </c>
      <c r="BE63">
        <f>SUMIF(RawDataDead!$B:$B,$A63,RawDataDead!BH:BH)</f>
        <v>1</v>
      </c>
      <c r="BF63">
        <f>SUMIF(RawDataDead!$B:$B,$A63,RawDataDead!BI:BI)</f>
        <v>0</v>
      </c>
      <c r="BG63">
        <f>SUMIF(RawDataDead!$B:$B,$A63,RawDataDead!BJ:BJ)</f>
        <v>0</v>
      </c>
      <c r="BH63">
        <f>SUMIF(RawDataDead!$B:$B,$A63,RawDataDead!BK:BK)</f>
        <v>0</v>
      </c>
      <c r="BI63">
        <f>SUMIF(RawDataDead!$B:$B,$A63,RawDataDead!BL:BL)</f>
        <v>0</v>
      </c>
      <c r="BJ63">
        <f>SUMIF(RawDataDead!$B:$B,$A63,RawDataDead!BM:BM)</f>
        <v>0</v>
      </c>
      <c r="BK63">
        <f>SUMIF(RawDataDead!$B:$B,$A63,RawDataDead!BN:BN)</f>
        <v>0</v>
      </c>
      <c r="BL63">
        <f>SUMIF(RawDataDead!$B:$B,$A63,RawDataDead!BO:BO)</f>
        <v>0</v>
      </c>
      <c r="BM63">
        <f>SUMIF(RawDataDead!$B:$B,$A63,RawDataDead!BP:BP)</f>
        <v>0</v>
      </c>
      <c r="BN63">
        <f>SUMIF(RawDataDead!$B:$B,$A63,RawDataDead!BQ:BQ)</f>
        <v>0</v>
      </c>
      <c r="BO63">
        <f>SUMIF(RawDataDead!$B:$B,$A63,RawDataDead!BR:BR)</f>
        <v>0</v>
      </c>
      <c r="BP63">
        <f>SUMIF(RawDataDead!$B:$B,$A63,RawDataDead!BS:BS)</f>
        <v>0</v>
      </c>
      <c r="BQ63">
        <f>SUMIF(RawDataDead!$B:$B,$A63,RawDataDead!BT:BT)</f>
        <v>0</v>
      </c>
      <c r="BR63">
        <f>SUMIF(RawDataDead!$B:$B,$A63,RawDataDead!BU:BU)</f>
        <v>0</v>
      </c>
      <c r="BS63">
        <f>SUMIF(RawDataDead!$B:$B,$A63,RawDataDead!BV:BV)</f>
        <v>0</v>
      </c>
      <c r="BT63">
        <f>SUMIF(RawDataDead!$B:$B,$A63,RawDataDead!BW:BW)</f>
        <v>0</v>
      </c>
    </row>
    <row r="64" spans="1:72" ht="15" thickBot="1" x14ac:dyDescent="0.35">
      <c r="A64" s="4" t="s">
        <v>102</v>
      </c>
      <c r="B64">
        <f>SUMIF(RawDataDead!$B:$B,$A64,RawDataDead!E:E)</f>
        <v>0</v>
      </c>
      <c r="C64">
        <f>SUMIF(RawDataDead!$B:$B,$A64,RawDataDead!F:F)</f>
        <v>0</v>
      </c>
      <c r="D64">
        <f>SUMIF(RawDataDead!$B:$B,$A64,RawDataDead!G:G)</f>
        <v>0</v>
      </c>
      <c r="E64">
        <f>SUMIF(RawDataDead!$B:$B,$A64,RawDataDead!H:H)</f>
        <v>0</v>
      </c>
      <c r="F64">
        <f>SUMIF(RawDataDead!$B:$B,$A64,RawDataDead!I:I)</f>
        <v>0</v>
      </c>
      <c r="G64">
        <f>SUMIF(RawDataDead!$B:$B,$A64,RawDataDead!J:J)</f>
        <v>0</v>
      </c>
      <c r="H64">
        <f>SUMIF(RawDataDead!$B:$B,$A64,RawDataDead!K:K)</f>
        <v>0</v>
      </c>
      <c r="I64">
        <f>SUMIF(RawDataDead!$B:$B,$A64,RawDataDead!L:L)</f>
        <v>0</v>
      </c>
      <c r="J64">
        <f>SUMIF(RawDataDead!$B:$B,$A64,RawDataDead!M:M)</f>
        <v>0</v>
      </c>
      <c r="K64">
        <f>SUMIF(RawDataDead!$B:$B,$A64,RawDataDead!N:N)</f>
        <v>0</v>
      </c>
      <c r="L64">
        <f>SUMIF(RawDataDead!$B:$B,$A64,RawDataDead!O:O)</f>
        <v>0</v>
      </c>
      <c r="M64">
        <f>SUMIF(RawDataDead!$B:$B,$A64,RawDataDead!P:P)</f>
        <v>0</v>
      </c>
      <c r="N64">
        <f>SUMIF(RawDataDead!$B:$B,$A64,RawDataDead!Q:Q)</f>
        <v>0</v>
      </c>
      <c r="O64">
        <f>SUMIF(RawDataDead!$B:$B,$A64,RawDataDead!R:R)</f>
        <v>0</v>
      </c>
      <c r="P64">
        <f>SUMIF(RawDataDead!$B:$B,$A64,RawDataDead!S:S)</f>
        <v>0</v>
      </c>
      <c r="Q64">
        <f>SUMIF(RawDataDead!$B:$B,$A64,RawDataDead!T:T)</f>
        <v>0</v>
      </c>
      <c r="R64">
        <f>SUMIF(RawDataDead!$B:$B,$A64,RawDataDead!U:U)</f>
        <v>0</v>
      </c>
      <c r="S64">
        <f>SUMIF(RawDataDead!$B:$B,$A64,RawDataDead!V:V)</f>
        <v>0</v>
      </c>
      <c r="T64">
        <f>SUMIF(RawDataDead!$B:$B,$A64,RawDataDead!W:W)</f>
        <v>0</v>
      </c>
      <c r="U64">
        <f>SUMIF(RawDataDead!$B:$B,$A64,RawDataDead!X:X)</f>
        <v>0</v>
      </c>
      <c r="V64">
        <f>SUMIF(RawDataDead!$B:$B,$A64,RawDataDead!Y:Y)</f>
        <v>0</v>
      </c>
      <c r="W64">
        <f>SUMIF(RawDataDead!$B:$B,$A64,RawDataDead!Z:Z)</f>
        <v>0</v>
      </c>
      <c r="X64">
        <f>SUMIF(RawDataDead!$B:$B,$A64,RawDataDead!AA:AA)</f>
        <v>0</v>
      </c>
      <c r="Y64">
        <f>SUMIF(RawDataDead!$B:$B,$A64,RawDataDead!AB:AB)</f>
        <v>0</v>
      </c>
      <c r="Z64">
        <f>SUMIF(RawDataDead!$B:$B,$A64,RawDataDead!AC:AC)</f>
        <v>0</v>
      </c>
      <c r="AA64">
        <f>SUMIF(RawDataDead!$B:$B,$A64,RawDataDead!AD:AD)</f>
        <v>0</v>
      </c>
      <c r="AB64">
        <f>SUMIF(RawDataDead!$B:$B,$A64,RawDataDead!AE:AE)</f>
        <v>0</v>
      </c>
      <c r="AC64">
        <f>SUMIF(RawDataDead!$B:$B,$A64,RawDataDead!AF:AF)</f>
        <v>0</v>
      </c>
      <c r="AD64">
        <f>SUMIF(RawDataDead!$B:$B,$A64,RawDataDead!AG:AG)</f>
        <v>0</v>
      </c>
      <c r="AE64">
        <f>SUMIF(RawDataDead!$B:$B,$A64,RawDataDead!AH:AH)</f>
        <v>0</v>
      </c>
      <c r="AF64">
        <f>SUMIF(RawDataDead!$B:$B,$A64,RawDataDead!AI:AI)</f>
        <v>0</v>
      </c>
      <c r="AG64">
        <f>SUMIF(RawDataDead!$B:$B,$A64,RawDataDead!AJ:AJ)</f>
        <v>0</v>
      </c>
      <c r="AH64">
        <f>SUMIF(RawDataDead!$B:$B,$A64,RawDataDead!AK:AK)</f>
        <v>0</v>
      </c>
      <c r="AI64">
        <f>SUMIF(RawDataDead!$B:$B,$A64,RawDataDead!AL:AL)</f>
        <v>0</v>
      </c>
      <c r="AJ64">
        <f>SUMIF(RawDataDead!$B:$B,$A64,RawDataDead!AM:AM)</f>
        <v>0</v>
      </c>
      <c r="AK64">
        <f>SUMIF(RawDataDead!$B:$B,$A64,RawDataDead!AN:AN)</f>
        <v>0</v>
      </c>
      <c r="AL64">
        <f>SUMIF(RawDataDead!$B:$B,$A64,RawDataDead!AO:AO)</f>
        <v>0</v>
      </c>
      <c r="AM64">
        <f>SUMIF(RawDataDead!$B:$B,$A64,RawDataDead!AP:AP)</f>
        <v>0</v>
      </c>
      <c r="AN64">
        <f>SUMIF(RawDataDead!$B:$B,$A64,RawDataDead!AQ:AQ)</f>
        <v>0</v>
      </c>
      <c r="AO64">
        <f>SUMIF(RawDataDead!$B:$B,$A64,RawDataDead!AR:AR)</f>
        <v>0</v>
      </c>
      <c r="AP64">
        <f>SUMIF(RawDataDead!$B:$B,$A64,RawDataDead!AS:AS)</f>
        <v>0</v>
      </c>
      <c r="AQ64">
        <f>SUMIF(RawDataDead!$B:$B,$A64,RawDataDead!AT:AT)</f>
        <v>0</v>
      </c>
      <c r="AR64">
        <f>SUMIF(RawDataDead!$B:$B,$A64,RawDataDead!AU:AU)</f>
        <v>0</v>
      </c>
      <c r="AS64">
        <f>SUMIF(RawDataDead!$B:$B,$A64,RawDataDead!AV:AV)</f>
        <v>0</v>
      </c>
      <c r="AT64">
        <f>SUMIF(RawDataDead!$B:$B,$A64,RawDataDead!AW:AW)</f>
        <v>0</v>
      </c>
      <c r="AU64">
        <f>SUMIF(RawDataDead!$B:$B,$A64,RawDataDead!AX:AX)</f>
        <v>0</v>
      </c>
      <c r="AV64">
        <f>SUMIF(RawDataDead!$B:$B,$A64,RawDataDead!AY:AY)</f>
        <v>0</v>
      </c>
      <c r="AW64">
        <f>SUMIF(RawDataDead!$B:$B,$A64,RawDataDead!AZ:AZ)</f>
        <v>0</v>
      </c>
      <c r="AX64">
        <f>SUMIF(RawDataDead!$B:$B,$A64,RawDataDead!BA:BA)</f>
        <v>0</v>
      </c>
      <c r="AY64">
        <f>SUMIF(RawDataDead!$B:$B,$A64,RawDataDead!BB:BB)</f>
        <v>0</v>
      </c>
      <c r="AZ64">
        <f>SUMIF(RawDataDead!$B:$B,$A64,RawDataDead!BC:BC)</f>
        <v>1</v>
      </c>
      <c r="BA64">
        <f>SUMIF(RawDataDead!$B:$B,$A64,RawDataDead!BD:BD)</f>
        <v>2</v>
      </c>
      <c r="BB64">
        <f>SUMIF(RawDataDead!$B:$B,$A64,RawDataDead!BE:BE)</f>
        <v>3</v>
      </c>
      <c r="BC64">
        <f>SUMIF(RawDataDead!$B:$B,$A64,RawDataDead!BF:BF)</f>
        <v>4</v>
      </c>
      <c r="BD64">
        <f>SUMIF(RawDataDead!$B:$B,$A64,RawDataDead!BG:BG)</f>
        <v>4</v>
      </c>
      <c r="BE64">
        <f>SUMIF(RawDataDead!$B:$B,$A64,RawDataDead!BH:BH)</f>
        <v>4</v>
      </c>
      <c r="BF64">
        <f>SUMIF(RawDataDead!$B:$B,$A64,RawDataDead!BI:BI)</f>
        <v>0</v>
      </c>
      <c r="BG64">
        <f>SUMIF(RawDataDead!$B:$B,$A64,RawDataDead!BJ:BJ)</f>
        <v>0</v>
      </c>
      <c r="BH64">
        <f>SUMIF(RawDataDead!$B:$B,$A64,RawDataDead!BK:BK)</f>
        <v>0</v>
      </c>
      <c r="BI64">
        <f>SUMIF(RawDataDead!$B:$B,$A64,RawDataDead!BL:BL)</f>
        <v>0</v>
      </c>
      <c r="BJ64">
        <f>SUMIF(RawDataDead!$B:$B,$A64,RawDataDead!BM:BM)</f>
        <v>0</v>
      </c>
      <c r="BK64">
        <f>SUMIF(RawDataDead!$B:$B,$A64,RawDataDead!BN:BN)</f>
        <v>0</v>
      </c>
      <c r="BL64">
        <f>SUMIF(RawDataDead!$B:$B,$A64,RawDataDead!BO:BO)</f>
        <v>0</v>
      </c>
      <c r="BM64">
        <f>SUMIF(RawDataDead!$B:$B,$A64,RawDataDead!BP:BP)</f>
        <v>0</v>
      </c>
      <c r="BN64">
        <f>SUMIF(RawDataDead!$B:$B,$A64,RawDataDead!BQ:BQ)</f>
        <v>0</v>
      </c>
      <c r="BO64">
        <f>SUMIF(RawDataDead!$B:$B,$A64,RawDataDead!BR:BR)</f>
        <v>0</v>
      </c>
      <c r="BP64">
        <f>SUMIF(RawDataDead!$B:$B,$A64,RawDataDead!BS:BS)</f>
        <v>0</v>
      </c>
      <c r="BQ64">
        <f>SUMIF(RawDataDead!$B:$B,$A64,RawDataDead!BT:BT)</f>
        <v>0</v>
      </c>
      <c r="BR64">
        <f>SUMIF(RawDataDead!$B:$B,$A64,RawDataDead!BU:BU)</f>
        <v>0</v>
      </c>
      <c r="BS64">
        <f>SUMIF(RawDataDead!$B:$B,$A64,RawDataDead!BV:BV)</f>
        <v>0</v>
      </c>
      <c r="BT64">
        <f>SUMIF(RawDataDead!$B:$B,$A64,RawDataDead!BW:BW)</f>
        <v>0</v>
      </c>
    </row>
    <row r="65" spans="1:72" ht="15" thickBot="1" x14ac:dyDescent="0.35">
      <c r="A65" s="3" t="s">
        <v>109</v>
      </c>
      <c r="B65">
        <f>SUMIF(RawDataDead!$B:$B,$A65,RawDataDead!E:E)</f>
        <v>0</v>
      </c>
      <c r="C65">
        <f>SUMIF(RawDataDead!$B:$B,$A65,RawDataDead!F:F)</f>
        <v>0</v>
      </c>
      <c r="D65">
        <f>SUMIF(RawDataDead!$B:$B,$A65,RawDataDead!G:G)</f>
        <v>0</v>
      </c>
      <c r="E65">
        <f>SUMIF(RawDataDead!$B:$B,$A65,RawDataDead!H:H)</f>
        <v>0</v>
      </c>
      <c r="F65">
        <f>SUMIF(RawDataDead!$B:$B,$A65,RawDataDead!I:I)</f>
        <v>0</v>
      </c>
      <c r="G65">
        <f>SUMIF(RawDataDead!$B:$B,$A65,RawDataDead!J:J)</f>
        <v>0</v>
      </c>
      <c r="H65">
        <f>SUMIF(RawDataDead!$B:$B,$A65,RawDataDead!K:K)</f>
        <v>0</v>
      </c>
      <c r="I65">
        <f>SUMIF(RawDataDead!$B:$B,$A65,RawDataDead!L:L)</f>
        <v>0</v>
      </c>
      <c r="J65">
        <f>SUMIF(RawDataDead!$B:$B,$A65,RawDataDead!M:M)</f>
        <v>0</v>
      </c>
      <c r="K65">
        <f>SUMIF(RawDataDead!$B:$B,$A65,RawDataDead!N:N)</f>
        <v>0</v>
      </c>
      <c r="L65">
        <f>SUMIF(RawDataDead!$B:$B,$A65,RawDataDead!O:O)</f>
        <v>0</v>
      </c>
      <c r="M65">
        <f>SUMIF(RawDataDead!$B:$B,$A65,RawDataDead!P:P)</f>
        <v>0</v>
      </c>
      <c r="N65">
        <f>SUMIF(RawDataDead!$B:$B,$A65,RawDataDead!Q:Q)</f>
        <v>0</v>
      </c>
      <c r="O65">
        <f>SUMIF(RawDataDead!$B:$B,$A65,RawDataDead!R:R)</f>
        <v>0</v>
      </c>
      <c r="P65">
        <f>SUMIF(RawDataDead!$B:$B,$A65,RawDataDead!S:S)</f>
        <v>0</v>
      </c>
      <c r="Q65">
        <f>SUMIF(RawDataDead!$B:$B,$A65,RawDataDead!T:T)</f>
        <v>0</v>
      </c>
      <c r="R65">
        <f>SUMIF(RawDataDead!$B:$B,$A65,RawDataDead!U:U)</f>
        <v>0</v>
      </c>
      <c r="S65">
        <f>SUMIF(RawDataDead!$B:$B,$A65,RawDataDead!V:V)</f>
        <v>0</v>
      </c>
      <c r="T65">
        <f>SUMIF(RawDataDead!$B:$B,$A65,RawDataDead!W:W)</f>
        <v>0</v>
      </c>
      <c r="U65">
        <f>SUMIF(RawDataDead!$B:$B,$A65,RawDataDead!X:X)</f>
        <v>0</v>
      </c>
      <c r="V65">
        <f>SUMIF(RawDataDead!$B:$B,$A65,RawDataDead!Y:Y)</f>
        <v>0</v>
      </c>
      <c r="W65">
        <f>SUMIF(RawDataDead!$B:$B,$A65,RawDataDead!Z:Z)</f>
        <v>0</v>
      </c>
      <c r="X65">
        <f>SUMIF(RawDataDead!$B:$B,$A65,RawDataDead!AA:AA)</f>
        <v>0</v>
      </c>
      <c r="Y65">
        <f>SUMIF(RawDataDead!$B:$B,$A65,RawDataDead!AB:AB)</f>
        <v>0</v>
      </c>
      <c r="Z65">
        <f>SUMIF(RawDataDead!$B:$B,$A65,RawDataDead!AC:AC)</f>
        <v>0</v>
      </c>
      <c r="AA65">
        <f>SUMIF(RawDataDead!$B:$B,$A65,RawDataDead!AD:AD)</f>
        <v>0</v>
      </c>
      <c r="AB65">
        <f>SUMIF(RawDataDead!$B:$B,$A65,RawDataDead!AE:AE)</f>
        <v>0</v>
      </c>
      <c r="AC65">
        <f>SUMIF(RawDataDead!$B:$B,$A65,RawDataDead!AF:AF)</f>
        <v>0</v>
      </c>
      <c r="AD65">
        <f>SUMIF(RawDataDead!$B:$B,$A65,RawDataDead!AG:AG)</f>
        <v>0</v>
      </c>
      <c r="AE65">
        <f>SUMIF(RawDataDead!$B:$B,$A65,RawDataDead!AH:AH)</f>
        <v>0</v>
      </c>
      <c r="AF65">
        <f>SUMIF(RawDataDead!$B:$B,$A65,RawDataDead!AI:AI)</f>
        <v>0</v>
      </c>
      <c r="AG65">
        <f>SUMIF(RawDataDead!$B:$B,$A65,RawDataDead!AJ:AJ)</f>
        <v>0</v>
      </c>
      <c r="AH65">
        <f>SUMIF(RawDataDead!$B:$B,$A65,RawDataDead!AK:AK)</f>
        <v>0</v>
      </c>
      <c r="AI65">
        <f>SUMIF(RawDataDead!$B:$B,$A65,RawDataDead!AL:AL)</f>
        <v>0</v>
      </c>
      <c r="AJ65">
        <f>SUMIF(RawDataDead!$B:$B,$A65,RawDataDead!AM:AM)</f>
        <v>0</v>
      </c>
      <c r="AK65">
        <f>SUMIF(RawDataDead!$B:$B,$A65,RawDataDead!AN:AN)</f>
        <v>0</v>
      </c>
      <c r="AL65">
        <f>SUMIF(RawDataDead!$B:$B,$A65,RawDataDead!AO:AO)</f>
        <v>0</v>
      </c>
      <c r="AM65">
        <f>SUMIF(RawDataDead!$B:$B,$A65,RawDataDead!AP:AP)</f>
        <v>0</v>
      </c>
      <c r="AN65">
        <f>SUMIF(RawDataDead!$B:$B,$A65,RawDataDead!AQ:AQ)</f>
        <v>0</v>
      </c>
      <c r="AO65">
        <f>SUMIF(RawDataDead!$B:$B,$A65,RawDataDead!AR:AR)</f>
        <v>0</v>
      </c>
      <c r="AP65">
        <f>SUMIF(RawDataDead!$B:$B,$A65,RawDataDead!AS:AS)</f>
        <v>0</v>
      </c>
      <c r="AQ65">
        <f>SUMIF(RawDataDead!$B:$B,$A65,RawDataDead!AT:AT)</f>
        <v>0</v>
      </c>
      <c r="AR65">
        <f>SUMIF(RawDataDead!$B:$B,$A65,RawDataDead!AU:AU)</f>
        <v>0</v>
      </c>
      <c r="AS65">
        <f>SUMIF(RawDataDead!$B:$B,$A65,RawDataDead!AV:AV)</f>
        <v>0</v>
      </c>
      <c r="AT65">
        <f>SUMIF(RawDataDead!$B:$B,$A65,RawDataDead!AW:AW)</f>
        <v>0</v>
      </c>
      <c r="AU65">
        <f>SUMIF(RawDataDead!$B:$B,$A65,RawDataDead!AX:AX)</f>
        <v>0</v>
      </c>
      <c r="AV65">
        <f>SUMIF(RawDataDead!$B:$B,$A65,RawDataDead!AY:AY)</f>
        <v>0</v>
      </c>
      <c r="AW65">
        <f>SUMIF(RawDataDead!$B:$B,$A65,RawDataDead!AZ:AZ)</f>
        <v>0</v>
      </c>
      <c r="AX65">
        <f>SUMIF(RawDataDead!$B:$B,$A65,RawDataDead!BA:BA)</f>
        <v>0</v>
      </c>
      <c r="AY65">
        <f>SUMIF(RawDataDead!$B:$B,$A65,RawDataDead!BB:BB)</f>
        <v>0</v>
      </c>
      <c r="AZ65">
        <f>SUMIF(RawDataDead!$B:$B,$A65,RawDataDead!BC:BC)</f>
        <v>0</v>
      </c>
      <c r="BA65">
        <f>SUMIF(RawDataDead!$B:$B,$A65,RawDataDead!BD:BD)</f>
        <v>0</v>
      </c>
      <c r="BB65">
        <f>SUMIF(RawDataDead!$B:$B,$A65,RawDataDead!BE:BE)</f>
        <v>0</v>
      </c>
      <c r="BC65">
        <f>SUMIF(RawDataDead!$B:$B,$A65,RawDataDead!BF:BF)</f>
        <v>0</v>
      </c>
      <c r="BD65">
        <f>SUMIF(RawDataDead!$B:$B,$A65,RawDataDead!BG:BG)</f>
        <v>0</v>
      </c>
      <c r="BE65">
        <f>SUMIF(RawDataDead!$B:$B,$A65,RawDataDead!BH:BH)</f>
        <v>0</v>
      </c>
      <c r="BF65">
        <f>SUMIF(RawDataDead!$B:$B,$A65,RawDataDead!BI:BI)</f>
        <v>0</v>
      </c>
      <c r="BG65">
        <f>SUMIF(RawDataDead!$B:$B,$A65,RawDataDead!BJ:BJ)</f>
        <v>0</v>
      </c>
      <c r="BH65">
        <f>SUMIF(RawDataDead!$B:$B,$A65,RawDataDead!BK:BK)</f>
        <v>0</v>
      </c>
      <c r="BI65">
        <f>SUMIF(RawDataDead!$B:$B,$A65,RawDataDead!BL:BL)</f>
        <v>0</v>
      </c>
      <c r="BJ65">
        <f>SUMIF(RawDataDead!$B:$B,$A65,RawDataDead!BM:BM)</f>
        <v>0</v>
      </c>
      <c r="BK65">
        <f>SUMIF(RawDataDead!$B:$B,$A65,RawDataDead!BN:BN)</f>
        <v>0</v>
      </c>
      <c r="BL65">
        <f>SUMIF(RawDataDead!$B:$B,$A65,RawDataDead!BO:BO)</f>
        <v>0</v>
      </c>
      <c r="BM65">
        <f>SUMIF(RawDataDead!$B:$B,$A65,RawDataDead!BP:BP)</f>
        <v>0</v>
      </c>
      <c r="BN65">
        <f>SUMIF(RawDataDead!$B:$B,$A65,RawDataDead!BQ:BQ)</f>
        <v>0</v>
      </c>
      <c r="BO65">
        <f>SUMIF(RawDataDead!$B:$B,$A65,RawDataDead!BR:BR)</f>
        <v>0</v>
      </c>
      <c r="BP65">
        <f>SUMIF(RawDataDead!$B:$B,$A65,RawDataDead!BS:BS)</f>
        <v>0</v>
      </c>
      <c r="BQ65">
        <f>SUMIF(RawDataDead!$B:$B,$A65,RawDataDead!BT:BT)</f>
        <v>0</v>
      </c>
      <c r="BR65">
        <f>SUMIF(RawDataDead!$B:$B,$A65,RawDataDead!BU:BU)</f>
        <v>0</v>
      </c>
      <c r="BS65">
        <f>SUMIF(RawDataDead!$B:$B,$A65,RawDataDead!BV:BV)</f>
        <v>0</v>
      </c>
      <c r="BT65">
        <f>SUMIF(RawDataDead!$B:$B,$A65,RawDataDead!BW:BW)</f>
        <v>0</v>
      </c>
    </row>
    <row r="66" spans="1:72" ht="15" thickBot="1" x14ac:dyDescent="0.35">
      <c r="A66" s="3" t="s">
        <v>172</v>
      </c>
      <c r="B66">
        <f>SUMIF(RawDataDead!$B:$B,$A66,RawDataDead!E:E)</f>
        <v>0</v>
      </c>
      <c r="C66">
        <f>SUMIF(RawDataDead!$B:$B,$A66,RawDataDead!F:F)</f>
        <v>0</v>
      </c>
      <c r="D66">
        <f>SUMIF(RawDataDead!$B:$B,$A66,RawDataDead!G:G)</f>
        <v>0</v>
      </c>
      <c r="E66">
        <f>SUMIF(RawDataDead!$B:$B,$A66,RawDataDead!H:H)</f>
        <v>0</v>
      </c>
      <c r="F66">
        <f>SUMIF(RawDataDead!$B:$B,$A66,RawDataDead!I:I)</f>
        <v>0</v>
      </c>
      <c r="G66">
        <f>SUMIF(RawDataDead!$B:$B,$A66,RawDataDead!J:J)</f>
        <v>0</v>
      </c>
      <c r="H66">
        <f>SUMIF(RawDataDead!$B:$B,$A66,RawDataDead!K:K)</f>
        <v>0</v>
      </c>
      <c r="I66">
        <f>SUMIF(RawDataDead!$B:$B,$A66,RawDataDead!L:L)</f>
        <v>0</v>
      </c>
      <c r="J66">
        <f>SUMIF(RawDataDead!$B:$B,$A66,RawDataDead!M:M)</f>
        <v>0</v>
      </c>
      <c r="K66">
        <f>SUMIF(RawDataDead!$B:$B,$A66,RawDataDead!N:N)</f>
        <v>0</v>
      </c>
      <c r="L66">
        <f>SUMIF(RawDataDead!$B:$B,$A66,RawDataDead!O:O)</f>
        <v>0</v>
      </c>
      <c r="M66">
        <f>SUMIF(RawDataDead!$B:$B,$A66,RawDataDead!P:P)</f>
        <v>0</v>
      </c>
      <c r="N66">
        <f>SUMIF(RawDataDead!$B:$B,$A66,RawDataDead!Q:Q)</f>
        <v>0</v>
      </c>
      <c r="O66">
        <f>SUMIF(RawDataDead!$B:$B,$A66,RawDataDead!R:R)</f>
        <v>0</v>
      </c>
      <c r="P66">
        <f>SUMIF(RawDataDead!$B:$B,$A66,RawDataDead!S:S)</f>
        <v>0</v>
      </c>
      <c r="Q66">
        <f>SUMIF(RawDataDead!$B:$B,$A66,RawDataDead!T:T)</f>
        <v>0</v>
      </c>
      <c r="R66">
        <f>SUMIF(RawDataDead!$B:$B,$A66,RawDataDead!U:U)</f>
        <v>0</v>
      </c>
      <c r="S66">
        <f>SUMIF(RawDataDead!$B:$B,$A66,RawDataDead!V:V)</f>
        <v>0</v>
      </c>
      <c r="T66">
        <f>SUMIF(RawDataDead!$B:$B,$A66,RawDataDead!W:W)</f>
        <v>0</v>
      </c>
      <c r="U66">
        <f>SUMIF(RawDataDead!$B:$B,$A66,RawDataDead!X:X)</f>
        <v>0</v>
      </c>
      <c r="V66">
        <f>SUMIF(RawDataDead!$B:$B,$A66,RawDataDead!Y:Y)</f>
        <v>0</v>
      </c>
      <c r="W66">
        <f>SUMIF(RawDataDead!$B:$B,$A66,RawDataDead!Z:Z)</f>
        <v>0</v>
      </c>
      <c r="X66">
        <f>SUMIF(RawDataDead!$B:$B,$A66,RawDataDead!AA:AA)</f>
        <v>0</v>
      </c>
      <c r="Y66">
        <f>SUMIF(RawDataDead!$B:$B,$A66,RawDataDead!AB:AB)</f>
        <v>0</v>
      </c>
      <c r="Z66">
        <f>SUMIF(RawDataDead!$B:$B,$A66,RawDataDead!AC:AC)</f>
        <v>0</v>
      </c>
      <c r="AA66">
        <f>SUMIF(RawDataDead!$B:$B,$A66,RawDataDead!AD:AD)</f>
        <v>0</v>
      </c>
      <c r="AB66">
        <f>SUMIF(RawDataDead!$B:$B,$A66,RawDataDead!AE:AE)</f>
        <v>0</v>
      </c>
      <c r="AC66">
        <f>SUMIF(RawDataDead!$B:$B,$A66,RawDataDead!AF:AF)</f>
        <v>0</v>
      </c>
      <c r="AD66">
        <f>SUMIF(RawDataDead!$B:$B,$A66,RawDataDead!AG:AG)</f>
        <v>0</v>
      </c>
      <c r="AE66">
        <f>SUMIF(RawDataDead!$B:$B,$A66,RawDataDead!AH:AH)</f>
        <v>0</v>
      </c>
      <c r="AF66">
        <f>SUMIF(RawDataDead!$B:$B,$A66,RawDataDead!AI:AI)</f>
        <v>0</v>
      </c>
      <c r="AG66">
        <f>SUMIF(RawDataDead!$B:$B,$A66,RawDataDead!AJ:AJ)</f>
        <v>0</v>
      </c>
      <c r="AH66">
        <f>SUMIF(RawDataDead!$B:$B,$A66,RawDataDead!AK:AK)</f>
        <v>0</v>
      </c>
      <c r="AI66">
        <f>SUMIF(RawDataDead!$B:$B,$A66,RawDataDead!AL:AL)</f>
        <v>0</v>
      </c>
      <c r="AJ66">
        <f>SUMIF(RawDataDead!$B:$B,$A66,RawDataDead!AM:AM)</f>
        <v>0</v>
      </c>
      <c r="AK66">
        <f>SUMIF(RawDataDead!$B:$B,$A66,RawDataDead!AN:AN)</f>
        <v>0</v>
      </c>
      <c r="AL66">
        <f>SUMIF(RawDataDead!$B:$B,$A66,RawDataDead!AO:AO)</f>
        <v>0</v>
      </c>
      <c r="AM66">
        <f>SUMIF(RawDataDead!$B:$B,$A66,RawDataDead!AP:AP)</f>
        <v>0</v>
      </c>
      <c r="AN66">
        <f>SUMIF(RawDataDead!$B:$B,$A66,RawDataDead!AQ:AQ)</f>
        <v>0</v>
      </c>
      <c r="AO66">
        <f>SUMIF(RawDataDead!$B:$B,$A66,RawDataDead!AR:AR)</f>
        <v>0</v>
      </c>
      <c r="AP66">
        <f>SUMIF(RawDataDead!$B:$B,$A66,RawDataDead!AS:AS)</f>
        <v>0</v>
      </c>
      <c r="AQ66">
        <f>SUMIF(RawDataDead!$B:$B,$A66,RawDataDead!AT:AT)</f>
        <v>0</v>
      </c>
      <c r="AR66">
        <f>SUMIF(RawDataDead!$B:$B,$A66,RawDataDead!AU:AU)</f>
        <v>0</v>
      </c>
      <c r="AS66">
        <f>SUMIF(RawDataDead!$B:$B,$A66,RawDataDead!AV:AV)</f>
        <v>0</v>
      </c>
      <c r="AT66">
        <f>SUMIF(RawDataDead!$B:$B,$A66,RawDataDead!AW:AW)</f>
        <v>0</v>
      </c>
      <c r="AU66">
        <f>SUMIF(RawDataDead!$B:$B,$A66,RawDataDead!AX:AX)</f>
        <v>0</v>
      </c>
      <c r="AV66">
        <f>SUMIF(RawDataDead!$B:$B,$A66,RawDataDead!AY:AY)</f>
        <v>0</v>
      </c>
      <c r="AW66">
        <f>SUMIF(RawDataDead!$B:$B,$A66,RawDataDead!AZ:AZ)</f>
        <v>0</v>
      </c>
      <c r="AX66">
        <f>SUMIF(RawDataDead!$B:$B,$A66,RawDataDead!BA:BA)</f>
        <v>0</v>
      </c>
      <c r="AY66">
        <f>SUMIF(RawDataDead!$B:$B,$A66,RawDataDead!BB:BB)</f>
        <v>0</v>
      </c>
      <c r="AZ66">
        <f>SUMIF(RawDataDead!$B:$B,$A66,RawDataDead!BC:BC)</f>
        <v>0</v>
      </c>
      <c r="BA66">
        <f>SUMIF(RawDataDead!$B:$B,$A66,RawDataDead!BD:BD)</f>
        <v>0</v>
      </c>
      <c r="BB66">
        <f>SUMIF(RawDataDead!$B:$B,$A66,RawDataDead!BE:BE)</f>
        <v>0</v>
      </c>
      <c r="BC66">
        <f>SUMIF(RawDataDead!$B:$B,$A66,RawDataDead!BF:BF)</f>
        <v>0</v>
      </c>
      <c r="BD66">
        <f>SUMIF(RawDataDead!$B:$B,$A66,RawDataDead!BG:BG)</f>
        <v>0</v>
      </c>
      <c r="BE66">
        <f>SUMIF(RawDataDead!$B:$B,$A66,RawDataDead!BH:BH)</f>
        <v>0</v>
      </c>
      <c r="BF66">
        <f>SUMIF(RawDataDead!$B:$B,$A66,RawDataDead!BI:BI)</f>
        <v>0</v>
      </c>
      <c r="BG66">
        <f>SUMIF(RawDataDead!$B:$B,$A66,RawDataDead!BJ:BJ)</f>
        <v>0</v>
      </c>
      <c r="BH66">
        <f>SUMIF(RawDataDead!$B:$B,$A66,RawDataDead!BK:BK)</f>
        <v>0</v>
      </c>
      <c r="BI66">
        <f>SUMIF(RawDataDead!$B:$B,$A66,RawDataDead!BL:BL)</f>
        <v>0</v>
      </c>
      <c r="BJ66">
        <f>SUMIF(RawDataDead!$B:$B,$A66,RawDataDead!BM:BM)</f>
        <v>0</v>
      </c>
      <c r="BK66">
        <f>SUMIF(RawDataDead!$B:$B,$A66,RawDataDead!BN:BN)</f>
        <v>0</v>
      </c>
      <c r="BL66">
        <f>SUMIF(RawDataDead!$B:$B,$A66,RawDataDead!BO:BO)</f>
        <v>0</v>
      </c>
      <c r="BM66">
        <f>SUMIF(RawDataDead!$B:$B,$A66,RawDataDead!BP:BP)</f>
        <v>0</v>
      </c>
      <c r="BN66">
        <f>SUMIF(RawDataDead!$B:$B,$A66,RawDataDead!BQ:BQ)</f>
        <v>0</v>
      </c>
      <c r="BO66">
        <f>SUMIF(RawDataDead!$B:$B,$A66,RawDataDead!BR:BR)</f>
        <v>0</v>
      </c>
      <c r="BP66">
        <f>SUMIF(RawDataDead!$B:$B,$A66,RawDataDead!BS:BS)</f>
        <v>0</v>
      </c>
      <c r="BQ66">
        <f>SUMIF(RawDataDead!$B:$B,$A66,RawDataDead!BT:BT)</f>
        <v>0</v>
      </c>
      <c r="BR66">
        <f>SUMIF(RawDataDead!$B:$B,$A66,RawDataDead!BU:BU)</f>
        <v>0</v>
      </c>
      <c r="BS66">
        <f>SUMIF(RawDataDead!$B:$B,$A66,RawDataDead!BV:BV)</f>
        <v>0</v>
      </c>
      <c r="BT66">
        <f>SUMIF(RawDataDead!$B:$B,$A66,RawDataDead!BW:BW)</f>
        <v>0</v>
      </c>
    </row>
    <row r="67" spans="1:72" ht="15" thickBot="1" x14ac:dyDescent="0.35">
      <c r="A67" s="3" t="s">
        <v>226</v>
      </c>
      <c r="B67">
        <f>SUMIF(RawDataDead!$B:$B,$A67,RawDataDead!E:E)</f>
        <v>0</v>
      </c>
      <c r="C67">
        <f>SUMIF(RawDataDead!$B:$B,$A67,RawDataDead!F:F)</f>
        <v>0</v>
      </c>
      <c r="D67">
        <f>SUMIF(RawDataDead!$B:$B,$A67,RawDataDead!G:G)</f>
        <v>0</v>
      </c>
      <c r="E67">
        <f>SUMIF(RawDataDead!$B:$B,$A67,RawDataDead!H:H)</f>
        <v>0</v>
      </c>
      <c r="F67">
        <f>SUMIF(RawDataDead!$B:$B,$A67,RawDataDead!I:I)</f>
        <v>0</v>
      </c>
      <c r="G67">
        <f>SUMIF(RawDataDead!$B:$B,$A67,RawDataDead!J:J)</f>
        <v>0</v>
      </c>
      <c r="H67">
        <f>SUMIF(RawDataDead!$B:$B,$A67,RawDataDead!K:K)</f>
        <v>0</v>
      </c>
      <c r="I67">
        <f>SUMIF(RawDataDead!$B:$B,$A67,RawDataDead!L:L)</f>
        <v>0</v>
      </c>
      <c r="J67">
        <f>SUMIF(RawDataDead!$B:$B,$A67,RawDataDead!M:M)</f>
        <v>0</v>
      </c>
      <c r="K67">
        <f>SUMIF(RawDataDead!$B:$B,$A67,RawDataDead!N:N)</f>
        <v>0</v>
      </c>
      <c r="L67">
        <f>SUMIF(RawDataDead!$B:$B,$A67,RawDataDead!O:O)</f>
        <v>0</v>
      </c>
      <c r="M67">
        <f>SUMIF(RawDataDead!$B:$B,$A67,RawDataDead!P:P)</f>
        <v>0</v>
      </c>
      <c r="N67">
        <f>SUMIF(RawDataDead!$B:$B,$A67,RawDataDead!Q:Q)</f>
        <v>0</v>
      </c>
      <c r="O67">
        <f>SUMIF(RawDataDead!$B:$B,$A67,RawDataDead!R:R)</f>
        <v>0</v>
      </c>
      <c r="P67">
        <f>SUMIF(RawDataDead!$B:$B,$A67,RawDataDead!S:S)</f>
        <v>0</v>
      </c>
      <c r="Q67">
        <f>SUMIF(RawDataDead!$B:$B,$A67,RawDataDead!T:T)</f>
        <v>0</v>
      </c>
      <c r="R67">
        <f>SUMIF(RawDataDead!$B:$B,$A67,RawDataDead!U:U)</f>
        <v>0</v>
      </c>
      <c r="S67">
        <f>SUMIF(RawDataDead!$B:$B,$A67,RawDataDead!V:V)</f>
        <v>0</v>
      </c>
      <c r="T67">
        <f>SUMIF(RawDataDead!$B:$B,$A67,RawDataDead!W:W)</f>
        <v>0</v>
      </c>
      <c r="U67">
        <f>SUMIF(RawDataDead!$B:$B,$A67,RawDataDead!X:X)</f>
        <v>0</v>
      </c>
      <c r="V67">
        <f>SUMIF(RawDataDead!$B:$B,$A67,RawDataDead!Y:Y)</f>
        <v>0</v>
      </c>
      <c r="W67">
        <f>SUMIF(RawDataDead!$B:$B,$A67,RawDataDead!Z:Z)</f>
        <v>0</v>
      </c>
      <c r="X67">
        <f>SUMIF(RawDataDead!$B:$B,$A67,RawDataDead!AA:AA)</f>
        <v>0</v>
      </c>
      <c r="Y67">
        <f>SUMIF(RawDataDead!$B:$B,$A67,RawDataDead!AB:AB)</f>
        <v>0</v>
      </c>
      <c r="Z67">
        <f>SUMIF(RawDataDead!$B:$B,$A67,RawDataDead!AC:AC)</f>
        <v>0</v>
      </c>
      <c r="AA67">
        <f>SUMIF(RawDataDead!$B:$B,$A67,RawDataDead!AD:AD)</f>
        <v>0</v>
      </c>
      <c r="AB67">
        <f>SUMIF(RawDataDead!$B:$B,$A67,RawDataDead!AE:AE)</f>
        <v>0</v>
      </c>
      <c r="AC67">
        <f>SUMIF(RawDataDead!$B:$B,$A67,RawDataDead!AF:AF)</f>
        <v>0</v>
      </c>
      <c r="AD67">
        <f>SUMIF(RawDataDead!$B:$B,$A67,RawDataDead!AG:AG)</f>
        <v>0</v>
      </c>
      <c r="AE67">
        <f>SUMIF(RawDataDead!$B:$B,$A67,RawDataDead!AH:AH)</f>
        <v>0</v>
      </c>
      <c r="AF67">
        <f>SUMIF(RawDataDead!$B:$B,$A67,RawDataDead!AI:AI)</f>
        <v>0</v>
      </c>
      <c r="AG67">
        <f>SUMIF(RawDataDead!$B:$B,$A67,RawDataDead!AJ:AJ)</f>
        <v>0</v>
      </c>
      <c r="AH67">
        <f>SUMIF(RawDataDead!$B:$B,$A67,RawDataDead!AK:AK)</f>
        <v>0</v>
      </c>
      <c r="AI67">
        <f>SUMIF(RawDataDead!$B:$B,$A67,RawDataDead!AL:AL)</f>
        <v>0</v>
      </c>
      <c r="AJ67">
        <f>SUMIF(RawDataDead!$B:$B,$A67,RawDataDead!AM:AM)</f>
        <v>0</v>
      </c>
      <c r="AK67">
        <f>SUMIF(RawDataDead!$B:$B,$A67,RawDataDead!AN:AN)</f>
        <v>0</v>
      </c>
      <c r="AL67">
        <f>SUMIF(RawDataDead!$B:$B,$A67,RawDataDead!AO:AO)</f>
        <v>0</v>
      </c>
      <c r="AM67">
        <f>SUMIF(RawDataDead!$B:$B,$A67,RawDataDead!AP:AP)</f>
        <v>0</v>
      </c>
      <c r="AN67">
        <f>SUMIF(RawDataDead!$B:$B,$A67,RawDataDead!AQ:AQ)</f>
        <v>0</v>
      </c>
      <c r="AO67">
        <f>SUMIF(RawDataDead!$B:$B,$A67,RawDataDead!AR:AR)</f>
        <v>0</v>
      </c>
      <c r="AP67">
        <f>SUMIF(RawDataDead!$B:$B,$A67,RawDataDead!AS:AS)</f>
        <v>0</v>
      </c>
      <c r="AQ67">
        <f>SUMIF(RawDataDead!$B:$B,$A67,RawDataDead!AT:AT)</f>
        <v>0</v>
      </c>
      <c r="AR67">
        <f>SUMIF(RawDataDead!$B:$B,$A67,RawDataDead!AU:AU)</f>
        <v>0</v>
      </c>
      <c r="AS67">
        <f>SUMIF(RawDataDead!$B:$B,$A67,RawDataDead!AV:AV)</f>
        <v>0</v>
      </c>
      <c r="AT67">
        <f>SUMIF(RawDataDead!$B:$B,$A67,RawDataDead!AW:AW)</f>
        <v>0</v>
      </c>
      <c r="AU67">
        <f>SUMIF(RawDataDead!$B:$B,$A67,RawDataDead!AX:AX)</f>
        <v>0</v>
      </c>
      <c r="AV67">
        <f>SUMIF(RawDataDead!$B:$B,$A67,RawDataDead!AY:AY)</f>
        <v>0</v>
      </c>
      <c r="AW67">
        <f>SUMIF(RawDataDead!$B:$B,$A67,RawDataDead!AZ:AZ)</f>
        <v>0</v>
      </c>
      <c r="AX67">
        <f>SUMIF(RawDataDead!$B:$B,$A67,RawDataDead!BA:BA)</f>
        <v>0</v>
      </c>
      <c r="AY67">
        <f>SUMIF(RawDataDead!$B:$B,$A67,RawDataDead!BB:BB)</f>
        <v>1</v>
      </c>
      <c r="AZ67">
        <f>SUMIF(RawDataDead!$B:$B,$A67,RawDataDead!BC:BC)</f>
        <v>1</v>
      </c>
      <c r="BA67">
        <f>SUMIF(RawDataDead!$B:$B,$A67,RawDataDead!BD:BD)</f>
        <v>1</v>
      </c>
      <c r="BB67">
        <f>SUMIF(RawDataDead!$B:$B,$A67,RawDataDead!BE:BE)</f>
        <v>2</v>
      </c>
      <c r="BC67">
        <f>SUMIF(RawDataDead!$B:$B,$A67,RawDataDead!BF:BF)</f>
        <v>2</v>
      </c>
      <c r="BD67">
        <f>SUMIF(RawDataDead!$B:$B,$A67,RawDataDead!BG:BG)</f>
        <v>2</v>
      </c>
      <c r="BE67">
        <f>SUMIF(RawDataDead!$B:$B,$A67,RawDataDead!BH:BH)</f>
        <v>2</v>
      </c>
      <c r="BF67">
        <f>SUMIF(RawDataDead!$B:$B,$A67,RawDataDead!BI:BI)</f>
        <v>0</v>
      </c>
      <c r="BG67">
        <f>SUMIF(RawDataDead!$B:$B,$A67,RawDataDead!BJ:BJ)</f>
        <v>0</v>
      </c>
      <c r="BH67">
        <f>SUMIF(RawDataDead!$B:$B,$A67,RawDataDead!BK:BK)</f>
        <v>0</v>
      </c>
      <c r="BI67">
        <f>SUMIF(RawDataDead!$B:$B,$A67,RawDataDead!BL:BL)</f>
        <v>0</v>
      </c>
      <c r="BJ67">
        <f>SUMIF(RawDataDead!$B:$B,$A67,RawDataDead!BM:BM)</f>
        <v>0</v>
      </c>
      <c r="BK67">
        <f>SUMIF(RawDataDead!$B:$B,$A67,RawDataDead!BN:BN)</f>
        <v>0</v>
      </c>
      <c r="BL67">
        <f>SUMIF(RawDataDead!$B:$B,$A67,RawDataDead!BO:BO)</f>
        <v>0</v>
      </c>
      <c r="BM67">
        <f>SUMIF(RawDataDead!$B:$B,$A67,RawDataDead!BP:BP)</f>
        <v>0</v>
      </c>
      <c r="BN67">
        <f>SUMIF(RawDataDead!$B:$B,$A67,RawDataDead!BQ:BQ)</f>
        <v>0</v>
      </c>
      <c r="BO67">
        <f>SUMIF(RawDataDead!$B:$B,$A67,RawDataDead!BR:BR)</f>
        <v>0</v>
      </c>
      <c r="BP67">
        <f>SUMIF(RawDataDead!$B:$B,$A67,RawDataDead!BS:BS)</f>
        <v>0</v>
      </c>
      <c r="BQ67">
        <f>SUMIF(RawDataDead!$B:$B,$A67,RawDataDead!BT:BT)</f>
        <v>0</v>
      </c>
      <c r="BR67">
        <f>SUMIF(RawDataDead!$B:$B,$A67,RawDataDead!BU:BU)</f>
        <v>0</v>
      </c>
      <c r="BS67">
        <f>SUMIF(RawDataDead!$B:$B,$A67,RawDataDead!BV:BV)</f>
        <v>0</v>
      </c>
      <c r="BT67">
        <f>SUMIF(RawDataDead!$B:$B,$A67,RawDataDead!BW:BW)</f>
        <v>0</v>
      </c>
    </row>
    <row r="68" spans="1:72" ht="15" thickBot="1" x14ac:dyDescent="0.35">
      <c r="A68" s="3" t="s">
        <v>186</v>
      </c>
      <c r="B68">
        <f>SUMIF(RawDataDead!$B:$B,$A68,RawDataDead!E:E)</f>
        <v>0</v>
      </c>
      <c r="C68">
        <f>SUMIF(RawDataDead!$B:$B,$A68,RawDataDead!F:F)</f>
        <v>0</v>
      </c>
      <c r="D68">
        <f>SUMIF(RawDataDead!$B:$B,$A68,RawDataDead!G:G)</f>
        <v>0</v>
      </c>
      <c r="E68">
        <f>SUMIF(RawDataDead!$B:$B,$A68,RawDataDead!H:H)</f>
        <v>0</v>
      </c>
      <c r="F68">
        <f>SUMIF(RawDataDead!$B:$B,$A68,RawDataDead!I:I)</f>
        <v>0</v>
      </c>
      <c r="G68">
        <f>SUMIF(RawDataDead!$B:$B,$A68,RawDataDead!J:J)</f>
        <v>0</v>
      </c>
      <c r="H68">
        <f>SUMIF(RawDataDead!$B:$B,$A68,RawDataDead!K:K)</f>
        <v>0</v>
      </c>
      <c r="I68">
        <f>SUMIF(RawDataDead!$B:$B,$A68,RawDataDead!L:L)</f>
        <v>0</v>
      </c>
      <c r="J68">
        <f>SUMIF(RawDataDead!$B:$B,$A68,RawDataDead!M:M)</f>
        <v>0</v>
      </c>
      <c r="K68">
        <f>SUMIF(RawDataDead!$B:$B,$A68,RawDataDead!N:N)</f>
        <v>0</v>
      </c>
      <c r="L68">
        <f>SUMIF(RawDataDead!$B:$B,$A68,RawDataDead!O:O)</f>
        <v>0</v>
      </c>
      <c r="M68">
        <f>SUMIF(RawDataDead!$B:$B,$A68,RawDataDead!P:P)</f>
        <v>0</v>
      </c>
      <c r="N68">
        <f>SUMIF(RawDataDead!$B:$B,$A68,RawDataDead!Q:Q)</f>
        <v>0</v>
      </c>
      <c r="O68">
        <f>SUMIF(RawDataDead!$B:$B,$A68,RawDataDead!R:R)</f>
        <v>0</v>
      </c>
      <c r="P68">
        <f>SUMIF(RawDataDead!$B:$B,$A68,RawDataDead!S:S)</f>
        <v>0</v>
      </c>
      <c r="Q68">
        <f>SUMIF(RawDataDead!$B:$B,$A68,RawDataDead!T:T)</f>
        <v>0</v>
      </c>
      <c r="R68">
        <f>SUMIF(RawDataDead!$B:$B,$A68,RawDataDead!U:U)</f>
        <v>0</v>
      </c>
      <c r="S68">
        <f>SUMIF(RawDataDead!$B:$B,$A68,RawDataDead!V:V)</f>
        <v>0</v>
      </c>
      <c r="T68">
        <f>SUMIF(RawDataDead!$B:$B,$A68,RawDataDead!W:W)</f>
        <v>0</v>
      </c>
      <c r="U68">
        <f>SUMIF(RawDataDead!$B:$B,$A68,RawDataDead!X:X)</f>
        <v>0</v>
      </c>
      <c r="V68">
        <f>SUMIF(RawDataDead!$B:$B,$A68,RawDataDead!Y:Y)</f>
        <v>0</v>
      </c>
      <c r="W68">
        <f>SUMIF(RawDataDead!$B:$B,$A68,RawDataDead!Z:Z)</f>
        <v>0</v>
      </c>
      <c r="X68">
        <f>SUMIF(RawDataDead!$B:$B,$A68,RawDataDead!AA:AA)</f>
        <v>0</v>
      </c>
      <c r="Y68">
        <f>SUMIF(RawDataDead!$B:$B,$A68,RawDataDead!AB:AB)</f>
        <v>0</v>
      </c>
      <c r="Z68">
        <f>SUMIF(RawDataDead!$B:$B,$A68,RawDataDead!AC:AC)</f>
        <v>0</v>
      </c>
      <c r="AA68">
        <f>SUMIF(RawDataDead!$B:$B,$A68,RawDataDead!AD:AD)</f>
        <v>0</v>
      </c>
      <c r="AB68">
        <f>SUMIF(RawDataDead!$B:$B,$A68,RawDataDead!AE:AE)</f>
        <v>0</v>
      </c>
      <c r="AC68">
        <f>SUMIF(RawDataDead!$B:$B,$A68,RawDataDead!AF:AF)</f>
        <v>0</v>
      </c>
      <c r="AD68">
        <f>SUMIF(RawDataDead!$B:$B,$A68,RawDataDead!AG:AG)</f>
        <v>0</v>
      </c>
      <c r="AE68">
        <f>SUMIF(RawDataDead!$B:$B,$A68,RawDataDead!AH:AH)</f>
        <v>0</v>
      </c>
      <c r="AF68">
        <f>SUMIF(RawDataDead!$B:$B,$A68,RawDataDead!AI:AI)</f>
        <v>0</v>
      </c>
      <c r="AG68">
        <f>SUMIF(RawDataDead!$B:$B,$A68,RawDataDead!AJ:AJ)</f>
        <v>0</v>
      </c>
      <c r="AH68">
        <f>SUMIF(RawDataDead!$B:$B,$A68,RawDataDead!AK:AK)</f>
        <v>0</v>
      </c>
      <c r="AI68">
        <f>SUMIF(RawDataDead!$B:$B,$A68,RawDataDead!AL:AL)</f>
        <v>0</v>
      </c>
      <c r="AJ68">
        <f>SUMIF(RawDataDead!$B:$B,$A68,RawDataDead!AM:AM)</f>
        <v>0</v>
      </c>
      <c r="AK68">
        <f>SUMIF(RawDataDead!$B:$B,$A68,RawDataDead!AN:AN)</f>
        <v>0</v>
      </c>
      <c r="AL68">
        <f>SUMIF(RawDataDead!$B:$B,$A68,RawDataDead!AO:AO)</f>
        <v>0</v>
      </c>
      <c r="AM68">
        <f>SUMIF(RawDataDead!$B:$B,$A68,RawDataDead!AP:AP)</f>
        <v>0</v>
      </c>
      <c r="AN68">
        <f>SUMIF(RawDataDead!$B:$B,$A68,RawDataDead!AQ:AQ)</f>
        <v>0</v>
      </c>
      <c r="AO68">
        <f>SUMIF(RawDataDead!$B:$B,$A68,RawDataDead!AR:AR)</f>
        <v>0</v>
      </c>
      <c r="AP68">
        <f>SUMIF(RawDataDead!$B:$B,$A68,RawDataDead!AS:AS)</f>
        <v>0</v>
      </c>
      <c r="AQ68">
        <f>SUMIF(RawDataDead!$B:$B,$A68,RawDataDead!AT:AT)</f>
        <v>0</v>
      </c>
      <c r="AR68">
        <f>SUMIF(RawDataDead!$B:$B,$A68,RawDataDead!AU:AU)</f>
        <v>0</v>
      </c>
      <c r="AS68">
        <f>SUMIF(RawDataDead!$B:$B,$A68,RawDataDead!AV:AV)</f>
        <v>0</v>
      </c>
      <c r="AT68">
        <f>SUMIF(RawDataDead!$B:$B,$A68,RawDataDead!AW:AW)</f>
        <v>0</v>
      </c>
      <c r="AU68">
        <f>SUMIF(RawDataDead!$B:$B,$A68,RawDataDead!AX:AX)</f>
        <v>0</v>
      </c>
      <c r="AV68">
        <f>SUMIF(RawDataDead!$B:$B,$A68,RawDataDead!AY:AY)</f>
        <v>0</v>
      </c>
      <c r="AW68">
        <f>SUMIF(RawDataDead!$B:$B,$A68,RawDataDead!AZ:AZ)</f>
        <v>0</v>
      </c>
      <c r="AX68">
        <f>SUMIF(RawDataDead!$B:$B,$A68,RawDataDead!BA:BA)</f>
        <v>0</v>
      </c>
      <c r="AY68">
        <f>SUMIF(RawDataDead!$B:$B,$A68,RawDataDead!BB:BB)</f>
        <v>0</v>
      </c>
      <c r="AZ68">
        <f>SUMIF(RawDataDead!$B:$B,$A68,RawDataDead!BC:BC)</f>
        <v>0</v>
      </c>
      <c r="BA68">
        <f>SUMIF(RawDataDead!$B:$B,$A68,RawDataDead!BD:BD)</f>
        <v>0</v>
      </c>
      <c r="BB68">
        <f>SUMIF(RawDataDead!$B:$B,$A68,RawDataDead!BE:BE)</f>
        <v>0</v>
      </c>
      <c r="BC68">
        <f>SUMIF(RawDataDead!$B:$B,$A68,RawDataDead!BF:BF)</f>
        <v>0</v>
      </c>
      <c r="BD68">
        <f>SUMIF(RawDataDead!$B:$B,$A68,RawDataDead!BG:BG)</f>
        <v>0</v>
      </c>
      <c r="BE68">
        <f>SUMIF(RawDataDead!$B:$B,$A68,RawDataDead!BH:BH)</f>
        <v>0</v>
      </c>
      <c r="BF68">
        <f>SUMIF(RawDataDead!$B:$B,$A68,RawDataDead!BI:BI)</f>
        <v>0</v>
      </c>
      <c r="BG68">
        <f>SUMIF(RawDataDead!$B:$B,$A68,RawDataDead!BJ:BJ)</f>
        <v>0</v>
      </c>
      <c r="BH68">
        <f>SUMIF(RawDataDead!$B:$B,$A68,RawDataDead!BK:BK)</f>
        <v>0</v>
      </c>
      <c r="BI68">
        <f>SUMIF(RawDataDead!$B:$B,$A68,RawDataDead!BL:BL)</f>
        <v>0</v>
      </c>
      <c r="BJ68">
        <f>SUMIF(RawDataDead!$B:$B,$A68,RawDataDead!BM:BM)</f>
        <v>0</v>
      </c>
      <c r="BK68">
        <f>SUMIF(RawDataDead!$B:$B,$A68,RawDataDead!BN:BN)</f>
        <v>0</v>
      </c>
      <c r="BL68">
        <f>SUMIF(RawDataDead!$B:$B,$A68,RawDataDead!BO:BO)</f>
        <v>0</v>
      </c>
      <c r="BM68">
        <f>SUMIF(RawDataDead!$B:$B,$A68,RawDataDead!BP:BP)</f>
        <v>0</v>
      </c>
      <c r="BN68">
        <f>SUMIF(RawDataDead!$B:$B,$A68,RawDataDead!BQ:BQ)</f>
        <v>0</v>
      </c>
      <c r="BO68">
        <f>SUMIF(RawDataDead!$B:$B,$A68,RawDataDead!BR:BR)</f>
        <v>0</v>
      </c>
      <c r="BP68">
        <f>SUMIF(RawDataDead!$B:$B,$A68,RawDataDead!BS:BS)</f>
        <v>0</v>
      </c>
      <c r="BQ68">
        <f>SUMIF(RawDataDead!$B:$B,$A68,RawDataDead!BT:BT)</f>
        <v>0</v>
      </c>
      <c r="BR68">
        <f>SUMIF(RawDataDead!$B:$B,$A68,RawDataDead!BU:BU)</f>
        <v>0</v>
      </c>
      <c r="BS68">
        <f>SUMIF(RawDataDead!$B:$B,$A68,RawDataDead!BV:BV)</f>
        <v>0</v>
      </c>
      <c r="BT68">
        <f>SUMIF(RawDataDead!$B:$B,$A68,RawDataDead!BW:BW)</f>
        <v>0</v>
      </c>
    </row>
    <row r="69" spans="1:72" ht="15" thickBot="1" x14ac:dyDescent="0.35">
      <c r="A69" s="4" t="s">
        <v>159</v>
      </c>
      <c r="B69">
        <f>SUMIF(RawDataDead!$B:$B,$A69,RawDataDead!E:E)</f>
        <v>0</v>
      </c>
      <c r="C69">
        <f>SUMIF(RawDataDead!$B:$B,$A69,RawDataDead!F:F)</f>
        <v>0</v>
      </c>
      <c r="D69">
        <f>SUMIF(RawDataDead!$B:$B,$A69,RawDataDead!G:G)</f>
        <v>0</v>
      </c>
      <c r="E69">
        <f>SUMIF(RawDataDead!$B:$B,$A69,RawDataDead!H:H)</f>
        <v>0</v>
      </c>
      <c r="F69">
        <f>SUMIF(RawDataDead!$B:$B,$A69,RawDataDead!I:I)</f>
        <v>0</v>
      </c>
      <c r="G69">
        <f>SUMIF(RawDataDead!$B:$B,$A69,RawDataDead!J:J)</f>
        <v>0</v>
      </c>
      <c r="H69">
        <f>SUMIF(RawDataDead!$B:$B,$A69,RawDataDead!K:K)</f>
        <v>0</v>
      </c>
      <c r="I69">
        <f>SUMIF(RawDataDead!$B:$B,$A69,RawDataDead!L:L)</f>
        <v>0</v>
      </c>
      <c r="J69">
        <f>SUMIF(RawDataDead!$B:$B,$A69,RawDataDead!M:M)</f>
        <v>0</v>
      </c>
      <c r="K69">
        <f>SUMIF(RawDataDead!$B:$B,$A69,RawDataDead!N:N)</f>
        <v>0</v>
      </c>
      <c r="L69">
        <f>SUMIF(RawDataDead!$B:$B,$A69,RawDataDead!O:O)</f>
        <v>0</v>
      </c>
      <c r="M69">
        <f>SUMIF(RawDataDead!$B:$B,$A69,RawDataDead!P:P)</f>
        <v>0</v>
      </c>
      <c r="N69">
        <f>SUMIF(RawDataDead!$B:$B,$A69,RawDataDead!Q:Q)</f>
        <v>0</v>
      </c>
      <c r="O69">
        <f>SUMIF(RawDataDead!$B:$B,$A69,RawDataDead!R:R)</f>
        <v>0</v>
      </c>
      <c r="P69">
        <f>SUMIF(RawDataDead!$B:$B,$A69,RawDataDead!S:S)</f>
        <v>0</v>
      </c>
      <c r="Q69">
        <f>SUMIF(RawDataDead!$B:$B,$A69,RawDataDead!T:T)</f>
        <v>0</v>
      </c>
      <c r="R69">
        <f>SUMIF(RawDataDead!$B:$B,$A69,RawDataDead!U:U)</f>
        <v>0</v>
      </c>
      <c r="S69">
        <f>SUMIF(RawDataDead!$B:$B,$A69,RawDataDead!V:V)</f>
        <v>0</v>
      </c>
      <c r="T69">
        <f>SUMIF(RawDataDead!$B:$B,$A69,RawDataDead!W:W)</f>
        <v>0</v>
      </c>
      <c r="U69">
        <f>SUMIF(RawDataDead!$B:$B,$A69,RawDataDead!X:X)</f>
        <v>0</v>
      </c>
      <c r="V69">
        <f>SUMIF(RawDataDead!$B:$B,$A69,RawDataDead!Y:Y)</f>
        <v>0</v>
      </c>
      <c r="W69">
        <f>SUMIF(RawDataDead!$B:$B,$A69,RawDataDead!Z:Z)</f>
        <v>0</v>
      </c>
      <c r="X69">
        <f>SUMIF(RawDataDead!$B:$B,$A69,RawDataDead!AA:AA)</f>
        <v>0</v>
      </c>
      <c r="Y69">
        <f>SUMIF(RawDataDead!$B:$B,$A69,RawDataDead!AB:AB)</f>
        <v>0</v>
      </c>
      <c r="Z69">
        <f>SUMIF(RawDataDead!$B:$B,$A69,RawDataDead!AC:AC)</f>
        <v>0</v>
      </c>
      <c r="AA69">
        <f>SUMIF(RawDataDead!$B:$B,$A69,RawDataDead!AD:AD)</f>
        <v>0</v>
      </c>
      <c r="AB69">
        <f>SUMIF(RawDataDead!$B:$B,$A69,RawDataDead!AE:AE)</f>
        <v>0</v>
      </c>
      <c r="AC69">
        <f>SUMIF(RawDataDead!$B:$B,$A69,RawDataDead!AF:AF)</f>
        <v>0</v>
      </c>
      <c r="AD69">
        <f>SUMIF(RawDataDead!$B:$B,$A69,RawDataDead!AG:AG)</f>
        <v>0</v>
      </c>
      <c r="AE69">
        <f>SUMIF(RawDataDead!$B:$B,$A69,RawDataDead!AH:AH)</f>
        <v>0</v>
      </c>
      <c r="AF69">
        <f>SUMIF(RawDataDead!$B:$B,$A69,RawDataDead!AI:AI)</f>
        <v>0</v>
      </c>
      <c r="AG69">
        <f>SUMIF(RawDataDead!$B:$B,$A69,RawDataDead!AJ:AJ)</f>
        <v>0</v>
      </c>
      <c r="AH69">
        <f>SUMIF(RawDataDead!$B:$B,$A69,RawDataDead!AK:AK)</f>
        <v>0</v>
      </c>
      <c r="AI69">
        <f>SUMIF(RawDataDead!$B:$B,$A69,RawDataDead!AL:AL)</f>
        <v>0</v>
      </c>
      <c r="AJ69">
        <f>SUMIF(RawDataDead!$B:$B,$A69,RawDataDead!AM:AM)</f>
        <v>0</v>
      </c>
      <c r="AK69">
        <f>SUMIF(RawDataDead!$B:$B,$A69,RawDataDead!AN:AN)</f>
        <v>0</v>
      </c>
      <c r="AL69">
        <f>SUMIF(RawDataDead!$B:$B,$A69,RawDataDead!AO:AO)</f>
        <v>0</v>
      </c>
      <c r="AM69">
        <f>SUMIF(RawDataDead!$B:$B,$A69,RawDataDead!AP:AP)</f>
        <v>0</v>
      </c>
      <c r="AN69">
        <f>SUMIF(RawDataDead!$B:$B,$A69,RawDataDead!AQ:AQ)</f>
        <v>0</v>
      </c>
      <c r="AO69">
        <f>SUMIF(RawDataDead!$B:$B,$A69,RawDataDead!AR:AR)</f>
        <v>0</v>
      </c>
      <c r="AP69">
        <f>SUMIF(RawDataDead!$B:$B,$A69,RawDataDead!AS:AS)</f>
        <v>0</v>
      </c>
      <c r="AQ69">
        <f>SUMIF(RawDataDead!$B:$B,$A69,RawDataDead!AT:AT)</f>
        <v>0</v>
      </c>
      <c r="AR69">
        <f>SUMIF(RawDataDead!$B:$B,$A69,RawDataDead!AU:AU)</f>
        <v>0</v>
      </c>
      <c r="AS69">
        <f>SUMIF(RawDataDead!$B:$B,$A69,RawDataDead!AV:AV)</f>
        <v>0</v>
      </c>
      <c r="AT69">
        <f>SUMIF(RawDataDead!$B:$B,$A69,RawDataDead!AW:AW)</f>
        <v>0</v>
      </c>
      <c r="AU69">
        <f>SUMIF(RawDataDead!$B:$B,$A69,RawDataDead!AX:AX)</f>
        <v>0</v>
      </c>
      <c r="AV69">
        <f>SUMIF(RawDataDead!$B:$B,$A69,RawDataDead!AY:AY)</f>
        <v>0</v>
      </c>
      <c r="AW69">
        <f>SUMIF(RawDataDead!$B:$B,$A69,RawDataDead!AZ:AZ)</f>
        <v>0</v>
      </c>
      <c r="AX69">
        <f>SUMIF(RawDataDead!$B:$B,$A69,RawDataDead!BA:BA)</f>
        <v>0</v>
      </c>
      <c r="AY69">
        <f>SUMIF(RawDataDead!$B:$B,$A69,RawDataDead!BB:BB)</f>
        <v>0</v>
      </c>
      <c r="AZ69">
        <f>SUMIF(RawDataDead!$B:$B,$A69,RawDataDead!BC:BC)</f>
        <v>0</v>
      </c>
      <c r="BA69">
        <f>SUMIF(RawDataDead!$B:$B,$A69,RawDataDead!BD:BD)</f>
        <v>0</v>
      </c>
      <c r="BB69">
        <f>SUMIF(RawDataDead!$B:$B,$A69,RawDataDead!BE:BE)</f>
        <v>0</v>
      </c>
      <c r="BC69">
        <f>SUMIF(RawDataDead!$B:$B,$A69,RawDataDead!BF:BF)</f>
        <v>1</v>
      </c>
      <c r="BD69">
        <f>SUMIF(RawDataDead!$B:$B,$A69,RawDataDead!BG:BG)</f>
        <v>1</v>
      </c>
      <c r="BE69">
        <f>SUMIF(RawDataDead!$B:$B,$A69,RawDataDead!BH:BH)</f>
        <v>1</v>
      </c>
      <c r="BF69">
        <f>SUMIF(RawDataDead!$B:$B,$A69,RawDataDead!BI:BI)</f>
        <v>0</v>
      </c>
      <c r="BG69">
        <f>SUMIF(RawDataDead!$B:$B,$A69,RawDataDead!BJ:BJ)</f>
        <v>0</v>
      </c>
      <c r="BH69">
        <f>SUMIF(RawDataDead!$B:$B,$A69,RawDataDead!BK:BK)</f>
        <v>0</v>
      </c>
      <c r="BI69">
        <f>SUMIF(RawDataDead!$B:$B,$A69,RawDataDead!BL:BL)</f>
        <v>0</v>
      </c>
      <c r="BJ69">
        <f>SUMIF(RawDataDead!$B:$B,$A69,RawDataDead!BM:BM)</f>
        <v>0</v>
      </c>
      <c r="BK69">
        <f>SUMIF(RawDataDead!$B:$B,$A69,RawDataDead!BN:BN)</f>
        <v>0</v>
      </c>
      <c r="BL69">
        <f>SUMIF(RawDataDead!$B:$B,$A69,RawDataDead!BO:BO)</f>
        <v>0</v>
      </c>
      <c r="BM69">
        <f>SUMIF(RawDataDead!$B:$B,$A69,RawDataDead!BP:BP)</f>
        <v>0</v>
      </c>
      <c r="BN69">
        <f>SUMIF(RawDataDead!$B:$B,$A69,RawDataDead!BQ:BQ)</f>
        <v>0</v>
      </c>
      <c r="BO69">
        <f>SUMIF(RawDataDead!$B:$B,$A69,RawDataDead!BR:BR)</f>
        <v>0</v>
      </c>
      <c r="BP69">
        <f>SUMIF(RawDataDead!$B:$B,$A69,RawDataDead!BS:BS)</f>
        <v>0</v>
      </c>
      <c r="BQ69">
        <f>SUMIF(RawDataDead!$B:$B,$A69,RawDataDead!BT:BT)</f>
        <v>0</v>
      </c>
      <c r="BR69">
        <f>SUMIF(RawDataDead!$B:$B,$A69,RawDataDead!BU:BU)</f>
        <v>0</v>
      </c>
      <c r="BS69">
        <f>SUMIF(RawDataDead!$B:$B,$A69,RawDataDead!BV:BV)</f>
        <v>0</v>
      </c>
      <c r="BT69">
        <f>SUMIF(RawDataDead!$B:$B,$A69,RawDataDead!BW:BW)</f>
        <v>0</v>
      </c>
    </row>
    <row r="70" spans="1:72" ht="15" thickBot="1" x14ac:dyDescent="0.35">
      <c r="A70" s="4" t="s">
        <v>98</v>
      </c>
      <c r="B70">
        <f>SUMIF(RawDataDead!$B:$B,$A70,RawDataDead!E:E)</f>
        <v>0</v>
      </c>
      <c r="C70">
        <f>SUMIF(RawDataDead!$B:$B,$A70,RawDataDead!F:F)</f>
        <v>0</v>
      </c>
      <c r="D70">
        <f>SUMIF(RawDataDead!$B:$B,$A70,RawDataDead!G:G)</f>
        <v>0</v>
      </c>
      <c r="E70">
        <f>SUMIF(RawDataDead!$B:$B,$A70,RawDataDead!H:H)</f>
        <v>0</v>
      </c>
      <c r="F70">
        <f>SUMIF(RawDataDead!$B:$B,$A70,RawDataDead!I:I)</f>
        <v>0</v>
      </c>
      <c r="G70">
        <f>SUMIF(RawDataDead!$B:$B,$A70,RawDataDead!J:J)</f>
        <v>0</v>
      </c>
      <c r="H70">
        <f>SUMIF(RawDataDead!$B:$B,$A70,RawDataDead!K:K)</f>
        <v>0</v>
      </c>
      <c r="I70">
        <f>SUMIF(RawDataDead!$B:$B,$A70,RawDataDead!L:L)</f>
        <v>0</v>
      </c>
      <c r="J70">
        <f>SUMIF(RawDataDead!$B:$B,$A70,RawDataDead!M:M)</f>
        <v>0</v>
      </c>
      <c r="K70">
        <f>SUMIF(RawDataDead!$B:$B,$A70,RawDataDead!N:N)</f>
        <v>0</v>
      </c>
      <c r="L70">
        <f>SUMIF(RawDataDead!$B:$B,$A70,RawDataDead!O:O)</f>
        <v>0</v>
      </c>
      <c r="M70">
        <f>SUMIF(RawDataDead!$B:$B,$A70,RawDataDead!P:P)</f>
        <v>0</v>
      </c>
      <c r="N70">
        <f>SUMIF(RawDataDead!$B:$B,$A70,RawDataDead!Q:Q)</f>
        <v>0</v>
      </c>
      <c r="O70">
        <f>SUMIF(RawDataDead!$B:$B,$A70,RawDataDead!R:R)</f>
        <v>0</v>
      </c>
      <c r="P70">
        <f>SUMIF(RawDataDead!$B:$B,$A70,RawDataDead!S:S)</f>
        <v>0</v>
      </c>
      <c r="Q70">
        <f>SUMIF(RawDataDead!$B:$B,$A70,RawDataDead!T:T)</f>
        <v>0</v>
      </c>
      <c r="R70">
        <f>SUMIF(RawDataDead!$B:$B,$A70,RawDataDead!U:U)</f>
        <v>0</v>
      </c>
      <c r="S70">
        <f>SUMIF(RawDataDead!$B:$B,$A70,RawDataDead!V:V)</f>
        <v>0</v>
      </c>
      <c r="T70">
        <f>SUMIF(RawDataDead!$B:$B,$A70,RawDataDead!W:W)</f>
        <v>0</v>
      </c>
      <c r="U70">
        <f>SUMIF(RawDataDead!$B:$B,$A70,RawDataDead!X:X)</f>
        <v>0</v>
      </c>
      <c r="V70">
        <f>SUMIF(RawDataDead!$B:$B,$A70,RawDataDead!Y:Y)</f>
        <v>0</v>
      </c>
      <c r="W70">
        <f>SUMIF(RawDataDead!$B:$B,$A70,RawDataDead!Z:Z)</f>
        <v>0</v>
      </c>
      <c r="X70">
        <f>SUMIF(RawDataDead!$B:$B,$A70,RawDataDead!AA:AA)</f>
        <v>0</v>
      </c>
      <c r="Y70">
        <f>SUMIF(RawDataDead!$B:$B,$A70,RawDataDead!AB:AB)</f>
        <v>0</v>
      </c>
      <c r="Z70">
        <f>SUMIF(RawDataDead!$B:$B,$A70,RawDataDead!AC:AC)</f>
        <v>0</v>
      </c>
      <c r="AA70">
        <f>SUMIF(RawDataDead!$B:$B,$A70,RawDataDead!AD:AD)</f>
        <v>0</v>
      </c>
      <c r="AB70">
        <f>SUMIF(RawDataDead!$B:$B,$A70,RawDataDead!AE:AE)</f>
        <v>0</v>
      </c>
      <c r="AC70">
        <f>SUMIF(RawDataDead!$B:$B,$A70,RawDataDead!AF:AF)</f>
        <v>0</v>
      </c>
      <c r="AD70">
        <f>SUMIF(RawDataDead!$B:$B,$A70,RawDataDead!AG:AG)</f>
        <v>0</v>
      </c>
      <c r="AE70">
        <f>SUMIF(RawDataDead!$B:$B,$A70,RawDataDead!AH:AH)</f>
        <v>0</v>
      </c>
      <c r="AF70">
        <f>SUMIF(RawDataDead!$B:$B,$A70,RawDataDead!AI:AI)</f>
        <v>0</v>
      </c>
      <c r="AG70">
        <f>SUMIF(RawDataDead!$B:$B,$A70,RawDataDead!AJ:AJ)</f>
        <v>0</v>
      </c>
      <c r="AH70">
        <f>SUMIF(RawDataDead!$B:$B,$A70,RawDataDead!AK:AK)</f>
        <v>0</v>
      </c>
      <c r="AI70">
        <f>SUMIF(RawDataDead!$B:$B,$A70,RawDataDead!AL:AL)</f>
        <v>0</v>
      </c>
      <c r="AJ70">
        <f>SUMIF(RawDataDead!$B:$B,$A70,RawDataDead!AM:AM)</f>
        <v>0</v>
      </c>
      <c r="AK70">
        <f>SUMIF(RawDataDead!$B:$B,$A70,RawDataDead!AN:AN)</f>
        <v>0</v>
      </c>
      <c r="AL70">
        <f>SUMIF(RawDataDead!$B:$B,$A70,RawDataDead!AO:AO)</f>
        <v>0</v>
      </c>
      <c r="AM70">
        <f>SUMIF(RawDataDead!$B:$B,$A70,RawDataDead!AP:AP)</f>
        <v>0</v>
      </c>
      <c r="AN70">
        <f>SUMIF(RawDataDead!$B:$B,$A70,RawDataDead!AQ:AQ)</f>
        <v>0</v>
      </c>
      <c r="AO70">
        <f>SUMIF(RawDataDead!$B:$B,$A70,RawDataDead!AR:AR)</f>
        <v>0</v>
      </c>
      <c r="AP70">
        <f>SUMIF(RawDataDead!$B:$B,$A70,RawDataDead!AS:AS)</f>
        <v>0</v>
      </c>
      <c r="AQ70">
        <f>SUMIF(RawDataDead!$B:$B,$A70,RawDataDead!AT:AT)</f>
        <v>0</v>
      </c>
      <c r="AR70">
        <f>SUMIF(RawDataDead!$B:$B,$A70,RawDataDead!AU:AU)</f>
        <v>0</v>
      </c>
      <c r="AS70">
        <f>SUMIF(RawDataDead!$B:$B,$A70,RawDataDead!AV:AV)</f>
        <v>0</v>
      </c>
      <c r="AT70">
        <f>SUMIF(RawDataDead!$B:$B,$A70,RawDataDead!AW:AW)</f>
        <v>0</v>
      </c>
      <c r="AU70">
        <f>SUMIF(RawDataDead!$B:$B,$A70,RawDataDead!AX:AX)</f>
        <v>0</v>
      </c>
      <c r="AV70">
        <f>SUMIF(RawDataDead!$B:$B,$A70,RawDataDead!AY:AY)</f>
        <v>0</v>
      </c>
      <c r="AW70">
        <f>SUMIF(RawDataDead!$B:$B,$A70,RawDataDead!AZ:AZ)</f>
        <v>0</v>
      </c>
      <c r="AX70">
        <f>SUMIF(RawDataDead!$B:$B,$A70,RawDataDead!BA:BA)</f>
        <v>0</v>
      </c>
      <c r="AY70">
        <f>SUMIF(RawDataDead!$B:$B,$A70,RawDataDead!BB:BB)</f>
        <v>0</v>
      </c>
      <c r="AZ70">
        <f>SUMIF(RawDataDead!$B:$B,$A70,RawDataDead!BC:BC)</f>
        <v>0</v>
      </c>
      <c r="BA70">
        <f>SUMIF(RawDataDead!$B:$B,$A70,RawDataDead!BD:BD)</f>
        <v>0</v>
      </c>
      <c r="BB70">
        <f>SUMIF(RawDataDead!$B:$B,$A70,RawDataDead!BE:BE)</f>
        <v>0</v>
      </c>
      <c r="BC70">
        <f>SUMIF(RawDataDead!$B:$B,$A70,RawDataDead!BF:BF)</f>
        <v>0</v>
      </c>
      <c r="BD70">
        <f>SUMIF(RawDataDead!$B:$B,$A70,RawDataDead!BG:BG)</f>
        <v>0</v>
      </c>
      <c r="BE70">
        <f>SUMIF(RawDataDead!$B:$B,$A70,RawDataDead!BH:BH)</f>
        <v>0</v>
      </c>
      <c r="BF70">
        <f>SUMIF(RawDataDead!$B:$B,$A70,RawDataDead!BI:BI)</f>
        <v>0</v>
      </c>
      <c r="BG70">
        <f>SUMIF(RawDataDead!$B:$B,$A70,RawDataDead!BJ:BJ)</f>
        <v>0</v>
      </c>
      <c r="BH70">
        <f>SUMIF(RawDataDead!$B:$B,$A70,RawDataDead!BK:BK)</f>
        <v>0</v>
      </c>
      <c r="BI70">
        <f>SUMIF(RawDataDead!$B:$B,$A70,RawDataDead!BL:BL)</f>
        <v>0</v>
      </c>
      <c r="BJ70">
        <f>SUMIF(RawDataDead!$B:$B,$A70,RawDataDead!BM:BM)</f>
        <v>0</v>
      </c>
      <c r="BK70">
        <f>SUMIF(RawDataDead!$B:$B,$A70,RawDataDead!BN:BN)</f>
        <v>0</v>
      </c>
      <c r="BL70">
        <f>SUMIF(RawDataDead!$B:$B,$A70,RawDataDead!BO:BO)</f>
        <v>0</v>
      </c>
      <c r="BM70">
        <f>SUMIF(RawDataDead!$B:$B,$A70,RawDataDead!BP:BP)</f>
        <v>0</v>
      </c>
      <c r="BN70">
        <f>SUMIF(RawDataDead!$B:$B,$A70,RawDataDead!BQ:BQ)</f>
        <v>0</v>
      </c>
      <c r="BO70">
        <f>SUMIF(RawDataDead!$B:$B,$A70,RawDataDead!BR:BR)</f>
        <v>0</v>
      </c>
      <c r="BP70">
        <f>SUMIF(RawDataDead!$B:$B,$A70,RawDataDead!BS:BS)</f>
        <v>0</v>
      </c>
      <c r="BQ70">
        <f>SUMIF(RawDataDead!$B:$B,$A70,RawDataDead!BT:BT)</f>
        <v>0</v>
      </c>
      <c r="BR70">
        <f>SUMIF(RawDataDead!$B:$B,$A70,RawDataDead!BU:BU)</f>
        <v>0</v>
      </c>
      <c r="BS70">
        <f>SUMIF(RawDataDead!$B:$B,$A70,RawDataDead!BV:BV)</f>
        <v>0</v>
      </c>
      <c r="BT70">
        <f>SUMIF(RawDataDead!$B:$B,$A70,RawDataDead!BW:BW)</f>
        <v>0</v>
      </c>
    </row>
    <row r="71" spans="1:72" ht="15" thickBot="1" x14ac:dyDescent="0.35">
      <c r="A71" s="4" t="s">
        <v>130</v>
      </c>
      <c r="B71">
        <f>SUMIF(RawDataDead!$B:$B,$A71,RawDataDead!E:E)</f>
        <v>0</v>
      </c>
      <c r="C71">
        <f>SUMIF(RawDataDead!$B:$B,$A71,RawDataDead!F:F)</f>
        <v>0</v>
      </c>
      <c r="D71">
        <f>SUMIF(RawDataDead!$B:$B,$A71,RawDataDead!G:G)</f>
        <v>0</v>
      </c>
      <c r="E71">
        <f>SUMIF(RawDataDead!$B:$B,$A71,RawDataDead!H:H)</f>
        <v>0</v>
      </c>
      <c r="F71">
        <f>SUMIF(RawDataDead!$B:$B,$A71,RawDataDead!I:I)</f>
        <v>0</v>
      </c>
      <c r="G71">
        <f>SUMIF(RawDataDead!$B:$B,$A71,RawDataDead!J:J)</f>
        <v>0</v>
      </c>
      <c r="H71">
        <f>SUMIF(RawDataDead!$B:$B,$A71,RawDataDead!K:K)</f>
        <v>0</v>
      </c>
      <c r="I71">
        <f>SUMIF(RawDataDead!$B:$B,$A71,RawDataDead!L:L)</f>
        <v>0</v>
      </c>
      <c r="J71">
        <f>SUMIF(RawDataDead!$B:$B,$A71,RawDataDead!M:M)</f>
        <v>0</v>
      </c>
      <c r="K71">
        <f>SUMIF(RawDataDead!$B:$B,$A71,RawDataDead!N:N)</f>
        <v>0</v>
      </c>
      <c r="L71">
        <f>SUMIF(RawDataDead!$B:$B,$A71,RawDataDead!O:O)</f>
        <v>0</v>
      </c>
      <c r="M71">
        <f>SUMIF(RawDataDead!$B:$B,$A71,RawDataDead!P:P)</f>
        <v>0</v>
      </c>
      <c r="N71">
        <f>SUMIF(RawDataDead!$B:$B,$A71,RawDataDead!Q:Q)</f>
        <v>0</v>
      </c>
      <c r="O71">
        <f>SUMIF(RawDataDead!$B:$B,$A71,RawDataDead!R:R)</f>
        <v>0</v>
      </c>
      <c r="P71">
        <f>SUMIF(RawDataDead!$B:$B,$A71,RawDataDead!S:S)</f>
        <v>0</v>
      </c>
      <c r="Q71">
        <f>SUMIF(RawDataDead!$B:$B,$A71,RawDataDead!T:T)</f>
        <v>0</v>
      </c>
      <c r="R71">
        <f>SUMIF(RawDataDead!$B:$B,$A71,RawDataDead!U:U)</f>
        <v>0</v>
      </c>
      <c r="S71">
        <f>SUMIF(RawDataDead!$B:$B,$A71,RawDataDead!V:V)</f>
        <v>0</v>
      </c>
      <c r="T71">
        <f>SUMIF(RawDataDead!$B:$B,$A71,RawDataDead!W:W)</f>
        <v>0</v>
      </c>
      <c r="U71">
        <f>SUMIF(RawDataDead!$B:$B,$A71,RawDataDead!X:X)</f>
        <v>0</v>
      </c>
      <c r="V71">
        <f>SUMIF(RawDataDead!$B:$B,$A71,RawDataDead!Y:Y)</f>
        <v>0</v>
      </c>
      <c r="W71">
        <f>SUMIF(RawDataDead!$B:$B,$A71,RawDataDead!Z:Z)</f>
        <v>0</v>
      </c>
      <c r="X71">
        <f>SUMIF(RawDataDead!$B:$B,$A71,RawDataDead!AA:AA)</f>
        <v>0</v>
      </c>
      <c r="Y71">
        <f>SUMIF(RawDataDead!$B:$B,$A71,RawDataDead!AB:AB)</f>
        <v>0</v>
      </c>
      <c r="Z71">
        <f>SUMIF(RawDataDead!$B:$B,$A71,RawDataDead!AC:AC)</f>
        <v>0</v>
      </c>
      <c r="AA71">
        <f>SUMIF(RawDataDead!$B:$B,$A71,RawDataDead!AD:AD)</f>
        <v>0</v>
      </c>
      <c r="AB71">
        <f>SUMIF(RawDataDead!$B:$B,$A71,RawDataDead!AE:AE)</f>
        <v>0</v>
      </c>
      <c r="AC71">
        <f>SUMIF(RawDataDead!$B:$B,$A71,RawDataDead!AF:AF)</f>
        <v>0</v>
      </c>
      <c r="AD71">
        <f>SUMIF(RawDataDead!$B:$B,$A71,RawDataDead!AG:AG)</f>
        <v>0</v>
      </c>
      <c r="AE71">
        <f>SUMIF(RawDataDead!$B:$B,$A71,RawDataDead!AH:AH)</f>
        <v>0</v>
      </c>
      <c r="AF71">
        <f>SUMIF(RawDataDead!$B:$B,$A71,RawDataDead!AI:AI)</f>
        <v>0</v>
      </c>
      <c r="AG71">
        <f>SUMIF(RawDataDead!$B:$B,$A71,RawDataDead!AJ:AJ)</f>
        <v>0</v>
      </c>
      <c r="AH71">
        <f>SUMIF(RawDataDead!$B:$B,$A71,RawDataDead!AK:AK)</f>
        <v>0</v>
      </c>
      <c r="AI71">
        <f>SUMIF(RawDataDead!$B:$B,$A71,RawDataDead!AL:AL)</f>
        <v>0</v>
      </c>
      <c r="AJ71">
        <f>SUMIF(RawDataDead!$B:$B,$A71,RawDataDead!AM:AM)</f>
        <v>0</v>
      </c>
      <c r="AK71">
        <f>SUMIF(RawDataDead!$B:$B,$A71,RawDataDead!AN:AN)</f>
        <v>0</v>
      </c>
      <c r="AL71">
        <f>SUMIF(RawDataDead!$B:$B,$A71,RawDataDead!AO:AO)</f>
        <v>0</v>
      </c>
      <c r="AM71">
        <f>SUMIF(RawDataDead!$B:$B,$A71,RawDataDead!AP:AP)</f>
        <v>0</v>
      </c>
      <c r="AN71">
        <f>SUMIF(RawDataDead!$B:$B,$A71,RawDataDead!AQ:AQ)</f>
        <v>0</v>
      </c>
      <c r="AO71">
        <f>SUMIF(RawDataDead!$B:$B,$A71,RawDataDead!AR:AR)</f>
        <v>0</v>
      </c>
      <c r="AP71">
        <f>SUMIF(RawDataDead!$B:$B,$A71,RawDataDead!AS:AS)</f>
        <v>0</v>
      </c>
      <c r="AQ71">
        <f>SUMIF(RawDataDead!$B:$B,$A71,RawDataDead!AT:AT)</f>
        <v>0</v>
      </c>
      <c r="AR71">
        <f>SUMIF(RawDataDead!$B:$B,$A71,RawDataDead!AU:AU)</f>
        <v>0</v>
      </c>
      <c r="AS71">
        <f>SUMIF(RawDataDead!$B:$B,$A71,RawDataDead!AV:AV)</f>
        <v>0</v>
      </c>
      <c r="AT71">
        <f>SUMIF(RawDataDead!$B:$B,$A71,RawDataDead!AW:AW)</f>
        <v>0</v>
      </c>
      <c r="AU71">
        <f>SUMIF(RawDataDead!$B:$B,$A71,RawDataDead!AX:AX)</f>
        <v>0</v>
      </c>
      <c r="AV71">
        <f>SUMIF(RawDataDead!$B:$B,$A71,RawDataDead!AY:AY)</f>
        <v>0</v>
      </c>
      <c r="AW71">
        <f>SUMIF(RawDataDead!$B:$B,$A71,RawDataDead!AZ:AZ)</f>
        <v>0</v>
      </c>
      <c r="AX71">
        <f>SUMIF(RawDataDead!$B:$B,$A71,RawDataDead!BA:BA)</f>
        <v>0</v>
      </c>
      <c r="AY71">
        <f>SUMIF(RawDataDead!$B:$B,$A71,RawDataDead!BB:BB)</f>
        <v>0</v>
      </c>
      <c r="AZ71">
        <f>SUMIF(RawDataDead!$B:$B,$A71,RawDataDead!BC:BC)</f>
        <v>0</v>
      </c>
      <c r="BA71">
        <f>SUMIF(RawDataDead!$B:$B,$A71,RawDataDead!BD:BD)</f>
        <v>0</v>
      </c>
      <c r="BB71">
        <f>SUMIF(RawDataDead!$B:$B,$A71,RawDataDead!BE:BE)</f>
        <v>2</v>
      </c>
      <c r="BC71">
        <f>SUMIF(RawDataDead!$B:$B,$A71,RawDataDead!BF:BF)</f>
        <v>2</v>
      </c>
      <c r="BD71">
        <f>SUMIF(RawDataDead!$B:$B,$A71,RawDataDead!BG:BG)</f>
        <v>2</v>
      </c>
      <c r="BE71">
        <f>SUMIF(RawDataDead!$B:$B,$A71,RawDataDead!BH:BH)</f>
        <v>2</v>
      </c>
      <c r="BF71">
        <f>SUMIF(RawDataDead!$B:$B,$A71,RawDataDead!BI:BI)</f>
        <v>0</v>
      </c>
      <c r="BG71">
        <f>SUMIF(RawDataDead!$B:$B,$A71,RawDataDead!BJ:BJ)</f>
        <v>0</v>
      </c>
      <c r="BH71">
        <f>SUMIF(RawDataDead!$B:$B,$A71,RawDataDead!BK:BK)</f>
        <v>0</v>
      </c>
      <c r="BI71">
        <f>SUMIF(RawDataDead!$B:$B,$A71,RawDataDead!BL:BL)</f>
        <v>0</v>
      </c>
      <c r="BJ71">
        <f>SUMIF(RawDataDead!$B:$B,$A71,RawDataDead!BM:BM)</f>
        <v>0</v>
      </c>
      <c r="BK71">
        <f>SUMIF(RawDataDead!$B:$B,$A71,RawDataDead!BN:BN)</f>
        <v>0</v>
      </c>
      <c r="BL71">
        <f>SUMIF(RawDataDead!$B:$B,$A71,RawDataDead!BO:BO)</f>
        <v>0</v>
      </c>
      <c r="BM71">
        <f>SUMIF(RawDataDead!$B:$B,$A71,RawDataDead!BP:BP)</f>
        <v>0</v>
      </c>
      <c r="BN71">
        <f>SUMIF(RawDataDead!$B:$B,$A71,RawDataDead!BQ:BQ)</f>
        <v>0</v>
      </c>
      <c r="BO71">
        <f>SUMIF(RawDataDead!$B:$B,$A71,RawDataDead!BR:BR)</f>
        <v>0</v>
      </c>
      <c r="BP71">
        <f>SUMIF(RawDataDead!$B:$B,$A71,RawDataDead!BS:BS)</f>
        <v>0</v>
      </c>
      <c r="BQ71">
        <f>SUMIF(RawDataDead!$B:$B,$A71,RawDataDead!BT:BT)</f>
        <v>0</v>
      </c>
      <c r="BR71">
        <f>SUMIF(RawDataDead!$B:$B,$A71,RawDataDead!BU:BU)</f>
        <v>0</v>
      </c>
      <c r="BS71">
        <f>SUMIF(RawDataDead!$B:$B,$A71,RawDataDead!BV:BV)</f>
        <v>0</v>
      </c>
      <c r="BT71">
        <f>SUMIF(RawDataDead!$B:$B,$A71,RawDataDead!BW:BW)</f>
        <v>0</v>
      </c>
    </row>
    <row r="72" spans="1:72" ht="15" thickBot="1" x14ac:dyDescent="0.35">
      <c r="A72" s="4" t="s">
        <v>138</v>
      </c>
      <c r="B72">
        <f>SUMIF(RawDataDead!$B:$B,$A72,RawDataDead!E:E)</f>
        <v>0</v>
      </c>
      <c r="C72">
        <f>SUMIF(RawDataDead!$B:$B,$A72,RawDataDead!F:F)</f>
        <v>0</v>
      </c>
      <c r="D72">
        <f>SUMIF(RawDataDead!$B:$B,$A72,RawDataDead!G:G)</f>
        <v>0</v>
      </c>
      <c r="E72">
        <f>SUMIF(RawDataDead!$B:$B,$A72,RawDataDead!H:H)</f>
        <v>0</v>
      </c>
      <c r="F72">
        <f>SUMIF(RawDataDead!$B:$B,$A72,RawDataDead!I:I)</f>
        <v>0</v>
      </c>
      <c r="G72">
        <f>SUMIF(RawDataDead!$B:$B,$A72,RawDataDead!J:J)</f>
        <v>0</v>
      </c>
      <c r="H72">
        <f>SUMIF(RawDataDead!$B:$B,$A72,RawDataDead!K:K)</f>
        <v>0</v>
      </c>
      <c r="I72">
        <f>SUMIF(RawDataDead!$B:$B,$A72,RawDataDead!L:L)</f>
        <v>0</v>
      </c>
      <c r="J72">
        <f>SUMIF(RawDataDead!$B:$B,$A72,RawDataDead!M:M)</f>
        <v>0</v>
      </c>
      <c r="K72">
        <f>SUMIF(RawDataDead!$B:$B,$A72,RawDataDead!N:N)</f>
        <v>0</v>
      </c>
      <c r="L72">
        <f>SUMIF(RawDataDead!$B:$B,$A72,RawDataDead!O:O)</f>
        <v>0</v>
      </c>
      <c r="M72">
        <f>SUMIF(RawDataDead!$B:$B,$A72,RawDataDead!P:P)</f>
        <v>0</v>
      </c>
      <c r="N72">
        <f>SUMIF(RawDataDead!$B:$B,$A72,RawDataDead!Q:Q)</f>
        <v>0</v>
      </c>
      <c r="O72">
        <f>SUMIF(RawDataDead!$B:$B,$A72,RawDataDead!R:R)</f>
        <v>0</v>
      </c>
      <c r="P72">
        <f>SUMIF(RawDataDead!$B:$B,$A72,RawDataDead!S:S)</f>
        <v>0</v>
      </c>
      <c r="Q72">
        <f>SUMIF(RawDataDead!$B:$B,$A72,RawDataDead!T:T)</f>
        <v>0</v>
      </c>
      <c r="R72">
        <f>SUMIF(RawDataDead!$B:$B,$A72,RawDataDead!U:U)</f>
        <v>0</v>
      </c>
      <c r="S72">
        <f>SUMIF(RawDataDead!$B:$B,$A72,RawDataDead!V:V)</f>
        <v>0</v>
      </c>
      <c r="T72">
        <f>SUMIF(RawDataDead!$B:$B,$A72,RawDataDead!W:W)</f>
        <v>0</v>
      </c>
      <c r="U72">
        <f>SUMIF(RawDataDead!$B:$B,$A72,RawDataDead!X:X)</f>
        <v>0</v>
      </c>
      <c r="V72">
        <f>SUMIF(RawDataDead!$B:$B,$A72,RawDataDead!Y:Y)</f>
        <v>0</v>
      </c>
      <c r="W72">
        <f>SUMIF(RawDataDead!$B:$B,$A72,RawDataDead!Z:Z)</f>
        <v>0</v>
      </c>
      <c r="X72">
        <f>SUMIF(RawDataDead!$B:$B,$A72,RawDataDead!AA:AA)</f>
        <v>0</v>
      </c>
      <c r="Y72">
        <f>SUMIF(RawDataDead!$B:$B,$A72,RawDataDead!AB:AB)</f>
        <v>0</v>
      </c>
      <c r="Z72">
        <f>SUMIF(RawDataDead!$B:$B,$A72,RawDataDead!AC:AC)</f>
        <v>0</v>
      </c>
      <c r="AA72">
        <f>SUMIF(RawDataDead!$B:$B,$A72,RawDataDead!AD:AD)</f>
        <v>0</v>
      </c>
      <c r="AB72">
        <f>SUMIF(RawDataDead!$B:$B,$A72,RawDataDead!AE:AE)</f>
        <v>0</v>
      </c>
      <c r="AC72">
        <f>SUMIF(RawDataDead!$B:$B,$A72,RawDataDead!AF:AF)</f>
        <v>0</v>
      </c>
      <c r="AD72">
        <f>SUMIF(RawDataDead!$B:$B,$A72,RawDataDead!AG:AG)</f>
        <v>0</v>
      </c>
      <c r="AE72">
        <f>SUMIF(RawDataDead!$B:$B,$A72,RawDataDead!AH:AH)</f>
        <v>0</v>
      </c>
      <c r="AF72">
        <f>SUMIF(RawDataDead!$B:$B,$A72,RawDataDead!AI:AI)</f>
        <v>0</v>
      </c>
      <c r="AG72">
        <f>SUMIF(RawDataDead!$B:$B,$A72,RawDataDead!AJ:AJ)</f>
        <v>0</v>
      </c>
      <c r="AH72">
        <f>SUMIF(RawDataDead!$B:$B,$A72,RawDataDead!AK:AK)</f>
        <v>0</v>
      </c>
      <c r="AI72">
        <f>SUMIF(RawDataDead!$B:$B,$A72,RawDataDead!AL:AL)</f>
        <v>0</v>
      </c>
      <c r="AJ72">
        <f>SUMIF(RawDataDead!$B:$B,$A72,RawDataDead!AM:AM)</f>
        <v>0</v>
      </c>
      <c r="AK72">
        <f>SUMIF(RawDataDead!$B:$B,$A72,RawDataDead!AN:AN)</f>
        <v>0</v>
      </c>
      <c r="AL72">
        <f>SUMIF(RawDataDead!$B:$B,$A72,RawDataDead!AO:AO)</f>
        <v>0</v>
      </c>
      <c r="AM72">
        <f>SUMIF(RawDataDead!$B:$B,$A72,RawDataDead!AP:AP)</f>
        <v>0</v>
      </c>
      <c r="AN72">
        <f>SUMIF(RawDataDead!$B:$B,$A72,RawDataDead!AQ:AQ)</f>
        <v>0</v>
      </c>
      <c r="AO72">
        <f>SUMIF(RawDataDead!$B:$B,$A72,RawDataDead!AR:AR)</f>
        <v>0</v>
      </c>
      <c r="AP72">
        <f>SUMIF(RawDataDead!$B:$B,$A72,RawDataDead!AS:AS)</f>
        <v>0</v>
      </c>
      <c r="AQ72">
        <f>SUMIF(RawDataDead!$B:$B,$A72,RawDataDead!AT:AT)</f>
        <v>0</v>
      </c>
      <c r="AR72">
        <f>SUMIF(RawDataDead!$B:$B,$A72,RawDataDead!AU:AU)</f>
        <v>0</v>
      </c>
      <c r="AS72">
        <f>SUMIF(RawDataDead!$B:$B,$A72,RawDataDead!AV:AV)</f>
        <v>0</v>
      </c>
      <c r="AT72">
        <f>SUMIF(RawDataDead!$B:$B,$A72,RawDataDead!AW:AW)</f>
        <v>0</v>
      </c>
      <c r="AU72">
        <f>SUMIF(RawDataDead!$B:$B,$A72,RawDataDead!AX:AX)</f>
        <v>0</v>
      </c>
      <c r="AV72">
        <f>SUMIF(RawDataDead!$B:$B,$A72,RawDataDead!AY:AY)</f>
        <v>0</v>
      </c>
      <c r="AW72">
        <f>SUMIF(RawDataDead!$B:$B,$A72,RawDataDead!AZ:AZ)</f>
        <v>0</v>
      </c>
      <c r="AX72">
        <f>SUMIF(RawDataDead!$B:$B,$A72,RawDataDead!BA:BA)</f>
        <v>0</v>
      </c>
      <c r="AY72">
        <f>SUMIF(RawDataDead!$B:$B,$A72,RawDataDead!BB:BB)</f>
        <v>0</v>
      </c>
      <c r="AZ72">
        <f>SUMIF(RawDataDead!$B:$B,$A72,RawDataDead!BC:BC)</f>
        <v>0</v>
      </c>
      <c r="BA72">
        <f>SUMIF(RawDataDead!$B:$B,$A72,RawDataDead!BD:BD)</f>
        <v>0</v>
      </c>
      <c r="BB72">
        <f>SUMIF(RawDataDead!$B:$B,$A72,RawDataDead!BE:BE)</f>
        <v>0</v>
      </c>
      <c r="BC72">
        <f>SUMIF(RawDataDead!$B:$B,$A72,RawDataDead!BF:BF)</f>
        <v>0</v>
      </c>
      <c r="BD72">
        <f>SUMIF(RawDataDead!$B:$B,$A72,RawDataDead!BG:BG)</f>
        <v>0</v>
      </c>
      <c r="BE72">
        <f>SUMIF(RawDataDead!$B:$B,$A72,RawDataDead!BH:BH)</f>
        <v>0</v>
      </c>
      <c r="BF72">
        <f>SUMIF(RawDataDead!$B:$B,$A72,RawDataDead!BI:BI)</f>
        <v>0</v>
      </c>
      <c r="BG72">
        <f>SUMIF(RawDataDead!$B:$B,$A72,RawDataDead!BJ:BJ)</f>
        <v>0</v>
      </c>
      <c r="BH72">
        <f>SUMIF(RawDataDead!$B:$B,$A72,RawDataDead!BK:BK)</f>
        <v>0</v>
      </c>
      <c r="BI72">
        <f>SUMIF(RawDataDead!$B:$B,$A72,RawDataDead!BL:BL)</f>
        <v>0</v>
      </c>
      <c r="BJ72">
        <f>SUMIF(RawDataDead!$B:$B,$A72,RawDataDead!BM:BM)</f>
        <v>0</v>
      </c>
      <c r="BK72">
        <f>SUMIF(RawDataDead!$B:$B,$A72,RawDataDead!BN:BN)</f>
        <v>0</v>
      </c>
      <c r="BL72">
        <f>SUMIF(RawDataDead!$B:$B,$A72,RawDataDead!BO:BO)</f>
        <v>0</v>
      </c>
      <c r="BM72">
        <f>SUMIF(RawDataDead!$B:$B,$A72,RawDataDead!BP:BP)</f>
        <v>0</v>
      </c>
      <c r="BN72">
        <f>SUMIF(RawDataDead!$B:$B,$A72,RawDataDead!BQ:BQ)</f>
        <v>0</v>
      </c>
      <c r="BO72">
        <f>SUMIF(RawDataDead!$B:$B,$A72,RawDataDead!BR:BR)</f>
        <v>0</v>
      </c>
      <c r="BP72">
        <f>SUMIF(RawDataDead!$B:$B,$A72,RawDataDead!BS:BS)</f>
        <v>0</v>
      </c>
      <c r="BQ72">
        <f>SUMIF(RawDataDead!$B:$B,$A72,RawDataDead!BT:BT)</f>
        <v>0</v>
      </c>
      <c r="BR72">
        <f>SUMIF(RawDataDead!$B:$B,$A72,RawDataDead!BU:BU)</f>
        <v>0</v>
      </c>
      <c r="BS72">
        <f>SUMIF(RawDataDead!$B:$B,$A72,RawDataDead!BV:BV)</f>
        <v>0</v>
      </c>
      <c r="BT72">
        <f>SUMIF(RawDataDead!$B:$B,$A72,RawDataDead!BW:BW)</f>
        <v>0</v>
      </c>
    </row>
    <row r="73" spans="1:72" ht="15" thickBot="1" x14ac:dyDescent="0.35">
      <c r="A73" s="4" t="s">
        <v>165</v>
      </c>
      <c r="B73">
        <f>SUMIF(RawDataDead!$B:$B,$A73,RawDataDead!E:E)</f>
        <v>0</v>
      </c>
      <c r="C73">
        <f>SUMIF(RawDataDead!$B:$B,$A73,RawDataDead!F:F)</f>
        <v>0</v>
      </c>
      <c r="D73">
        <f>SUMIF(RawDataDead!$B:$B,$A73,RawDataDead!G:G)</f>
        <v>0</v>
      </c>
      <c r="E73">
        <f>SUMIF(RawDataDead!$B:$B,$A73,RawDataDead!H:H)</f>
        <v>0</v>
      </c>
      <c r="F73">
        <f>SUMIF(RawDataDead!$B:$B,$A73,RawDataDead!I:I)</f>
        <v>0</v>
      </c>
      <c r="G73">
        <f>SUMIF(RawDataDead!$B:$B,$A73,RawDataDead!J:J)</f>
        <v>0</v>
      </c>
      <c r="H73">
        <f>SUMIF(RawDataDead!$B:$B,$A73,RawDataDead!K:K)</f>
        <v>0</v>
      </c>
      <c r="I73">
        <f>SUMIF(RawDataDead!$B:$B,$A73,RawDataDead!L:L)</f>
        <v>0</v>
      </c>
      <c r="J73">
        <f>SUMIF(RawDataDead!$B:$B,$A73,RawDataDead!M:M)</f>
        <v>0</v>
      </c>
      <c r="K73">
        <f>SUMIF(RawDataDead!$B:$B,$A73,RawDataDead!N:N)</f>
        <v>0</v>
      </c>
      <c r="L73">
        <f>SUMIF(RawDataDead!$B:$B,$A73,RawDataDead!O:O)</f>
        <v>0</v>
      </c>
      <c r="M73">
        <f>SUMIF(RawDataDead!$B:$B,$A73,RawDataDead!P:P)</f>
        <v>0</v>
      </c>
      <c r="N73">
        <f>SUMIF(RawDataDead!$B:$B,$A73,RawDataDead!Q:Q)</f>
        <v>0</v>
      </c>
      <c r="O73">
        <f>SUMIF(RawDataDead!$B:$B,$A73,RawDataDead!R:R)</f>
        <v>0</v>
      </c>
      <c r="P73">
        <f>SUMIF(RawDataDead!$B:$B,$A73,RawDataDead!S:S)</f>
        <v>0</v>
      </c>
      <c r="Q73">
        <f>SUMIF(RawDataDead!$B:$B,$A73,RawDataDead!T:T)</f>
        <v>0</v>
      </c>
      <c r="R73">
        <f>SUMIF(RawDataDead!$B:$B,$A73,RawDataDead!U:U)</f>
        <v>0</v>
      </c>
      <c r="S73">
        <f>SUMIF(RawDataDead!$B:$B,$A73,RawDataDead!V:V)</f>
        <v>0</v>
      </c>
      <c r="T73">
        <f>SUMIF(RawDataDead!$B:$B,$A73,RawDataDead!W:W)</f>
        <v>0</v>
      </c>
      <c r="U73">
        <f>SUMIF(RawDataDead!$B:$B,$A73,RawDataDead!X:X)</f>
        <v>0</v>
      </c>
      <c r="V73">
        <f>SUMIF(RawDataDead!$B:$B,$A73,RawDataDead!Y:Y)</f>
        <v>0</v>
      </c>
      <c r="W73">
        <f>SUMIF(RawDataDead!$B:$B,$A73,RawDataDead!Z:Z)</f>
        <v>0</v>
      </c>
      <c r="X73">
        <f>SUMIF(RawDataDead!$B:$B,$A73,RawDataDead!AA:AA)</f>
        <v>0</v>
      </c>
      <c r="Y73">
        <f>SUMIF(RawDataDead!$B:$B,$A73,RawDataDead!AB:AB)</f>
        <v>0</v>
      </c>
      <c r="Z73">
        <f>SUMIF(RawDataDead!$B:$B,$A73,RawDataDead!AC:AC)</f>
        <v>0</v>
      </c>
      <c r="AA73">
        <f>SUMIF(RawDataDead!$B:$B,$A73,RawDataDead!AD:AD)</f>
        <v>0</v>
      </c>
      <c r="AB73">
        <f>SUMIF(RawDataDead!$B:$B,$A73,RawDataDead!AE:AE)</f>
        <v>0</v>
      </c>
      <c r="AC73">
        <f>SUMIF(RawDataDead!$B:$B,$A73,RawDataDead!AF:AF)</f>
        <v>0</v>
      </c>
      <c r="AD73">
        <f>SUMIF(RawDataDead!$B:$B,$A73,RawDataDead!AG:AG)</f>
        <v>0</v>
      </c>
      <c r="AE73">
        <f>SUMIF(RawDataDead!$B:$B,$A73,RawDataDead!AH:AH)</f>
        <v>0</v>
      </c>
      <c r="AF73">
        <f>SUMIF(RawDataDead!$B:$B,$A73,RawDataDead!AI:AI)</f>
        <v>0</v>
      </c>
      <c r="AG73">
        <f>SUMIF(RawDataDead!$B:$B,$A73,RawDataDead!AJ:AJ)</f>
        <v>0</v>
      </c>
      <c r="AH73">
        <f>SUMIF(RawDataDead!$B:$B,$A73,RawDataDead!AK:AK)</f>
        <v>0</v>
      </c>
      <c r="AI73">
        <f>SUMIF(RawDataDead!$B:$B,$A73,RawDataDead!AL:AL)</f>
        <v>0</v>
      </c>
      <c r="AJ73">
        <f>SUMIF(RawDataDead!$B:$B,$A73,RawDataDead!AM:AM)</f>
        <v>0</v>
      </c>
      <c r="AK73">
        <f>SUMIF(RawDataDead!$B:$B,$A73,RawDataDead!AN:AN)</f>
        <v>0</v>
      </c>
      <c r="AL73">
        <f>SUMIF(RawDataDead!$B:$B,$A73,RawDataDead!AO:AO)</f>
        <v>0</v>
      </c>
      <c r="AM73">
        <f>SUMIF(RawDataDead!$B:$B,$A73,RawDataDead!AP:AP)</f>
        <v>0</v>
      </c>
      <c r="AN73">
        <f>SUMIF(RawDataDead!$B:$B,$A73,RawDataDead!AQ:AQ)</f>
        <v>0</v>
      </c>
      <c r="AO73">
        <f>SUMIF(RawDataDead!$B:$B,$A73,RawDataDead!AR:AR)</f>
        <v>0</v>
      </c>
      <c r="AP73">
        <f>SUMIF(RawDataDead!$B:$B,$A73,RawDataDead!AS:AS)</f>
        <v>0</v>
      </c>
      <c r="AQ73">
        <f>SUMIF(RawDataDead!$B:$B,$A73,RawDataDead!AT:AT)</f>
        <v>0</v>
      </c>
      <c r="AR73">
        <f>SUMIF(RawDataDead!$B:$B,$A73,RawDataDead!AU:AU)</f>
        <v>0</v>
      </c>
      <c r="AS73">
        <f>SUMIF(RawDataDead!$B:$B,$A73,RawDataDead!AV:AV)</f>
        <v>0</v>
      </c>
      <c r="AT73">
        <f>SUMIF(RawDataDead!$B:$B,$A73,RawDataDead!AW:AW)</f>
        <v>0</v>
      </c>
      <c r="AU73">
        <f>SUMIF(RawDataDead!$B:$B,$A73,RawDataDead!AX:AX)</f>
        <v>0</v>
      </c>
      <c r="AV73">
        <f>SUMIF(RawDataDead!$B:$B,$A73,RawDataDead!AY:AY)</f>
        <v>0</v>
      </c>
      <c r="AW73">
        <f>SUMIF(RawDataDead!$B:$B,$A73,RawDataDead!AZ:AZ)</f>
        <v>0</v>
      </c>
      <c r="AX73">
        <f>SUMIF(RawDataDead!$B:$B,$A73,RawDataDead!BA:BA)</f>
        <v>0</v>
      </c>
      <c r="AY73">
        <f>SUMIF(RawDataDead!$B:$B,$A73,RawDataDead!BB:BB)</f>
        <v>0</v>
      </c>
      <c r="AZ73">
        <f>SUMIF(RawDataDead!$B:$B,$A73,RawDataDead!BC:BC)</f>
        <v>0</v>
      </c>
      <c r="BA73">
        <f>SUMIF(RawDataDead!$B:$B,$A73,RawDataDead!BD:BD)</f>
        <v>0</v>
      </c>
      <c r="BB73">
        <f>SUMIF(RawDataDead!$B:$B,$A73,RawDataDead!BE:BE)</f>
        <v>0</v>
      </c>
      <c r="BC73">
        <f>SUMIF(RawDataDead!$B:$B,$A73,RawDataDead!BF:BF)</f>
        <v>0</v>
      </c>
      <c r="BD73">
        <f>SUMIF(RawDataDead!$B:$B,$A73,RawDataDead!BG:BG)</f>
        <v>0</v>
      </c>
      <c r="BE73">
        <f>SUMIF(RawDataDead!$B:$B,$A73,RawDataDead!BH:BH)</f>
        <v>0</v>
      </c>
      <c r="BF73">
        <f>SUMIF(RawDataDead!$B:$B,$A73,RawDataDead!BI:BI)</f>
        <v>0</v>
      </c>
      <c r="BG73">
        <f>SUMIF(RawDataDead!$B:$B,$A73,RawDataDead!BJ:BJ)</f>
        <v>0</v>
      </c>
      <c r="BH73">
        <f>SUMIF(RawDataDead!$B:$B,$A73,RawDataDead!BK:BK)</f>
        <v>0</v>
      </c>
      <c r="BI73">
        <f>SUMIF(RawDataDead!$B:$B,$A73,RawDataDead!BL:BL)</f>
        <v>0</v>
      </c>
      <c r="BJ73">
        <f>SUMIF(RawDataDead!$B:$B,$A73,RawDataDead!BM:BM)</f>
        <v>0</v>
      </c>
      <c r="BK73">
        <f>SUMIF(RawDataDead!$B:$B,$A73,RawDataDead!BN:BN)</f>
        <v>0</v>
      </c>
      <c r="BL73">
        <f>SUMIF(RawDataDead!$B:$B,$A73,RawDataDead!BO:BO)</f>
        <v>0</v>
      </c>
      <c r="BM73">
        <f>SUMIF(RawDataDead!$B:$B,$A73,RawDataDead!BP:BP)</f>
        <v>0</v>
      </c>
      <c r="BN73">
        <f>SUMIF(RawDataDead!$B:$B,$A73,RawDataDead!BQ:BQ)</f>
        <v>0</v>
      </c>
      <c r="BO73">
        <f>SUMIF(RawDataDead!$B:$B,$A73,RawDataDead!BR:BR)</f>
        <v>0</v>
      </c>
      <c r="BP73">
        <f>SUMIF(RawDataDead!$B:$B,$A73,RawDataDead!BS:BS)</f>
        <v>0</v>
      </c>
      <c r="BQ73">
        <f>SUMIF(RawDataDead!$B:$B,$A73,RawDataDead!BT:BT)</f>
        <v>0</v>
      </c>
      <c r="BR73">
        <f>SUMIF(RawDataDead!$B:$B,$A73,RawDataDead!BU:BU)</f>
        <v>0</v>
      </c>
      <c r="BS73">
        <f>SUMIF(RawDataDead!$B:$B,$A73,RawDataDead!BV:BV)</f>
        <v>0</v>
      </c>
      <c r="BT73">
        <f>SUMIF(RawDataDead!$B:$B,$A73,RawDataDead!BW:BW)</f>
        <v>0</v>
      </c>
    </row>
    <row r="74" spans="1:72" ht="15" thickBot="1" x14ac:dyDescent="0.35">
      <c r="A74" s="3" t="s">
        <v>131</v>
      </c>
      <c r="B74">
        <f>SUMIF(RawDataDead!$B:$B,$A74,RawDataDead!E:E)</f>
        <v>0</v>
      </c>
      <c r="C74">
        <f>SUMIF(RawDataDead!$B:$B,$A74,RawDataDead!F:F)</f>
        <v>0</v>
      </c>
      <c r="D74">
        <f>SUMIF(RawDataDead!$B:$B,$A74,RawDataDead!G:G)</f>
        <v>0</v>
      </c>
      <c r="E74">
        <f>SUMIF(RawDataDead!$B:$B,$A74,RawDataDead!H:H)</f>
        <v>0</v>
      </c>
      <c r="F74">
        <f>SUMIF(RawDataDead!$B:$B,$A74,RawDataDead!I:I)</f>
        <v>0</v>
      </c>
      <c r="G74">
        <f>SUMIF(RawDataDead!$B:$B,$A74,RawDataDead!J:J)</f>
        <v>0</v>
      </c>
      <c r="H74">
        <f>SUMIF(RawDataDead!$B:$B,$A74,RawDataDead!K:K)</f>
        <v>0</v>
      </c>
      <c r="I74">
        <f>SUMIF(RawDataDead!$B:$B,$A74,RawDataDead!L:L)</f>
        <v>0</v>
      </c>
      <c r="J74">
        <f>SUMIF(RawDataDead!$B:$B,$A74,RawDataDead!M:M)</f>
        <v>0</v>
      </c>
      <c r="K74">
        <f>SUMIF(RawDataDead!$B:$B,$A74,RawDataDead!N:N)</f>
        <v>0</v>
      </c>
      <c r="L74">
        <f>SUMIF(RawDataDead!$B:$B,$A74,RawDataDead!O:O)</f>
        <v>0</v>
      </c>
      <c r="M74">
        <f>SUMIF(RawDataDead!$B:$B,$A74,RawDataDead!P:P)</f>
        <v>0</v>
      </c>
      <c r="N74">
        <f>SUMIF(RawDataDead!$B:$B,$A74,RawDataDead!Q:Q)</f>
        <v>0</v>
      </c>
      <c r="O74">
        <f>SUMIF(RawDataDead!$B:$B,$A74,RawDataDead!R:R)</f>
        <v>0</v>
      </c>
      <c r="P74">
        <f>SUMIF(RawDataDead!$B:$B,$A74,RawDataDead!S:S)</f>
        <v>0</v>
      </c>
      <c r="Q74">
        <f>SUMIF(RawDataDead!$B:$B,$A74,RawDataDead!T:T)</f>
        <v>0</v>
      </c>
      <c r="R74">
        <f>SUMIF(RawDataDead!$B:$B,$A74,RawDataDead!U:U)</f>
        <v>0</v>
      </c>
      <c r="S74">
        <f>SUMIF(RawDataDead!$B:$B,$A74,RawDataDead!V:V)</f>
        <v>0</v>
      </c>
      <c r="T74">
        <f>SUMIF(RawDataDead!$B:$B,$A74,RawDataDead!W:W)</f>
        <v>0</v>
      </c>
      <c r="U74">
        <f>SUMIF(RawDataDead!$B:$B,$A74,RawDataDead!X:X)</f>
        <v>0</v>
      </c>
      <c r="V74">
        <f>SUMIF(RawDataDead!$B:$B,$A74,RawDataDead!Y:Y)</f>
        <v>0</v>
      </c>
      <c r="W74">
        <f>SUMIF(RawDataDead!$B:$B,$A74,RawDataDead!Z:Z)</f>
        <v>0</v>
      </c>
      <c r="X74">
        <f>SUMIF(RawDataDead!$B:$B,$A74,RawDataDead!AA:AA)</f>
        <v>0</v>
      </c>
      <c r="Y74">
        <f>SUMIF(RawDataDead!$B:$B,$A74,RawDataDead!AB:AB)</f>
        <v>0</v>
      </c>
      <c r="Z74">
        <f>SUMIF(RawDataDead!$B:$B,$A74,RawDataDead!AC:AC)</f>
        <v>0</v>
      </c>
      <c r="AA74">
        <f>SUMIF(RawDataDead!$B:$B,$A74,RawDataDead!AD:AD)</f>
        <v>0</v>
      </c>
      <c r="AB74">
        <f>SUMIF(RawDataDead!$B:$B,$A74,RawDataDead!AE:AE)</f>
        <v>0</v>
      </c>
      <c r="AC74">
        <f>SUMIF(RawDataDead!$B:$B,$A74,RawDataDead!AF:AF)</f>
        <v>0</v>
      </c>
      <c r="AD74">
        <f>SUMIF(RawDataDead!$B:$B,$A74,RawDataDead!AG:AG)</f>
        <v>0</v>
      </c>
      <c r="AE74">
        <f>SUMIF(RawDataDead!$B:$B,$A74,RawDataDead!AH:AH)</f>
        <v>0</v>
      </c>
      <c r="AF74">
        <f>SUMIF(RawDataDead!$B:$B,$A74,RawDataDead!AI:AI)</f>
        <v>0</v>
      </c>
      <c r="AG74">
        <f>SUMIF(RawDataDead!$B:$B,$A74,RawDataDead!AJ:AJ)</f>
        <v>0</v>
      </c>
      <c r="AH74">
        <f>SUMIF(RawDataDead!$B:$B,$A74,RawDataDead!AK:AK)</f>
        <v>0</v>
      </c>
      <c r="AI74">
        <f>SUMIF(RawDataDead!$B:$B,$A74,RawDataDead!AL:AL)</f>
        <v>0</v>
      </c>
      <c r="AJ74">
        <f>SUMIF(RawDataDead!$B:$B,$A74,RawDataDead!AM:AM)</f>
        <v>0</v>
      </c>
      <c r="AK74">
        <f>SUMIF(RawDataDead!$B:$B,$A74,RawDataDead!AN:AN)</f>
        <v>0</v>
      </c>
      <c r="AL74">
        <f>SUMIF(RawDataDead!$B:$B,$A74,RawDataDead!AO:AO)</f>
        <v>0</v>
      </c>
      <c r="AM74">
        <f>SUMIF(RawDataDead!$B:$B,$A74,RawDataDead!AP:AP)</f>
        <v>0</v>
      </c>
      <c r="AN74">
        <f>SUMIF(RawDataDead!$B:$B,$A74,RawDataDead!AQ:AQ)</f>
        <v>0</v>
      </c>
      <c r="AO74">
        <f>SUMIF(RawDataDead!$B:$B,$A74,RawDataDead!AR:AR)</f>
        <v>0</v>
      </c>
      <c r="AP74">
        <f>SUMIF(RawDataDead!$B:$B,$A74,RawDataDead!AS:AS)</f>
        <v>0</v>
      </c>
      <c r="AQ74">
        <f>SUMIF(RawDataDead!$B:$B,$A74,RawDataDead!AT:AT)</f>
        <v>0</v>
      </c>
      <c r="AR74">
        <f>SUMIF(RawDataDead!$B:$B,$A74,RawDataDead!AU:AU)</f>
        <v>0</v>
      </c>
      <c r="AS74">
        <f>SUMIF(RawDataDead!$B:$B,$A74,RawDataDead!AV:AV)</f>
        <v>0</v>
      </c>
      <c r="AT74">
        <f>SUMIF(RawDataDead!$B:$B,$A74,RawDataDead!AW:AW)</f>
        <v>0</v>
      </c>
      <c r="AU74">
        <f>SUMIF(RawDataDead!$B:$B,$A74,RawDataDead!AX:AX)</f>
        <v>0</v>
      </c>
      <c r="AV74">
        <f>SUMIF(RawDataDead!$B:$B,$A74,RawDataDead!AY:AY)</f>
        <v>0</v>
      </c>
      <c r="AW74">
        <f>SUMIF(RawDataDead!$B:$B,$A74,RawDataDead!AZ:AZ)</f>
        <v>0</v>
      </c>
      <c r="AX74">
        <f>SUMIF(RawDataDead!$B:$B,$A74,RawDataDead!BA:BA)</f>
        <v>0</v>
      </c>
      <c r="AY74">
        <f>SUMIF(RawDataDead!$B:$B,$A74,RawDataDead!BB:BB)</f>
        <v>0</v>
      </c>
      <c r="AZ74">
        <f>SUMIF(RawDataDead!$B:$B,$A74,RawDataDead!BC:BC)</f>
        <v>0</v>
      </c>
      <c r="BA74">
        <f>SUMIF(RawDataDead!$B:$B,$A74,RawDataDead!BD:BD)</f>
        <v>1</v>
      </c>
      <c r="BB74">
        <f>SUMIF(RawDataDead!$B:$B,$A74,RawDataDead!BE:BE)</f>
        <v>1</v>
      </c>
      <c r="BC74">
        <f>SUMIF(RawDataDead!$B:$B,$A74,RawDataDead!BF:BF)</f>
        <v>1</v>
      </c>
      <c r="BD74">
        <f>SUMIF(RawDataDead!$B:$B,$A74,RawDataDead!BG:BG)</f>
        <v>1</v>
      </c>
      <c r="BE74">
        <f>SUMIF(RawDataDead!$B:$B,$A74,RawDataDead!BH:BH)</f>
        <v>1</v>
      </c>
      <c r="BF74">
        <f>SUMIF(RawDataDead!$B:$B,$A74,RawDataDead!BI:BI)</f>
        <v>0</v>
      </c>
      <c r="BG74">
        <f>SUMIF(RawDataDead!$B:$B,$A74,RawDataDead!BJ:BJ)</f>
        <v>0</v>
      </c>
      <c r="BH74">
        <f>SUMIF(RawDataDead!$B:$B,$A74,RawDataDead!BK:BK)</f>
        <v>0</v>
      </c>
      <c r="BI74">
        <f>SUMIF(RawDataDead!$B:$B,$A74,RawDataDead!BL:BL)</f>
        <v>0</v>
      </c>
      <c r="BJ74">
        <f>SUMIF(RawDataDead!$B:$B,$A74,RawDataDead!BM:BM)</f>
        <v>0</v>
      </c>
      <c r="BK74">
        <f>SUMIF(RawDataDead!$B:$B,$A74,RawDataDead!BN:BN)</f>
        <v>0</v>
      </c>
      <c r="BL74">
        <f>SUMIF(RawDataDead!$B:$B,$A74,RawDataDead!BO:BO)</f>
        <v>0</v>
      </c>
      <c r="BM74">
        <f>SUMIF(RawDataDead!$B:$B,$A74,RawDataDead!BP:BP)</f>
        <v>0</v>
      </c>
      <c r="BN74">
        <f>SUMIF(RawDataDead!$B:$B,$A74,RawDataDead!BQ:BQ)</f>
        <v>0</v>
      </c>
      <c r="BO74">
        <f>SUMIF(RawDataDead!$B:$B,$A74,RawDataDead!BR:BR)</f>
        <v>0</v>
      </c>
      <c r="BP74">
        <f>SUMIF(RawDataDead!$B:$B,$A74,RawDataDead!BS:BS)</f>
        <v>0</v>
      </c>
      <c r="BQ74">
        <f>SUMIF(RawDataDead!$B:$B,$A74,RawDataDead!BT:BT)</f>
        <v>0</v>
      </c>
      <c r="BR74">
        <f>SUMIF(RawDataDead!$B:$B,$A74,RawDataDead!BU:BU)</f>
        <v>0</v>
      </c>
      <c r="BS74">
        <f>SUMIF(RawDataDead!$B:$B,$A74,RawDataDead!BV:BV)</f>
        <v>0</v>
      </c>
      <c r="BT74">
        <f>SUMIF(RawDataDead!$B:$B,$A74,RawDataDead!BW:BW)</f>
        <v>0</v>
      </c>
    </row>
    <row r="75" spans="1:72" ht="15" thickBot="1" x14ac:dyDescent="0.35">
      <c r="A75" s="3" t="s">
        <v>258</v>
      </c>
      <c r="B75">
        <f>SUMIF(RawDataDead!$B:$B,$A75,RawDataDead!E:E)</f>
        <v>0</v>
      </c>
      <c r="C75">
        <f>SUMIF(RawDataDead!$B:$B,$A75,RawDataDead!F:F)</f>
        <v>0</v>
      </c>
      <c r="D75">
        <f>SUMIF(RawDataDead!$B:$B,$A75,RawDataDead!G:G)</f>
        <v>0</v>
      </c>
      <c r="E75">
        <f>SUMIF(RawDataDead!$B:$B,$A75,RawDataDead!H:H)</f>
        <v>0</v>
      </c>
      <c r="F75">
        <f>SUMIF(RawDataDead!$B:$B,$A75,RawDataDead!I:I)</f>
        <v>0</v>
      </c>
      <c r="G75">
        <f>SUMIF(RawDataDead!$B:$B,$A75,RawDataDead!J:J)</f>
        <v>0</v>
      </c>
      <c r="H75">
        <f>SUMIF(RawDataDead!$B:$B,$A75,RawDataDead!K:K)</f>
        <v>0</v>
      </c>
      <c r="I75">
        <f>SUMIF(RawDataDead!$B:$B,$A75,RawDataDead!L:L)</f>
        <v>0</v>
      </c>
      <c r="J75">
        <f>SUMIF(RawDataDead!$B:$B,$A75,RawDataDead!M:M)</f>
        <v>0</v>
      </c>
      <c r="K75">
        <f>SUMIF(RawDataDead!$B:$B,$A75,RawDataDead!N:N)</f>
        <v>0</v>
      </c>
      <c r="L75">
        <f>SUMIF(RawDataDead!$B:$B,$A75,RawDataDead!O:O)</f>
        <v>0</v>
      </c>
      <c r="M75">
        <f>SUMIF(RawDataDead!$B:$B,$A75,RawDataDead!P:P)</f>
        <v>0</v>
      </c>
      <c r="N75">
        <f>SUMIF(RawDataDead!$B:$B,$A75,RawDataDead!Q:Q)</f>
        <v>0</v>
      </c>
      <c r="O75">
        <f>SUMIF(RawDataDead!$B:$B,$A75,RawDataDead!R:R)</f>
        <v>0</v>
      </c>
      <c r="P75">
        <f>SUMIF(RawDataDead!$B:$B,$A75,RawDataDead!S:S)</f>
        <v>0</v>
      </c>
      <c r="Q75">
        <f>SUMIF(RawDataDead!$B:$B,$A75,RawDataDead!T:T)</f>
        <v>0</v>
      </c>
      <c r="R75">
        <f>SUMIF(RawDataDead!$B:$B,$A75,RawDataDead!U:U)</f>
        <v>0</v>
      </c>
      <c r="S75">
        <f>SUMIF(RawDataDead!$B:$B,$A75,RawDataDead!V:V)</f>
        <v>0</v>
      </c>
      <c r="T75">
        <f>SUMIF(RawDataDead!$B:$B,$A75,RawDataDead!W:W)</f>
        <v>0</v>
      </c>
      <c r="U75">
        <f>SUMIF(RawDataDead!$B:$B,$A75,RawDataDead!X:X)</f>
        <v>0</v>
      </c>
      <c r="V75">
        <f>SUMIF(RawDataDead!$B:$B,$A75,RawDataDead!Y:Y)</f>
        <v>0</v>
      </c>
      <c r="W75">
        <f>SUMIF(RawDataDead!$B:$B,$A75,RawDataDead!Z:Z)</f>
        <v>0</v>
      </c>
      <c r="X75">
        <f>SUMIF(RawDataDead!$B:$B,$A75,RawDataDead!AA:AA)</f>
        <v>0</v>
      </c>
      <c r="Y75">
        <f>SUMIF(RawDataDead!$B:$B,$A75,RawDataDead!AB:AB)</f>
        <v>0</v>
      </c>
      <c r="Z75">
        <f>SUMIF(RawDataDead!$B:$B,$A75,RawDataDead!AC:AC)</f>
        <v>0</v>
      </c>
      <c r="AA75">
        <f>SUMIF(RawDataDead!$B:$B,$A75,RawDataDead!AD:AD)</f>
        <v>0</v>
      </c>
      <c r="AB75">
        <f>SUMIF(RawDataDead!$B:$B,$A75,RawDataDead!AE:AE)</f>
        <v>0</v>
      </c>
      <c r="AC75">
        <f>SUMIF(RawDataDead!$B:$B,$A75,RawDataDead!AF:AF)</f>
        <v>0</v>
      </c>
      <c r="AD75">
        <f>SUMIF(RawDataDead!$B:$B,$A75,RawDataDead!AG:AG)</f>
        <v>0</v>
      </c>
      <c r="AE75">
        <f>SUMIF(RawDataDead!$B:$B,$A75,RawDataDead!AH:AH)</f>
        <v>0</v>
      </c>
      <c r="AF75">
        <f>SUMIF(RawDataDead!$B:$B,$A75,RawDataDead!AI:AI)</f>
        <v>0</v>
      </c>
      <c r="AG75">
        <f>SUMIF(RawDataDead!$B:$B,$A75,RawDataDead!AJ:AJ)</f>
        <v>0</v>
      </c>
      <c r="AH75">
        <f>SUMIF(RawDataDead!$B:$B,$A75,RawDataDead!AK:AK)</f>
        <v>0</v>
      </c>
      <c r="AI75">
        <f>SUMIF(RawDataDead!$B:$B,$A75,RawDataDead!AL:AL)</f>
        <v>0</v>
      </c>
      <c r="AJ75">
        <f>SUMIF(RawDataDead!$B:$B,$A75,RawDataDead!AM:AM)</f>
        <v>0</v>
      </c>
      <c r="AK75">
        <f>SUMIF(RawDataDead!$B:$B,$A75,RawDataDead!AN:AN)</f>
        <v>0</v>
      </c>
      <c r="AL75">
        <f>SUMIF(RawDataDead!$B:$B,$A75,RawDataDead!AO:AO)</f>
        <v>0</v>
      </c>
      <c r="AM75">
        <f>SUMIF(RawDataDead!$B:$B,$A75,RawDataDead!AP:AP)</f>
        <v>0</v>
      </c>
      <c r="AN75">
        <f>SUMIF(RawDataDead!$B:$B,$A75,RawDataDead!AQ:AQ)</f>
        <v>0</v>
      </c>
      <c r="AO75">
        <f>SUMIF(RawDataDead!$B:$B,$A75,RawDataDead!AR:AR)</f>
        <v>0</v>
      </c>
      <c r="AP75">
        <f>SUMIF(RawDataDead!$B:$B,$A75,RawDataDead!AS:AS)</f>
        <v>0</v>
      </c>
      <c r="AQ75">
        <f>SUMIF(RawDataDead!$B:$B,$A75,RawDataDead!AT:AT)</f>
        <v>0</v>
      </c>
      <c r="AR75">
        <f>SUMIF(RawDataDead!$B:$B,$A75,RawDataDead!AU:AU)</f>
        <v>0</v>
      </c>
      <c r="AS75">
        <f>SUMIF(RawDataDead!$B:$B,$A75,RawDataDead!AV:AV)</f>
        <v>0</v>
      </c>
      <c r="AT75">
        <f>SUMIF(RawDataDead!$B:$B,$A75,RawDataDead!AW:AW)</f>
        <v>0</v>
      </c>
      <c r="AU75">
        <f>SUMIF(RawDataDead!$B:$B,$A75,RawDataDead!AX:AX)</f>
        <v>0</v>
      </c>
      <c r="AV75">
        <f>SUMIF(RawDataDead!$B:$B,$A75,RawDataDead!AY:AY)</f>
        <v>0</v>
      </c>
      <c r="AW75">
        <f>SUMIF(RawDataDead!$B:$B,$A75,RawDataDead!AZ:AZ)</f>
        <v>0</v>
      </c>
      <c r="AX75">
        <f>SUMIF(RawDataDead!$B:$B,$A75,RawDataDead!BA:BA)</f>
        <v>0</v>
      </c>
      <c r="AY75">
        <f>SUMIF(RawDataDead!$B:$B,$A75,RawDataDead!BB:BB)</f>
        <v>0</v>
      </c>
      <c r="AZ75">
        <f>SUMIF(RawDataDead!$B:$B,$A75,RawDataDead!BC:BC)</f>
        <v>0</v>
      </c>
      <c r="BA75">
        <f>SUMIF(RawDataDead!$B:$B,$A75,RawDataDead!BD:BD)</f>
        <v>0</v>
      </c>
      <c r="BB75">
        <f>SUMIF(RawDataDead!$B:$B,$A75,RawDataDead!BE:BE)</f>
        <v>0</v>
      </c>
      <c r="BC75">
        <f>SUMIF(RawDataDead!$B:$B,$A75,RawDataDead!BF:BF)</f>
        <v>0</v>
      </c>
      <c r="BD75">
        <f>SUMIF(RawDataDead!$B:$B,$A75,RawDataDead!BG:BG)</f>
        <v>0</v>
      </c>
      <c r="BE75">
        <f>SUMIF(RawDataDead!$B:$B,$A75,RawDataDead!BH:BH)</f>
        <v>0</v>
      </c>
      <c r="BF75">
        <f>SUMIF(RawDataDead!$B:$B,$A75,RawDataDead!BI:BI)</f>
        <v>0</v>
      </c>
      <c r="BG75">
        <f>SUMIF(RawDataDead!$B:$B,$A75,RawDataDead!BJ:BJ)</f>
        <v>0</v>
      </c>
      <c r="BH75">
        <f>SUMIF(RawDataDead!$B:$B,$A75,RawDataDead!BK:BK)</f>
        <v>0</v>
      </c>
      <c r="BI75">
        <f>SUMIF(RawDataDead!$B:$B,$A75,RawDataDead!BL:BL)</f>
        <v>0</v>
      </c>
      <c r="BJ75">
        <f>SUMIF(RawDataDead!$B:$B,$A75,RawDataDead!BM:BM)</f>
        <v>0</v>
      </c>
      <c r="BK75">
        <f>SUMIF(RawDataDead!$B:$B,$A75,RawDataDead!BN:BN)</f>
        <v>0</v>
      </c>
      <c r="BL75">
        <f>SUMIF(RawDataDead!$B:$B,$A75,RawDataDead!BO:BO)</f>
        <v>0</v>
      </c>
      <c r="BM75">
        <f>SUMIF(RawDataDead!$B:$B,$A75,RawDataDead!BP:BP)</f>
        <v>0</v>
      </c>
      <c r="BN75">
        <f>SUMIF(RawDataDead!$B:$B,$A75,RawDataDead!BQ:BQ)</f>
        <v>0</v>
      </c>
      <c r="BO75">
        <f>SUMIF(RawDataDead!$B:$B,$A75,RawDataDead!BR:BR)</f>
        <v>0</v>
      </c>
      <c r="BP75">
        <f>SUMIF(RawDataDead!$B:$B,$A75,RawDataDead!BS:BS)</f>
        <v>0</v>
      </c>
      <c r="BQ75">
        <f>SUMIF(RawDataDead!$B:$B,$A75,RawDataDead!BT:BT)</f>
        <v>0</v>
      </c>
      <c r="BR75">
        <f>SUMIF(RawDataDead!$B:$B,$A75,RawDataDead!BU:BU)</f>
        <v>0</v>
      </c>
      <c r="BS75">
        <f>SUMIF(RawDataDead!$B:$B,$A75,RawDataDead!BV:BV)</f>
        <v>0</v>
      </c>
      <c r="BT75">
        <f>SUMIF(RawDataDead!$B:$B,$A75,RawDataDead!BW:BW)</f>
        <v>0</v>
      </c>
    </row>
    <row r="76" spans="1:72" ht="15" thickBot="1" x14ac:dyDescent="0.35">
      <c r="A76" s="3" t="s">
        <v>111</v>
      </c>
      <c r="B76">
        <f>SUMIF(RawDataDead!$B:$B,$A76,RawDataDead!E:E)</f>
        <v>0</v>
      </c>
      <c r="C76">
        <f>SUMIF(RawDataDead!$B:$B,$A76,RawDataDead!F:F)</f>
        <v>0</v>
      </c>
      <c r="D76">
        <f>SUMIF(RawDataDead!$B:$B,$A76,RawDataDead!G:G)</f>
        <v>0</v>
      </c>
      <c r="E76">
        <f>SUMIF(RawDataDead!$B:$B,$A76,RawDataDead!H:H)</f>
        <v>0</v>
      </c>
      <c r="F76">
        <f>SUMIF(RawDataDead!$B:$B,$A76,RawDataDead!I:I)</f>
        <v>0</v>
      </c>
      <c r="G76">
        <f>SUMIF(RawDataDead!$B:$B,$A76,RawDataDead!J:J)</f>
        <v>0</v>
      </c>
      <c r="H76">
        <f>SUMIF(RawDataDead!$B:$B,$A76,RawDataDead!K:K)</f>
        <v>0</v>
      </c>
      <c r="I76">
        <f>SUMIF(RawDataDead!$B:$B,$A76,RawDataDead!L:L)</f>
        <v>0</v>
      </c>
      <c r="J76">
        <f>SUMIF(RawDataDead!$B:$B,$A76,RawDataDead!M:M)</f>
        <v>0</v>
      </c>
      <c r="K76">
        <f>SUMIF(RawDataDead!$B:$B,$A76,RawDataDead!N:N)</f>
        <v>0</v>
      </c>
      <c r="L76">
        <f>SUMIF(RawDataDead!$B:$B,$A76,RawDataDead!O:O)</f>
        <v>0</v>
      </c>
      <c r="M76">
        <f>SUMIF(RawDataDead!$B:$B,$A76,RawDataDead!P:P)</f>
        <v>0</v>
      </c>
      <c r="N76">
        <f>SUMIF(RawDataDead!$B:$B,$A76,RawDataDead!Q:Q)</f>
        <v>0</v>
      </c>
      <c r="O76">
        <f>SUMIF(RawDataDead!$B:$B,$A76,RawDataDead!R:R)</f>
        <v>0</v>
      </c>
      <c r="P76">
        <f>SUMIF(RawDataDead!$B:$B,$A76,RawDataDead!S:S)</f>
        <v>0</v>
      </c>
      <c r="Q76">
        <f>SUMIF(RawDataDead!$B:$B,$A76,RawDataDead!T:T)</f>
        <v>0</v>
      </c>
      <c r="R76">
        <f>SUMIF(RawDataDead!$B:$B,$A76,RawDataDead!U:U)</f>
        <v>0</v>
      </c>
      <c r="S76">
        <f>SUMIF(RawDataDead!$B:$B,$A76,RawDataDead!V:V)</f>
        <v>0</v>
      </c>
      <c r="T76">
        <f>SUMIF(RawDataDead!$B:$B,$A76,RawDataDead!W:W)</f>
        <v>0</v>
      </c>
      <c r="U76">
        <f>SUMIF(RawDataDead!$B:$B,$A76,RawDataDead!X:X)</f>
        <v>0</v>
      </c>
      <c r="V76">
        <f>SUMIF(RawDataDead!$B:$B,$A76,RawDataDead!Y:Y)</f>
        <v>0</v>
      </c>
      <c r="W76">
        <f>SUMIF(RawDataDead!$B:$B,$A76,RawDataDead!Z:Z)</f>
        <v>0</v>
      </c>
      <c r="X76">
        <f>SUMIF(RawDataDead!$B:$B,$A76,RawDataDead!AA:AA)</f>
        <v>0</v>
      </c>
      <c r="Y76">
        <f>SUMIF(RawDataDead!$B:$B,$A76,RawDataDead!AB:AB)</f>
        <v>0</v>
      </c>
      <c r="Z76">
        <f>SUMIF(RawDataDead!$B:$B,$A76,RawDataDead!AC:AC)</f>
        <v>0</v>
      </c>
      <c r="AA76">
        <f>SUMIF(RawDataDead!$B:$B,$A76,RawDataDead!AD:AD)</f>
        <v>0</v>
      </c>
      <c r="AB76">
        <f>SUMIF(RawDataDead!$B:$B,$A76,RawDataDead!AE:AE)</f>
        <v>0</v>
      </c>
      <c r="AC76">
        <f>SUMIF(RawDataDead!$B:$B,$A76,RawDataDead!AF:AF)</f>
        <v>0</v>
      </c>
      <c r="AD76">
        <f>SUMIF(RawDataDead!$B:$B,$A76,RawDataDead!AG:AG)</f>
        <v>0</v>
      </c>
      <c r="AE76">
        <f>SUMIF(RawDataDead!$B:$B,$A76,RawDataDead!AH:AH)</f>
        <v>0</v>
      </c>
      <c r="AF76">
        <f>SUMIF(RawDataDead!$B:$B,$A76,RawDataDead!AI:AI)</f>
        <v>0</v>
      </c>
      <c r="AG76">
        <f>SUMIF(RawDataDead!$B:$B,$A76,RawDataDead!AJ:AJ)</f>
        <v>0</v>
      </c>
      <c r="AH76">
        <f>SUMIF(RawDataDead!$B:$B,$A76,RawDataDead!AK:AK)</f>
        <v>0</v>
      </c>
      <c r="AI76">
        <f>SUMIF(RawDataDead!$B:$B,$A76,RawDataDead!AL:AL)</f>
        <v>0</v>
      </c>
      <c r="AJ76">
        <f>SUMIF(RawDataDead!$B:$B,$A76,RawDataDead!AM:AM)</f>
        <v>0</v>
      </c>
      <c r="AK76">
        <f>SUMIF(RawDataDead!$B:$B,$A76,RawDataDead!AN:AN)</f>
        <v>0</v>
      </c>
      <c r="AL76">
        <f>SUMIF(RawDataDead!$B:$B,$A76,RawDataDead!AO:AO)</f>
        <v>0</v>
      </c>
      <c r="AM76">
        <f>SUMIF(RawDataDead!$B:$B,$A76,RawDataDead!AP:AP)</f>
        <v>0</v>
      </c>
      <c r="AN76">
        <f>SUMIF(RawDataDead!$B:$B,$A76,RawDataDead!AQ:AQ)</f>
        <v>0</v>
      </c>
      <c r="AO76">
        <f>SUMIF(RawDataDead!$B:$B,$A76,RawDataDead!AR:AR)</f>
        <v>0</v>
      </c>
      <c r="AP76">
        <f>SUMIF(RawDataDead!$B:$B,$A76,RawDataDead!AS:AS)</f>
        <v>0</v>
      </c>
      <c r="AQ76">
        <f>SUMIF(RawDataDead!$B:$B,$A76,RawDataDead!AT:AT)</f>
        <v>0</v>
      </c>
      <c r="AR76">
        <f>SUMIF(RawDataDead!$B:$B,$A76,RawDataDead!AU:AU)</f>
        <v>0</v>
      </c>
      <c r="AS76">
        <f>SUMIF(RawDataDead!$B:$B,$A76,RawDataDead!AV:AV)</f>
        <v>0</v>
      </c>
      <c r="AT76">
        <f>SUMIF(RawDataDead!$B:$B,$A76,RawDataDead!AW:AW)</f>
        <v>0</v>
      </c>
      <c r="AU76">
        <f>SUMIF(RawDataDead!$B:$B,$A76,RawDataDead!AX:AX)</f>
        <v>0</v>
      </c>
      <c r="AV76">
        <f>SUMIF(RawDataDead!$B:$B,$A76,RawDataDead!AY:AY)</f>
        <v>0</v>
      </c>
      <c r="AW76">
        <f>SUMIF(RawDataDead!$B:$B,$A76,RawDataDead!AZ:AZ)</f>
        <v>0</v>
      </c>
      <c r="AX76">
        <f>SUMIF(RawDataDead!$B:$B,$A76,RawDataDead!BA:BA)</f>
        <v>0</v>
      </c>
      <c r="AY76">
        <f>SUMIF(RawDataDead!$B:$B,$A76,RawDataDead!BB:BB)</f>
        <v>0</v>
      </c>
      <c r="AZ76">
        <f>SUMIF(RawDataDead!$B:$B,$A76,RawDataDead!BC:BC)</f>
        <v>0</v>
      </c>
      <c r="BA76">
        <f>SUMIF(RawDataDead!$B:$B,$A76,RawDataDead!BD:BD)</f>
        <v>0</v>
      </c>
      <c r="BB76">
        <f>SUMIF(RawDataDead!$B:$B,$A76,RawDataDead!BE:BE)</f>
        <v>0</v>
      </c>
      <c r="BC76">
        <f>SUMIF(RawDataDead!$B:$B,$A76,RawDataDead!BF:BF)</f>
        <v>0</v>
      </c>
      <c r="BD76">
        <f>SUMIF(RawDataDead!$B:$B,$A76,RawDataDead!BG:BG)</f>
        <v>0</v>
      </c>
      <c r="BE76">
        <f>SUMIF(RawDataDead!$B:$B,$A76,RawDataDead!BH:BH)</f>
        <v>0</v>
      </c>
      <c r="BF76">
        <f>SUMIF(RawDataDead!$B:$B,$A76,RawDataDead!BI:BI)</f>
        <v>0</v>
      </c>
      <c r="BG76">
        <f>SUMIF(RawDataDead!$B:$B,$A76,RawDataDead!BJ:BJ)</f>
        <v>0</v>
      </c>
      <c r="BH76">
        <f>SUMIF(RawDataDead!$B:$B,$A76,RawDataDead!BK:BK)</f>
        <v>0</v>
      </c>
      <c r="BI76">
        <f>SUMIF(RawDataDead!$B:$B,$A76,RawDataDead!BL:BL)</f>
        <v>0</v>
      </c>
      <c r="BJ76">
        <f>SUMIF(RawDataDead!$B:$B,$A76,RawDataDead!BM:BM)</f>
        <v>0</v>
      </c>
      <c r="BK76">
        <f>SUMIF(RawDataDead!$B:$B,$A76,RawDataDead!BN:BN)</f>
        <v>0</v>
      </c>
      <c r="BL76">
        <f>SUMIF(RawDataDead!$B:$B,$A76,RawDataDead!BO:BO)</f>
        <v>0</v>
      </c>
      <c r="BM76">
        <f>SUMIF(RawDataDead!$B:$B,$A76,RawDataDead!BP:BP)</f>
        <v>0</v>
      </c>
      <c r="BN76">
        <f>SUMIF(RawDataDead!$B:$B,$A76,RawDataDead!BQ:BQ)</f>
        <v>0</v>
      </c>
      <c r="BO76">
        <f>SUMIF(RawDataDead!$B:$B,$A76,RawDataDead!BR:BR)</f>
        <v>0</v>
      </c>
      <c r="BP76">
        <f>SUMIF(RawDataDead!$B:$B,$A76,RawDataDead!BS:BS)</f>
        <v>0</v>
      </c>
      <c r="BQ76">
        <f>SUMIF(RawDataDead!$B:$B,$A76,RawDataDead!BT:BT)</f>
        <v>0</v>
      </c>
      <c r="BR76">
        <f>SUMIF(RawDataDead!$B:$B,$A76,RawDataDead!BU:BU)</f>
        <v>0</v>
      </c>
      <c r="BS76">
        <f>SUMIF(RawDataDead!$B:$B,$A76,RawDataDead!BV:BV)</f>
        <v>0</v>
      </c>
      <c r="BT76">
        <f>SUMIF(RawDataDead!$B:$B,$A76,RawDataDead!BW:BW)</f>
        <v>0</v>
      </c>
    </row>
    <row r="77" spans="1:72" ht="15" thickBot="1" x14ac:dyDescent="0.35">
      <c r="A77" s="3" t="s">
        <v>167</v>
      </c>
      <c r="B77">
        <f>SUMIF(RawDataDead!$B:$B,$A77,RawDataDead!E:E)</f>
        <v>0</v>
      </c>
      <c r="C77">
        <f>SUMIF(RawDataDead!$B:$B,$A77,RawDataDead!F:F)</f>
        <v>0</v>
      </c>
      <c r="D77">
        <f>SUMIF(RawDataDead!$B:$B,$A77,RawDataDead!G:G)</f>
        <v>0</v>
      </c>
      <c r="E77">
        <f>SUMIF(RawDataDead!$B:$B,$A77,RawDataDead!H:H)</f>
        <v>0</v>
      </c>
      <c r="F77">
        <f>SUMIF(RawDataDead!$B:$B,$A77,RawDataDead!I:I)</f>
        <v>0</v>
      </c>
      <c r="G77">
        <f>SUMIF(RawDataDead!$B:$B,$A77,RawDataDead!J:J)</f>
        <v>0</v>
      </c>
      <c r="H77">
        <f>SUMIF(RawDataDead!$B:$B,$A77,RawDataDead!K:K)</f>
        <v>0</v>
      </c>
      <c r="I77">
        <f>SUMIF(RawDataDead!$B:$B,$A77,RawDataDead!L:L)</f>
        <v>0</v>
      </c>
      <c r="J77">
        <f>SUMIF(RawDataDead!$B:$B,$A77,RawDataDead!M:M)</f>
        <v>0</v>
      </c>
      <c r="K77">
        <f>SUMIF(RawDataDead!$B:$B,$A77,RawDataDead!N:N)</f>
        <v>0</v>
      </c>
      <c r="L77">
        <f>SUMIF(RawDataDead!$B:$B,$A77,RawDataDead!O:O)</f>
        <v>0</v>
      </c>
      <c r="M77">
        <f>SUMIF(RawDataDead!$B:$B,$A77,RawDataDead!P:P)</f>
        <v>0</v>
      </c>
      <c r="N77">
        <f>SUMIF(RawDataDead!$B:$B,$A77,RawDataDead!Q:Q)</f>
        <v>0</v>
      </c>
      <c r="O77">
        <f>SUMIF(RawDataDead!$B:$B,$A77,RawDataDead!R:R)</f>
        <v>0</v>
      </c>
      <c r="P77">
        <f>SUMIF(RawDataDead!$B:$B,$A77,RawDataDead!S:S)</f>
        <v>0</v>
      </c>
      <c r="Q77">
        <f>SUMIF(RawDataDead!$B:$B,$A77,RawDataDead!T:T)</f>
        <v>0</v>
      </c>
      <c r="R77">
        <f>SUMIF(RawDataDead!$B:$B,$A77,RawDataDead!U:U)</f>
        <v>0</v>
      </c>
      <c r="S77">
        <f>SUMIF(RawDataDead!$B:$B,$A77,RawDataDead!V:V)</f>
        <v>0</v>
      </c>
      <c r="T77">
        <f>SUMIF(RawDataDead!$B:$B,$A77,RawDataDead!W:W)</f>
        <v>0</v>
      </c>
      <c r="U77">
        <f>SUMIF(RawDataDead!$B:$B,$A77,RawDataDead!X:X)</f>
        <v>0</v>
      </c>
      <c r="V77">
        <f>SUMIF(RawDataDead!$B:$B,$A77,RawDataDead!Y:Y)</f>
        <v>0</v>
      </c>
      <c r="W77">
        <f>SUMIF(RawDataDead!$B:$B,$A77,RawDataDead!Z:Z)</f>
        <v>0</v>
      </c>
      <c r="X77">
        <f>SUMIF(RawDataDead!$B:$B,$A77,RawDataDead!AA:AA)</f>
        <v>0</v>
      </c>
      <c r="Y77">
        <f>SUMIF(RawDataDead!$B:$B,$A77,RawDataDead!AB:AB)</f>
        <v>0</v>
      </c>
      <c r="Z77">
        <f>SUMIF(RawDataDead!$B:$B,$A77,RawDataDead!AC:AC)</f>
        <v>0</v>
      </c>
      <c r="AA77">
        <f>SUMIF(RawDataDead!$B:$B,$A77,RawDataDead!AD:AD)</f>
        <v>0</v>
      </c>
      <c r="AB77">
        <f>SUMIF(RawDataDead!$B:$B,$A77,RawDataDead!AE:AE)</f>
        <v>0</v>
      </c>
      <c r="AC77">
        <f>SUMIF(RawDataDead!$B:$B,$A77,RawDataDead!AF:AF)</f>
        <v>0</v>
      </c>
      <c r="AD77">
        <f>SUMIF(RawDataDead!$B:$B,$A77,RawDataDead!AG:AG)</f>
        <v>0</v>
      </c>
      <c r="AE77">
        <f>SUMIF(RawDataDead!$B:$B,$A77,RawDataDead!AH:AH)</f>
        <v>0</v>
      </c>
      <c r="AF77">
        <f>SUMIF(RawDataDead!$B:$B,$A77,RawDataDead!AI:AI)</f>
        <v>0</v>
      </c>
      <c r="AG77">
        <f>SUMIF(RawDataDead!$B:$B,$A77,RawDataDead!AJ:AJ)</f>
        <v>0</v>
      </c>
      <c r="AH77">
        <f>SUMIF(RawDataDead!$B:$B,$A77,RawDataDead!AK:AK)</f>
        <v>0</v>
      </c>
      <c r="AI77">
        <f>SUMIF(RawDataDead!$B:$B,$A77,RawDataDead!AL:AL)</f>
        <v>0</v>
      </c>
      <c r="AJ77">
        <f>SUMIF(RawDataDead!$B:$B,$A77,RawDataDead!AM:AM)</f>
        <v>0</v>
      </c>
      <c r="AK77">
        <f>SUMIF(RawDataDead!$B:$B,$A77,RawDataDead!AN:AN)</f>
        <v>0</v>
      </c>
      <c r="AL77">
        <f>SUMIF(RawDataDead!$B:$B,$A77,RawDataDead!AO:AO)</f>
        <v>0</v>
      </c>
      <c r="AM77">
        <f>SUMIF(RawDataDead!$B:$B,$A77,RawDataDead!AP:AP)</f>
        <v>0</v>
      </c>
      <c r="AN77">
        <f>SUMIF(RawDataDead!$B:$B,$A77,RawDataDead!AQ:AQ)</f>
        <v>0</v>
      </c>
      <c r="AO77">
        <f>SUMIF(RawDataDead!$B:$B,$A77,RawDataDead!AR:AR)</f>
        <v>0</v>
      </c>
      <c r="AP77">
        <f>SUMIF(RawDataDead!$B:$B,$A77,RawDataDead!AS:AS)</f>
        <v>0</v>
      </c>
      <c r="AQ77">
        <f>SUMIF(RawDataDead!$B:$B,$A77,RawDataDead!AT:AT)</f>
        <v>0</v>
      </c>
      <c r="AR77">
        <f>SUMIF(RawDataDead!$B:$B,$A77,RawDataDead!AU:AU)</f>
        <v>0</v>
      </c>
      <c r="AS77">
        <f>SUMIF(RawDataDead!$B:$B,$A77,RawDataDead!AV:AV)</f>
        <v>0</v>
      </c>
      <c r="AT77">
        <f>SUMIF(RawDataDead!$B:$B,$A77,RawDataDead!AW:AW)</f>
        <v>0</v>
      </c>
      <c r="AU77">
        <f>SUMIF(RawDataDead!$B:$B,$A77,RawDataDead!AX:AX)</f>
        <v>0</v>
      </c>
      <c r="AV77">
        <f>SUMIF(RawDataDead!$B:$B,$A77,RawDataDead!AY:AY)</f>
        <v>0</v>
      </c>
      <c r="AW77">
        <f>SUMIF(RawDataDead!$B:$B,$A77,RawDataDead!AZ:AZ)</f>
        <v>0</v>
      </c>
      <c r="AX77">
        <f>SUMIF(RawDataDead!$B:$B,$A77,RawDataDead!BA:BA)</f>
        <v>0</v>
      </c>
      <c r="AY77">
        <f>SUMIF(RawDataDead!$B:$B,$A77,RawDataDead!BB:BB)</f>
        <v>0</v>
      </c>
      <c r="AZ77">
        <f>SUMIF(RawDataDead!$B:$B,$A77,RawDataDead!BC:BC)</f>
        <v>0</v>
      </c>
      <c r="BA77">
        <f>SUMIF(RawDataDead!$B:$B,$A77,RawDataDead!BD:BD)</f>
        <v>0</v>
      </c>
      <c r="BB77">
        <f>SUMIF(RawDataDead!$B:$B,$A77,RawDataDead!BE:BE)</f>
        <v>0</v>
      </c>
      <c r="BC77">
        <f>SUMIF(RawDataDead!$B:$B,$A77,RawDataDead!BF:BF)</f>
        <v>0</v>
      </c>
      <c r="BD77">
        <f>SUMIF(RawDataDead!$B:$B,$A77,RawDataDead!BG:BG)</f>
        <v>0</v>
      </c>
      <c r="BE77">
        <f>SUMIF(RawDataDead!$B:$B,$A77,RawDataDead!BH:BH)</f>
        <v>0</v>
      </c>
      <c r="BF77">
        <f>SUMIF(RawDataDead!$B:$B,$A77,RawDataDead!BI:BI)</f>
        <v>0</v>
      </c>
      <c r="BG77">
        <f>SUMIF(RawDataDead!$B:$B,$A77,RawDataDead!BJ:BJ)</f>
        <v>0</v>
      </c>
      <c r="BH77">
        <f>SUMIF(RawDataDead!$B:$B,$A77,RawDataDead!BK:BK)</f>
        <v>0</v>
      </c>
      <c r="BI77">
        <f>SUMIF(RawDataDead!$B:$B,$A77,RawDataDead!BL:BL)</f>
        <v>0</v>
      </c>
      <c r="BJ77">
        <f>SUMIF(RawDataDead!$B:$B,$A77,RawDataDead!BM:BM)</f>
        <v>0</v>
      </c>
      <c r="BK77">
        <f>SUMIF(RawDataDead!$B:$B,$A77,RawDataDead!BN:BN)</f>
        <v>0</v>
      </c>
      <c r="BL77">
        <f>SUMIF(RawDataDead!$B:$B,$A77,RawDataDead!BO:BO)</f>
        <v>0</v>
      </c>
      <c r="BM77">
        <f>SUMIF(RawDataDead!$B:$B,$A77,RawDataDead!BP:BP)</f>
        <v>0</v>
      </c>
      <c r="BN77">
        <f>SUMIF(RawDataDead!$B:$B,$A77,RawDataDead!BQ:BQ)</f>
        <v>0</v>
      </c>
      <c r="BO77">
        <f>SUMIF(RawDataDead!$B:$B,$A77,RawDataDead!BR:BR)</f>
        <v>0</v>
      </c>
      <c r="BP77">
        <f>SUMIF(RawDataDead!$B:$B,$A77,RawDataDead!BS:BS)</f>
        <v>0</v>
      </c>
      <c r="BQ77">
        <f>SUMIF(RawDataDead!$B:$B,$A77,RawDataDead!BT:BT)</f>
        <v>0</v>
      </c>
      <c r="BR77">
        <f>SUMIF(RawDataDead!$B:$B,$A77,RawDataDead!BU:BU)</f>
        <v>0</v>
      </c>
      <c r="BS77">
        <f>SUMIF(RawDataDead!$B:$B,$A77,RawDataDead!BV:BV)</f>
        <v>0</v>
      </c>
      <c r="BT77">
        <f>SUMIF(RawDataDead!$B:$B,$A77,RawDataDead!BW:BW)</f>
        <v>0</v>
      </c>
    </row>
    <row r="78" spans="1:72" ht="15" thickBot="1" x14ac:dyDescent="0.35">
      <c r="A78" s="4" t="s">
        <v>185</v>
      </c>
      <c r="B78">
        <f>SUMIF(RawDataDead!$B:$B,$A78,RawDataDead!E:E)</f>
        <v>0</v>
      </c>
      <c r="C78">
        <f>SUMIF(RawDataDead!$B:$B,$A78,RawDataDead!F:F)</f>
        <v>0</v>
      </c>
      <c r="D78">
        <f>SUMIF(RawDataDead!$B:$B,$A78,RawDataDead!G:G)</f>
        <v>0</v>
      </c>
      <c r="E78">
        <f>SUMIF(RawDataDead!$B:$B,$A78,RawDataDead!H:H)</f>
        <v>0</v>
      </c>
      <c r="F78">
        <f>SUMIF(RawDataDead!$B:$B,$A78,RawDataDead!I:I)</f>
        <v>0</v>
      </c>
      <c r="G78">
        <f>SUMIF(RawDataDead!$B:$B,$A78,RawDataDead!J:J)</f>
        <v>0</v>
      </c>
      <c r="H78">
        <f>SUMIF(RawDataDead!$B:$B,$A78,RawDataDead!K:K)</f>
        <v>0</v>
      </c>
      <c r="I78">
        <f>SUMIF(RawDataDead!$B:$B,$A78,RawDataDead!L:L)</f>
        <v>0</v>
      </c>
      <c r="J78">
        <f>SUMIF(RawDataDead!$B:$B,$A78,RawDataDead!M:M)</f>
        <v>0</v>
      </c>
      <c r="K78">
        <f>SUMIF(RawDataDead!$B:$B,$A78,RawDataDead!N:N)</f>
        <v>0</v>
      </c>
      <c r="L78">
        <f>SUMIF(RawDataDead!$B:$B,$A78,RawDataDead!O:O)</f>
        <v>0</v>
      </c>
      <c r="M78">
        <f>SUMIF(RawDataDead!$B:$B,$A78,RawDataDead!P:P)</f>
        <v>0</v>
      </c>
      <c r="N78">
        <f>SUMIF(RawDataDead!$B:$B,$A78,RawDataDead!Q:Q)</f>
        <v>0</v>
      </c>
      <c r="O78">
        <f>SUMIF(RawDataDead!$B:$B,$A78,RawDataDead!R:R)</f>
        <v>0</v>
      </c>
      <c r="P78">
        <f>SUMIF(RawDataDead!$B:$B,$A78,RawDataDead!S:S)</f>
        <v>0</v>
      </c>
      <c r="Q78">
        <f>SUMIF(RawDataDead!$B:$B,$A78,RawDataDead!T:T)</f>
        <v>0</v>
      </c>
      <c r="R78">
        <f>SUMIF(RawDataDead!$B:$B,$A78,RawDataDead!U:U)</f>
        <v>0</v>
      </c>
      <c r="S78">
        <f>SUMIF(RawDataDead!$B:$B,$A78,RawDataDead!V:V)</f>
        <v>0</v>
      </c>
      <c r="T78">
        <f>SUMIF(RawDataDead!$B:$B,$A78,RawDataDead!W:W)</f>
        <v>0</v>
      </c>
      <c r="U78">
        <f>SUMIF(RawDataDead!$B:$B,$A78,RawDataDead!X:X)</f>
        <v>0</v>
      </c>
      <c r="V78">
        <f>SUMIF(RawDataDead!$B:$B,$A78,RawDataDead!Y:Y)</f>
        <v>0</v>
      </c>
      <c r="W78">
        <f>SUMIF(RawDataDead!$B:$B,$A78,RawDataDead!Z:Z)</f>
        <v>0</v>
      </c>
      <c r="X78">
        <f>SUMIF(RawDataDead!$B:$B,$A78,RawDataDead!AA:AA)</f>
        <v>0</v>
      </c>
      <c r="Y78">
        <f>SUMIF(RawDataDead!$B:$B,$A78,RawDataDead!AB:AB)</f>
        <v>0</v>
      </c>
      <c r="Z78">
        <f>SUMIF(RawDataDead!$B:$B,$A78,RawDataDead!AC:AC)</f>
        <v>0</v>
      </c>
      <c r="AA78">
        <f>SUMIF(RawDataDead!$B:$B,$A78,RawDataDead!AD:AD)</f>
        <v>0</v>
      </c>
      <c r="AB78">
        <f>SUMIF(RawDataDead!$B:$B,$A78,RawDataDead!AE:AE)</f>
        <v>0</v>
      </c>
      <c r="AC78">
        <f>SUMIF(RawDataDead!$B:$B,$A78,RawDataDead!AF:AF)</f>
        <v>0</v>
      </c>
      <c r="AD78">
        <f>SUMIF(RawDataDead!$B:$B,$A78,RawDataDead!AG:AG)</f>
        <v>0</v>
      </c>
      <c r="AE78">
        <f>SUMIF(RawDataDead!$B:$B,$A78,RawDataDead!AH:AH)</f>
        <v>0</v>
      </c>
      <c r="AF78">
        <f>SUMIF(RawDataDead!$B:$B,$A78,RawDataDead!AI:AI)</f>
        <v>0</v>
      </c>
      <c r="AG78">
        <f>SUMIF(RawDataDead!$B:$B,$A78,RawDataDead!AJ:AJ)</f>
        <v>0</v>
      </c>
      <c r="AH78">
        <f>SUMIF(RawDataDead!$B:$B,$A78,RawDataDead!AK:AK)</f>
        <v>0</v>
      </c>
      <c r="AI78">
        <f>SUMIF(RawDataDead!$B:$B,$A78,RawDataDead!AL:AL)</f>
        <v>0</v>
      </c>
      <c r="AJ78">
        <f>SUMIF(RawDataDead!$B:$B,$A78,RawDataDead!AM:AM)</f>
        <v>0</v>
      </c>
      <c r="AK78">
        <f>SUMIF(RawDataDead!$B:$B,$A78,RawDataDead!AN:AN)</f>
        <v>0</v>
      </c>
      <c r="AL78">
        <f>SUMIF(RawDataDead!$B:$B,$A78,RawDataDead!AO:AO)</f>
        <v>0</v>
      </c>
      <c r="AM78">
        <f>SUMIF(RawDataDead!$B:$B,$A78,RawDataDead!AP:AP)</f>
        <v>0</v>
      </c>
      <c r="AN78">
        <f>SUMIF(RawDataDead!$B:$B,$A78,RawDataDead!AQ:AQ)</f>
        <v>0</v>
      </c>
      <c r="AO78">
        <f>SUMIF(RawDataDead!$B:$B,$A78,RawDataDead!AR:AR)</f>
        <v>0</v>
      </c>
      <c r="AP78">
        <f>SUMIF(RawDataDead!$B:$B,$A78,RawDataDead!AS:AS)</f>
        <v>0</v>
      </c>
      <c r="AQ78">
        <f>SUMIF(RawDataDead!$B:$B,$A78,RawDataDead!AT:AT)</f>
        <v>0</v>
      </c>
      <c r="AR78">
        <f>SUMIF(RawDataDead!$B:$B,$A78,RawDataDead!AU:AU)</f>
        <v>0</v>
      </c>
      <c r="AS78">
        <f>SUMIF(RawDataDead!$B:$B,$A78,RawDataDead!AV:AV)</f>
        <v>0</v>
      </c>
      <c r="AT78">
        <f>SUMIF(RawDataDead!$B:$B,$A78,RawDataDead!AW:AW)</f>
        <v>0</v>
      </c>
      <c r="AU78">
        <f>SUMIF(RawDataDead!$B:$B,$A78,RawDataDead!AX:AX)</f>
        <v>0</v>
      </c>
      <c r="AV78">
        <f>SUMIF(RawDataDead!$B:$B,$A78,RawDataDead!AY:AY)</f>
        <v>0</v>
      </c>
      <c r="AW78">
        <f>SUMIF(RawDataDead!$B:$B,$A78,RawDataDead!AZ:AZ)</f>
        <v>0</v>
      </c>
      <c r="AX78">
        <f>SUMIF(RawDataDead!$B:$B,$A78,RawDataDead!BA:BA)</f>
        <v>0</v>
      </c>
      <c r="AY78">
        <f>SUMIF(RawDataDead!$B:$B,$A78,RawDataDead!BB:BB)</f>
        <v>0</v>
      </c>
      <c r="AZ78">
        <f>SUMIF(RawDataDead!$B:$B,$A78,RawDataDead!BC:BC)</f>
        <v>0</v>
      </c>
      <c r="BA78">
        <f>SUMIF(RawDataDead!$B:$B,$A78,RawDataDead!BD:BD)</f>
        <v>0</v>
      </c>
      <c r="BB78">
        <f>SUMIF(RawDataDead!$B:$B,$A78,RawDataDead!BE:BE)</f>
        <v>0</v>
      </c>
      <c r="BC78">
        <f>SUMIF(RawDataDead!$B:$B,$A78,RawDataDead!BF:BF)</f>
        <v>0</v>
      </c>
      <c r="BD78">
        <f>SUMIF(RawDataDead!$B:$B,$A78,RawDataDead!BG:BG)</f>
        <v>0</v>
      </c>
      <c r="BE78">
        <f>SUMIF(RawDataDead!$B:$B,$A78,RawDataDead!BH:BH)</f>
        <v>0</v>
      </c>
      <c r="BF78">
        <f>SUMIF(RawDataDead!$B:$B,$A78,RawDataDead!BI:BI)</f>
        <v>0</v>
      </c>
      <c r="BG78">
        <f>SUMIF(RawDataDead!$B:$B,$A78,RawDataDead!BJ:BJ)</f>
        <v>0</v>
      </c>
      <c r="BH78">
        <f>SUMIF(RawDataDead!$B:$B,$A78,RawDataDead!BK:BK)</f>
        <v>0</v>
      </c>
      <c r="BI78">
        <f>SUMIF(RawDataDead!$B:$B,$A78,RawDataDead!BL:BL)</f>
        <v>0</v>
      </c>
      <c r="BJ78">
        <f>SUMIF(RawDataDead!$B:$B,$A78,RawDataDead!BM:BM)</f>
        <v>0</v>
      </c>
      <c r="BK78">
        <f>SUMIF(RawDataDead!$B:$B,$A78,RawDataDead!BN:BN)</f>
        <v>0</v>
      </c>
      <c r="BL78">
        <f>SUMIF(RawDataDead!$B:$B,$A78,RawDataDead!BO:BO)</f>
        <v>0</v>
      </c>
      <c r="BM78">
        <f>SUMIF(RawDataDead!$B:$B,$A78,RawDataDead!BP:BP)</f>
        <v>0</v>
      </c>
      <c r="BN78">
        <f>SUMIF(RawDataDead!$B:$B,$A78,RawDataDead!BQ:BQ)</f>
        <v>0</v>
      </c>
      <c r="BO78">
        <f>SUMIF(RawDataDead!$B:$B,$A78,RawDataDead!BR:BR)</f>
        <v>0</v>
      </c>
      <c r="BP78">
        <f>SUMIF(RawDataDead!$B:$B,$A78,RawDataDead!BS:BS)</f>
        <v>0</v>
      </c>
      <c r="BQ78">
        <f>SUMIF(RawDataDead!$B:$B,$A78,RawDataDead!BT:BT)</f>
        <v>0</v>
      </c>
      <c r="BR78">
        <f>SUMIF(RawDataDead!$B:$B,$A78,RawDataDead!BU:BU)</f>
        <v>0</v>
      </c>
      <c r="BS78">
        <f>SUMIF(RawDataDead!$B:$B,$A78,RawDataDead!BV:BV)</f>
        <v>0</v>
      </c>
      <c r="BT78">
        <f>SUMIF(RawDataDead!$B:$B,$A78,RawDataDead!BW:BW)</f>
        <v>0</v>
      </c>
    </row>
    <row r="79" spans="1:72" ht="15" thickBot="1" x14ac:dyDescent="0.35">
      <c r="A79" s="3" t="s">
        <v>204</v>
      </c>
      <c r="B79">
        <f>SUMIF(RawDataDead!$B:$B,$A79,RawDataDead!E:E)</f>
        <v>0</v>
      </c>
      <c r="C79">
        <f>SUMIF(RawDataDead!$B:$B,$A79,RawDataDead!F:F)</f>
        <v>0</v>
      </c>
      <c r="D79">
        <f>SUMIF(RawDataDead!$B:$B,$A79,RawDataDead!G:G)</f>
        <v>0</v>
      </c>
      <c r="E79">
        <f>SUMIF(RawDataDead!$B:$B,$A79,RawDataDead!H:H)</f>
        <v>0</v>
      </c>
      <c r="F79">
        <f>SUMIF(RawDataDead!$B:$B,$A79,RawDataDead!I:I)</f>
        <v>0</v>
      </c>
      <c r="G79">
        <f>SUMIF(RawDataDead!$B:$B,$A79,RawDataDead!J:J)</f>
        <v>0</v>
      </c>
      <c r="H79">
        <f>SUMIF(RawDataDead!$B:$B,$A79,RawDataDead!K:K)</f>
        <v>0</v>
      </c>
      <c r="I79">
        <f>SUMIF(RawDataDead!$B:$B,$A79,RawDataDead!L:L)</f>
        <v>0</v>
      </c>
      <c r="J79">
        <f>SUMIF(RawDataDead!$B:$B,$A79,RawDataDead!M:M)</f>
        <v>0</v>
      </c>
      <c r="K79">
        <f>SUMIF(RawDataDead!$B:$B,$A79,RawDataDead!N:N)</f>
        <v>0</v>
      </c>
      <c r="L79">
        <f>SUMIF(RawDataDead!$B:$B,$A79,RawDataDead!O:O)</f>
        <v>0</v>
      </c>
      <c r="M79">
        <f>SUMIF(RawDataDead!$B:$B,$A79,RawDataDead!P:P)</f>
        <v>0</v>
      </c>
      <c r="N79">
        <f>SUMIF(RawDataDead!$B:$B,$A79,RawDataDead!Q:Q)</f>
        <v>0</v>
      </c>
      <c r="O79">
        <f>SUMIF(RawDataDead!$B:$B,$A79,RawDataDead!R:R)</f>
        <v>0</v>
      </c>
      <c r="P79">
        <f>SUMIF(RawDataDead!$B:$B,$A79,RawDataDead!S:S)</f>
        <v>0</v>
      </c>
      <c r="Q79">
        <f>SUMIF(RawDataDead!$B:$B,$A79,RawDataDead!T:T)</f>
        <v>0</v>
      </c>
      <c r="R79">
        <f>SUMIF(RawDataDead!$B:$B,$A79,RawDataDead!U:U)</f>
        <v>0</v>
      </c>
      <c r="S79">
        <f>SUMIF(RawDataDead!$B:$B,$A79,RawDataDead!V:V)</f>
        <v>0</v>
      </c>
      <c r="T79">
        <f>SUMIF(RawDataDead!$B:$B,$A79,RawDataDead!W:W)</f>
        <v>0</v>
      </c>
      <c r="U79">
        <f>SUMIF(RawDataDead!$B:$B,$A79,RawDataDead!X:X)</f>
        <v>0</v>
      </c>
      <c r="V79">
        <f>SUMIF(RawDataDead!$B:$B,$A79,RawDataDead!Y:Y)</f>
        <v>0</v>
      </c>
      <c r="W79">
        <f>SUMIF(RawDataDead!$B:$B,$A79,RawDataDead!Z:Z)</f>
        <v>0</v>
      </c>
      <c r="X79">
        <f>SUMIF(RawDataDead!$B:$B,$A79,RawDataDead!AA:AA)</f>
        <v>0</v>
      </c>
      <c r="Y79">
        <f>SUMIF(RawDataDead!$B:$B,$A79,RawDataDead!AB:AB)</f>
        <v>0</v>
      </c>
      <c r="Z79">
        <f>SUMIF(RawDataDead!$B:$B,$A79,RawDataDead!AC:AC)</f>
        <v>0</v>
      </c>
      <c r="AA79">
        <f>SUMIF(RawDataDead!$B:$B,$A79,RawDataDead!AD:AD)</f>
        <v>0</v>
      </c>
      <c r="AB79">
        <f>SUMIF(RawDataDead!$B:$B,$A79,RawDataDead!AE:AE)</f>
        <v>0</v>
      </c>
      <c r="AC79">
        <f>SUMIF(RawDataDead!$B:$B,$A79,RawDataDead!AF:AF)</f>
        <v>0</v>
      </c>
      <c r="AD79">
        <f>SUMIF(RawDataDead!$B:$B,$A79,RawDataDead!AG:AG)</f>
        <v>0</v>
      </c>
      <c r="AE79">
        <f>SUMIF(RawDataDead!$B:$B,$A79,RawDataDead!AH:AH)</f>
        <v>0</v>
      </c>
      <c r="AF79">
        <f>SUMIF(RawDataDead!$B:$B,$A79,RawDataDead!AI:AI)</f>
        <v>0</v>
      </c>
      <c r="AG79">
        <f>SUMIF(RawDataDead!$B:$B,$A79,RawDataDead!AJ:AJ)</f>
        <v>0</v>
      </c>
      <c r="AH79">
        <f>SUMIF(RawDataDead!$B:$B,$A79,RawDataDead!AK:AK)</f>
        <v>0</v>
      </c>
      <c r="AI79">
        <f>SUMIF(RawDataDead!$B:$B,$A79,RawDataDead!AL:AL)</f>
        <v>0</v>
      </c>
      <c r="AJ79">
        <f>SUMIF(RawDataDead!$B:$B,$A79,RawDataDead!AM:AM)</f>
        <v>0</v>
      </c>
      <c r="AK79">
        <f>SUMIF(RawDataDead!$B:$B,$A79,RawDataDead!AN:AN)</f>
        <v>0</v>
      </c>
      <c r="AL79">
        <f>SUMIF(RawDataDead!$B:$B,$A79,RawDataDead!AO:AO)</f>
        <v>0</v>
      </c>
      <c r="AM79">
        <f>SUMIF(RawDataDead!$B:$B,$A79,RawDataDead!AP:AP)</f>
        <v>0</v>
      </c>
      <c r="AN79">
        <f>SUMIF(RawDataDead!$B:$B,$A79,RawDataDead!AQ:AQ)</f>
        <v>0</v>
      </c>
      <c r="AO79">
        <f>SUMIF(RawDataDead!$B:$B,$A79,RawDataDead!AR:AR)</f>
        <v>0</v>
      </c>
      <c r="AP79">
        <f>SUMIF(RawDataDead!$B:$B,$A79,RawDataDead!AS:AS)</f>
        <v>0</v>
      </c>
      <c r="AQ79">
        <f>SUMIF(RawDataDead!$B:$B,$A79,RawDataDead!AT:AT)</f>
        <v>0</v>
      </c>
      <c r="AR79">
        <f>SUMIF(RawDataDead!$B:$B,$A79,RawDataDead!AU:AU)</f>
        <v>0</v>
      </c>
      <c r="AS79">
        <f>SUMIF(RawDataDead!$B:$B,$A79,RawDataDead!AV:AV)</f>
        <v>0</v>
      </c>
      <c r="AT79">
        <f>SUMIF(RawDataDead!$B:$B,$A79,RawDataDead!AW:AW)</f>
        <v>0</v>
      </c>
      <c r="AU79">
        <f>SUMIF(RawDataDead!$B:$B,$A79,RawDataDead!AX:AX)</f>
        <v>0</v>
      </c>
      <c r="AV79">
        <f>SUMIF(RawDataDead!$B:$B,$A79,RawDataDead!AY:AY)</f>
        <v>0</v>
      </c>
      <c r="AW79">
        <f>SUMIF(RawDataDead!$B:$B,$A79,RawDataDead!AZ:AZ)</f>
        <v>0</v>
      </c>
      <c r="AX79">
        <f>SUMIF(RawDataDead!$B:$B,$A79,RawDataDead!BA:BA)</f>
        <v>0</v>
      </c>
      <c r="AY79">
        <f>SUMIF(RawDataDead!$B:$B,$A79,RawDataDead!BB:BB)</f>
        <v>0</v>
      </c>
      <c r="AZ79">
        <f>SUMIF(RawDataDead!$B:$B,$A79,RawDataDead!BC:BC)</f>
        <v>0</v>
      </c>
      <c r="BA79">
        <f>SUMIF(RawDataDead!$B:$B,$A79,RawDataDead!BD:BD)</f>
        <v>0</v>
      </c>
      <c r="BB79">
        <f>SUMIF(RawDataDead!$B:$B,$A79,RawDataDead!BE:BE)</f>
        <v>0</v>
      </c>
      <c r="BC79">
        <f>SUMIF(RawDataDead!$B:$B,$A79,RawDataDead!BF:BF)</f>
        <v>0</v>
      </c>
      <c r="BD79">
        <f>SUMIF(RawDataDead!$B:$B,$A79,RawDataDead!BG:BG)</f>
        <v>0</v>
      </c>
      <c r="BE79">
        <f>SUMIF(RawDataDead!$B:$B,$A79,RawDataDead!BH:BH)</f>
        <v>0</v>
      </c>
      <c r="BF79">
        <f>SUMIF(RawDataDead!$B:$B,$A79,RawDataDead!BI:BI)</f>
        <v>0</v>
      </c>
      <c r="BG79">
        <f>SUMIF(RawDataDead!$B:$B,$A79,RawDataDead!BJ:BJ)</f>
        <v>0</v>
      </c>
      <c r="BH79">
        <f>SUMIF(RawDataDead!$B:$B,$A79,RawDataDead!BK:BK)</f>
        <v>0</v>
      </c>
      <c r="BI79">
        <f>SUMIF(RawDataDead!$B:$B,$A79,RawDataDead!BL:BL)</f>
        <v>0</v>
      </c>
      <c r="BJ79">
        <f>SUMIF(RawDataDead!$B:$B,$A79,RawDataDead!BM:BM)</f>
        <v>0</v>
      </c>
      <c r="BK79">
        <f>SUMIF(RawDataDead!$B:$B,$A79,RawDataDead!BN:BN)</f>
        <v>0</v>
      </c>
      <c r="BL79">
        <f>SUMIF(RawDataDead!$B:$B,$A79,RawDataDead!BO:BO)</f>
        <v>0</v>
      </c>
      <c r="BM79">
        <f>SUMIF(RawDataDead!$B:$B,$A79,RawDataDead!BP:BP)</f>
        <v>0</v>
      </c>
      <c r="BN79">
        <f>SUMIF(RawDataDead!$B:$B,$A79,RawDataDead!BQ:BQ)</f>
        <v>0</v>
      </c>
      <c r="BO79">
        <f>SUMIF(RawDataDead!$B:$B,$A79,RawDataDead!BR:BR)</f>
        <v>0</v>
      </c>
      <c r="BP79">
        <f>SUMIF(RawDataDead!$B:$B,$A79,RawDataDead!BS:BS)</f>
        <v>0</v>
      </c>
      <c r="BQ79">
        <f>SUMIF(RawDataDead!$B:$B,$A79,RawDataDead!BT:BT)</f>
        <v>0</v>
      </c>
      <c r="BR79">
        <f>SUMIF(RawDataDead!$B:$B,$A79,RawDataDead!BU:BU)</f>
        <v>0</v>
      </c>
      <c r="BS79">
        <f>SUMIF(RawDataDead!$B:$B,$A79,RawDataDead!BV:BV)</f>
        <v>0</v>
      </c>
      <c r="BT79">
        <f>SUMIF(RawDataDead!$B:$B,$A79,RawDataDead!BW:BW)</f>
        <v>0</v>
      </c>
    </row>
    <row r="80" spans="1:72" ht="15" thickBot="1" x14ac:dyDescent="0.35">
      <c r="A80" s="4" t="s">
        <v>121</v>
      </c>
      <c r="B80">
        <f>SUMIF(RawDataDead!$B:$B,$A80,RawDataDead!E:E)</f>
        <v>0</v>
      </c>
      <c r="C80">
        <f>SUMIF(RawDataDead!$B:$B,$A80,RawDataDead!F:F)</f>
        <v>0</v>
      </c>
      <c r="D80">
        <f>SUMIF(RawDataDead!$B:$B,$A80,RawDataDead!G:G)</f>
        <v>0</v>
      </c>
      <c r="E80">
        <f>SUMIF(RawDataDead!$B:$B,$A80,RawDataDead!H:H)</f>
        <v>0</v>
      </c>
      <c r="F80">
        <f>SUMIF(RawDataDead!$B:$B,$A80,RawDataDead!I:I)</f>
        <v>0</v>
      </c>
      <c r="G80">
        <f>SUMIF(RawDataDead!$B:$B,$A80,RawDataDead!J:J)</f>
        <v>0</v>
      </c>
      <c r="H80">
        <f>SUMIF(RawDataDead!$B:$B,$A80,RawDataDead!K:K)</f>
        <v>0</v>
      </c>
      <c r="I80">
        <f>SUMIF(RawDataDead!$B:$B,$A80,RawDataDead!L:L)</f>
        <v>0</v>
      </c>
      <c r="J80">
        <f>SUMIF(RawDataDead!$B:$B,$A80,RawDataDead!M:M)</f>
        <v>0</v>
      </c>
      <c r="K80">
        <f>SUMIF(RawDataDead!$B:$B,$A80,RawDataDead!N:N)</f>
        <v>0</v>
      </c>
      <c r="L80">
        <f>SUMIF(RawDataDead!$B:$B,$A80,RawDataDead!O:O)</f>
        <v>0</v>
      </c>
      <c r="M80">
        <f>SUMIF(RawDataDead!$B:$B,$A80,RawDataDead!P:P)</f>
        <v>0</v>
      </c>
      <c r="N80">
        <f>SUMIF(RawDataDead!$B:$B,$A80,RawDataDead!Q:Q)</f>
        <v>0</v>
      </c>
      <c r="O80">
        <f>SUMIF(RawDataDead!$B:$B,$A80,RawDataDead!R:R)</f>
        <v>0</v>
      </c>
      <c r="P80">
        <f>SUMIF(RawDataDead!$B:$B,$A80,RawDataDead!S:S)</f>
        <v>0</v>
      </c>
      <c r="Q80">
        <f>SUMIF(RawDataDead!$B:$B,$A80,RawDataDead!T:T)</f>
        <v>0</v>
      </c>
      <c r="R80">
        <f>SUMIF(RawDataDead!$B:$B,$A80,RawDataDead!U:U)</f>
        <v>0</v>
      </c>
      <c r="S80">
        <f>SUMIF(RawDataDead!$B:$B,$A80,RawDataDead!V:V)</f>
        <v>0</v>
      </c>
      <c r="T80">
        <f>SUMIF(RawDataDead!$B:$B,$A80,RawDataDead!W:W)</f>
        <v>0</v>
      </c>
      <c r="U80">
        <f>SUMIF(RawDataDead!$B:$B,$A80,RawDataDead!X:X)</f>
        <v>0</v>
      </c>
      <c r="V80">
        <f>SUMIF(RawDataDead!$B:$B,$A80,RawDataDead!Y:Y)</f>
        <v>0</v>
      </c>
      <c r="W80">
        <f>SUMIF(RawDataDead!$B:$B,$A80,RawDataDead!Z:Z)</f>
        <v>0</v>
      </c>
      <c r="X80">
        <f>SUMIF(RawDataDead!$B:$B,$A80,RawDataDead!AA:AA)</f>
        <v>0</v>
      </c>
      <c r="Y80">
        <f>SUMIF(RawDataDead!$B:$B,$A80,RawDataDead!AB:AB)</f>
        <v>0</v>
      </c>
      <c r="Z80">
        <f>SUMIF(RawDataDead!$B:$B,$A80,RawDataDead!AC:AC)</f>
        <v>0</v>
      </c>
      <c r="AA80">
        <f>SUMIF(RawDataDead!$B:$B,$A80,RawDataDead!AD:AD)</f>
        <v>0</v>
      </c>
      <c r="AB80">
        <f>SUMIF(RawDataDead!$B:$B,$A80,RawDataDead!AE:AE)</f>
        <v>0</v>
      </c>
      <c r="AC80">
        <f>SUMIF(RawDataDead!$B:$B,$A80,RawDataDead!AF:AF)</f>
        <v>0</v>
      </c>
      <c r="AD80">
        <f>SUMIF(RawDataDead!$B:$B,$A80,RawDataDead!AG:AG)</f>
        <v>0</v>
      </c>
      <c r="AE80">
        <f>SUMIF(RawDataDead!$B:$B,$A80,RawDataDead!AH:AH)</f>
        <v>0</v>
      </c>
      <c r="AF80">
        <f>SUMIF(RawDataDead!$B:$B,$A80,RawDataDead!AI:AI)</f>
        <v>0</v>
      </c>
      <c r="AG80">
        <f>SUMIF(RawDataDead!$B:$B,$A80,RawDataDead!AJ:AJ)</f>
        <v>0</v>
      </c>
      <c r="AH80">
        <f>SUMIF(RawDataDead!$B:$B,$A80,RawDataDead!AK:AK)</f>
        <v>0</v>
      </c>
      <c r="AI80">
        <f>SUMIF(RawDataDead!$B:$B,$A80,RawDataDead!AL:AL)</f>
        <v>0</v>
      </c>
      <c r="AJ80">
        <f>SUMIF(RawDataDead!$B:$B,$A80,RawDataDead!AM:AM)</f>
        <v>0</v>
      </c>
      <c r="AK80">
        <f>SUMIF(RawDataDead!$B:$B,$A80,RawDataDead!AN:AN)</f>
        <v>0</v>
      </c>
      <c r="AL80">
        <f>SUMIF(RawDataDead!$B:$B,$A80,RawDataDead!AO:AO)</f>
        <v>0</v>
      </c>
      <c r="AM80">
        <f>SUMIF(RawDataDead!$B:$B,$A80,RawDataDead!AP:AP)</f>
        <v>0</v>
      </c>
      <c r="AN80">
        <f>SUMIF(RawDataDead!$B:$B,$A80,RawDataDead!AQ:AQ)</f>
        <v>0</v>
      </c>
      <c r="AO80">
        <f>SUMIF(RawDataDead!$B:$B,$A80,RawDataDead!AR:AR)</f>
        <v>0</v>
      </c>
      <c r="AP80">
        <f>SUMIF(RawDataDead!$B:$B,$A80,RawDataDead!AS:AS)</f>
        <v>0</v>
      </c>
      <c r="AQ80">
        <f>SUMIF(RawDataDead!$B:$B,$A80,RawDataDead!AT:AT)</f>
        <v>0</v>
      </c>
      <c r="AR80">
        <f>SUMIF(RawDataDead!$B:$B,$A80,RawDataDead!AU:AU)</f>
        <v>0</v>
      </c>
      <c r="AS80">
        <f>SUMIF(RawDataDead!$B:$B,$A80,RawDataDead!AV:AV)</f>
        <v>0</v>
      </c>
      <c r="AT80">
        <f>SUMIF(RawDataDead!$B:$B,$A80,RawDataDead!AW:AW)</f>
        <v>0</v>
      </c>
      <c r="AU80">
        <f>SUMIF(RawDataDead!$B:$B,$A80,RawDataDead!AX:AX)</f>
        <v>0</v>
      </c>
      <c r="AV80">
        <f>SUMIF(RawDataDead!$B:$B,$A80,RawDataDead!AY:AY)</f>
        <v>0</v>
      </c>
      <c r="AW80">
        <f>SUMIF(RawDataDead!$B:$B,$A80,RawDataDead!AZ:AZ)</f>
        <v>0</v>
      </c>
      <c r="AX80">
        <f>SUMIF(RawDataDead!$B:$B,$A80,RawDataDead!BA:BA)</f>
        <v>0</v>
      </c>
      <c r="AY80">
        <f>SUMIF(RawDataDead!$B:$B,$A80,RawDataDead!BB:BB)</f>
        <v>0</v>
      </c>
      <c r="AZ80">
        <f>SUMIF(RawDataDead!$B:$B,$A80,RawDataDead!BC:BC)</f>
        <v>0</v>
      </c>
      <c r="BA80">
        <f>SUMIF(RawDataDead!$B:$B,$A80,RawDataDead!BD:BD)</f>
        <v>0</v>
      </c>
      <c r="BB80">
        <f>SUMIF(RawDataDead!$B:$B,$A80,RawDataDead!BE:BE)</f>
        <v>0</v>
      </c>
      <c r="BC80">
        <f>SUMIF(RawDataDead!$B:$B,$A80,RawDataDead!BF:BF)</f>
        <v>0</v>
      </c>
      <c r="BD80">
        <f>SUMIF(RawDataDead!$B:$B,$A80,RawDataDead!BG:BG)</f>
        <v>0</v>
      </c>
      <c r="BE80">
        <f>SUMIF(RawDataDead!$B:$B,$A80,RawDataDead!BH:BH)</f>
        <v>0</v>
      </c>
      <c r="BF80">
        <f>SUMIF(RawDataDead!$B:$B,$A80,RawDataDead!BI:BI)</f>
        <v>0</v>
      </c>
      <c r="BG80">
        <f>SUMIF(RawDataDead!$B:$B,$A80,RawDataDead!BJ:BJ)</f>
        <v>0</v>
      </c>
      <c r="BH80">
        <f>SUMIF(RawDataDead!$B:$B,$A80,RawDataDead!BK:BK)</f>
        <v>0</v>
      </c>
      <c r="BI80">
        <f>SUMIF(RawDataDead!$B:$B,$A80,RawDataDead!BL:BL)</f>
        <v>0</v>
      </c>
      <c r="BJ80">
        <f>SUMIF(RawDataDead!$B:$B,$A80,RawDataDead!BM:BM)</f>
        <v>0</v>
      </c>
      <c r="BK80">
        <f>SUMIF(RawDataDead!$B:$B,$A80,RawDataDead!BN:BN)</f>
        <v>0</v>
      </c>
      <c r="BL80">
        <f>SUMIF(RawDataDead!$B:$B,$A80,RawDataDead!BO:BO)</f>
        <v>0</v>
      </c>
      <c r="BM80">
        <f>SUMIF(RawDataDead!$B:$B,$A80,RawDataDead!BP:BP)</f>
        <v>0</v>
      </c>
      <c r="BN80">
        <f>SUMIF(RawDataDead!$B:$B,$A80,RawDataDead!BQ:BQ)</f>
        <v>0</v>
      </c>
      <c r="BO80">
        <f>SUMIF(RawDataDead!$B:$B,$A80,RawDataDead!BR:BR)</f>
        <v>0</v>
      </c>
      <c r="BP80">
        <f>SUMIF(RawDataDead!$B:$B,$A80,RawDataDead!BS:BS)</f>
        <v>0</v>
      </c>
      <c r="BQ80">
        <f>SUMIF(RawDataDead!$B:$B,$A80,RawDataDead!BT:BT)</f>
        <v>0</v>
      </c>
      <c r="BR80">
        <f>SUMIF(RawDataDead!$B:$B,$A80,RawDataDead!BU:BU)</f>
        <v>0</v>
      </c>
      <c r="BS80">
        <f>SUMIF(RawDataDead!$B:$B,$A80,RawDataDead!BV:BV)</f>
        <v>0</v>
      </c>
      <c r="BT80">
        <f>SUMIF(RawDataDead!$B:$B,$A80,RawDataDead!BW:BW)</f>
        <v>0</v>
      </c>
    </row>
    <row r="81" spans="1:72" ht="15" thickBot="1" x14ac:dyDescent="0.35">
      <c r="A81" s="3" t="s">
        <v>141</v>
      </c>
      <c r="B81">
        <f>SUMIF(RawDataDead!$B:$B,$A81,RawDataDead!E:E)</f>
        <v>0</v>
      </c>
      <c r="C81">
        <f>SUMIF(RawDataDead!$B:$B,$A81,RawDataDead!F:F)</f>
        <v>0</v>
      </c>
      <c r="D81">
        <f>SUMIF(RawDataDead!$B:$B,$A81,RawDataDead!G:G)</f>
        <v>0</v>
      </c>
      <c r="E81">
        <f>SUMIF(RawDataDead!$B:$B,$A81,RawDataDead!H:H)</f>
        <v>0</v>
      </c>
      <c r="F81">
        <f>SUMIF(RawDataDead!$B:$B,$A81,RawDataDead!I:I)</f>
        <v>0</v>
      </c>
      <c r="G81">
        <f>SUMIF(RawDataDead!$B:$B,$A81,RawDataDead!J:J)</f>
        <v>0</v>
      </c>
      <c r="H81">
        <f>SUMIF(RawDataDead!$B:$B,$A81,RawDataDead!K:K)</f>
        <v>0</v>
      </c>
      <c r="I81">
        <f>SUMIF(RawDataDead!$B:$B,$A81,RawDataDead!L:L)</f>
        <v>0</v>
      </c>
      <c r="J81">
        <f>SUMIF(RawDataDead!$B:$B,$A81,RawDataDead!M:M)</f>
        <v>0</v>
      </c>
      <c r="K81">
        <f>SUMIF(RawDataDead!$B:$B,$A81,RawDataDead!N:N)</f>
        <v>0</v>
      </c>
      <c r="L81">
        <f>SUMIF(RawDataDead!$B:$B,$A81,RawDataDead!O:O)</f>
        <v>0</v>
      </c>
      <c r="M81">
        <f>SUMIF(RawDataDead!$B:$B,$A81,RawDataDead!P:P)</f>
        <v>0</v>
      </c>
      <c r="N81">
        <f>SUMIF(RawDataDead!$B:$B,$A81,RawDataDead!Q:Q)</f>
        <v>0</v>
      </c>
      <c r="O81">
        <f>SUMIF(RawDataDead!$B:$B,$A81,RawDataDead!R:R)</f>
        <v>0</v>
      </c>
      <c r="P81">
        <f>SUMIF(RawDataDead!$B:$B,$A81,RawDataDead!S:S)</f>
        <v>0</v>
      </c>
      <c r="Q81">
        <f>SUMIF(RawDataDead!$B:$B,$A81,RawDataDead!T:T)</f>
        <v>0</v>
      </c>
      <c r="R81">
        <f>SUMIF(RawDataDead!$B:$B,$A81,RawDataDead!U:U)</f>
        <v>0</v>
      </c>
      <c r="S81">
        <f>SUMIF(RawDataDead!$B:$B,$A81,RawDataDead!V:V)</f>
        <v>0</v>
      </c>
      <c r="T81">
        <f>SUMIF(RawDataDead!$B:$B,$A81,RawDataDead!W:W)</f>
        <v>0</v>
      </c>
      <c r="U81">
        <f>SUMIF(RawDataDead!$B:$B,$A81,RawDataDead!X:X)</f>
        <v>0</v>
      </c>
      <c r="V81">
        <f>SUMIF(RawDataDead!$B:$B,$A81,RawDataDead!Y:Y)</f>
        <v>0</v>
      </c>
      <c r="W81">
        <f>SUMIF(RawDataDead!$B:$B,$A81,RawDataDead!Z:Z)</f>
        <v>0</v>
      </c>
      <c r="X81">
        <f>SUMIF(RawDataDead!$B:$B,$A81,RawDataDead!AA:AA)</f>
        <v>0</v>
      </c>
      <c r="Y81">
        <f>SUMIF(RawDataDead!$B:$B,$A81,RawDataDead!AB:AB)</f>
        <v>0</v>
      </c>
      <c r="Z81">
        <f>SUMIF(RawDataDead!$B:$B,$A81,RawDataDead!AC:AC)</f>
        <v>0</v>
      </c>
      <c r="AA81">
        <f>SUMIF(RawDataDead!$B:$B,$A81,RawDataDead!AD:AD)</f>
        <v>0</v>
      </c>
      <c r="AB81">
        <f>SUMIF(RawDataDead!$B:$B,$A81,RawDataDead!AE:AE)</f>
        <v>0</v>
      </c>
      <c r="AC81">
        <f>SUMIF(RawDataDead!$B:$B,$A81,RawDataDead!AF:AF)</f>
        <v>0</v>
      </c>
      <c r="AD81">
        <f>SUMIF(RawDataDead!$B:$B,$A81,RawDataDead!AG:AG)</f>
        <v>0</v>
      </c>
      <c r="AE81">
        <f>SUMIF(RawDataDead!$B:$B,$A81,RawDataDead!AH:AH)</f>
        <v>0</v>
      </c>
      <c r="AF81">
        <f>SUMIF(RawDataDead!$B:$B,$A81,RawDataDead!AI:AI)</f>
        <v>0</v>
      </c>
      <c r="AG81">
        <f>SUMIF(RawDataDead!$B:$B,$A81,RawDataDead!AJ:AJ)</f>
        <v>0</v>
      </c>
      <c r="AH81">
        <f>SUMIF(RawDataDead!$B:$B,$A81,RawDataDead!AK:AK)</f>
        <v>0</v>
      </c>
      <c r="AI81">
        <f>SUMIF(RawDataDead!$B:$B,$A81,RawDataDead!AL:AL)</f>
        <v>0</v>
      </c>
      <c r="AJ81">
        <f>SUMIF(RawDataDead!$B:$B,$A81,RawDataDead!AM:AM)</f>
        <v>0</v>
      </c>
      <c r="AK81">
        <f>SUMIF(RawDataDead!$B:$B,$A81,RawDataDead!AN:AN)</f>
        <v>0</v>
      </c>
      <c r="AL81">
        <f>SUMIF(RawDataDead!$B:$B,$A81,RawDataDead!AO:AO)</f>
        <v>0</v>
      </c>
      <c r="AM81">
        <f>SUMIF(RawDataDead!$B:$B,$A81,RawDataDead!AP:AP)</f>
        <v>0</v>
      </c>
      <c r="AN81">
        <f>SUMIF(RawDataDead!$B:$B,$A81,RawDataDead!AQ:AQ)</f>
        <v>0</v>
      </c>
      <c r="AO81">
        <f>SUMIF(RawDataDead!$B:$B,$A81,RawDataDead!AR:AR)</f>
        <v>0</v>
      </c>
      <c r="AP81">
        <f>SUMIF(RawDataDead!$B:$B,$A81,RawDataDead!AS:AS)</f>
        <v>0</v>
      </c>
      <c r="AQ81">
        <f>SUMIF(RawDataDead!$B:$B,$A81,RawDataDead!AT:AT)</f>
        <v>0</v>
      </c>
      <c r="AR81">
        <f>SUMIF(RawDataDead!$B:$B,$A81,RawDataDead!AU:AU)</f>
        <v>0</v>
      </c>
      <c r="AS81">
        <f>SUMIF(RawDataDead!$B:$B,$A81,RawDataDead!AV:AV)</f>
        <v>0</v>
      </c>
      <c r="AT81">
        <f>SUMIF(RawDataDead!$B:$B,$A81,RawDataDead!AW:AW)</f>
        <v>0</v>
      </c>
      <c r="AU81">
        <f>SUMIF(RawDataDead!$B:$B,$A81,RawDataDead!AX:AX)</f>
        <v>0</v>
      </c>
      <c r="AV81">
        <f>SUMIF(RawDataDead!$B:$B,$A81,RawDataDead!AY:AY)</f>
        <v>0</v>
      </c>
      <c r="AW81">
        <f>SUMIF(RawDataDead!$B:$B,$A81,RawDataDead!AZ:AZ)</f>
        <v>0</v>
      </c>
      <c r="AX81">
        <f>SUMIF(RawDataDead!$B:$B,$A81,RawDataDead!BA:BA)</f>
        <v>0</v>
      </c>
      <c r="AY81">
        <f>SUMIF(RawDataDead!$B:$B,$A81,RawDataDead!BB:BB)</f>
        <v>0</v>
      </c>
      <c r="AZ81">
        <f>SUMIF(RawDataDead!$B:$B,$A81,RawDataDead!BC:BC)</f>
        <v>0</v>
      </c>
      <c r="BA81">
        <f>SUMIF(RawDataDead!$B:$B,$A81,RawDataDead!BD:BD)</f>
        <v>0</v>
      </c>
      <c r="BB81">
        <f>SUMIF(RawDataDead!$B:$B,$A81,RawDataDead!BE:BE)</f>
        <v>0</v>
      </c>
      <c r="BC81">
        <f>SUMIF(RawDataDead!$B:$B,$A81,RawDataDead!BF:BF)</f>
        <v>0</v>
      </c>
      <c r="BD81">
        <f>SUMIF(RawDataDead!$B:$B,$A81,RawDataDead!BG:BG)</f>
        <v>0</v>
      </c>
      <c r="BE81">
        <f>SUMIF(RawDataDead!$B:$B,$A81,RawDataDead!BH:BH)</f>
        <v>0</v>
      </c>
      <c r="BF81">
        <f>SUMIF(RawDataDead!$B:$B,$A81,RawDataDead!BI:BI)</f>
        <v>0</v>
      </c>
      <c r="BG81">
        <f>SUMIF(RawDataDead!$B:$B,$A81,RawDataDead!BJ:BJ)</f>
        <v>0</v>
      </c>
      <c r="BH81">
        <f>SUMIF(RawDataDead!$B:$B,$A81,RawDataDead!BK:BK)</f>
        <v>0</v>
      </c>
      <c r="BI81">
        <f>SUMIF(RawDataDead!$B:$B,$A81,RawDataDead!BL:BL)</f>
        <v>0</v>
      </c>
      <c r="BJ81">
        <f>SUMIF(RawDataDead!$B:$B,$A81,RawDataDead!BM:BM)</f>
        <v>0</v>
      </c>
      <c r="BK81">
        <f>SUMIF(RawDataDead!$B:$B,$A81,RawDataDead!BN:BN)</f>
        <v>0</v>
      </c>
      <c r="BL81">
        <f>SUMIF(RawDataDead!$B:$B,$A81,RawDataDead!BO:BO)</f>
        <v>0</v>
      </c>
      <c r="BM81">
        <f>SUMIF(RawDataDead!$B:$B,$A81,RawDataDead!BP:BP)</f>
        <v>0</v>
      </c>
      <c r="BN81">
        <f>SUMIF(RawDataDead!$B:$B,$A81,RawDataDead!BQ:BQ)</f>
        <v>0</v>
      </c>
      <c r="BO81">
        <f>SUMIF(RawDataDead!$B:$B,$A81,RawDataDead!BR:BR)</f>
        <v>0</v>
      </c>
      <c r="BP81">
        <f>SUMIF(RawDataDead!$B:$B,$A81,RawDataDead!BS:BS)</f>
        <v>0</v>
      </c>
      <c r="BQ81">
        <f>SUMIF(RawDataDead!$B:$B,$A81,RawDataDead!BT:BT)</f>
        <v>0</v>
      </c>
      <c r="BR81">
        <f>SUMIF(RawDataDead!$B:$B,$A81,RawDataDead!BU:BU)</f>
        <v>0</v>
      </c>
      <c r="BS81">
        <f>SUMIF(RawDataDead!$B:$B,$A81,RawDataDead!BV:BV)</f>
        <v>0</v>
      </c>
      <c r="BT81">
        <f>SUMIF(RawDataDead!$B:$B,$A81,RawDataDead!BW:BW)</f>
        <v>0</v>
      </c>
    </row>
    <row r="82" spans="1:72" ht="15" thickBot="1" x14ac:dyDescent="0.35">
      <c r="A82" s="4" t="s">
        <v>227</v>
      </c>
      <c r="B82">
        <f>SUMIF(RawDataDead!$B:$B,$A82,RawDataDead!E:E)</f>
        <v>0</v>
      </c>
      <c r="C82">
        <f>SUMIF(RawDataDead!$B:$B,$A82,RawDataDead!F:F)</f>
        <v>0</v>
      </c>
      <c r="D82">
        <f>SUMIF(RawDataDead!$B:$B,$A82,RawDataDead!G:G)</f>
        <v>0</v>
      </c>
      <c r="E82">
        <f>SUMIF(RawDataDead!$B:$B,$A82,RawDataDead!H:H)</f>
        <v>0</v>
      </c>
      <c r="F82">
        <f>SUMIF(RawDataDead!$B:$B,$A82,RawDataDead!I:I)</f>
        <v>0</v>
      </c>
      <c r="G82">
        <f>SUMIF(RawDataDead!$B:$B,$A82,RawDataDead!J:J)</f>
        <v>0</v>
      </c>
      <c r="H82">
        <f>SUMIF(RawDataDead!$B:$B,$A82,RawDataDead!K:K)</f>
        <v>0</v>
      </c>
      <c r="I82">
        <f>SUMIF(RawDataDead!$B:$B,$A82,RawDataDead!L:L)</f>
        <v>0</v>
      </c>
      <c r="J82">
        <f>SUMIF(RawDataDead!$B:$B,$A82,RawDataDead!M:M)</f>
        <v>0</v>
      </c>
      <c r="K82">
        <f>SUMIF(RawDataDead!$B:$B,$A82,RawDataDead!N:N)</f>
        <v>0</v>
      </c>
      <c r="L82">
        <f>SUMIF(RawDataDead!$B:$B,$A82,RawDataDead!O:O)</f>
        <v>0</v>
      </c>
      <c r="M82">
        <f>SUMIF(RawDataDead!$B:$B,$A82,RawDataDead!P:P)</f>
        <v>0</v>
      </c>
      <c r="N82">
        <f>SUMIF(RawDataDead!$B:$B,$A82,RawDataDead!Q:Q)</f>
        <v>0</v>
      </c>
      <c r="O82">
        <f>SUMIF(RawDataDead!$B:$B,$A82,RawDataDead!R:R)</f>
        <v>0</v>
      </c>
      <c r="P82">
        <f>SUMIF(RawDataDead!$B:$B,$A82,RawDataDead!S:S)</f>
        <v>0</v>
      </c>
      <c r="Q82">
        <f>SUMIF(RawDataDead!$B:$B,$A82,RawDataDead!T:T)</f>
        <v>0</v>
      </c>
      <c r="R82">
        <f>SUMIF(RawDataDead!$B:$B,$A82,RawDataDead!U:U)</f>
        <v>0</v>
      </c>
      <c r="S82">
        <f>SUMIF(RawDataDead!$B:$B,$A82,RawDataDead!V:V)</f>
        <v>0</v>
      </c>
      <c r="T82">
        <f>SUMIF(RawDataDead!$B:$B,$A82,RawDataDead!W:W)</f>
        <v>0</v>
      </c>
      <c r="U82">
        <f>SUMIF(RawDataDead!$B:$B,$A82,RawDataDead!X:X)</f>
        <v>0</v>
      </c>
      <c r="V82">
        <f>SUMIF(RawDataDead!$B:$B,$A82,RawDataDead!Y:Y)</f>
        <v>0</v>
      </c>
      <c r="W82">
        <f>SUMIF(RawDataDead!$B:$B,$A82,RawDataDead!Z:Z)</f>
        <v>0</v>
      </c>
      <c r="X82">
        <f>SUMIF(RawDataDead!$B:$B,$A82,RawDataDead!AA:AA)</f>
        <v>0</v>
      </c>
      <c r="Y82">
        <f>SUMIF(RawDataDead!$B:$B,$A82,RawDataDead!AB:AB)</f>
        <v>0</v>
      </c>
      <c r="Z82">
        <f>SUMIF(RawDataDead!$B:$B,$A82,RawDataDead!AC:AC)</f>
        <v>0</v>
      </c>
      <c r="AA82">
        <f>SUMIF(RawDataDead!$B:$B,$A82,RawDataDead!AD:AD)</f>
        <v>0</v>
      </c>
      <c r="AB82">
        <f>SUMIF(RawDataDead!$B:$B,$A82,RawDataDead!AE:AE)</f>
        <v>0</v>
      </c>
      <c r="AC82">
        <f>SUMIF(RawDataDead!$B:$B,$A82,RawDataDead!AF:AF)</f>
        <v>0</v>
      </c>
      <c r="AD82">
        <f>SUMIF(RawDataDead!$B:$B,$A82,RawDataDead!AG:AG)</f>
        <v>0</v>
      </c>
      <c r="AE82">
        <f>SUMIF(RawDataDead!$B:$B,$A82,RawDataDead!AH:AH)</f>
        <v>0</v>
      </c>
      <c r="AF82">
        <f>SUMIF(RawDataDead!$B:$B,$A82,RawDataDead!AI:AI)</f>
        <v>0</v>
      </c>
      <c r="AG82">
        <f>SUMIF(RawDataDead!$B:$B,$A82,RawDataDead!AJ:AJ)</f>
        <v>0</v>
      </c>
      <c r="AH82">
        <f>SUMIF(RawDataDead!$B:$B,$A82,RawDataDead!AK:AK)</f>
        <v>0</v>
      </c>
      <c r="AI82">
        <f>SUMIF(RawDataDead!$B:$B,$A82,RawDataDead!AL:AL)</f>
        <v>0</v>
      </c>
      <c r="AJ82">
        <f>SUMIF(RawDataDead!$B:$B,$A82,RawDataDead!AM:AM)</f>
        <v>0</v>
      </c>
      <c r="AK82">
        <f>SUMIF(RawDataDead!$B:$B,$A82,RawDataDead!AN:AN)</f>
        <v>0</v>
      </c>
      <c r="AL82">
        <f>SUMIF(RawDataDead!$B:$B,$A82,RawDataDead!AO:AO)</f>
        <v>0</v>
      </c>
      <c r="AM82">
        <f>SUMIF(RawDataDead!$B:$B,$A82,RawDataDead!AP:AP)</f>
        <v>0</v>
      </c>
      <c r="AN82">
        <f>SUMIF(RawDataDead!$B:$B,$A82,RawDataDead!AQ:AQ)</f>
        <v>0</v>
      </c>
      <c r="AO82">
        <f>SUMIF(RawDataDead!$B:$B,$A82,RawDataDead!AR:AR)</f>
        <v>0</v>
      </c>
      <c r="AP82">
        <f>SUMIF(RawDataDead!$B:$B,$A82,RawDataDead!AS:AS)</f>
        <v>0</v>
      </c>
      <c r="AQ82">
        <f>SUMIF(RawDataDead!$B:$B,$A82,RawDataDead!AT:AT)</f>
        <v>0</v>
      </c>
      <c r="AR82">
        <f>SUMIF(RawDataDead!$B:$B,$A82,RawDataDead!AU:AU)</f>
        <v>0</v>
      </c>
      <c r="AS82">
        <f>SUMIF(RawDataDead!$B:$B,$A82,RawDataDead!AV:AV)</f>
        <v>0</v>
      </c>
      <c r="AT82">
        <f>SUMIF(RawDataDead!$B:$B,$A82,RawDataDead!AW:AW)</f>
        <v>0</v>
      </c>
      <c r="AU82">
        <f>SUMIF(RawDataDead!$B:$B,$A82,RawDataDead!AX:AX)</f>
        <v>0</v>
      </c>
      <c r="AV82">
        <f>SUMIF(RawDataDead!$B:$B,$A82,RawDataDead!AY:AY)</f>
        <v>0</v>
      </c>
      <c r="AW82">
        <f>SUMIF(RawDataDead!$B:$B,$A82,RawDataDead!AZ:AZ)</f>
        <v>0</v>
      </c>
      <c r="AX82">
        <f>SUMIF(RawDataDead!$B:$B,$A82,RawDataDead!BA:BA)</f>
        <v>0</v>
      </c>
      <c r="AY82">
        <f>SUMIF(RawDataDead!$B:$B,$A82,RawDataDead!BB:BB)</f>
        <v>0</v>
      </c>
      <c r="AZ82">
        <f>SUMIF(RawDataDead!$B:$B,$A82,RawDataDead!BC:BC)</f>
        <v>0</v>
      </c>
      <c r="BA82">
        <f>SUMIF(RawDataDead!$B:$B,$A82,RawDataDead!BD:BD)</f>
        <v>0</v>
      </c>
      <c r="BB82">
        <f>SUMIF(RawDataDead!$B:$B,$A82,RawDataDead!BE:BE)</f>
        <v>0</v>
      </c>
      <c r="BC82">
        <f>SUMIF(RawDataDead!$B:$B,$A82,RawDataDead!BF:BF)</f>
        <v>0</v>
      </c>
      <c r="BD82">
        <f>SUMIF(RawDataDead!$B:$B,$A82,RawDataDead!BG:BG)</f>
        <v>0</v>
      </c>
      <c r="BE82">
        <f>SUMIF(RawDataDead!$B:$B,$A82,RawDataDead!BH:BH)</f>
        <v>0</v>
      </c>
      <c r="BF82">
        <f>SUMIF(RawDataDead!$B:$B,$A82,RawDataDead!BI:BI)</f>
        <v>0</v>
      </c>
      <c r="BG82">
        <f>SUMIF(RawDataDead!$B:$B,$A82,RawDataDead!BJ:BJ)</f>
        <v>0</v>
      </c>
      <c r="BH82">
        <f>SUMIF(RawDataDead!$B:$B,$A82,RawDataDead!BK:BK)</f>
        <v>0</v>
      </c>
      <c r="BI82">
        <f>SUMIF(RawDataDead!$B:$B,$A82,RawDataDead!BL:BL)</f>
        <v>0</v>
      </c>
      <c r="BJ82">
        <f>SUMIF(RawDataDead!$B:$B,$A82,RawDataDead!BM:BM)</f>
        <v>0</v>
      </c>
      <c r="BK82">
        <f>SUMIF(RawDataDead!$B:$B,$A82,RawDataDead!BN:BN)</f>
        <v>0</v>
      </c>
      <c r="BL82">
        <f>SUMIF(RawDataDead!$B:$B,$A82,RawDataDead!BO:BO)</f>
        <v>0</v>
      </c>
      <c r="BM82">
        <f>SUMIF(RawDataDead!$B:$B,$A82,RawDataDead!BP:BP)</f>
        <v>0</v>
      </c>
      <c r="BN82">
        <f>SUMIF(RawDataDead!$B:$B,$A82,RawDataDead!BQ:BQ)</f>
        <v>0</v>
      </c>
      <c r="BO82">
        <f>SUMIF(RawDataDead!$B:$B,$A82,RawDataDead!BR:BR)</f>
        <v>0</v>
      </c>
      <c r="BP82">
        <f>SUMIF(RawDataDead!$B:$B,$A82,RawDataDead!BS:BS)</f>
        <v>0</v>
      </c>
      <c r="BQ82">
        <f>SUMIF(RawDataDead!$B:$B,$A82,RawDataDead!BT:BT)</f>
        <v>0</v>
      </c>
      <c r="BR82">
        <f>SUMIF(RawDataDead!$B:$B,$A82,RawDataDead!BU:BU)</f>
        <v>0</v>
      </c>
      <c r="BS82">
        <f>SUMIF(RawDataDead!$B:$B,$A82,RawDataDead!BV:BV)</f>
        <v>0</v>
      </c>
      <c r="BT82">
        <f>SUMIF(RawDataDead!$B:$B,$A82,RawDataDead!BW:BW)</f>
        <v>0</v>
      </c>
    </row>
    <row r="83" spans="1:72" ht="15" thickBot="1" x14ac:dyDescent="0.35">
      <c r="A83" s="4" t="s">
        <v>132</v>
      </c>
      <c r="B83">
        <f>SUMIF(RawDataDead!$B:$B,$A83,RawDataDead!E:E)</f>
        <v>0</v>
      </c>
      <c r="C83">
        <f>SUMIF(RawDataDead!$B:$B,$A83,RawDataDead!F:F)</f>
        <v>0</v>
      </c>
      <c r="D83">
        <f>SUMIF(RawDataDead!$B:$B,$A83,RawDataDead!G:G)</f>
        <v>0</v>
      </c>
      <c r="E83">
        <f>SUMIF(RawDataDead!$B:$B,$A83,RawDataDead!H:H)</f>
        <v>0</v>
      </c>
      <c r="F83">
        <f>SUMIF(RawDataDead!$B:$B,$A83,RawDataDead!I:I)</f>
        <v>0</v>
      </c>
      <c r="G83">
        <f>SUMIF(RawDataDead!$B:$B,$A83,RawDataDead!J:J)</f>
        <v>0</v>
      </c>
      <c r="H83">
        <f>SUMIF(RawDataDead!$B:$B,$A83,RawDataDead!K:K)</f>
        <v>0</v>
      </c>
      <c r="I83">
        <f>SUMIF(RawDataDead!$B:$B,$A83,RawDataDead!L:L)</f>
        <v>0</v>
      </c>
      <c r="J83">
        <f>SUMIF(RawDataDead!$B:$B,$A83,RawDataDead!M:M)</f>
        <v>0</v>
      </c>
      <c r="K83">
        <f>SUMIF(RawDataDead!$B:$B,$A83,RawDataDead!N:N)</f>
        <v>0</v>
      </c>
      <c r="L83">
        <f>SUMIF(RawDataDead!$B:$B,$A83,RawDataDead!O:O)</f>
        <v>0</v>
      </c>
      <c r="M83">
        <f>SUMIF(RawDataDead!$B:$B,$A83,RawDataDead!P:P)</f>
        <v>0</v>
      </c>
      <c r="N83">
        <f>SUMIF(RawDataDead!$B:$B,$A83,RawDataDead!Q:Q)</f>
        <v>0</v>
      </c>
      <c r="O83">
        <f>SUMIF(RawDataDead!$B:$B,$A83,RawDataDead!R:R)</f>
        <v>0</v>
      </c>
      <c r="P83">
        <f>SUMIF(RawDataDead!$B:$B,$A83,RawDataDead!S:S)</f>
        <v>0</v>
      </c>
      <c r="Q83">
        <f>SUMIF(RawDataDead!$B:$B,$A83,RawDataDead!T:T)</f>
        <v>0</v>
      </c>
      <c r="R83">
        <f>SUMIF(RawDataDead!$B:$B,$A83,RawDataDead!U:U)</f>
        <v>0</v>
      </c>
      <c r="S83">
        <f>SUMIF(RawDataDead!$B:$B,$A83,RawDataDead!V:V)</f>
        <v>0</v>
      </c>
      <c r="T83">
        <f>SUMIF(RawDataDead!$B:$B,$A83,RawDataDead!W:W)</f>
        <v>0</v>
      </c>
      <c r="U83">
        <f>SUMIF(RawDataDead!$B:$B,$A83,RawDataDead!X:X)</f>
        <v>0</v>
      </c>
      <c r="V83">
        <f>SUMIF(RawDataDead!$B:$B,$A83,RawDataDead!Y:Y)</f>
        <v>0</v>
      </c>
      <c r="W83">
        <f>SUMIF(RawDataDead!$B:$B,$A83,RawDataDead!Z:Z)</f>
        <v>0</v>
      </c>
      <c r="X83">
        <f>SUMIF(RawDataDead!$B:$B,$A83,RawDataDead!AA:AA)</f>
        <v>0</v>
      </c>
      <c r="Y83">
        <f>SUMIF(RawDataDead!$B:$B,$A83,RawDataDead!AB:AB)</f>
        <v>0</v>
      </c>
      <c r="Z83">
        <f>SUMIF(RawDataDead!$B:$B,$A83,RawDataDead!AC:AC)</f>
        <v>0</v>
      </c>
      <c r="AA83">
        <f>SUMIF(RawDataDead!$B:$B,$A83,RawDataDead!AD:AD)</f>
        <v>0</v>
      </c>
      <c r="AB83">
        <f>SUMIF(RawDataDead!$B:$B,$A83,RawDataDead!AE:AE)</f>
        <v>0</v>
      </c>
      <c r="AC83">
        <f>SUMIF(RawDataDead!$B:$B,$A83,RawDataDead!AF:AF)</f>
        <v>0</v>
      </c>
      <c r="AD83">
        <f>SUMIF(RawDataDead!$B:$B,$A83,RawDataDead!AG:AG)</f>
        <v>0</v>
      </c>
      <c r="AE83">
        <f>SUMIF(RawDataDead!$B:$B,$A83,RawDataDead!AH:AH)</f>
        <v>0</v>
      </c>
      <c r="AF83">
        <f>SUMIF(RawDataDead!$B:$B,$A83,RawDataDead!AI:AI)</f>
        <v>0</v>
      </c>
      <c r="AG83">
        <f>SUMIF(RawDataDead!$B:$B,$A83,RawDataDead!AJ:AJ)</f>
        <v>0</v>
      </c>
      <c r="AH83">
        <f>SUMIF(RawDataDead!$B:$B,$A83,RawDataDead!AK:AK)</f>
        <v>0</v>
      </c>
      <c r="AI83">
        <f>SUMIF(RawDataDead!$B:$B,$A83,RawDataDead!AL:AL)</f>
        <v>0</v>
      </c>
      <c r="AJ83">
        <f>SUMIF(RawDataDead!$B:$B,$A83,RawDataDead!AM:AM)</f>
        <v>0</v>
      </c>
      <c r="AK83">
        <f>SUMIF(RawDataDead!$B:$B,$A83,RawDataDead!AN:AN)</f>
        <v>0</v>
      </c>
      <c r="AL83">
        <f>SUMIF(RawDataDead!$B:$B,$A83,RawDataDead!AO:AO)</f>
        <v>0</v>
      </c>
      <c r="AM83">
        <f>SUMIF(RawDataDead!$B:$B,$A83,RawDataDead!AP:AP)</f>
        <v>0</v>
      </c>
      <c r="AN83">
        <f>SUMIF(RawDataDead!$B:$B,$A83,RawDataDead!AQ:AQ)</f>
        <v>0</v>
      </c>
      <c r="AO83">
        <f>SUMIF(RawDataDead!$B:$B,$A83,RawDataDead!AR:AR)</f>
        <v>0</v>
      </c>
      <c r="AP83">
        <f>SUMIF(RawDataDead!$B:$B,$A83,RawDataDead!AS:AS)</f>
        <v>0</v>
      </c>
      <c r="AQ83">
        <f>SUMIF(RawDataDead!$B:$B,$A83,RawDataDead!AT:AT)</f>
        <v>0</v>
      </c>
      <c r="AR83">
        <f>SUMIF(RawDataDead!$B:$B,$A83,RawDataDead!AU:AU)</f>
        <v>0</v>
      </c>
      <c r="AS83">
        <f>SUMIF(RawDataDead!$B:$B,$A83,RawDataDead!AV:AV)</f>
        <v>0</v>
      </c>
      <c r="AT83">
        <f>SUMIF(RawDataDead!$B:$B,$A83,RawDataDead!AW:AW)</f>
        <v>0</v>
      </c>
      <c r="AU83">
        <f>SUMIF(RawDataDead!$B:$B,$A83,RawDataDead!AX:AX)</f>
        <v>0</v>
      </c>
      <c r="AV83">
        <f>SUMIF(RawDataDead!$B:$B,$A83,RawDataDead!AY:AY)</f>
        <v>0</v>
      </c>
      <c r="AW83">
        <f>SUMIF(RawDataDead!$B:$B,$A83,RawDataDead!AZ:AZ)</f>
        <v>0</v>
      </c>
      <c r="AX83">
        <f>SUMIF(RawDataDead!$B:$B,$A83,RawDataDead!BA:BA)</f>
        <v>0</v>
      </c>
      <c r="AY83">
        <f>SUMIF(RawDataDead!$B:$B,$A83,RawDataDead!BB:BB)</f>
        <v>0</v>
      </c>
      <c r="AZ83">
        <f>SUMIF(RawDataDead!$B:$B,$A83,RawDataDead!BC:BC)</f>
        <v>0</v>
      </c>
      <c r="BA83">
        <f>SUMIF(RawDataDead!$B:$B,$A83,RawDataDead!BD:BD)</f>
        <v>0</v>
      </c>
      <c r="BB83">
        <f>SUMIF(RawDataDead!$B:$B,$A83,RawDataDead!BE:BE)</f>
        <v>0</v>
      </c>
      <c r="BC83">
        <f>SUMIF(RawDataDead!$B:$B,$A83,RawDataDead!BF:BF)</f>
        <v>0</v>
      </c>
      <c r="BD83">
        <f>SUMIF(RawDataDead!$B:$B,$A83,RawDataDead!BG:BG)</f>
        <v>0</v>
      </c>
      <c r="BE83">
        <f>SUMIF(RawDataDead!$B:$B,$A83,RawDataDead!BH:BH)</f>
        <v>0</v>
      </c>
      <c r="BF83">
        <f>SUMIF(RawDataDead!$B:$B,$A83,RawDataDead!BI:BI)</f>
        <v>0</v>
      </c>
      <c r="BG83">
        <f>SUMIF(RawDataDead!$B:$B,$A83,RawDataDead!BJ:BJ)</f>
        <v>0</v>
      </c>
      <c r="BH83">
        <f>SUMIF(RawDataDead!$B:$B,$A83,RawDataDead!BK:BK)</f>
        <v>0</v>
      </c>
      <c r="BI83">
        <f>SUMIF(RawDataDead!$B:$B,$A83,RawDataDead!BL:BL)</f>
        <v>0</v>
      </c>
      <c r="BJ83">
        <f>SUMIF(RawDataDead!$B:$B,$A83,RawDataDead!BM:BM)</f>
        <v>0</v>
      </c>
      <c r="BK83">
        <f>SUMIF(RawDataDead!$B:$B,$A83,RawDataDead!BN:BN)</f>
        <v>0</v>
      </c>
      <c r="BL83">
        <f>SUMIF(RawDataDead!$B:$B,$A83,RawDataDead!BO:BO)</f>
        <v>0</v>
      </c>
      <c r="BM83">
        <f>SUMIF(RawDataDead!$B:$B,$A83,RawDataDead!BP:BP)</f>
        <v>0</v>
      </c>
      <c r="BN83">
        <f>SUMIF(RawDataDead!$B:$B,$A83,RawDataDead!BQ:BQ)</f>
        <v>0</v>
      </c>
      <c r="BO83">
        <f>SUMIF(RawDataDead!$B:$B,$A83,RawDataDead!BR:BR)</f>
        <v>0</v>
      </c>
      <c r="BP83">
        <f>SUMIF(RawDataDead!$B:$B,$A83,RawDataDead!BS:BS)</f>
        <v>0</v>
      </c>
      <c r="BQ83">
        <f>SUMIF(RawDataDead!$B:$B,$A83,RawDataDead!BT:BT)</f>
        <v>0</v>
      </c>
      <c r="BR83">
        <f>SUMIF(RawDataDead!$B:$B,$A83,RawDataDead!BU:BU)</f>
        <v>0</v>
      </c>
      <c r="BS83">
        <f>SUMIF(RawDataDead!$B:$B,$A83,RawDataDead!BV:BV)</f>
        <v>0</v>
      </c>
      <c r="BT83">
        <f>SUMIF(RawDataDead!$B:$B,$A83,RawDataDead!BW:BW)</f>
        <v>0</v>
      </c>
    </row>
    <row r="84" spans="1:72" ht="15" thickBot="1" x14ac:dyDescent="0.35">
      <c r="A84" s="3" t="s">
        <v>381</v>
      </c>
      <c r="B84">
        <f>SUMIF(RawDataDead!$B:$B,$A84,RawDataDead!E:E)</f>
        <v>0</v>
      </c>
      <c r="C84">
        <f>SUMIF(RawDataDead!$B:$B,$A84,RawDataDead!F:F)</f>
        <v>0</v>
      </c>
      <c r="D84">
        <f>SUMIF(RawDataDead!$B:$B,$A84,RawDataDead!G:G)</f>
        <v>0</v>
      </c>
      <c r="E84">
        <f>SUMIF(RawDataDead!$B:$B,$A84,RawDataDead!H:H)</f>
        <v>0</v>
      </c>
      <c r="F84">
        <f>SUMIF(RawDataDead!$B:$B,$A84,RawDataDead!I:I)</f>
        <v>0</v>
      </c>
      <c r="G84">
        <f>SUMIF(RawDataDead!$B:$B,$A84,RawDataDead!J:J)</f>
        <v>0</v>
      </c>
      <c r="H84">
        <f>SUMIF(RawDataDead!$B:$B,$A84,RawDataDead!K:K)</f>
        <v>0</v>
      </c>
      <c r="I84">
        <f>SUMIF(RawDataDead!$B:$B,$A84,RawDataDead!L:L)</f>
        <v>0</v>
      </c>
      <c r="J84">
        <f>SUMIF(RawDataDead!$B:$B,$A84,RawDataDead!M:M)</f>
        <v>0</v>
      </c>
      <c r="K84">
        <f>SUMIF(RawDataDead!$B:$B,$A84,RawDataDead!N:N)</f>
        <v>0</v>
      </c>
      <c r="L84">
        <f>SUMIF(RawDataDead!$B:$B,$A84,RawDataDead!O:O)</f>
        <v>0</v>
      </c>
      <c r="M84">
        <f>SUMIF(RawDataDead!$B:$B,$A84,RawDataDead!P:P)</f>
        <v>0</v>
      </c>
      <c r="N84">
        <f>SUMIF(RawDataDead!$B:$B,$A84,RawDataDead!Q:Q)</f>
        <v>0</v>
      </c>
      <c r="O84">
        <f>SUMIF(RawDataDead!$B:$B,$A84,RawDataDead!R:R)</f>
        <v>0</v>
      </c>
      <c r="P84">
        <f>SUMIF(RawDataDead!$B:$B,$A84,RawDataDead!S:S)</f>
        <v>0</v>
      </c>
      <c r="Q84">
        <f>SUMIF(RawDataDead!$B:$B,$A84,RawDataDead!T:T)</f>
        <v>0</v>
      </c>
      <c r="R84">
        <f>SUMIF(RawDataDead!$B:$B,$A84,RawDataDead!U:U)</f>
        <v>0</v>
      </c>
      <c r="S84">
        <f>SUMIF(RawDataDead!$B:$B,$A84,RawDataDead!V:V)</f>
        <v>0</v>
      </c>
      <c r="T84">
        <f>SUMIF(RawDataDead!$B:$B,$A84,RawDataDead!W:W)</f>
        <v>0</v>
      </c>
      <c r="U84">
        <f>SUMIF(RawDataDead!$B:$B,$A84,RawDataDead!X:X)</f>
        <v>0</v>
      </c>
      <c r="V84">
        <f>SUMIF(RawDataDead!$B:$B,$A84,RawDataDead!Y:Y)</f>
        <v>0</v>
      </c>
      <c r="W84">
        <f>SUMIF(RawDataDead!$B:$B,$A84,RawDataDead!Z:Z)</f>
        <v>0</v>
      </c>
      <c r="X84">
        <f>SUMIF(RawDataDead!$B:$B,$A84,RawDataDead!AA:AA)</f>
        <v>0</v>
      </c>
      <c r="Y84">
        <f>SUMIF(RawDataDead!$B:$B,$A84,RawDataDead!AB:AB)</f>
        <v>0</v>
      </c>
      <c r="Z84">
        <f>SUMIF(RawDataDead!$B:$B,$A84,RawDataDead!AC:AC)</f>
        <v>0</v>
      </c>
      <c r="AA84">
        <f>SUMIF(RawDataDead!$B:$B,$A84,RawDataDead!AD:AD)</f>
        <v>0</v>
      </c>
      <c r="AB84">
        <f>SUMIF(RawDataDead!$B:$B,$A84,RawDataDead!AE:AE)</f>
        <v>0</v>
      </c>
      <c r="AC84">
        <f>SUMIF(RawDataDead!$B:$B,$A84,RawDataDead!AF:AF)</f>
        <v>0</v>
      </c>
      <c r="AD84">
        <f>SUMIF(RawDataDead!$B:$B,$A84,RawDataDead!AG:AG)</f>
        <v>0</v>
      </c>
      <c r="AE84">
        <f>SUMIF(RawDataDead!$B:$B,$A84,RawDataDead!AH:AH)</f>
        <v>0</v>
      </c>
      <c r="AF84">
        <f>SUMIF(RawDataDead!$B:$B,$A84,RawDataDead!AI:AI)</f>
        <v>0</v>
      </c>
      <c r="AG84">
        <f>SUMIF(RawDataDead!$B:$B,$A84,RawDataDead!AJ:AJ)</f>
        <v>0</v>
      </c>
      <c r="AH84">
        <f>SUMIF(RawDataDead!$B:$B,$A84,RawDataDead!AK:AK)</f>
        <v>0</v>
      </c>
      <c r="AI84">
        <f>SUMIF(RawDataDead!$B:$B,$A84,RawDataDead!AL:AL)</f>
        <v>0</v>
      </c>
      <c r="AJ84">
        <f>SUMIF(RawDataDead!$B:$B,$A84,RawDataDead!AM:AM)</f>
        <v>0</v>
      </c>
      <c r="AK84">
        <f>SUMIF(RawDataDead!$B:$B,$A84,RawDataDead!AN:AN)</f>
        <v>0</v>
      </c>
      <c r="AL84">
        <f>SUMIF(RawDataDead!$B:$B,$A84,RawDataDead!AO:AO)</f>
        <v>0</v>
      </c>
      <c r="AM84">
        <f>SUMIF(RawDataDead!$B:$B,$A84,RawDataDead!AP:AP)</f>
        <v>0</v>
      </c>
      <c r="AN84">
        <f>SUMIF(RawDataDead!$B:$B,$A84,RawDataDead!AQ:AQ)</f>
        <v>0</v>
      </c>
      <c r="AO84">
        <f>SUMIF(RawDataDead!$B:$B,$A84,RawDataDead!AR:AR)</f>
        <v>0</v>
      </c>
      <c r="AP84">
        <f>SUMIF(RawDataDead!$B:$B,$A84,RawDataDead!AS:AS)</f>
        <v>0</v>
      </c>
      <c r="AQ84">
        <f>SUMIF(RawDataDead!$B:$B,$A84,RawDataDead!AT:AT)</f>
        <v>0</v>
      </c>
      <c r="AR84">
        <f>SUMIF(RawDataDead!$B:$B,$A84,RawDataDead!AU:AU)</f>
        <v>0</v>
      </c>
      <c r="AS84">
        <f>SUMIF(RawDataDead!$B:$B,$A84,RawDataDead!AV:AV)</f>
        <v>0</v>
      </c>
      <c r="AT84">
        <f>SUMIF(RawDataDead!$B:$B,$A84,RawDataDead!AW:AW)</f>
        <v>0</v>
      </c>
      <c r="AU84">
        <f>SUMIF(RawDataDead!$B:$B,$A84,RawDataDead!AX:AX)</f>
        <v>0</v>
      </c>
      <c r="AV84">
        <f>SUMIF(RawDataDead!$B:$B,$A84,RawDataDead!AY:AY)</f>
        <v>0</v>
      </c>
      <c r="AW84">
        <f>SUMIF(RawDataDead!$B:$B,$A84,RawDataDead!AZ:AZ)</f>
        <v>0</v>
      </c>
      <c r="AX84">
        <f>SUMIF(RawDataDead!$B:$B,$A84,RawDataDead!BA:BA)</f>
        <v>0</v>
      </c>
      <c r="AY84">
        <f>SUMIF(RawDataDead!$B:$B,$A84,RawDataDead!BB:BB)</f>
        <v>0</v>
      </c>
      <c r="AZ84">
        <f>SUMIF(RawDataDead!$B:$B,$A84,RawDataDead!BC:BC)</f>
        <v>0</v>
      </c>
      <c r="BA84">
        <f>SUMIF(RawDataDead!$B:$B,$A84,RawDataDead!BD:BD)</f>
        <v>0</v>
      </c>
      <c r="BB84">
        <f>SUMIF(RawDataDead!$B:$B,$A84,RawDataDead!BE:BE)</f>
        <v>0</v>
      </c>
      <c r="BC84">
        <f>SUMIF(RawDataDead!$B:$B,$A84,RawDataDead!BF:BF)</f>
        <v>0</v>
      </c>
      <c r="BD84">
        <f>SUMIF(RawDataDead!$B:$B,$A84,RawDataDead!BG:BG)</f>
        <v>0</v>
      </c>
      <c r="BE84">
        <f>SUMIF(RawDataDead!$B:$B,$A84,RawDataDead!BH:BH)</f>
        <v>0</v>
      </c>
      <c r="BF84">
        <f>SUMIF(RawDataDead!$B:$B,$A84,RawDataDead!BI:BI)</f>
        <v>0</v>
      </c>
      <c r="BG84">
        <f>SUMIF(RawDataDead!$B:$B,$A84,RawDataDead!BJ:BJ)</f>
        <v>0</v>
      </c>
      <c r="BH84">
        <f>SUMIF(RawDataDead!$B:$B,$A84,RawDataDead!BK:BK)</f>
        <v>0</v>
      </c>
      <c r="BI84">
        <f>SUMIF(RawDataDead!$B:$B,$A84,RawDataDead!BL:BL)</f>
        <v>0</v>
      </c>
      <c r="BJ84">
        <f>SUMIF(RawDataDead!$B:$B,$A84,RawDataDead!BM:BM)</f>
        <v>0</v>
      </c>
      <c r="BK84">
        <f>SUMIF(RawDataDead!$B:$B,$A84,RawDataDead!BN:BN)</f>
        <v>0</v>
      </c>
      <c r="BL84">
        <f>SUMIF(RawDataDead!$B:$B,$A84,RawDataDead!BO:BO)</f>
        <v>0</v>
      </c>
      <c r="BM84">
        <f>SUMIF(RawDataDead!$B:$B,$A84,RawDataDead!BP:BP)</f>
        <v>0</v>
      </c>
      <c r="BN84">
        <f>SUMIF(RawDataDead!$B:$B,$A84,RawDataDead!BQ:BQ)</f>
        <v>0</v>
      </c>
      <c r="BO84">
        <f>SUMIF(RawDataDead!$B:$B,$A84,RawDataDead!BR:BR)</f>
        <v>0</v>
      </c>
      <c r="BP84">
        <f>SUMIF(RawDataDead!$B:$B,$A84,RawDataDead!BS:BS)</f>
        <v>0</v>
      </c>
      <c r="BQ84">
        <f>SUMIF(RawDataDead!$B:$B,$A84,RawDataDead!BT:BT)</f>
        <v>0</v>
      </c>
      <c r="BR84">
        <f>SUMIF(RawDataDead!$B:$B,$A84,RawDataDead!BU:BU)</f>
        <v>0</v>
      </c>
      <c r="BS84">
        <f>SUMIF(RawDataDead!$B:$B,$A84,RawDataDead!BV:BV)</f>
        <v>0</v>
      </c>
      <c r="BT84">
        <f>SUMIF(RawDataDead!$B:$B,$A84,RawDataDead!BW:BW)</f>
        <v>0</v>
      </c>
    </row>
    <row r="85" spans="1:72" ht="15" thickBot="1" x14ac:dyDescent="0.35">
      <c r="A85" s="3" t="s">
        <v>99</v>
      </c>
      <c r="B85">
        <f>SUMIF(RawDataDead!$B:$B,$A85,RawDataDead!E:E)</f>
        <v>0</v>
      </c>
      <c r="C85">
        <f>SUMIF(RawDataDead!$B:$B,$A85,RawDataDead!F:F)</f>
        <v>0</v>
      </c>
      <c r="D85">
        <f>SUMIF(RawDataDead!$B:$B,$A85,RawDataDead!G:G)</f>
        <v>0</v>
      </c>
      <c r="E85">
        <f>SUMIF(RawDataDead!$B:$B,$A85,RawDataDead!H:H)</f>
        <v>0</v>
      </c>
      <c r="F85">
        <f>SUMIF(RawDataDead!$B:$B,$A85,RawDataDead!I:I)</f>
        <v>0</v>
      </c>
      <c r="G85">
        <f>SUMIF(RawDataDead!$B:$B,$A85,RawDataDead!J:J)</f>
        <v>0</v>
      </c>
      <c r="H85">
        <f>SUMIF(RawDataDead!$B:$B,$A85,RawDataDead!K:K)</f>
        <v>0</v>
      </c>
      <c r="I85">
        <f>SUMIF(RawDataDead!$B:$B,$A85,RawDataDead!L:L)</f>
        <v>0</v>
      </c>
      <c r="J85">
        <f>SUMIF(RawDataDead!$B:$B,$A85,RawDataDead!M:M)</f>
        <v>0</v>
      </c>
      <c r="K85">
        <f>SUMIF(RawDataDead!$B:$B,$A85,RawDataDead!N:N)</f>
        <v>0</v>
      </c>
      <c r="L85">
        <f>SUMIF(RawDataDead!$B:$B,$A85,RawDataDead!O:O)</f>
        <v>0</v>
      </c>
      <c r="M85">
        <f>SUMIF(RawDataDead!$B:$B,$A85,RawDataDead!P:P)</f>
        <v>0</v>
      </c>
      <c r="N85">
        <f>SUMIF(RawDataDead!$B:$B,$A85,RawDataDead!Q:Q)</f>
        <v>0</v>
      </c>
      <c r="O85">
        <f>SUMIF(RawDataDead!$B:$B,$A85,RawDataDead!R:R)</f>
        <v>0</v>
      </c>
      <c r="P85">
        <f>SUMIF(RawDataDead!$B:$B,$A85,RawDataDead!S:S)</f>
        <v>0</v>
      </c>
      <c r="Q85">
        <f>SUMIF(RawDataDead!$B:$B,$A85,RawDataDead!T:T)</f>
        <v>0</v>
      </c>
      <c r="R85">
        <f>SUMIF(RawDataDead!$B:$B,$A85,RawDataDead!U:U)</f>
        <v>0</v>
      </c>
      <c r="S85">
        <f>SUMIF(RawDataDead!$B:$B,$A85,RawDataDead!V:V)</f>
        <v>0</v>
      </c>
      <c r="T85">
        <f>SUMIF(RawDataDead!$B:$B,$A85,RawDataDead!W:W)</f>
        <v>0</v>
      </c>
      <c r="U85">
        <f>SUMIF(RawDataDead!$B:$B,$A85,RawDataDead!X:X)</f>
        <v>0</v>
      </c>
      <c r="V85">
        <f>SUMIF(RawDataDead!$B:$B,$A85,RawDataDead!Y:Y)</f>
        <v>0</v>
      </c>
      <c r="W85">
        <f>SUMIF(RawDataDead!$B:$B,$A85,RawDataDead!Z:Z)</f>
        <v>0</v>
      </c>
      <c r="X85">
        <f>SUMIF(RawDataDead!$B:$B,$A85,RawDataDead!AA:AA)</f>
        <v>0</v>
      </c>
      <c r="Y85">
        <f>SUMIF(RawDataDead!$B:$B,$A85,RawDataDead!AB:AB)</f>
        <v>0</v>
      </c>
      <c r="Z85">
        <f>SUMIF(RawDataDead!$B:$B,$A85,RawDataDead!AC:AC)</f>
        <v>0</v>
      </c>
      <c r="AA85">
        <f>SUMIF(RawDataDead!$B:$B,$A85,RawDataDead!AD:AD)</f>
        <v>0</v>
      </c>
      <c r="AB85">
        <f>SUMIF(RawDataDead!$B:$B,$A85,RawDataDead!AE:AE)</f>
        <v>0</v>
      </c>
      <c r="AC85">
        <f>SUMIF(RawDataDead!$B:$B,$A85,RawDataDead!AF:AF)</f>
        <v>0</v>
      </c>
      <c r="AD85">
        <f>SUMIF(RawDataDead!$B:$B,$A85,RawDataDead!AG:AG)</f>
        <v>0</v>
      </c>
      <c r="AE85">
        <f>SUMIF(RawDataDead!$B:$B,$A85,RawDataDead!AH:AH)</f>
        <v>0</v>
      </c>
      <c r="AF85">
        <f>SUMIF(RawDataDead!$B:$B,$A85,RawDataDead!AI:AI)</f>
        <v>0</v>
      </c>
      <c r="AG85">
        <f>SUMIF(RawDataDead!$B:$B,$A85,RawDataDead!AJ:AJ)</f>
        <v>0</v>
      </c>
      <c r="AH85">
        <f>SUMIF(RawDataDead!$B:$B,$A85,RawDataDead!AK:AK)</f>
        <v>0</v>
      </c>
      <c r="AI85">
        <f>SUMIF(RawDataDead!$B:$B,$A85,RawDataDead!AL:AL)</f>
        <v>0</v>
      </c>
      <c r="AJ85">
        <f>SUMIF(RawDataDead!$B:$B,$A85,RawDataDead!AM:AM)</f>
        <v>0</v>
      </c>
      <c r="AK85">
        <f>SUMIF(RawDataDead!$B:$B,$A85,RawDataDead!AN:AN)</f>
        <v>0</v>
      </c>
      <c r="AL85">
        <f>SUMIF(RawDataDead!$B:$B,$A85,RawDataDead!AO:AO)</f>
        <v>0</v>
      </c>
      <c r="AM85">
        <f>SUMIF(RawDataDead!$B:$B,$A85,RawDataDead!AP:AP)</f>
        <v>0</v>
      </c>
      <c r="AN85">
        <f>SUMIF(RawDataDead!$B:$B,$A85,RawDataDead!AQ:AQ)</f>
        <v>0</v>
      </c>
      <c r="AO85">
        <f>SUMIF(RawDataDead!$B:$B,$A85,RawDataDead!AR:AR)</f>
        <v>0</v>
      </c>
      <c r="AP85">
        <f>SUMIF(RawDataDead!$B:$B,$A85,RawDataDead!AS:AS)</f>
        <v>0</v>
      </c>
      <c r="AQ85">
        <f>SUMIF(RawDataDead!$B:$B,$A85,RawDataDead!AT:AT)</f>
        <v>0</v>
      </c>
      <c r="AR85">
        <f>SUMIF(RawDataDead!$B:$B,$A85,RawDataDead!AU:AU)</f>
        <v>0</v>
      </c>
      <c r="AS85">
        <f>SUMIF(RawDataDead!$B:$B,$A85,RawDataDead!AV:AV)</f>
        <v>0</v>
      </c>
      <c r="AT85">
        <f>SUMIF(RawDataDead!$B:$B,$A85,RawDataDead!AW:AW)</f>
        <v>0</v>
      </c>
      <c r="AU85">
        <f>SUMIF(RawDataDead!$B:$B,$A85,RawDataDead!AX:AX)</f>
        <v>0</v>
      </c>
      <c r="AV85">
        <f>SUMIF(RawDataDead!$B:$B,$A85,RawDataDead!AY:AY)</f>
        <v>0</v>
      </c>
      <c r="AW85">
        <f>SUMIF(RawDataDead!$B:$B,$A85,RawDataDead!AZ:AZ)</f>
        <v>0</v>
      </c>
      <c r="AX85">
        <f>SUMIF(RawDataDead!$B:$B,$A85,RawDataDead!BA:BA)</f>
        <v>0</v>
      </c>
      <c r="AY85">
        <f>SUMIF(RawDataDead!$B:$B,$A85,RawDataDead!BB:BB)</f>
        <v>0</v>
      </c>
      <c r="AZ85">
        <f>SUMIF(RawDataDead!$B:$B,$A85,RawDataDead!BC:BC)</f>
        <v>0</v>
      </c>
      <c r="BA85">
        <f>SUMIF(RawDataDead!$B:$B,$A85,RawDataDead!BD:BD)</f>
        <v>0</v>
      </c>
      <c r="BB85">
        <f>SUMIF(RawDataDead!$B:$B,$A85,RawDataDead!BE:BE)</f>
        <v>0</v>
      </c>
      <c r="BC85">
        <f>SUMIF(RawDataDead!$B:$B,$A85,RawDataDead!BF:BF)</f>
        <v>0</v>
      </c>
      <c r="BD85">
        <f>SUMIF(RawDataDead!$B:$B,$A85,RawDataDead!BG:BG)</f>
        <v>0</v>
      </c>
      <c r="BE85">
        <f>SUMIF(RawDataDead!$B:$B,$A85,RawDataDead!BH:BH)</f>
        <v>0</v>
      </c>
      <c r="BF85">
        <f>SUMIF(RawDataDead!$B:$B,$A85,RawDataDead!BI:BI)</f>
        <v>0</v>
      </c>
      <c r="BG85">
        <f>SUMIF(RawDataDead!$B:$B,$A85,RawDataDead!BJ:BJ)</f>
        <v>0</v>
      </c>
      <c r="BH85">
        <f>SUMIF(RawDataDead!$B:$B,$A85,RawDataDead!BK:BK)</f>
        <v>0</v>
      </c>
      <c r="BI85">
        <f>SUMIF(RawDataDead!$B:$B,$A85,RawDataDead!BL:BL)</f>
        <v>0</v>
      </c>
      <c r="BJ85">
        <f>SUMIF(RawDataDead!$B:$B,$A85,RawDataDead!BM:BM)</f>
        <v>0</v>
      </c>
      <c r="BK85">
        <f>SUMIF(RawDataDead!$B:$B,$A85,RawDataDead!BN:BN)</f>
        <v>0</v>
      </c>
      <c r="BL85">
        <f>SUMIF(RawDataDead!$B:$B,$A85,RawDataDead!BO:BO)</f>
        <v>0</v>
      </c>
      <c r="BM85">
        <f>SUMIF(RawDataDead!$B:$B,$A85,RawDataDead!BP:BP)</f>
        <v>0</v>
      </c>
      <c r="BN85">
        <f>SUMIF(RawDataDead!$B:$B,$A85,RawDataDead!BQ:BQ)</f>
        <v>0</v>
      </c>
      <c r="BO85">
        <f>SUMIF(RawDataDead!$B:$B,$A85,RawDataDead!BR:BR)</f>
        <v>0</v>
      </c>
      <c r="BP85">
        <f>SUMIF(RawDataDead!$B:$B,$A85,RawDataDead!BS:BS)</f>
        <v>0</v>
      </c>
      <c r="BQ85">
        <f>SUMIF(RawDataDead!$B:$B,$A85,RawDataDead!BT:BT)</f>
        <v>0</v>
      </c>
      <c r="BR85">
        <f>SUMIF(RawDataDead!$B:$B,$A85,RawDataDead!BU:BU)</f>
        <v>0</v>
      </c>
      <c r="BS85">
        <f>SUMIF(RawDataDead!$B:$B,$A85,RawDataDead!BV:BV)</f>
        <v>0</v>
      </c>
      <c r="BT85">
        <f>SUMIF(RawDataDead!$B:$B,$A85,RawDataDead!BW:BW)</f>
        <v>0</v>
      </c>
    </row>
    <row r="86" spans="1:72" ht="15" thickBot="1" x14ac:dyDescent="0.35">
      <c r="A86" s="3" t="s">
        <v>139</v>
      </c>
      <c r="B86">
        <f>SUMIF(RawDataDead!$B:$B,$A86,RawDataDead!E:E)</f>
        <v>0</v>
      </c>
      <c r="C86">
        <f>SUMIF(RawDataDead!$B:$B,$A86,RawDataDead!F:F)</f>
        <v>0</v>
      </c>
      <c r="D86">
        <f>SUMIF(RawDataDead!$B:$B,$A86,RawDataDead!G:G)</f>
        <v>0</v>
      </c>
      <c r="E86">
        <f>SUMIF(RawDataDead!$B:$B,$A86,RawDataDead!H:H)</f>
        <v>0</v>
      </c>
      <c r="F86">
        <f>SUMIF(RawDataDead!$B:$B,$A86,RawDataDead!I:I)</f>
        <v>0</v>
      </c>
      <c r="G86">
        <f>SUMIF(RawDataDead!$B:$B,$A86,RawDataDead!J:J)</f>
        <v>0</v>
      </c>
      <c r="H86">
        <f>SUMIF(RawDataDead!$B:$B,$A86,RawDataDead!K:K)</f>
        <v>0</v>
      </c>
      <c r="I86">
        <f>SUMIF(RawDataDead!$B:$B,$A86,RawDataDead!L:L)</f>
        <v>0</v>
      </c>
      <c r="J86">
        <f>SUMIF(RawDataDead!$B:$B,$A86,RawDataDead!M:M)</f>
        <v>0</v>
      </c>
      <c r="K86">
        <f>SUMIF(RawDataDead!$B:$B,$A86,RawDataDead!N:N)</f>
        <v>0</v>
      </c>
      <c r="L86">
        <f>SUMIF(RawDataDead!$B:$B,$A86,RawDataDead!O:O)</f>
        <v>0</v>
      </c>
      <c r="M86">
        <f>SUMIF(RawDataDead!$B:$B,$A86,RawDataDead!P:P)</f>
        <v>0</v>
      </c>
      <c r="N86">
        <f>SUMIF(RawDataDead!$B:$B,$A86,RawDataDead!Q:Q)</f>
        <v>0</v>
      </c>
      <c r="O86">
        <f>SUMIF(RawDataDead!$B:$B,$A86,RawDataDead!R:R)</f>
        <v>0</v>
      </c>
      <c r="P86">
        <f>SUMIF(RawDataDead!$B:$B,$A86,RawDataDead!S:S)</f>
        <v>0</v>
      </c>
      <c r="Q86">
        <f>SUMIF(RawDataDead!$B:$B,$A86,RawDataDead!T:T)</f>
        <v>0</v>
      </c>
      <c r="R86">
        <f>SUMIF(RawDataDead!$B:$B,$A86,RawDataDead!U:U)</f>
        <v>0</v>
      </c>
      <c r="S86">
        <f>SUMIF(RawDataDead!$B:$B,$A86,RawDataDead!V:V)</f>
        <v>0</v>
      </c>
      <c r="T86">
        <f>SUMIF(RawDataDead!$B:$B,$A86,RawDataDead!W:W)</f>
        <v>0</v>
      </c>
      <c r="U86">
        <f>SUMIF(RawDataDead!$B:$B,$A86,RawDataDead!X:X)</f>
        <v>0</v>
      </c>
      <c r="V86">
        <f>SUMIF(RawDataDead!$B:$B,$A86,RawDataDead!Y:Y)</f>
        <v>0</v>
      </c>
      <c r="W86">
        <f>SUMIF(RawDataDead!$B:$B,$A86,RawDataDead!Z:Z)</f>
        <v>0</v>
      </c>
      <c r="X86">
        <f>SUMIF(RawDataDead!$B:$B,$A86,RawDataDead!AA:AA)</f>
        <v>0</v>
      </c>
      <c r="Y86">
        <f>SUMIF(RawDataDead!$B:$B,$A86,RawDataDead!AB:AB)</f>
        <v>0</v>
      </c>
      <c r="Z86">
        <f>SUMIF(RawDataDead!$B:$B,$A86,RawDataDead!AC:AC)</f>
        <v>0</v>
      </c>
      <c r="AA86">
        <f>SUMIF(RawDataDead!$B:$B,$A86,RawDataDead!AD:AD)</f>
        <v>0</v>
      </c>
      <c r="AB86">
        <f>SUMIF(RawDataDead!$B:$B,$A86,RawDataDead!AE:AE)</f>
        <v>0</v>
      </c>
      <c r="AC86">
        <f>SUMIF(RawDataDead!$B:$B,$A86,RawDataDead!AF:AF)</f>
        <v>0</v>
      </c>
      <c r="AD86">
        <f>SUMIF(RawDataDead!$B:$B,$A86,RawDataDead!AG:AG)</f>
        <v>0</v>
      </c>
      <c r="AE86">
        <f>SUMIF(RawDataDead!$B:$B,$A86,RawDataDead!AH:AH)</f>
        <v>0</v>
      </c>
      <c r="AF86">
        <f>SUMIF(RawDataDead!$B:$B,$A86,RawDataDead!AI:AI)</f>
        <v>0</v>
      </c>
      <c r="AG86">
        <f>SUMIF(RawDataDead!$B:$B,$A86,RawDataDead!AJ:AJ)</f>
        <v>0</v>
      </c>
      <c r="AH86">
        <f>SUMIF(RawDataDead!$B:$B,$A86,RawDataDead!AK:AK)</f>
        <v>0</v>
      </c>
      <c r="AI86">
        <f>SUMIF(RawDataDead!$B:$B,$A86,RawDataDead!AL:AL)</f>
        <v>0</v>
      </c>
      <c r="AJ86">
        <f>SUMIF(RawDataDead!$B:$B,$A86,RawDataDead!AM:AM)</f>
        <v>0</v>
      </c>
      <c r="AK86">
        <f>SUMIF(RawDataDead!$B:$B,$A86,RawDataDead!AN:AN)</f>
        <v>0</v>
      </c>
      <c r="AL86">
        <f>SUMIF(RawDataDead!$B:$B,$A86,RawDataDead!AO:AO)</f>
        <v>0</v>
      </c>
      <c r="AM86">
        <f>SUMIF(RawDataDead!$B:$B,$A86,RawDataDead!AP:AP)</f>
        <v>0</v>
      </c>
      <c r="AN86">
        <f>SUMIF(RawDataDead!$B:$B,$A86,RawDataDead!AQ:AQ)</f>
        <v>0</v>
      </c>
      <c r="AO86">
        <f>SUMIF(RawDataDead!$B:$B,$A86,RawDataDead!AR:AR)</f>
        <v>0</v>
      </c>
      <c r="AP86">
        <f>SUMIF(RawDataDead!$B:$B,$A86,RawDataDead!AS:AS)</f>
        <v>0</v>
      </c>
      <c r="AQ86">
        <f>SUMIF(RawDataDead!$B:$B,$A86,RawDataDead!AT:AT)</f>
        <v>0</v>
      </c>
      <c r="AR86">
        <f>SUMIF(RawDataDead!$B:$B,$A86,RawDataDead!AU:AU)</f>
        <v>0</v>
      </c>
      <c r="AS86">
        <f>SUMIF(RawDataDead!$B:$B,$A86,RawDataDead!AV:AV)</f>
        <v>0</v>
      </c>
      <c r="AT86">
        <f>SUMIF(RawDataDead!$B:$B,$A86,RawDataDead!AW:AW)</f>
        <v>0</v>
      </c>
      <c r="AU86">
        <f>SUMIF(RawDataDead!$B:$B,$A86,RawDataDead!AX:AX)</f>
        <v>0</v>
      </c>
      <c r="AV86">
        <f>SUMIF(RawDataDead!$B:$B,$A86,RawDataDead!AY:AY)</f>
        <v>0</v>
      </c>
      <c r="AW86">
        <f>SUMIF(RawDataDead!$B:$B,$A86,RawDataDead!AZ:AZ)</f>
        <v>0</v>
      </c>
      <c r="AX86">
        <f>SUMIF(RawDataDead!$B:$B,$A86,RawDataDead!BA:BA)</f>
        <v>1</v>
      </c>
      <c r="AY86">
        <f>SUMIF(RawDataDead!$B:$B,$A86,RawDataDead!BB:BB)</f>
        <v>1</v>
      </c>
      <c r="AZ86">
        <f>SUMIF(RawDataDead!$B:$B,$A86,RawDataDead!BC:BC)</f>
        <v>1</v>
      </c>
      <c r="BA86">
        <f>SUMIF(RawDataDead!$B:$B,$A86,RawDataDead!BD:BD)</f>
        <v>1</v>
      </c>
      <c r="BB86">
        <f>SUMIF(RawDataDead!$B:$B,$A86,RawDataDead!BE:BE)</f>
        <v>1</v>
      </c>
      <c r="BC86">
        <f>SUMIF(RawDataDead!$B:$B,$A86,RawDataDead!BF:BF)</f>
        <v>1</v>
      </c>
      <c r="BD86">
        <f>SUMIF(RawDataDead!$B:$B,$A86,RawDataDead!BG:BG)</f>
        <v>1</v>
      </c>
      <c r="BE86">
        <f>SUMIF(RawDataDead!$B:$B,$A86,RawDataDead!BH:BH)</f>
        <v>2</v>
      </c>
      <c r="BF86">
        <f>SUMIF(RawDataDead!$B:$B,$A86,RawDataDead!BI:BI)</f>
        <v>0</v>
      </c>
      <c r="BG86">
        <f>SUMIF(RawDataDead!$B:$B,$A86,RawDataDead!BJ:BJ)</f>
        <v>0</v>
      </c>
      <c r="BH86">
        <f>SUMIF(RawDataDead!$B:$B,$A86,RawDataDead!BK:BK)</f>
        <v>0</v>
      </c>
      <c r="BI86">
        <f>SUMIF(RawDataDead!$B:$B,$A86,RawDataDead!BL:BL)</f>
        <v>0</v>
      </c>
      <c r="BJ86">
        <f>SUMIF(RawDataDead!$B:$B,$A86,RawDataDead!BM:BM)</f>
        <v>0</v>
      </c>
      <c r="BK86">
        <f>SUMIF(RawDataDead!$B:$B,$A86,RawDataDead!BN:BN)</f>
        <v>0</v>
      </c>
      <c r="BL86">
        <f>SUMIF(RawDataDead!$B:$B,$A86,RawDataDead!BO:BO)</f>
        <v>0</v>
      </c>
      <c r="BM86">
        <f>SUMIF(RawDataDead!$B:$B,$A86,RawDataDead!BP:BP)</f>
        <v>0</v>
      </c>
      <c r="BN86">
        <f>SUMIF(RawDataDead!$B:$B,$A86,RawDataDead!BQ:BQ)</f>
        <v>0</v>
      </c>
      <c r="BO86">
        <f>SUMIF(RawDataDead!$B:$B,$A86,RawDataDead!BR:BR)</f>
        <v>0</v>
      </c>
      <c r="BP86">
        <f>SUMIF(RawDataDead!$B:$B,$A86,RawDataDead!BS:BS)</f>
        <v>0</v>
      </c>
      <c r="BQ86">
        <f>SUMIF(RawDataDead!$B:$B,$A86,RawDataDead!BT:BT)</f>
        <v>0</v>
      </c>
      <c r="BR86">
        <f>SUMIF(RawDataDead!$B:$B,$A86,RawDataDead!BU:BU)</f>
        <v>0</v>
      </c>
      <c r="BS86">
        <f>SUMIF(RawDataDead!$B:$B,$A86,RawDataDead!BV:BV)</f>
        <v>0</v>
      </c>
      <c r="BT86">
        <f>SUMIF(RawDataDead!$B:$B,$A86,RawDataDead!BW:BW)</f>
        <v>0</v>
      </c>
    </row>
    <row r="87" spans="1:72" ht="15" thickBot="1" x14ac:dyDescent="0.35">
      <c r="A87" s="3" t="s">
        <v>120</v>
      </c>
      <c r="B87">
        <f>SUMIF(RawDataDead!$B:$B,$A87,RawDataDead!E:E)</f>
        <v>0</v>
      </c>
      <c r="C87">
        <f>SUMIF(RawDataDead!$B:$B,$A87,RawDataDead!F:F)</f>
        <v>0</v>
      </c>
      <c r="D87">
        <f>SUMIF(RawDataDead!$B:$B,$A87,RawDataDead!G:G)</f>
        <v>0</v>
      </c>
      <c r="E87">
        <f>SUMIF(RawDataDead!$B:$B,$A87,RawDataDead!H:H)</f>
        <v>0</v>
      </c>
      <c r="F87">
        <f>SUMIF(RawDataDead!$B:$B,$A87,RawDataDead!I:I)</f>
        <v>0</v>
      </c>
      <c r="G87">
        <f>SUMIF(RawDataDead!$B:$B,$A87,RawDataDead!J:J)</f>
        <v>0</v>
      </c>
      <c r="H87">
        <f>SUMIF(RawDataDead!$B:$B,$A87,RawDataDead!K:K)</f>
        <v>0</v>
      </c>
      <c r="I87">
        <f>SUMIF(RawDataDead!$B:$B,$A87,RawDataDead!L:L)</f>
        <v>0</v>
      </c>
      <c r="J87">
        <f>SUMIF(RawDataDead!$B:$B,$A87,RawDataDead!M:M)</f>
        <v>0</v>
      </c>
      <c r="K87">
        <f>SUMIF(RawDataDead!$B:$B,$A87,RawDataDead!N:N)</f>
        <v>0</v>
      </c>
      <c r="L87">
        <f>SUMIF(RawDataDead!$B:$B,$A87,RawDataDead!O:O)</f>
        <v>0</v>
      </c>
      <c r="M87">
        <f>SUMIF(RawDataDead!$B:$B,$A87,RawDataDead!P:P)</f>
        <v>0</v>
      </c>
      <c r="N87">
        <f>SUMIF(RawDataDead!$B:$B,$A87,RawDataDead!Q:Q)</f>
        <v>0</v>
      </c>
      <c r="O87">
        <f>SUMIF(RawDataDead!$B:$B,$A87,RawDataDead!R:R)</f>
        <v>0</v>
      </c>
      <c r="P87">
        <f>SUMIF(RawDataDead!$B:$B,$A87,RawDataDead!S:S)</f>
        <v>0</v>
      </c>
      <c r="Q87">
        <f>SUMIF(RawDataDead!$B:$B,$A87,RawDataDead!T:T)</f>
        <v>0</v>
      </c>
      <c r="R87">
        <f>SUMIF(RawDataDead!$B:$B,$A87,RawDataDead!U:U)</f>
        <v>0</v>
      </c>
      <c r="S87">
        <f>SUMIF(RawDataDead!$B:$B,$A87,RawDataDead!V:V)</f>
        <v>0</v>
      </c>
      <c r="T87">
        <f>SUMIF(RawDataDead!$B:$B,$A87,RawDataDead!W:W)</f>
        <v>0</v>
      </c>
      <c r="U87">
        <f>SUMIF(RawDataDead!$B:$B,$A87,RawDataDead!X:X)</f>
        <v>0</v>
      </c>
      <c r="V87">
        <f>SUMIF(RawDataDead!$B:$B,$A87,RawDataDead!Y:Y)</f>
        <v>0</v>
      </c>
      <c r="W87">
        <f>SUMIF(RawDataDead!$B:$B,$A87,RawDataDead!Z:Z)</f>
        <v>0</v>
      </c>
      <c r="X87">
        <f>SUMIF(RawDataDead!$B:$B,$A87,RawDataDead!AA:AA)</f>
        <v>0</v>
      </c>
      <c r="Y87">
        <f>SUMIF(RawDataDead!$B:$B,$A87,RawDataDead!AB:AB)</f>
        <v>0</v>
      </c>
      <c r="Z87">
        <f>SUMIF(RawDataDead!$B:$B,$A87,RawDataDead!AC:AC)</f>
        <v>0</v>
      </c>
      <c r="AA87">
        <f>SUMIF(RawDataDead!$B:$B,$A87,RawDataDead!AD:AD)</f>
        <v>0</v>
      </c>
      <c r="AB87">
        <f>SUMIF(RawDataDead!$B:$B,$A87,RawDataDead!AE:AE)</f>
        <v>0</v>
      </c>
      <c r="AC87">
        <f>SUMIF(RawDataDead!$B:$B,$A87,RawDataDead!AF:AF)</f>
        <v>0</v>
      </c>
      <c r="AD87">
        <f>SUMIF(RawDataDead!$B:$B,$A87,RawDataDead!AG:AG)</f>
        <v>0</v>
      </c>
      <c r="AE87">
        <f>SUMIF(RawDataDead!$B:$B,$A87,RawDataDead!AH:AH)</f>
        <v>0</v>
      </c>
      <c r="AF87">
        <f>SUMIF(RawDataDead!$B:$B,$A87,RawDataDead!AI:AI)</f>
        <v>0</v>
      </c>
      <c r="AG87">
        <f>SUMIF(RawDataDead!$B:$B,$A87,RawDataDead!AJ:AJ)</f>
        <v>0</v>
      </c>
      <c r="AH87">
        <f>SUMIF(RawDataDead!$B:$B,$A87,RawDataDead!AK:AK)</f>
        <v>0</v>
      </c>
      <c r="AI87">
        <f>SUMIF(RawDataDead!$B:$B,$A87,RawDataDead!AL:AL)</f>
        <v>0</v>
      </c>
      <c r="AJ87">
        <f>SUMIF(RawDataDead!$B:$B,$A87,RawDataDead!AM:AM)</f>
        <v>0</v>
      </c>
      <c r="AK87">
        <f>SUMIF(RawDataDead!$B:$B,$A87,RawDataDead!AN:AN)</f>
        <v>0</v>
      </c>
      <c r="AL87">
        <f>SUMIF(RawDataDead!$B:$B,$A87,RawDataDead!AO:AO)</f>
        <v>0</v>
      </c>
      <c r="AM87">
        <f>SUMIF(RawDataDead!$B:$B,$A87,RawDataDead!AP:AP)</f>
        <v>0</v>
      </c>
      <c r="AN87">
        <f>SUMIF(RawDataDead!$B:$B,$A87,RawDataDead!AQ:AQ)</f>
        <v>0</v>
      </c>
      <c r="AO87">
        <f>SUMIF(RawDataDead!$B:$B,$A87,RawDataDead!AR:AR)</f>
        <v>0</v>
      </c>
      <c r="AP87">
        <f>SUMIF(RawDataDead!$B:$B,$A87,RawDataDead!AS:AS)</f>
        <v>0</v>
      </c>
      <c r="AQ87">
        <f>SUMIF(RawDataDead!$B:$B,$A87,RawDataDead!AT:AT)</f>
        <v>0</v>
      </c>
      <c r="AR87">
        <f>SUMIF(RawDataDead!$B:$B,$A87,RawDataDead!AU:AU)</f>
        <v>0</v>
      </c>
      <c r="AS87">
        <f>SUMIF(RawDataDead!$B:$B,$A87,RawDataDead!AV:AV)</f>
        <v>0</v>
      </c>
      <c r="AT87">
        <f>SUMIF(RawDataDead!$B:$B,$A87,RawDataDead!AW:AW)</f>
        <v>0</v>
      </c>
      <c r="AU87">
        <f>SUMIF(RawDataDead!$B:$B,$A87,RawDataDead!AX:AX)</f>
        <v>0</v>
      </c>
      <c r="AV87">
        <f>SUMIF(RawDataDead!$B:$B,$A87,RawDataDead!AY:AY)</f>
        <v>0</v>
      </c>
      <c r="AW87">
        <f>SUMIF(RawDataDead!$B:$B,$A87,RawDataDead!AZ:AZ)</f>
        <v>0</v>
      </c>
      <c r="AX87">
        <f>SUMIF(RawDataDead!$B:$B,$A87,RawDataDead!BA:BA)</f>
        <v>0</v>
      </c>
      <c r="AY87">
        <f>SUMIF(RawDataDead!$B:$B,$A87,RawDataDead!BB:BB)</f>
        <v>0</v>
      </c>
      <c r="AZ87">
        <f>SUMIF(RawDataDead!$B:$B,$A87,RawDataDead!BC:BC)</f>
        <v>0</v>
      </c>
      <c r="BA87">
        <f>SUMIF(RawDataDead!$B:$B,$A87,RawDataDead!BD:BD)</f>
        <v>0</v>
      </c>
      <c r="BB87">
        <f>SUMIF(RawDataDead!$B:$B,$A87,RawDataDead!BE:BE)</f>
        <v>0</v>
      </c>
      <c r="BC87">
        <f>SUMIF(RawDataDead!$B:$B,$A87,RawDataDead!BF:BF)</f>
        <v>0</v>
      </c>
      <c r="BD87">
        <f>SUMIF(RawDataDead!$B:$B,$A87,RawDataDead!BG:BG)</f>
        <v>0</v>
      </c>
      <c r="BE87">
        <f>SUMIF(RawDataDead!$B:$B,$A87,RawDataDead!BH:BH)</f>
        <v>0</v>
      </c>
      <c r="BF87">
        <f>SUMIF(RawDataDead!$B:$B,$A87,RawDataDead!BI:BI)</f>
        <v>0</v>
      </c>
      <c r="BG87">
        <f>SUMIF(RawDataDead!$B:$B,$A87,RawDataDead!BJ:BJ)</f>
        <v>0</v>
      </c>
      <c r="BH87">
        <f>SUMIF(RawDataDead!$B:$B,$A87,RawDataDead!BK:BK)</f>
        <v>0</v>
      </c>
      <c r="BI87">
        <f>SUMIF(RawDataDead!$B:$B,$A87,RawDataDead!BL:BL)</f>
        <v>0</v>
      </c>
      <c r="BJ87">
        <f>SUMIF(RawDataDead!$B:$B,$A87,RawDataDead!BM:BM)</f>
        <v>0</v>
      </c>
      <c r="BK87">
        <f>SUMIF(RawDataDead!$B:$B,$A87,RawDataDead!BN:BN)</f>
        <v>0</v>
      </c>
      <c r="BL87">
        <f>SUMIF(RawDataDead!$B:$B,$A87,RawDataDead!BO:BO)</f>
        <v>0</v>
      </c>
      <c r="BM87">
        <f>SUMIF(RawDataDead!$B:$B,$A87,RawDataDead!BP:BP)</f>
        <v>0</v>
      </c>
      <c r="BN87">
        <f>SUMIF(RawDataDead!$B:$B,$A87,RawDataDead!BQ:BQ)</f>
        <v>0</v>
      </c>
      <c r="BO87">
        <f>SUMIF(RawDataDead!$B:$B,$A87,RawDataDead!BR:BR)</f>
        <v>0</v>
      </c>
      <c r="BP87">
        <f>SUMIF(RawDataDead!$B:$B,$A87,RawDataDead!BS:BS)</f>
        <v>0</v>
      </c>
      <c r="BQ87">
        <f>SUMIF(RawDataDead!$B:$B,$A87,RawDataDead!BT:BT)</f>
        <v>0</v>
      </c>
      <c r="BR87">
        <f>SUMIF(RawDataDead!$B:$B,$A87,RawDataDead!BU:BU)</f>
        <v>0</v>
      </c>
      <c r="BS87">
        <f>SUMIF(RawDataDead!$B:$B,$A87,RawDataDead!BV:BV)</f>
        <v>0</v>
      </c>
      <c r="BT87">
        <f>SUMIF(RawDataDead!$B:$B,$A87,RawDataDead!BW:BW)</f>
        <v>0</v>
      </c>
    </row>
    <row r="88" spans="1:72" ht="15" thickBot="1" x14ac:dyDescent="0.35">
      <c r="A88" s="4" t="s">
        <v>373</v>
      </c>
      <c r="B88">
        <f>SUMIF(RawDataDead!$B:$B,$A88,RawDataDead!E:E)</f>
        <v>0</v>
      </c>
      <c r="C88">
        <f>SUMIF(RawDataDead!$B:$B,$A88,RawDataDead!F:F)</f>
        <v>0</v>
      </c>
      <c r="D88">
        <f>SUMIF(RawDataDead!$B:$B,$A88,RawDataDead!G:G)</f>
        <v>0</v>
      </c>
      <c r="E88">
        <f>SUMIF(RawDataDead!$B:$B,$A88,RawDataDead!H:H)</f>
        <v>0</v>
      </c>
      <c r="F88">
        <f>SUMIF(RawDataDead!$B:$B,$A88,RawDataDead!I:I)</f>
        <v>0</v>
      </c>
      <c r="G88">
        <f>SUMIF(RawDataDead!$B:$B,$A88,RawDataDead!J:J)</f>
        <v>0</v>
      </c>
      <c r="H88">
        <f>SUMIF(RawDataDead!$B:$B,$A88,RawDataDead!K:K)</f>
        <v>0</v>
      </c>
      <c r="I88">
        <f>SUMIF(RawDataDead!$B:$B,$A88,RawDataDead!L:L)</f>
        <v>0</v>
      </c>
      <c r="J88">
        <f>SUMIF(RawDataDead!$B:$B,$A88,RawDataDead!M:M)</f>
        <v>0</v>
      </c>
      <c r="K88">
        <f>SUMIF(RawDataDead!$B:$B,$A88,RawDataDead!N:N)</f>
        <v>0</v>
      </c>
      <c r="L88">
        <f>SUMIF(RawDataDead!$B:$B,$A88,RawDataDead!O:O)</f>
        <v>0</v>
      </c>
      <c r="M88">
        <f>SUMIF(RawDataDead!$B:$B,$A88,RawDataDead!P:P)</f>
        <v>0</v>
      </c>
      <c r="N88">
        <f>SUMIF(RawDataDead!$B:$B,$A88,RawDataDead!Q:Q)</f>
        <v>0</v>
      </c>
      <c r="O88">
        <f>SUMIF(RawDataDead!$B:$B,$A88,RawDataDead!R:R)</f>
        <v>0</v>
      </c>
      <c r="P88">
        <f>SUMIF(RawDataDead!$B:$B,$A88,RawDataDead!S:S)</f>
        <v>0</v>
      </c>
      <c r="Q88">
        <f>SUMIF(RawDataDead!$B:$B,$A88,RawDataDead!T:T)</f>
        <v>0</v>
      </c>
      <c r="R88">
        <f>SUMIF(RawDataDead!$B:$B,$A88,RawDataDead!U:U)</f>
        <v>0</v>
      </c>
      <c r="S88">
        <f>SUMIF(RawDataDead!$B:$B,$A88,RawDataDead!V:V)</f>
        <v>0</v>
      </c>
      <c r="T88">
        <f>SUMIF(RawDataDead!$B:$B,$A88,RawDataDead!W:W)</f>
        <v>0</v>
      </c>
      <c r="U88">
        <f>SUMIF(RawDataDead!$B:$B,$A88,RawDataDead!X:X)</f>
        <v>0</v>
      </c>
      <c r="V88">
        <f>SUMIF(RawDataDead!$B:$B,$A88,RawDataDead!Y:Y)</f>
        <v>0</v>
      </c>
      <c r="W88">
        <f>SUMIF(RawDataDead!$B:$B,$A88,RawDataDead!Z:Z)</f>
        <v>0</v>
      </c>
      <c r="X88">
        <f>SUMIF(RawDataDead!$B:$B,$A88,RawDataDead!AA:AA)</f>
        <v>0</v>
      </c>
      <c r="Y88">
        <f>SUMIF(RawDataDead!$B:$B,$A88,RawDataDead!AB:AB)</f>
        <v>0</v>
      </c>
      <c r="Z88">
        <f>SUMIF(RawDataDead!$B:$B,$A88,RawDataDead!AC:AC)</f>
        <v>0</v>
      </c>
      <c r="AA88">
        <f>SUMIF(RawDataDead!$B:$B,$A88,RawDataDead!AD:AD)</f>
        <v>0</v>
      </c>
      <c r="AB88">
        <f>SUMIF(RawDataDead!$B:$B,$A88,RawDataDead!AE:AE)</f>
        <v>0</v>
      </c>
      <c r="AC88">
        <f>SUMIF(RawDataDead!$B:$B,$A88,RawDataDead!AF:AF)</f>
        <v>0</v>
      </c>
      <c r="AD88">
        <f>SUMIF(RawDataDead!$B:$B,$A88,RawDataDead!AG:AG)</f>
        <v>0</v>
      </c>
      <c r="AE88">
        <f>SUMIF(RawDataDead!$B:$B,$A88,RawDataDead!AH:AH)</f>
        <v>0</v>
      </c>
      <c r="AF88">
        <f>SUMIF(RawDataDead!$B:$B,$A88,RawDataDead!AI:AI)</f>
        <v>0</v>
      </c>
      <c r="AG88">
        <f>SUMIF(RawDataDead!$B:$B,$A88,RawDataDead!AJ:AJ)</f>
        <v>0</v>
      </c>
      <c r="AH88">
        <f>SUMIF(RawDataDead!$B:$B,$A88,RawDataDead!AK:AK)</f>
        <v>0</v>
      </c>
      <c r="AI88">
        <f>SUMIF(RawDataDead!$B:$B,$A88,RawDataDead!AL:AL)</f>
        <v>0</v>
      </c>
      <c r="AJ88">
        <f>SUMIF(RawDataDead!$B:$B,$A88,RawDataDead!AM:AM)</f>
        <v>0</v>
      </c>
      <c r="AK88">
        <f>SUMIF(RawDataDead!$B:$B,$A88,RawDataDead!AN:AN)</f>
        <v>0</v>
      </c>
      <c r="AL88">
        <f>SUMIF(RawDataDead!$B:$B,$A88,RawDataDead!AO:AO)</f>
        <v>0</v>
      </c>
      <c r="AM88">
        <f>SUMIF(RawDataDead!$B:$B,$A88,RawDataDead!AP:AP)</f>
        <v>0</v>
      </c>
      <c r="AN88">
        <f>SUMIF(RawDataDead!$B:$B,$A88,RawDataDead!AQ:AQ)</f>
        <v>0</v>
      </c>
      <c r="AO88">
        <f>SUMIF(RawDataDead!$B:$B,$A88,RawDataDead!AR:AR)</f>
        <v>0</v>
      </c>
      <c r="AP88">
        <f>SUMIF(RawDataDead!$B:$B,$A88,RawDataDead!AS:AS)</f>
        <v>0</v>
      </c>
      <c r="AQ88">
        <f>SUMIF(RawDataDead!$B:$B,$A88,RawDataDead!AT:AT)</f>
        <v>0</v>
      </c>
      <c r="AR88">
        <f>SUMIF(RawDataDead!$B:$B,$A88,RawDataDead!AU:AU)</f>
        <v>0</v>
      </c>
      <c r="AS88">
        <f>SUMIF(RawDataDead!$B:$B,$A88,RawDataDead!AV:AV)</f>
        <v>0</v>
      </c>
      <c r="AT88">
        <f>SUMIF(RawDataDead!$B:$B,$A88,RawDataDead!AW:AW)</f>
        <v>0</v>
      </c>
      <c r="AU88">
        <f>SUMIF(RawDataDead!$B:$B,$A88,RawDataDead!AX:AX)</f>
        <v>0</v>
      </c>
      <c r="AV88">
        <f>SUMIF(RawDataDead!$B:$B,$A88,RawDataDead!AY:AY)</f>
        <v>0</v>
      </c>
      <c r="AW88">
        <f>SUMIF(RawDataDead!$B:$B,$A88,RawDataDead!AZ:AZ)</f>
        <v>0</v>
      </c>
      <c r="AX88">
        <f>SUMIF(RawDataDead!$B:$B,$A88,RawDataDead!BA:BA)</f>
        <v>0</v>
      </c>
      <c r="AY88">
        <f>SUMIF(RawDataDead!$B:$B,$A88,RawDataDead!BB:BB)</f>
        <v>0</v>
      </c>
      <c r="AZ88">
        <f>SUMIF(RawDataDead!$B:$B,$A88,RawDataDead!BC:BC)</f>
        <v>0</v>
      </c>
      <c r="BA88">
        <f>SUMIF(RawDataDead!$B:$B,$A88,RawDataDead!BD:BD)</f>
        <v>0</v>
      </c>
      <c r="BB88">
        <f>SUMIF(RawDataDead!$B:$B,$A88,RawDataDead!BE:BE)</f>
        <v>0</v>
      </c>
      <c r="BC88">
        <f>SUMIF(RawDataDead!$B:$B,$A88,RawDataDead!BF:BF)</f>
        <v>0</v>
      </c>
      <c r="BD88">
        <f>SUMIF(RawDataDead!$B:$B,$A88,RawDataDead!BG:BG)</f>
        <v>0</v>
      </c>
      <c r="BE88">
        <f>SUMIF(RawDataDead!$B:$B,$A88,RawDataDead!BH:BH)</f>
        <v>0</v>
      </c>
      <c r="BF88">
        <f>SUMIF(RawDataDead!$B:$B,$A88,RawDataDead!BI:BI)</f>
        <v>0</v>
      </c>
      <c r="BG88">
        <f>SUMIF(RawDataDead!$B:$B,$A88,RawDataDead!BJ:BJ)</f>
        <v>0</v>
      </c>
      <c r="BH88">
        <f>SUMIF(RawDataDead!$B:$B,$A88,RawDataDead!BK:BK)</f>
        <v>0</v>
      </c>
      <c r="BI88">
        <f>SUMIF(RawDataDead!$B:$B,$A88,RawDataDead!BL:BL)</f>
        <v>0</v>
      </c>
      <c r="BJ88">
        <f>SUMIF(RawDataDead!$B:$B,$A88,RawDataDead!BM:BM)</f>
        <v>0</v>
      </c>
      <c r="BK88">
        <f>SUMIF(RawDataDead!$B:$B,$A88,RawDataDead!BN:BN)</f>
        <v>0</v>
      </c>
      <c r="BL88">
        <f>SUMIF(RawDataDead!$B:$B,$A88,RawDataDead!BO:BO)</f>
        <v>0</v>
      </c>
      <c r="BM88">
        <f>SUMIF(RawDataDead!$B:$B,$A88,RawDataDead!BP:BP)</f>
        <v>0</v>
      </c>
      <c r="BN88">
        <f>SUMIF(RawDataDead!$B:$B,$A88,RawDataDead!BQ:BQ)</f>
        <v>0</v>
      </c>
      <c r="BO88">
        <f>SUMIF(RawDataDead!$B:$B,$A88,RawDataDead!BR:BR)</f>
        <v>0</v>
      </c>
      <c r="BP88">
        <f>SUMIF(RawDataDead!$B:$B,$A88,RawDataDead!BS:BS)</f>
        <v>0</v>
      </c>
      <c r="BQ88">
        <f>SUMIF(RawDataDead!$B:$B,$A88,RawDataDead!BT:BT)</f>
        <v>0</v>
      </c>
      <c r="BR88">
        <f>SUMIF(RawDataDead!$B:$B,$A88,RawDataDead!BU:BU)</f>
        <v>0</v>
      </c>
      <c r="BS88">
        <f>SUMIF(RawDataDead!$B:$B,$A88,RawDataDead!BV:BV)</f>
        <v>0</v>
      </c>
      <c r="BT88">
        <f>SUMIF(RawDataDead!$B:$B,$A88,RawDataDead!BW:BW)</f>
        <v>0</v>
      </c>
    </row>
    <row r="89" spans="1:72" ht="15" thickBot="1" x14ac:dyDescent="0.35">
      <c r="A89" s="4" t="s">
        <v>233</v>
      </c>
      <c r="B89">
        <f>SUMIF(RawDataDead!$B:$B,$A89,RawDataDead!E:E)</f>
        <v>0</v>
      </c>
      <c r="C89">
        <f>SUMIF(RawDataDead!$B:$B,$A89,RawDataDead!F:F)</f>
        <v>0</v>
      </c>
      <c r="D89">
        <f>SUMIF(RawDataDead!$B:$B,$A89,RawDataDead!G:G)</f>
        <v>0</v>
      </c>
      <c r="E89">
        <f>SUMIF(RawDataDead!$B:$B,$A89,RawDataDead!H:H)</f>
        <v>0</v>
      </c>
      <c r="F89">
        <f>SUMIF(RawDataDead!$B:$B,$A89,RawDataDead!I:I)</f>
        <v>0</v>
      </c>
      <c r="G89">
        <f>SUMIF(RawDataDead!$B:$B,$A89,RawDataDead!J:J)</f>
        <v>0</v>
      </c>
      <c r="H89">
        <f>SUMIF(RawDataDead!$B:$B,$A89,RawDataDead!K:K)</f>
        <v>0</v>
      </c>
      <c r="I89">
        <f>SUMIF(RawDataDead!$B:$B,$A89,RawDataDead!L:L)</f>
        <v>0</v>
      </c>
      <c r="J89">
        <f>SUMIF(RawDataDead!$B:$B,$A89,RawDataDead!M:M)</f>
        <v>0</v>
      </c>
      <c r="K89">
        <f>SUMIF(RawDataDead!$B:$B,$A89,RawDataDead!N:N)</f>
        <v>0</v>
      </c>
      <c r="L89">
        <f>SUMIF(RawDataDead!$B:$B,$A89,RawDataDead!O:O)</f>
        <v>0</v>
      </c>
      <c r="M89">
        <f>SUMIF(RawDataDead!$B:$B,$A89,RawDataDead!P:P)</f>
        <v>0</v>
      </c>
      <c r="N89">
        <f>SUMIF(RawDataDead!$B:$B,$A89,RawDataDead!Q:Q)</f>
        <v>0</v>
      </c>
      <c r="O89">
        <f>SUMIF(RawDataDead!$B:$B,$A89,RawDataDead!R:R)</f>
        <v>0</v>
      </c>
      <c r="P89">
        <f>SUMIF(RawDataDead!$B:$B,$A89,RawDataDead!S:S)</f>
        <v>0</v>
      </c>
      <c r="Q89">
        <f>SUMIF(RawDataDead!$B:$B,$A89,RawDataDead!T:T)</f>
        <v>0</v>
      </c>
      <c r="R89">
        <f>SUMIF(RawDataDead!$B:$B,$A89,RawDataDead!U:U)</f>
        <v>0</v>
      </c>
      <c r="S89">
        <f>SUMIF(RawDataDead!$B:$B,$A89,RawDataDead!V:V)</f>
        <v>0</v>
      </c>
      <c r="T89">
        <f>SUMIF(RawDataDead!$B:$B,$A89,RawDataDead!W:W)</f>
        <v>0</v>
      </c>
      <c r="U89">
        <f>SUMIF(RawDataDead!$B:$B,$A89,RawDataDead!X:X)</f>
        <v>0</v>
      </c>
      <c r="V89">
        <f>SUMIF(RawDataDead!$B:$B,$A89,RawDataDead!Y:Y)</f>
        <v>0</v>
      </c>
      <c r="W89">
        <f>SUMIF(RawDataDead!$B:$B,$A89,RawDataDead!Z:Z)</f>
        <v>0</v>
      </c>
      <c r="X89">
        <f>SUMIF(RawDataDead!$B:$B,$A89,RawDataDead!AA:AA)</f>
        <v>0</v>
      </c>
      <c r="Y89">
        <f>SUMIF(RawDataDead!$B:$B,$A89,RawDataDead!AB:AB)</f>
        <v>0</v>
      </c>
      <c r="Z89">
        <f>SUMIF(RawDataDead!$B:$B,$A89,RawDataDead!AC:AC)</f>
        <v>0</v>
      </c>
      <c r="AA89">
        <f>SUMIF(RawDataDead!$B:$B,$A89,RawDataDead!AD:AD)</f>
        <v>0</v>
      </c>
      <c r="AB89">
        <f>SUMIF(RawDataDead!$B:$B,$A89,RawDataDead!AE:AE)</f>
        <v>0</v>
      </c>
      <c r="AC89">
        <f>SUMIF(RawDataDead!$B:$B,$A89,RawDataDead!AF:AF)</f>
        <v>0</v>
      </c>
      <c r="AD89">
        <f>SUMIF(RawDataDead!$B:$B,$A89,RawDataDead!AG:AG)</f>
        <v>0</v>
      </c>
      <c r="AE89">
        <f>SUMIF(RawDataDead!$B:$B,$A89,RawDataDead!AH:AH)</f>
        <v>0</v>
      </c>
      <c r="AF89">
        <f>SUMIF(RawDataDead!$B:$B,$A89,RawDataDead!AI:AI)</f>
        <v>0</v>
      </c>
      <c r="AG89">
        <f>SUMIF(RawDataDead!$B:$B,$A89,RawDataDead!AJ:AJ)</f>
        <v>0</v>
      </c>
      <c r="AH89">
        <f>SUMIF(RawDataDead!$B:$B,$A89,RawDataDead!AK:AK)</f>
        <v>0</v>
      </c>
      <c r="AI89">
        <f>SUMIF(RawDataDead!$B:$B,$A89,RawDataDead!AL:AL)</f>
        <v>0</v>
      </c>
      <c r="AJ89">
        <f>SUMIF(RawDataDead!$B:$B,$A89,RawDataDead!AM:AM)</f>
        <v>0</v>
      </c>
      <c r="AK89">
        <f>SUMIF(RawDataDead!$B:$B,$A89,RawDataDead!AN:AN)</f>
        <v>0</v>
      </c>
      <c r="AL89">
        <f>SUMIF(RawDataDead!$B:$B,$A89,RawDataDead!AO:AO)</f>
        <v>0</v>
      </c>
      <c r="AM89">
        <f>SUMIF(RawDataDead!$B:$B,$A89,RawDataDead!AP:AP)</f>
        <v>0</v>
      </c>
      <c r="AN89">
        <f>SUMIF(RawDataDead!$B:$B,$A89,RawDataDead!AQ:AQ)</f>
        <v>0</v>
      </c>
      <c r="AO89">
        <f>SUMIF(RawDataDead!$B:$B,$A89,RawDataDead!AR:AR)</f>
        <v>0</v>
      </c>
      <c r="AP89">
        <f>SUMIF(RawDataDead!$B:$B,$A89,RawDataDead!AS:AS)</f>
        <v>0</v>
      </c>
      <c r="AQ89">
        <f>SUMIF(RawDataDead!$B:$B,$A89,RawDataDead!AT:AT)</f>
        <v>0</v>
      </c>
      <c r="AR89">
        <f>SUMIF(RawDataDead!$B:$B,$A89,RawDataDead!AU:AU)</f>
        <v>0</v>
      </c>
      <c r="AS89">
        <f>SUMIF(RawDataDead!$B:$B,$A89,RawDataDead!AV:AV)</f>
        <v>0</v>
      </c>
      <c r="AT89">
        <f>SUMIF(RawDataDead!$B:$B,$A89,RawDataDead!AW:AW)</f>
        <v>0</v>
      </c>
      <c r="AU89">
        <f>SUMIF(RawDataDead!$B:$B,$A89,RawDataDead!AX:AX)</f>
        <v>0</v>
      </c>
      <c r="AV89">
        <f>SUMIF(RawDataDead!$B:$B,$A89,RawDataDead!AY:AY)</f>
        <v>0</v>
      </c>
      <c r="AW89">
        <f>SUMIF(RawDataDead!$B:$B,$A89,RawDataDead!AZ:AZ)</f>
        <v>0</v>
      </c>
      <c r="AX89">
        <f>SUMIF(RawDataDead!$B:$B,$A89,RawDataDead!BA:BA)</f>
        <v>0</v>
      </c>
      <c r="AY89">
        <f>SUMIF(RawDataDead!$B:$B,$A89,RawDataDead!BB:BB)</f>
        <v>0</v>
      </c>
      <c r="AZ89">
        <f>SUMIF(RawDataDead!$B:$B,$A89,RawDataDead!BC:BC)</f>
        <v>0</v>
      </c>
      <c r="BA89">
        <f>SUMIF(RawDataDead!$B:$B,$A89,RawDataDead!BD:BD)</f>
        <v>0</v>
      </c>
      <c r="BB89">
        <f>SUMIF(RawDataDead!$B:$B,$A89,RawDataDead!BE:BE)</f>
        <v>0</v>
      </c>
      <c r="BC89">
        <f>SUMIF(RawDataDead!$B:$B,$A89,RawDataDead!BF:BF)</f>
        <v>0</v>
      </c>
      <c r="BD89">
        <f>SUMIF(RawDataDead!$B:$B,$A89,RawDataDead!BG:BG)</f>
        <v>0</v>
      </c>
      <c r="BE89">
        <f>SUMIF(RawDataDead!$B:$B,$A89,RawDataDead!BH:BH)</f>
        <v>0</v>
      </c>
      <c r="BF89">
        <f>SUMIF(RawDataDead!$B:$B,$A89,RawDataDead!BI:BI)</f>
        <v>0</v>
      </c>
      <c r="BG89">
        <f>SUMIF(RawDataDead!$B:$B,$A89,RawDataDead!BJ:BJ)</f>
        <v>0</v>
      </c>
      <c r="BH89">
        <f>SUMIF(RawDataDead!$B:$B,$A89,RawDataDead!BK:BK)</f>
        <v>0</v>
      </c>
      <c r="BI89">
        <f>SUMIF(RawDataDead!$B:$B,$A89,RawDataDead!BL:BL)</f>
        <v>0</v>
      </c>
      <c r="BJ89">
        <f>SUMIF(RawDataDead!$B:$B,$A89,RawDataDead!BM:BM)</f>
        <v>0</v>
      </c>
      <c r="BK89">
        <f>SUMIF(RawDataDead!$B:$B,$A89,RawDataDead!BN:BN)</f>
        <v>0</v>
      </c>
      <c r="BL89">
        <f>SUMIF(RawDataDead!$B:$B,$A89,RawDataDead!BO:BO)</f>
        <v>0</v>
      </c>
      <c r="BM89">
        <f>SUMIF(RawDataDead!$B:$B,$A89,RawDataDead!BP:BP)</f>
        <v>0</v>
      </c>
      <c r="BN89">
        <f>SUMIF(RawDataDead!$B:$B,$A89,RawDataDead!BQ:BQ)</f>
        <v>0</v>
      </c>
      <c r="BO89">
        <f>SUMIF(RawDataDead!$B:$B,$A89,RawDataDead!BR:BR)</f>
        <v>0</v>
      </c>
      <c r="BP89">
        <f>SUMIF(RawDataDead!$B:$B,$A89,RawDataDead!BS:BS)</f>
        <v>0</v>
      </c>
      <c r="BQ89">
        <f>SUMIF(RawDataDead!$B:$B,$A89,RawDataDead!BT:BT)</f>
        <v>0</v>
      </c>
      <c r="BR89">
        <f>SUMIF(RawDataDead!$B:$B,$A89,RawDataDead!BU:BU)</f>
        <v>0</v>
      </c>
      <c r="BS89">
        <f>SUMIF(RawDataDead!$B:$B,$A89,RawDataDead!BV:BV)</f>
        <v>0</v>
      </c>
      <c r="BT89">
        <f>SUMIF(RawDataDead!$B:$B,$A89,RawDataDead!BW:BW)</f>
        <v>0</v>
      </c>
    </row>
    <row r="90" spans="1:72" ht="15" thickBot="1" x14ac:dyDescent="0.35">
      <c r="A90" s="3" t="s">
        <v>79</v>
      </c>
      <c r="B90">
        <f>SUMIF(RawDataDead!$B:$B,$A90,RawDataDead!E:E)</f>
        <v>0</v>
      </c>
      <c r="C90">
        <f>SUMIF(RawDataDead!$B:$B,$A90,RawDataDead!F:F)</f>
        <v>0</v>
      </c>
      <c r="D90">
        <f>SUMIF(RawDataDead!$B:$B,$A90,RawDataDead!G:G)</f>
        <v>0</v>
      </c>
      <c r="E90">
        <f>SUMIF(RawDataDead!$B:$B,$A90,RawDataDead!H:H)</f>
        <v>0</v>
      </c>
      <c r="F90">
        <f>SUMIF(RawDataDead!$B:$B,$A90,RawDataDead!I:I)</f>
        <v>0</v>
      </c>
      <c r="G90">
        <f>SUMIF(RawDataDead!$B:$B,$A90,RawDataDead!J:J)</f>
        <v>0</v>
      </c>
      <c r="H90">
        <f>SUMIF(RawDataDead!$B:$B,$A90,RawDataDead!K:K)</f>
        <v>0</v>
      </c>
      <c r="I90">
        <f>SUMIF(RawDataDead!$B:$B,$A90,RawDataDead!L:L)</f>
        <v>0</v>
      </c>
      <c r="J90">
        <f>SUMIF(RawDataDead!$B:$B,$A90,RawDataDead!M:M)</f>
        <v>0</v>
      </c>
      <c r="K90">
        <f>SUMIF(RawDataDead!$B:$B,$A90,RawDataDead!N:N)</f>
        <v>0</v>
      </c>
      <c r="L90">
        <f>SUMIF(RawDataDead!$B:$B,$A90,RawDataDead!O:O)</f>
        <v>0</v>
      </c>
      <c r="M90">
        <f>SUMIF(RawDataDead!$B:$B,$A90,RawDataDead!P:P)</f>
        <v>0</v>
      </c>
      <c r="N90">
        <f>SUMIF(RawDataDead!$B:$B,$A90,RawDataDead!Q:Q)</f>
        <v>0</v>
      </c>
      <c r="O90">
        <f>SUMIF(RawDataDead!$B:$B,$A90,RawDataDead!R:R)</f>
        <v>0</v>
      </c>
      <c r="P90">
        <f>SUMIF(RawDataDead!$B:$B,$A90,RawDataDead!S:S)</f>
        <v>0</v>
      </c>
      <c r="Q90">
        <f>SUMIF(RawDataDead!$B:$B,$A90,RawDataDead!T:T)</f>
        <v>0</v>
      </c>
      <c r="R90">
        <f>SUMIF(RawDataDead!$B:$B,$A90,RawDataDead!U:U)</f>
        <v>0</v>
      </c>
      <c r="S90">
        <f>SUMIF(RawDataDead!$B:$B,$A90,RawDataDead!V:V)</f>
        <v>0</v>
      </c>
      <c r="T90">
        <f>SUMIF(RawDataDead!$B:$B,$A90,RawDataDead!W:W)</f>
        <v>0</v>
      </c>
      <c r="U90">
        <f>SUMIF(RawDataDead!$B:$B,$A90,RawDataDead!X:X)</f>
        <v>0</v>
      </c>
      <c r="V90">
        <f>SUMIF(RawDataDead!$B:$B,$A90,RawDataDead!Y:Y)</f>
        <v>0</v>
      </c>
      <c r="W90">
        <f>SUMIF(RawDataDead!$B:$B,$A90,RawDataDead!Z:Z)</f>
        <v>0</v>
      </c>
      <c r="X90">
        <f>SUMIF(RawDataDead!$B:$B,$A90,RawDataDead!AA:AA)</f>
        <v>0</v>
      </c>
      <c r="Y90">
        <f>SUMIF(RawDataDead!$B:$B,$A90,RawDataDead!AB:AB)</f>
        <v>0</v>
      </c>
      <c r="Z90">
        <f>SUMIF(RawDataDead!$B:$B,$A90,RawDataDead!AC:AC)</f>
        <v>0</v>
      </c>
      <c r="AA90">
        <f>SUMIF(RawDataDead!$B:$B,$A90,RawDataDead!AD:AD)</f>
        <v>0</v>
      </c>
      <c r="AB90">
        <f>SUMIF(RawDataDead!$B:$B,$A90,RawDataDead!AE:AE)</f>
        <v>0</v>
      </c>
      <c r="AC90">
        <f>SUMIF(RawDataDead!$B:$B,$A90,RawDataDead!AF:AF)</f>
        <v>0</v>
      </c>
      <c r="AD90">
        <f>SUMIF(RawDataDead!$B:$B,$A90,RawDataDead!AG:AG)</f>
        <v>0</v>
      </c>
      <c r="AE90">
        <f>SUMIF(RawDataDead!$B:$B,$A90,RawDataDead!AH:AH)</f>
        <v>0</v>
      </c>
      <c r="AF90">
        <f>SUMIF(RawDataDead!$B:$B,$A90,RawDataDead!AI:AI)</f>
        <v>0</v>
      </c>
      <c r="AG90">
        <f>SUMIF(RawDataDead!$B:$B,$A90,RawDataDead!AJ:AJ)</f>
        <v>0</v>
      </c>
      <c r="AH90">
        <f>SUMIF(RawDataDead!$B:$B,$A90,RawDataDead!AK:AK)</f>
        <v>0</v>
      </c>
      <c r="AI90">
        <f>SUMIF(RawDataDead!$B:$B,$A90,RawDataDead!AL:AL)</f>
        <v>0</v>
      </c>
      <c r="AJ90">
        <f>SUMIF(RawDataDead!$B:$B,$A90,RawDataDead!AM:AM)</f>
        <v>0</v>
      </c>
      <c r="AK90">
        <f>SUMIF(RawDataDead!$B:$B,$A90,RawDataDead!AN:AN)</f>
        <v>0</v>
      </c>
      <c r="AL90">
        <f>SUMIF(RawDataDead!$B:$B,$A90,RawDataDead!AO:AO)</f>
        <v>0</v>
      </c>
      <c r="AM90">
        <f>SUMIF(RawDataDead!$B:$B,$A90,RawDataDead!AP:AP)</f>
        <v>0</v>
      </c>
      <c r="AN90">
        <f>SUMIF(RawDataDead!$B:$B,$A90,RawDataDead!AQ:AQ)</f>
        <v>0</v>
      </c>
      <c r="AO90">
        <f>SUMIF(RawDataDead!$B:$B,$A90,RawDataDead!AR:AR)</f>
        <v>0</v>
      </c>
      <c r="AP90">
        <f>SUMIF(RawDataDead!$B:$B,$A90,RawDataDead!AS:AS)</f>
        <v>0</v>
      </c>
      <c r="AQ90">
        <f>SUMIF(RawDataDead!$B:$B,$A90,RawDataDead!AT:AT)</f>
        <v>0</v>
      </c>
      <c r="AR90">
        <f>SUMIF(RawDataDead!$B:$B,$A90,RawDataDead!AU:AU)</f>
        <v>0</v>
      </c>
      <c r="AS90">
        <f>SUMIF(RawDataDead!$B:$B,$A90,RawDataDead!AV:AV)</f>
        <v>0</v>
      </c>
      <c r="AT90">
        <f>SUMIF(RawDataDead!$B:$B,$A90,RawDataDead!AW:AW)</f>
        <v>0</v>
      </c>
      <c r="AU90">
        <f>SUMIF(RawDataDead!$B:$B,$A90,RawDataDead!AX:AX)</f>
        <v>0</v>
      </c>
      <c r="AV90">
        <f>SUMIF(RawDataDead!$B:$B,$A90,RawDataDead!AY:AY)</f>
        <v>0</v>
      </c>
      <c r="AW90">
        <f>SUMIF(RawDataDead!$B:$B,$A90,RawDataDead!AZ:AZ)</f>
        <v>0</v>
      </c>
      <c r="AX90">
        <f>SUMIF(RawDataDead!$B:$B,$A90,RawDataDead!BA:BA)</f>
        <v>0</v>
      </c>
      <c r="AY90">
        <f>SUMIF(RawDataDead!$B:$B,$A90,RawDataDead!BB:BB)</f>
        <v>0</v>
      </c>
      <c r="AZ90">
        <f>SUMIF(RawDataDead!$B:$B,$A90,RawDataDead!BC:BC)</f>
        <v>0</v>
      </c>
      <c r="BA90">
        <f>SUMIF(RawDataDead!$B:$B,$A90,RawDataDead!BD:BD)</f>
        <v>0</v>
      </c>
      <c r="BB90">
        <f>SUMIF(RawDataDead!$B:$B,$A90,RawDataDead!BE:BE)</f>
        <v>0</v>
      </c>
      <c r="BC90">
        <f>SUMIF(RawDataDead!$B:$B,$A90,RawDataDead!BF:BF)</f>
        <v>0</v>
      </c>
      <c r="BD90">
        <f>SUMIF(RawDataDead!$B:$B,$A90,RawDataDead!BG:BG)</f>
        <v>0</v>
      </c>
      <c r="BE90">
        <f>SUMIF(RawDataDead!$B:$B,$A90,RawDataDead!BH:BH)</f>
        <v>0</v>
      </c>
      <c r="BF90">
        <f>SUMIF(RawDataDead!$B:$B,$A90,RawDataDead!BI:BI)</f>
        <v>0</v>
      </c>
      <c r="BG90">
        <f>SUMIF(RawDataDead!$B:$B,$A90,RawDataDead!BJ:BJ)</f>
        <v>0</v>
      </c>
      <c r="BH90">
        <f>SUMIF(RawDataDead!$B:$B,$A90,RawDataDead!BK:BK)</f>
        <v>0</v>
      </c>
      <c r="BI90">
        <f>SUMIF(RawDataDead!$B:$B,$A90,RawDataDead!BL:BL)</f>
        <v>0</v>
      </c>
      <c r="BJ90">
        <f>SUMIF(RawDataDead!$B:$B,$A90,RawDataDead!BM:BM)</f>
        <v>0</v>
      </c>
      <c r="BK90">
        <f>SUMIF(RawDataDead!$B:$B,$A90,RawDataDead!BN:BN)</f>
        <v>0</v>
      </c>
      <c r="BL90">
        <f>SUMIF(RawDataDead!$B:$B,$A90,RawDataDead!BO:BO)</f>
        <v>0</v>
      </c>
      <c r="BM90">
        <f>SUMIF(RawDataDead!$B:$B,$A90,RawDataDead!BP:BP)</f>
        <v>0</v>
      </c>
      <c r="BN90">
        <f>SUMIF(RawDataDead!$B:$B,$A90,RawDataDead!BQ:BQ)</f>
        <v>0</v>
      </c>
      <c r="BO90">
        <f>SUMIF(RawDataDead!$B:$B,$A90,RawDataDead!BR:BR)</f>
        <v>0</v>
      </c>
      <c r="BP90">
        <f>SUMIF(RawDataDead!$B:$B,$A90,RawDataDead!BS:BS)</f>
        <v>0</v>
      </c>
      <c r="BQ90">
        <f>SUMIF(RawDataDead!$B:$B,$A90,RawDataDead!BT:BT)</f>
        <v>0</v>
      </c>
      <c r="BR90">
        <f>SUMIF(RawDataDead!$B:$B,$A90,RawDataDead!BU:BU)</f>
        <v>0</v>
      </c>
      <c r="BS90">
        <f>SUMIF(RawDataDead!$B:$B,$A90,RawDataDead!BV:BV)</f>
        <v>0</v>
      </c>
      <c r="BT90">
        <f>SUMIF(RawDataDead!$B:$B,$A90,RawDataDead!BW:BW)</f>
        <v>0</v>
      </c>
    </row>
    <row r="91" spans="1:72" ht="15" thickBot="1" x14ac:dyDescent="0.35">
      <c r="A91" s="4" t="s">
        <v>78</v>
      </c>
      <c r="B91">
        <f>SUMIF(RawDataDead!$B:$B,$A91,RawDataDead!E:E)</f>
        <v>0</v>
      </c>
      <c r="C91">
        <f>SUMIF(RawDataDead!$B:$B,$A91,RawDataDead!F:F)</f>
        <v>0</v>
      </c>
      <c r="D91">
        <f>SUMIF(RawDataDead!$B:$B,$A91,RawDataDead!G:G)</f>
        <v>0</v>
      </c>
      <c r="E91">
        <f>SUMIF(RawDataDead!$B:$B,$A91,RawDataDead!H:H)</f>
        <v>0</v>
      </c>
      <c r="F91">
        <f>SUMIF(RawDataDead!$B:$B,$A91,RawDataDead!I:I)</f>
        <v>0</v>
      </c>
      <c r="G91">
        <f>SUMIF(RawDataDead!$B:$B,$A91,RawDataDead!J:J)</f>
        <v>0</v>
      </c>
      <c r="H91">
        <f>SUMIF(RawDataDead!$B:$B,$A91,RawDataDead!K:K)</f>
        <v>0</v>
      </c>
      <c r="I91">
        <f>SUMIF(RawDataDead!$B:$B,$A91,RawDataDead!L:L)</f>
        <v>0</v>
      </c>
      <c r="J91">
        <f>SUMIF(RawDataDead!$B:$B,$A91,RawDataDead!M:M)</f>
        <v>0</v>
      </c>
      <c r="K91">
        <f>SUMIF(RawDataDead!$B:$B,$A91,RawDataDead!N:N)</f>
        <v>0</v>
      </c>
      <c r="L91">
        <f>SUMIF(RawDataDead!$B:$B,$A91,RawDataDead!O:O)</f>
        <v>0</v>
      </c>
      <c r="M91">
        <f>SUMIF(RawDataDead!$B:$B,$A91,RawDataDead!P:P)</f>
        <v>0</v>
      </c>
      <c r="N91">
        <f>SUMIF(RawDataDead!$B:$B,$A91,RawDataDead!Q:Q)</f>
        <v>0</v>
      </c>
      <c r="O91">
        <f>SUMIF(RawDataDead!$B:$B,$A91,RawDataDead!R:R)</f>
        <v>0</v>
      </c>
      <c r="P91">
        <f>SUMIF(RawDataDead!$B:$B,$A91,RawDataDead!S:S)</f>
        <v>0</v>
      </c>
      <c r="Q91">
        <f>SUMIF(RawDataDead!$B:$B,$A91,RawDataDead!T:T)</f>
        <v>0</v>
      </c>
      <c r="R91">
        <f>SUMIF(RawDataDead!$B:$B,$A91,RawDataDead!U:U)</f>
        <v>0</v>
      </c>
      <c r="S91">
        <f>SUMIF(RawDataDead!$B:$B,$A91,RawDataDead!V:V)</f>
        <v>0</v>
      </c>
      <c r="T91">
        <f>SUMIF(RawDataDead!$B:$B,$A91,RawDataDead!W:W)</f>
        <v>0</v>
      </c>
      <c r="U91">
        <f>SUMIF(RawDataDead!$B:$B,$A91,RawDataDead!X:X)</f>
        <v>0</v>
      </c>
      <c r="V91">
        <f>SUMIF(RawDataDead!$B:$B,$A91,RawDataDead!Y:Y)</f>
        <v>0</v>
      </c>
      <c r="W91">
        <f>SUMIF(RawDataDead!$B:$B,$A91,RawDataDead!Z:Z)</f>
        <v>0</v>
      </c>
      <c r="X91">
        <f>SUMIF(RawDataDead!$B:$B,$A91,RawDataDead!AA:AA)</f>
        <v>0</v>
      </c>
      <c r="Y91">
        <f>SUMIF(RawDataDead!$B:$B,$A91,RawDataDead!AB:AB)</f>
        <v>0</v>
      </c>
      <c r="Z91">
        <f>SUMIF(RawDataDead!$B:$B,$A91,RawDataDead!AC:AC)</f>
        <v>0</v>
      </c>
      <c r="AA91">
        <f>SUMIF(RawDataDead!$B:$B,$A91,RawDataDead!AD:AD)</f>
        <v>0</v>
      </c>
      <c r="AB91">
        <f>SUMIF(RawDataDead!$B:$B,$A91,RawDataDead!AE:AE)</f>
        <v>0</v>
      </c>
      <c r="AC91">
        <f>SUMIF(RawDataDead!$B:$B,$A91,RawDataDead!AF:AF)</f>
        <v>0</v>
      </c>
      <c r="AD91">
        <f>SUMIF(RawDataDead!$B:$B,$A91,RawDataDead!AG:AG)</f>
        <v>0</v>
      </c>
      <c r="AE91">
        <f>SUMIF(RawDataDead!$B:$B,$A91,RawDataDead!AH:AH)</f>
        <v>0</v>
      </c>
      <c r="AF91">
        <f>SUMIF(RawDataDead!$B:$B,$A91,RawDataDead!AI:AI)</f>
        <v>0</v>
      </c>
      <c r="AG91">
        <f>SUMIF(RawDataDead!$B:$B,$A91,RawDataDead!AJ:AJ)</f>
        <v>0</v>
      </c>
      <c r="AH91">
        <f>SUMIF(RawDataDead!$B:$B,$A91,RawDataDead!AK:AK)</f>
        <v>0</v>
      </c>
      <c r="AI91">
        <f>SUMIF(RawDataDead!$B:$B,$A91,RawDataDead!AL:AL)</f>
        <v>0</v>
      </c>
      <c r="AJ91">
        <f>SUMIF(RawDataDead!$B:$B,$A91,RawDataDead!AM:AM)</f>
        <v>0</v>
      </c>
      <c r="AK91">
        <f>SUMIF(RawDataDead!$B:$B,$A91,RawDataDead!AN:AN)</f>
        <v>0</v>
      </c>
      <c r="AL91">
        <f>SUMIF(RawDataDead!$B:$B,$A91,RawDataDead!AO:AO)</f>
        <v>0</v>
      </c>
      <c r="AM91">
        <f>SUMIF(RawDataDead!$B:$B,$A91,RawDataDead!AP:AP)</f>
        <v>0</v>
      </c>
      <c r="AN91">
        <f>SUMIF(RawDataDead!$B:$B,$A91,RawDataDead!AQ:AQ)</f>
        <v>0</v>
      </c>
      <c r="AO91">
        <f>SUMIF(RawDataDead!$B:$B,$A91,RawDataDead!AR:AR)</f>
        <v>0</v>
      </c>
      <c r="AP91">
        <f>SUMIF(RawDataDead!$B:$B,$A91,RawDataDead!AS:AS)</f>
        <v>0</v>
      </c>
      <c r="AQ91">
        <f>SUMIF(RawDataDead!$B:$B,$A91,RawDataDead!AT:AT)</f>
        <v>0</v>
      </c>
      <c r="AR91">
        <f>SUMIF(RawDataDead!$B:$B,$A91,RawDataDead!AU:AU)</f>
        <v>0</v>
      </c>
      <c r="AS91">
        <f>SUMIF(RawDataDead!$B:$B,$A91,RawDataDead!AV:AV)</f>
        <v>0</v>
      </c>
      <c r="AT91">
        <f>SUMIF(RawDataDead!$B:$B,$A91,RawDataDead!AW:AW)</f>
        <v>0</v>
      </c>
      <c r="AU91">
        <f>SUMIF(RawDataDead!$B:$B,$A91,RawDataDead!AX:AX)</f>
        <v>0</v>
      </c>
      <c r="AV91">
        <f>SUMIF(RawDataDead!$B:$B,$A91,RawDataDead!AY:AY)</f>
        <v>0</v>
      </c>
      <c r="AW91">
        <f>SUMIF(RawDataDead!$B:$B,$A91,RawDataDead!AZ:AZ)</f>
        <v>0</v>
      </c>
      <c r="AX91">
        <f>SUMIF(RawDataDead!$B:$B,$A91,RawDataDead!BA:BA)</f>
        <v>0</v>
      </c>
      <c r="AY91">
        <f>SUMIF(RawDataDead!$B:$B,$A91,RawDataDead!BB:BB)</f>
        <v>0</v>
      </c>
      <c r="AZ91">
        <f>SUMIF(RawDataDead!$B:$B,$A91,RawDataDead!BC:BC)</f>
        <v>0</v>
      </c>
      <c r="BA91">
        <f>SUMIF(RawDataDead!$B:$B,$A91,RawDataDead!BD:BD)</f>
        <v>0</v>
      </c>
      <c r="BB91">
        <f>SUMIF(RawDataDead!$B:$B,$A91,RawDataDead!BE:BE)</f>
        <v>0</v>
      </c>
      <c r="BC91">
        <f>SUMIF(RawDataDead!$B:$B,$A91,RawDataDead!BF:BF)</f>
        <v>0</v>
      </c>
      <c r="BD91">
        <f>SUMIF(RawDataDead!$B:$B,$A91,RawDataDead!BG:BG)</f>
        <v>0</v>
      </c>
      <c r="BE91">
        <f>SUMIF(RawDataDead!$B:$B,$A91,RawDataDead!BH:BH)</f>
        <v>0</v>
      </c>
      <c r="BF91">
        <f>SUMIF(RawDataDead!$B:$B,$A91,RawDataDead!BI:BI)</f>
        <v>0</v>
      </c>
      <c r="BG91">
        <f>SUMIF(RawDataDead!$B:$B,$A91,RawDataDead!BJ:BJ)</f>
        <v>0</v>
      </c>
      <c r="BH91">
        <f>SUMIF(RawDataDead!$B:$B,$A91,RawDataDead!BK:BK)</f>
        <v>0</v>
      </c>
      <c r="BI91">
        <f>SUMIF(RawDataDead!$B:$B,$A91,RawDataDead!BL:BL)</f>
        <v>0</v>
      </c>
      <c r="BJ91">
        <f>SUMIF(RawDataDead!$B:$B,$A91,RawDataDead!BM:BM)</f>
        <v>0</v>
      </c>
      <c r="BK91">
        <f>SUMIF(RawDataDead!$B:$B,$A91,RawDataDead!BN:BN)</f>
        <v>0</v>
      </c>
      <c r="BL91">
        <f>SUMIF(RawDataDead!$B:$B,$A91,RawDataDead!BO:BO)</f>
        <v>0</v>
      </c>
      <c r="BM91">
        <f>SUMIF(RawDataDead!$B:$B,$A91,RawDataDead!BP:BP)</f>
        <v>0</v>
      </c>
      <c r="BN91">
        <f>SUMIF(RawDataDead!$B:$B,$A91,RawDataDead!BQ:BQ)</f>
        <v>0</v>
      </c>
      <c r="BO91">
        <f>SUMIF(RawDataDead!$B:$B,$A91,RawDataDead!BR:BR)</f>
        <v>0</v>
      </c>
      <c r="BP91">
        <f>SUMIF(RawDataDead!$B:$B,$A91,RawDataDead!BS:BS)</f>
        <v>0</v>
      </c>
      <c r="BQ91">
        <f>SUMIF(RawDataDead!$B:$B,$A91,RawDataDead!BT:BT)</f>
        <v>0</v>
      </c>
      <c r="BR91">
        <f>SUMIF(RawDataDead!$B:$B,$A91,RawDataDead!BU:BU)</f>
        <v>0</v>
      </c>
      <c r="BS91">
        <f>SUMIF(RawDataDead!$B:$B,$A91,RawDataDead!BV:BV)</f>
        <v>0</v>
      </c>
      <c r="BT91">
        <f>SUMIF(RawDataDead!$B:$B,$A91,RawDataDead!BW:BW)</f>
        <v>0</v>
      </c>
    </row>
    <row r="92" spans="1:72" ht="15" thickBot="1" x14ac:dyDescent="0.35">
      <c r="A92" s="3" t="s">
        <v>133</v>
      </c>
      <c r="B92">
        <f>SUMIF(RawDataDead!$B:$B,$A92,RawDataDead!E:E)</f>
        <v>0</v>
      </c>
      <c r="C92">
        <f>SUMIF(RawDataDead!$B:$B,$A92,RawDataDead!F:F)</f>
        <v>0</v>
      </c>
      <c r="D92">
        <f>SUMIF(RawDataDead!$B:$B,$A92,RawDataDead!G:G)</f>
        <v>0</v>
      </c>
      <c r="E92">
        <f>SUMIF(RawDataDead!$B:$B,$A92,RawDataDead!H:H)</f>
        <v>0</v>
      </c>
      <c r="F92">
        <f>SUMIF(RawDataDead!$B:$B,$A92,RawDataDead!I:I)</f>
        <v>0</v>
      </c>
      <c r="G92">
        <f>SUMIF(RawDataDead!$B:$B,$A92,RawDataDead!J:J)</f>
        <v>0</v>
      </c>
      <c r="H92">
        <f>SUMIF(RawDataDead!$B:$B,$A92,RawDataDead!K:K)</f>
        <v>0</v>
      </c>
      <c r="I92">
        <f>SUMIF(RawDataDead!$B:$B,$A92,RawDataDead!L:L)</f>
        <v>0</v>
      </c>
      <c r="J92">
        <f>SUMIF(RawDataDead!$B:$B,$A92,RawDataDead!M:M)</f>
        <v>0</v>
      </c>
      <c r="K92">
        <f>SUMIF(RawDataDead!$B:$B,$A92,RawDataDead!N:N)</f>
        <v>0</v>
      </c>
      <c r="L92">
        <f>SUMIF(RawDataDead!$B:$B,$A92,RawDataDead!O:O)</f>
        <v>0</v>
      </c>
      <c r="M92">
        <f>SUMIF(RawDataDead!$B:$B,$A92,RawDataDead!P:P)</f>
        <v>0</v>
      </c>
      <c r="N92">
        <f>SUMIF(RawDataDead!$B:$B,$A92,RawDataDead!Q:Q)</f>
        <v>0</v>
      </c>
      <c r="O92">
        <f>SUMIF(RawDataDead!$B:$B,$A92,RawDataDead!R:R)</f>
        <v>0</v>
      </c>
      <c r="P92">
        <f>SUMIF(RawDataDead!$B:$B,$A92,RawDataDead!S:S)</f>
        <v>0</v>
      </c>
      <c r="Q92">
        <f>SUMIF(RawDataDead!$B:$B,$A92,RawDataDead!T:T)</f>
        <v>0</v>
      </c>
      <c r="R92">
        <f>SUMIF(RawDataDead!$B:$B,$A92,RawDataDead!U:U)</f>
        <v>0</v>
      </c>
      <c r="S92">
        <f>SUMIF(RawDataDead!$B:$B,$A92,RawDataDead!V:V)</f>
        <v>0</v>
      </c>
      <c r="T92">
        <f>SUMIF(RawDataDead!$B:$B,$A92,RawDataDead!W:W)</f>
        <v>0</v>
      </c>
      <c r="U92">
        <f>SUMIF(RawDataDead!$B:$B,$A92,RawDataDead!X:X)</f>
        <v>0</v>
      </c>
      <c r="V92">
        <f>SUMIF(RawDataDead!$B:$B,$A92,RawDataDead!Y:Y)</f>
        <v>0</v>
      </c>
      <c r="W92">
        <f>SUMIF(RawDataDead!$B:$B,$A92,RawDataDead!Z:Z)</f>
        <v>0</v>
      </c>
      <c r="X92">
        <f>SUMIF(RawDataDead!$B:$B,$A92,RawDataDead!AA:AA)</f>
        <v>0</v>
      </c>
      <c r="Y92">
        <f>SUMIF(RawDataDead!$B:$B,$A92,RawDataDead!AB:AB)</f>
        <v>0</v>
      </c>
      <c r="Z92">
        <f>SUMIF(RawDataDead!$B:$B,$A92,RawDataDead!AC:AC)</f>
        <v>0</v>
      </c>
      <c r="AA92">
        <f>SUMIF(RawDataDead!$B:$B,$A92,RawDataDead!AD:AD)</f>
        <v>0</v>
      </c>
      <c r="AB92">
        <f>SUMIF(RawDataDead!$B:$B,$A92,RawDataDead!AE:AE)</f>
        <v>0</v>
      </c>
      <c r="AC92">
        <f>SUMIF(RawDataDead!$B:$B,$A92,RawDataDead!AF:AF)</f>
        <v>0</v>
      </c>
      <c r="AD92">
        <f>SUMIF(RawDataDead!$B:$B,$A92,RawDataDead!AG:AG)</f>
        <v>0</v>
      </c>
      <c r="AE92">
        <f>SUMIF(RawDataDead!$B:$B,$A92,RawDataDead!AH:AH)</f>
        <v>0</v>
      </c>
      <c r="AF92">
        <f>SUMIF(RawDataDead!$B:$B,$A92,RawDataDead!AI:AI)</f>
        <v>0</v>
      </c>
      <c r="AG92">
        <f>SUMIF(RawDataDead!$B:$B,$A92,RawDataDead!AJ:AJ)</f>
        <v>0</v>
      </c>
      <c r="AH92">
        <f>SUMIF(RawDataDead!$B:$B,$A92,RawDataDead!AK:AK)</f>
        <v>0</v>
      </c>
      <c r="AI92">
        <f>SUMIF(RawDataDead!$B:$B,$A92,RawDataDead!AL:AL)</f>
        <v>0</v>
      </c>
      <c r="AJ92">
        <f>SUMIF(RawDataDead!$B:$B,$A92,RawDataDead!AM:AM)</f>
        <v>0</v>
      </c>
      <c r="AK92">
        <f>SUMIF(RawDataDead!$B:$B,$A92,RawDataDead!AN:AN)</f>
        <v>0</v>
      </c>
      <c r="AL92">
        <f>SUMIF(RawDataDead!$B:$B,$A92,RawDataDead!AO:AO)</f>
        <v>0</v>
      </c>
      <c r="AM92">
        <f>SUMIF(RawDataDead!$B:$B,$A92,RawDataDead!AP:AP)</f>
        <v>0</v>
      </c>
      <c r="AN92">
        <f>SUMIF(RawDataDead!$B:$B,$A92,RawDataDead!AQ:AQ)</f>
        <v>0</v>
      </c>
      <c r="AO92">
        <f>SUMIF(RawDataDead!$B:$B,$A92,RawDataDead!AR:AR)</f>
        <v>0</v>
      </c>
      <c r="AP92">
        <f>SUMIF(RawDataDead!$B:$B,$A92,RawDataDead!AS:AS)</f>
        <v>0</v>
      </c>
      <c r="AQ92">
        <f>SUMIF(RawDataDead!$B:$B,$A92,RawDataDead!AT:AT)</f>
        <v>0</v>
      </c>
      <c r="AR92">
        <f>SUMIF(RawDataDead!$B:$B,$A92,RawDataDead!AU:AU)</f>
        <v>0</v>
      </c>
      <c r="AS92">
        <f>SUMIF(RawDataDead!$B:$B,$A92,RawDataDead!AV:AV)</f>
        <v>0</v>
      </c>
      <c r="AT92">
        <f>SUMIF(RawDataDead!$B:$B,$A92,RawDataDead!AW:AW)</f>
        <v>0</v>
      </c>
      <c r="AU92">
        <f>SUMIF(RawDataDead!$B:$B,$A92,RawDataDead!AX:AX)</f>
        <v>0</v>
      </c>
      <c r="AV92">
        <f>SUMIF(RawDataDead!$B:$B,$A92,RawDataDead!AY:AY)</f>
        <v>0</v>
      </c>
      <c r="AW92">
        <f>SUMIF(RawDataDead!$B:$B,$A92,RawDataDead!AZ:AZ)</f>
        <v>0</v>
      </c>
      <c r="AX92">
        <f>SUMIF(RawDataDead!$B:$B,$A92,RawDataDead!BA:BA)</f>
        <v>0</v>
      </c>
      <c r="AY92">
        <f>SUMIF(RawDataDead!$B:$B,$A92,RawDataDead!BB:BB)</f>
        <v>0</v>
      </c>
      <c r="AZ92">
        <f>SUMIF(RawDataDead!$B:$B,$A92,RawDataDead!BC:BC)</f>
        <v>0</v>
      </c>
      <c r="BA92">
        <f>SUMIF(RawDataDead!$B:$B,$A92,RawDataDead!BD:BD)</f>
        <v>0</v>
      </c>
      <c r="BB92">
        <f>SUMIF(RawDataDead!$B:$B,$A92,RawDataDead!BE:BE)</f>
        <v>0</v>
      </c>
      <c r="BC92">
        <f>SUMIF(RawDataDead!$B:$B,$A92,RawDataDead!BF:BF)</f>
        <v>0</v>
      </c>
      <c r="BD92">
        <f>SUMIF(RawDataDead!$B:$B,$A92,RawDataDead!BG:BG)</f>
        <v>0</v>
      </c>
      <c r="BE92">
        <f>SUMIF(RawDataDead!$B:$B,$A92,RawDataDead!BH:BH)</f>
        <v>1</v>
      </c>
      <c r="BF92">
        <f>SUMIF(RawDataDead!$B:$B,$A92,RawDataDead!BI:BI)</f>
        <v>0</v>
      </c>
      <c r="BG92">
        <f>SUMIF(RawDataDead!$B:$B,$A92,RawDataDead!BJ:BJ)</f>
        <v>0</v>
      </c>
      <c r="BH92">
        <f>SUMIF(RawDataDead!$B:$B,$A92,RawDataDead!BK:BK)</f>
        <v>0</v>
      </c>
      <c r="BI92">
        <f>SUMIF(RawDataDead!$B:$B,$A92,RawDataDead!BL:BL)</f>
        <v>0</v>
      </c>
      <c r="BJ92">
        <f>SUMIF(RawDataDead!$B:$B,$A92,RawDataDead!BM:BM)</f>
        <v>0</v>
      </c>
      <c r="BK92">
        <f>SUMIF(RawDataDead!$B:$B,$A92,RawDataDead!BN:BN)</f>
        <v>0</v>
      </c>
      <c r="BL92">
        <f>SUMIF(RawDataDead!$B:$B,$A92,RawDataDead!BO:BO)</f>
        <v>0</v>
      </c>
      <c r="BM92">
        <f>SUMIF(RawDataDead!$B:$B,$A92,RawDataDead!BP:BP)</f>
        <v>0</v>
      </c>
      <c r="BN92">
        <f>SUMIF(RawDataDead!$B:$B,$A92,RawDataDead!BQ:BQ)</f>
        <v>0</v>
      </c>
      <c r="BO92">
        <f>SUMIF(RawDataDead!$B:$B,$A92,RawDataDead!BR:BR)</f>
        <v>0</v>
      </c>
      <c r="BP92">
        <f>SUMIF(RawDataDead!$B:$B,$A92,RawDataDead!BS:BS)</f>
        <v>0</v>
      </c>
      <c r="BQ92">
        <f>SUMIF(RawDataDead!$B:$B,$A92,RawDataDead!BT:BT)</f>
        <v>0</v>
      </c>
      <c r="BR92">
        <f>SUMIF(RawDataDead!$B:$B,$A92,RawDataDead!BU:BU)</f>
        <v>0</v>
      </c>
      <c r="BS92">
        <f>SUMIF(RawDataDead!$B:$B,$A92,RawDataDead!BV:BV)</f>
        <v>0</v>
      </c>
      <c r="BT92">
        <f>SUMIF(RawDataDead!$B:$B,$A92,RawDataDead!BW:BW)</f>
        <v>0</v>
      </c>
    </row>
    <row r="93" spans="1:72" ht="15" thickBot="1" x14ac:dyDescent="0.35">
      <c r="A93" s="4" t="s">
        <v>203</v>
      </c>
      <c r="B93">
        <f>SUMIF(RawDataDead!$B:$B,$A93,RawDataDead!E:E)</f>
        <v>0</v>
      </c>
      <c r="C93">
        <f>SUMIF(RawDataDead!$B:$B,$A93,RawDataDead!F:F)</f>
        <v>0</v>
      </c>
      <c r="D93">
        <f>SUMIF(RawDataDead!$B:$B,$A93,RawDataDead!G:G)</f>
        <v>0</v>
      </c>
      <c r="E93">
        <f>SUMIF(RawDataDead!$B:$B,$A93,RawDataDead!H:H)</f>
        <v>0</v>
      </c>
      <c r="F93">
        <f>SUMIF(RawDataDead!$B:$B,$A93,RawDataDead!I:I)</f>
        <v>0</v>
      </c>
      <c r="G93">
        <f>SUMIF(RawDataDead!$B:$B,$A93,RawDataDead!J:J)</f>
        <v>0</v>
      </c>
      <c r="H93">
        <f>SUMIF(RawDataDead!$B:$B,$A93,RawDataDead!K:K)</f>
        <v>0</v>
      </c>
      <c r="I93">
        <f>SUMIF(RawDataDead!$B:$B,$A93,RawDataDead!L:L)</f>
        <v>0</v>
      </c>
      <c r="J93">
        <f>SUMIF(RawDataDead!$B:$B,$A93,RawDataDead!M:M)</f>
        <v>0</v>
      </c>
      <c r="K93">
        <f>SUMIF(RawDataDead!$B:$B,$A93,RawDataDead!N:N)</f>
        <v>0</v>
      </c>
      <c r="L93">
        <f>SUMIF(RawDataDead!$B:$B,$A93,RawDataDead!O:O)</f>
        <v>0</v>
      </c>
      <c r="M93">
        <f>SUMIF(RawDataDead!$B:$B,$A93,RawDataDead!P:P)</f>
        <v>0</v>
      </c>
      <c r="N93">
        <f>SUMIF(RawDataDead!$B:$B,$A93,RawDataDead!Q:Q)</f>
        <v>0</v>
      </c>
      <c r="O93">
        <f>SUMIF(RawDataDead!$B:$B,$A93,RawDataDead!R:R)</f>
        <v>0</v>
      </c>
      <c r="P93">
        <f>SUMIF(RawDataDead!$B:$B,$A93,RawDataDead!S:S)</f>
        <v>0</v>
      </c>
      <c r="Q93">
        <f>SUMIF(RawDataDead!$B:$B,$A93,RawDataDead!T:T)</f>
        <v>0</v>
      </c>
      <c r="R93">
        <f>SUMIF(RawDataDead!$B:$B,$A93,RawDataDead!U:U)</f>
        <v>0</v>
      </c>
      <c r="S93">
        <f>SUMIF(RawDataDead!$B:$B,$A93,RawDataDead!V:V)</f>
        <v>0</v>
      </c>
      <c r="T93">
        <f>SUMIF(RawDataDead!$B:$B,$A93,RawDataDead!W:W)</f>
        <v>0</v>
      </c>
      <c r="U93">
        <f>SUMIF(RawDataDead!$B:$B,$A93,RawDataDead!X:X)</f>
        <v>0</v>
      </c>
      <c r="V93">
        <f>SUMIF(RawDataDead!$B:$B,$A93,RawDataDead!Y:Y)</f>
        <v>0</v>
      </c>
      <c r="W93">
        <f>SUMIF(RawDataDead!$B:$B,$A93,RawDataDead!Z:Z)</f>
        <v>0</v>
      </c>
      <c r="X93">
        <f>SUMIF(RawDataDead!$B:$B,$A93,RawDataDead!AA:AA)</f>
        <v>0</v>
      </c>
      <c r="Y93">
        <f>SUMIF(RawDataDead!$B:$B,$A93,RawDataDead!AB:AB)</f>
        <v>0</v>
      </c>
      <c r="Z93">
        <f>SUMIF(RawDataDead!$B:$B,$A93,RawDataDead!AC:AC)</f>
        <v>0</v>
      </c>
      <c r="AA93">
        <f>SUMIF(RawDataDead!$B:$B,$A93,RawDataDead!AD:AD)</f>
        <v>0</v>
      </c>
      <c r="AB93">
        <f>SUMIF(RawDataDead!$B:$B,$A93,RawDataDead!AE:AE)</f>
        <v>0</v>
      </c>
      <c r="AC93">
        <f>SUMIF(RawDataDead!$B:$B,$A93,RawDataDead!AF:AF)</f>
        <v>0</v>
      </c>
      <c r="AD93">
        <f>SUMIF(RawDataDead!$B:$B,$A93,RawDataDead!AG:AG)</f>
        <v>0</v>
      </c>
      <c r="AE93">
        <f>SUMIF(RawDataDead!$B:$B,$A93,RawDataDead!AH:AH)</f>
        <v>0</v>
      </c>
      <c r="AF93">
        <f>SUMIF(RawDataDead!$B:$B,$A93,RawDataDead!AI:AI)</f>
        <v>0</v>
      </c>
      <c r="AG93">
        <f>SUMIF(RawDataDead!$B:$B,$A93,RawDataDead!AJ:AJ)</f>
        <v>0</v>
      </c>
      <c r="AH93">
        <f>SUMIF(RawDataDead!$B:$B,$A93,RawDataDead!AK:AK)</f>
        <v>0</v>
      </c>
      <c r="AI93">
        <f>SUMIF(RawDataDead!$B:$B,$A93,RawDataDead!AL:AL)</f>
        <v>0</v>
      </c>
      <c r="AJ93">
        <f>SUMIF(RawDataDead!$B:$B,$A93,RawDataDead!AM:AM)</f>
        <v>0</v>
      </c>
      <c r="AK93">
        <f>SUMIF(RawDataDead!$B:$B,$A93,RawDataDead!AN:AN)</f>
        <v>0</v>
      </c>
      <c r="AL93">
        <f>SUMIF(RawDataDead!$B:$B,$A93,RawDataDead!AO:AO)</f>
        <v>0</v>
      </c>
      <c r="AM93">
        <f>SUMIF(RawDataDead!$B:$B,$A93,RawDataDead!AP:AP)</f>
        <v>0</v>
      </c>
      <c r="AN93">
        <f>SUMIF(RawDataDead!$B:$B,$A93,RawDataDead!AQ:AQ)</f>
        <v>0</v>
      </c>
      <c r="AO93">
        <f>SUMIF(RawDataDead!$B:$B,$A93,RawDataDead!AR:AR)</f>
        <v>0</v>
      </c>
      <c r="AP93">
        <f>SUMIF(RawDataDead!$B:$B,$A93,RawDataDead!AS:AS)</f>
        <v>0</v>
      </c>
      <c r="AQ93">
        <f>SUMIF(RawDataDead!$B:$B,$A93,RawDataDead!AT:AT)</f>
        <v>0</v>
      </c>
      <c r="AR93">
        <f>SUMIF(RawDataDead!$B:$B,$A93,RawDataDead!AU:AU)</f>
        <v>0</v>
      </c>
      <c r="AS93">
        <f>SUMIF(RawDataDead!$B:$B,$A93,RawDataDead!AV:AV)</f>
        <v>0</v>
      </c>
      <c r="AT93">
        <f>SUMIF(RawDataDead!$B:$B,$A93,RawDataDead!AW:AW)</f>
        <v>0</v>
      </c>
      <c r="AU93">
        <f>SUMIF(RawDataDead!$B:$B,$A93,RawDataDead!AX:AX)</f>
        <v>0</v>
      </c>
      <c r="AV93">
        <f>SUMIF(RawDataDead!$B:$B,$A93,RawDataDead!AY:AY)</f>
        <v>0</v>
      </c>
      <c r="AW93">
        <f>SUMIF(RawDataDead!$B:$B,$A93,RawDataDead!AZ:AZ)</f>
        <v>0</v>
      </c>
      <c r="AX93">
        <f>SUMIF(RawDataDead!$B:$B,$A93,RawDataDead!BA:BA)</f>
        <v>0</v>
      </c>
      <c r="AY93">
        <f>SUMIF(RawDataDead!$B:$B,$A93,RawDataDead!BB:BB)</f>
        <v>0</v>
      </c>
      <c r="AZ93">
        <f>SUMIF(RawDataDead!$B:$B,$A93,RawDataDead!BC:BC)</f>
        <v>0</v>
      </c>
      <c r="BA93">
        <f>SUMIF(RawDataDead!$B:$B,$A93,RawDataDead!BD:BD)</f>
        <v>0</v>
      </c>
      <c r="BB93">
        <f>SUMIF(RawDataDead!$B:$B,$A93,RawDataDead!BE:BE)</f>
        <v>0</v>
      </c>
      <c r="BC93">
        <f>SUMIF(RawDataDead!$B:$B,$A93,RawDataDead!BF:BF)</f>
        <v>0</v>
      </c>
      <c r="BD93">
        <f>SUMIF(RawDataDead!$B:$B,$A93,RawDataDead!BG:BG)</f>
        <v>0</v>
      </c>
      <c r="BE93">
        <f>SUMIF(RawDataDead!$B:$B,$A93,RawDataDead!BH:BH)</f>
        <v>0</v>
      </c>
      <c r="BF93">
        <f>SUMIF(RawDataDead!$B:$B,$A93,RawDataDead!BI:BI)</f>
        <v>0</v>
      </c>
      <c r="BG93">
        <f>SUMIF(RawDataDead!$B:$B,$A93,RawDataDead!BJ:BJ)</f>
        <v>0</v>
      </c>
      <c r="BH93">
        <f>SUMIF(RawDataDead!$B:$B,$A93,RawDataDead!BK:BK)</f>
        <v>0</v>
      </c>
      <c r="BI93">
        <f>SUMIF(RawDataDead!$B:$B,$A93,RawDataDead!BL:BL)</f>
        <v>0</v>
      </c>
      <c r="BJ93">
        <f>SUMIF(RawDataDead!$B:$B,$A93,RawDataDead!BM:BM)</f>
        <v>0</v>
      </c>
      <c r="BK93">
        <f>SUMIF(RawDataDead!$B:$B,$A93,RawDataDead!BN:BN)</f>
        <v>0</v>
      </c>
      <c r="BL93">
        <f>SUMIF(RawDataDead!$B:$B,$A93,RawDataDead!BO:BO)</f>
        <v>0</v>
      </c>
      <c r="BM93">
        <f>SUMIF(RawDataDead!$B:$B,$A93,RawDataDead!BP:BP)</f>
        <v>0</v>
      </c>
      <c r="BN93">
        <f>SUMIF(RawDataDead!$B:$B,$A93,RawDataDead!BQ:BQ)</f>
        <v>0</v>
      </c>
      <c r="BO93">
        <f>SUMIF(RawDataDead!$B:$B,$A93,RawDataDead!BR:BR)</f>
        <v>0</v>
      </c>
      <c r="BP93">
        <f>SUMIF(RawDataDead!$B:$B,$A93,RawDataDead!BS:BS)</f>
        <v>0</v>
      </c>
      <c r="BQ93">
        <f>SUMIF(RawDataDead!$B:$B,$A93,RawDataDead!BT:BT)</f>
        <v>0</v>
      </c>
      <c r="BR93">
        <f>SUMIF(RawDataDead!$B:$B,$A93,RawDataDead!BU:BU)</f>
        <v>0</v>
      </c>
      <c r="BS93">
        <f>SUMIF(RawDataDead!$B:$B,$A93,RawDataDead!BV:BV)</f>
        <v>0</v>
      </c>
      <c r="BT93">
        <f>SUMIF(RawDataDead!$B:$B,$A93,RawDataDead!BW:BW)</f>
        <v>0</v>
      </c>
    </row>
    <row r="94" spans="1:72" ht="15" thickBot="1" x14ac:dyDescent="0.35">
      <c r="A94" s="3" t="s">
        <v>122</v>
      </c>
      <c r="B94">
        <f>SUMIF(RawDataDead!$B:$B,$A94,RawDataDead!E:E)</f>
        <v>0</v>
      </c>
      <c r="C94">
        <f>SUMIF(RawDataDead!$B:$B,$A94,RawDataDead!F:F)</f>
        <v>0</v>
      </c>
      <c r="D94">
        <f>SUMIF(RawDataDead!$B:$B,$A94,RawDataDead!G:G)</f>
        <v>0</v>
      </c>
      <c r="E94">
        <f>SUMIF(RawDataDead!$B:$B,$A94,RawDataDead!H:H)</f>
        <v>0</v>
      </c>
      <c r="F94">
        <f>SUMIF(RawDataDead!$B:$B,$A94,RawDataDead!I:I)</f>
        <v>0</v>
      </c>
      <c r="G94">
        <f>SUMIF(RawDataDead!$B:$B,$A94,RawDataDead!J:J)</f>
        <v>0</v>
      </c>
      <c r="H94">
        <f>SUMIF(RawDataDead!$B:$B,$A94,RawDataDead!K:K)</f>
        <v>0</v>
      </c>
      <c r="I94">
        <f>SUMIF(RawDataDead!$B:$B,$A94,RawDataDead!L:L)</f>
        <v>0</v>
      </c>
      <c r="J94">
        <f>SUMIF(RawDataDead!$B:$B,$A94,RawDataDead!M:M)</f>
        <v>0</v>
      </c>
      <c r="K94">
        <f>SUMIF(RawDataDead!$B:$B,$A94,RawDataDead!N:N)</f>
        <v>0</v>
      </c>
      <c r="L94">
        <f>SUMIF(RawDataDead!$B:$B,$A94,RawDataDead!O:O)</f>
        <v>0</v>
      </c>
      <c r="M94">
        <f>SUMIF(RawDataDead!$B:$B,$A94,RawDataDead!P:P)</f>
        <v>0</v>
      </c>
      <c r="N94">
        <f>SUMIF(RawDataDead!$B:$B,$A94,RawDataDead!Q:Q)</f>
        <v>0</v>
      </c>
      <c r="O94">
        <f>SUMIF(RawDataDead!$B:$B,$A94,RawDataDead!R:R)</f>
        <v>0</v>
      </c>
      <c r="P94">
        <f>SUMIF(RawDataDead!$B:$B,$A94,RawDataDead!S:S)</f>
        <v>0</v>
      </c>
      <c r="Q94">
        <f>SUMIF(RawDataDead!$B:$B,$A94,RawDataDead!T:T)</f>
        <v>0</v>
      </c>
      <c r="R94">
        <f>SUMIF(RawDataDead!$B:$B,$A94,RawDataDead!U:U)</f>
        <v>0</v>
      </c>
      <c r="S94">
        <f>SUMIF(RawDataDead!$B:$B,$A94,RawDataDead!V:V)</f>
        <v>0</v>
      </c>
      <c r="T94">
        <f>SUMIF(RawDataDead!$B:$B,$A94,RawDataDead!W:W)</f>
        <v>0</v>
      </c>
      <c r="U94">
        <f>SUMIF(RawDataDead!$B:$B,$A94,RawDataDead!X:X)</f>
        <v>0</v>
      </c>
      <c r="V94">
        <f>SUMIF(RawDataDead!$B:$B,$A94,RawDataDead!Y:Y)</f>
        <v>0</v>
      </c>
      <c r="W94">
        <f>SUMIF(RawDataDead!$B:$B,$A94,RawDataDead!Z:Z)</f>
        <v>0</v>
      </c>
      <c r="X94">
        <f>SUMIF(RawDataDead!$B:$B,$A94,RawDataDead!AA:AA)</f>
        <v>0</v>
      </c>
      <c r="Y94">
        <f>SUMIF(RawDataDead!$B:$B,$A94,RawDataDead!AB:AB)</f>
        <v>0</v>
      </c>
      <c r="Z94">
        <f>SUMIF(RawDataDead!$B:$B,$A94,RawDataDead!AC:AC)</f>
        <v>0</v>
      </c>
      <c r="AA94">
        <f>SUMIF(RawDataDead!$B:$B,$A94,RawDataDead!AD:AD)</f>
        <v>0</v>
      </c>
      <c r="AB94">
        <f>SUMIF(RawDataDead!$B:$B,$A94,RawDataDead!AE:AE)</f>
        <v>0</v>
      </c>
      <c r="AC94">
        <f>SUMIF(RawDataDead!$B:$B,$A94,RawDataDead!AF:AF)</f>
        <v>0</v>
      </c>
      <c r="AD94">
        <f>SUMIF(RawDataDead!$B:$B,$A94,RawDataDead!AG:AG)</f>
        <v>0</v>
      </c>
      <c r="AE94">
        <f>SUMIF(RawDataDead!$B:$B,$A94,RawDataDead!AH:AH)</f>
        <v>0</v>
      </c>
      <c r="AF94">
        <f>SUMIF(RawDataDead!$B:$B,$A94,RawDataDead!AI:AI)</f>
        <v>0</v>
      </c>
      <c r="AG94">
        <f>SUMIF(RawDataDead!$B:$B,$A94,RawDataDead!AJ:AJ)</f>
        <v>0</v>
      </c>
      <c r="AH94">
        <f>SUMIF(RawDataDead!$B:$B,$A94,RawDataDead!AK:AK)</f>
        <v>0</v>
      </c>
      <c r="AI94">
        <f>SUMIF(RawDataDead!$B:$B,$A94,RawDataDead!AL:AL)</f>
        <v>0</v>
      </c>
      <c r="AJ94">
        <f>SUMIF(RawDataDead!$B:$B,$A94,RawDataDead!AM:AM)</f>
        <v>0</v>
      </c>
      <c r="AK94">
        <f>SUMIF(RawDataDead!$B:$B,$A94,RawDataDead!AN:AN)</f>
        <v>0</v>
      </c>
      <c r="AL94">
        <f>SUMIF(RawDataDead!$B:$B,$A94,RawDataDead!AO:AO)</f>
        <v>0</v>
      </c>
      <c r="AM94">
        <f>SUMIF(RawDataDead!$B:$B,$A94,RawDataDead!AP:AP)</f>
        <v>0</v>
      </c>
      <c r="AN94">
        <f>SUMIF(RawDataDead!$B:$B,$A94,RawDataDead!AQ:AQ)</f>
        <v>0</v>
      </c>
      <c r="AO94">
        <f>SUMIF(RawDataDead!$B:$B,$A94,RawDataDead!AR:AR)</f>
        <v>0</v>
      </c>
      <c r="AP94">
        <f>SUMIF(RawDataDead!$B:$B,$A94,RawDataDead!AS:AS)</f>
        <v>0</v>
      </c>
      <c r="AQ94">
        <f>SUMIF(RawDataDead!$B:$B,$A94,RawDataDead!AT:AT)</f>
        <v>0</v>
      </c>
      <c r="AR94">
        <f>SUMIF(RawDataDead!$B:$B,$A94,RawDataDead!AU:AU)</f>
        <v>0</v>
      </c>
      <c r="AS94">
        <f>SUMIF(RawDataDead!$B:$B,$A94,RawDataDead!AV:AV)</f>
        <v>0</v>
      </c>
      <c r="AT94">
        <f>SUMIF(RawDataDead!$B:$B,$A94,RawDataDead!AW:AW)</f>
        <v>0</v>
      </c>
      <c r="AU94">
        <f>SUMIF(RawDataDead!$B:$B,$A94,RawDataDead!AX:AX)</f>
        <v>0</v>
      </c>
      <c r="AV94">
        <f>SUMIF(RawDataDead!$B:$B,$A94,RawDataDead!AY:AY)</f>
        <v>0</v>
      </c>
      <c r="AW94">
        <f>SUMIF(RawDataDead!$B:$B,$A94,RawDataDead!AZ:AZ)</f>
        <v>0</v>
      </c>
      <c r="AX94">
        <f>SUMIF(RawDataDead!$B:$B,$A94,RawDataDead!BA:BA)</f>
        <v>0</v>
      </c>
      <c r="AY94">
        <f>SUMIF(RawDataDead!$B:$B,$A94,RawDataDead!BB:BB)</f>
        <v>0</v>
      </c>
      <c r="AZ94">
        <f>SUMIF(RawDataDead!$B:$B,$A94,RawDataDead!BC:BC)</f>
        <v>0</v>
      </c>
      <c r="BA94">
        <f>SUMIF(RawDataDead!$B:$B,$A94,RawDataDead!BD:BD)</f>
        <v>0</v>
      </c>
      <c r="BB94">
        <f>SUMIF(RawDataDead!$B:$B,$A94,RawDataDead!BE:BE)</f>
        <v>0</v>
      </c>
      <c r="BC94">
        <f>SUMIF(RawDataDead!$B:$B,$A94,RawDataDead!BF:BF)</f>
        <v>0</v>
      </c>
      <c r="BD94">
        <f>SUMIF(RawDataDead!$B:$B,$A94,RawDataDead!BG:BG)</f>
        <v>0</v>
      </c>
      <c r="BE94">
        <f>SUMIF(RawDataDead!$B:$B,$A94,RawDataDead!BH:BH)</f>
        <v>0</v>
      </c>
      <c r="BF94">
        <f>SUMIF(RawDataDead!$B:$B,$A94,RawDataDead!BI:BI)</f>
        <v>0</v>
      </c>
      <c r="BG94">
        <f>SUMIF(RawDataDead!$B:$B,$A94,RawDataDead!BJ:BJ)</f>
        <v>0</v>
      </c>
      <c r="BH94">
        <f>SUMIF(RawDataDead!$B:$B,$A94,RawDataDead!BK:BK)</f>
        <v>0</v>
      </c>
      <c r="BI94">
        <f>SUMIF(RawDataDead!$B:$B,$A94,RawDataDead!BL:BL)</f>
        <v>0</v>
      </c>
      <c r="BJ94">
        <f>SUMIF(RawDataDead!$B:$B,$A94,RawDataDead!BM:BM)</f>
        <v>0</v>
      </c>
      <c r="BK94">
        <f>SUMIF(RawDataDead!$B:$B,$A94,RawDataDead!BN:BN)</f>
        <v>0</v>
      </c>
      <c r="BL94">
        <f>SUMIF(RawDataDead!$B:$B,$A94,RawDataDead!BO:BO)</f>
        <v>0</v>
      </c>
      <c r="BM94">
        <f>SUMIF(RawDataDead!$B:$B,$A94,RawDataDead!BP:BP)</f>
        <v>0</v>
      </c>
      <c r="BN94">
        <f>SUMIF(RawDataDead!$B:$B,$A94,RawDataDead!BQ:BQ)</f>
        <v>0</v>
      </c>
      <c r="BO94">
        <f>SUMIF(RawDataDead!$B:$B,$A94,RawDataDead!BR:BR)</f>
        <v>0</v>
      </c>
      <c r="BP94">
        <f>SUMIF(RawDataDead!$B:$B,$A94,RawDataDead!BS:BS)</f>
        <v>0</v>
      </c>
      <c r="BQ94">
        <f>SUMIF(RawDataDead!$B:$B,$A94,RawDataDead!BT:BT)</f>
        <v>0</v>
      </c>
      <c r="BR94">
        <f>SUMIF(RawDataDead!$B:$B,$A94,RawDataDead!BU:BU)</f>
        <v>0</v>
      </c>
      <c r="BS94">
        <f>SUMIF(RawDataDead!$B:$B,$A94,RawDataDead!BV:BV)</f>
        <v>0</v>
      </c>
      <c r="BT94">
        <f>SUMIF(RawDataDead!$B:$B,$A94,RawDataDead!BW:BW)</f>
        <v>0</v>
      </c>
    </row>
    <row r="95" spans="1:72" ht="15" thickBot="1" x14ac:dyDescent="0.35">
      <c r="A95" s="4" t="s">
        <v>382</v>
      </c>
      <c r="B95">
        <f>SUMIF(RawDataDead!$B:$B,$A95,RawDataDead!E:E)</f>
        <v>0</v>
      </c>
      <c r="C95">
        <f>SUMIF(RawDataDead!$B:$B,$A95,RawDataDead!F:F)</f>
        <v>0</v>
      </c>
      <c r="D95">
        <f>SUMIF(RawDataDead!$B:$B,$A95,RawDataDead!G:G)</f>
        <v>0</v>
      </c>
      <c r="E95">
        <f>SUMIF(RawDataDead!$B:$B,$A95,RawDataDead!H:H)</f>
        <v>0</v>
      </c>
      <c r="F95">
        <f>SUMIF(RawDataDead!$B:$B,$A95,RawDataDead!I:I)</f>
        <v>0</v>
      </c>
      <c r="G95">
        <f>SUMIF(RawDataDead!$B:$B,$A95,RawDataDead!J:J)</f>
        <v>0</v>
      </c>
      <c r="H95">
        <f>SUMIF(RawDataDead!$B:$B,$A95,RawDataDead!K:K)</f>
        <v>0</v>
      </c>
      <c r="I95">
        <f>SUMIF(RawDataDead!$B:$B,$A95,RawDataDead!L:L)</f>
        <v>0</v>
      </c>
      <c r="J95">
        <f>SUMIF(RawDataDead!$B:$B,$A95,RawDataDead!M:M)</f>
        <v>0</v>
      </c>
      <c r="K95">
        <f>SUMIF(RawDataDead!$B:$B,$A95,RawDataDead!N:N)</f>
        <v>0</v>
      </c>
      <c r="L95">
        <f>SUMIF(RawDataDead!$B:$B,$A95,RawDataDead!O:O)</f>
        <v>0</v>
      </c>
      <c r="M95">
        <f>SUMIF(RawDataDead!$B:$B,$A95,RawDataDead!P:P)</f>
        <v>0</v>
      </c>
      <c r="N95">
        <f>SUMIF(RawDataDead!$B:$B,$A95,RawDataDead!Q:Q)</f>
        <v>0</v>
      </c>
      <c r="O95">
        <f>SUMIF(RawDataDead!$B:$B,$A95,RawDataDead!R:R)</f>
        <v>0</v>
      </c>
      <c r="P95">
        <f>SUMIF(RawDataDead!$B:$B,$A95,RawDataDead!S:S)</f>
        <v>0</v>
      </c>
      <c r="Q95">
        <f>SUMIF(RawDataDead!$B:$B,$A95,RawDataDead!T:T)</f>
        <v>0</v>
      </c>
      <c r="R95">
        <f>SUMIF(RawDataDead!$B:$B,$A95,RawDataDead!U:U)</f>
        <v>0</v>
      </c>
      <c r="S95">
        <f>SUMIF(RawDataDead!$B:$B,$A95,RawDataDead!V:V)</f>
        <v>0</v>
      </c>
      <c r="T95">
        <f>SUMIF(RawDataDead!$B:$B,$A95,RawDataDead!W:W)</f>
        <v>0</v>
      </c>
      <c r="U95">
        <f>SUMIF(RawDataDead!$B:$B,$A95,RawDataDead!X:X)</f>
        <v>0</v>
      </c>
      <c r="V95">
        <f>SUMIF(RawDataDead!$B:$B,$A95,RawDataDead!Y:Y)</f>
        <v>0</v>
      </c>
      <c r="W95">
        <f>SUMIF(RawDataDead!$B:$B,$A95,RawDataDead!Z:Z)</f>
        <v>0</v>
      </c>
      <c r="X95">
        <f>SUMIF(RawDataDead!$B:$B,$A95,RawDataDead!AA:AA)</f>
        <v>0</v>
      </c>
      <c r="Y95">
        <f>SUMIF(RawDataDead!$B:$B,$A95,RawDataDead!AB:AB)</f>
        <v>0</v>
      </c>
      <c r="Z95">
        <f>SUMIF(RawDataDead!$B:$B,$A95,RawDataDead!AC:AC)</f>
        <v>0</v>
      </c>
      <c r="AA95">
        <f>SUMIF(RawDataDead!$B:$B,$A95,RawDataDead!AD:AD)</f>
        <v>0</v>
      </c>
      <c r="AB95">
        <f>SUMIF(RawDataDead!$B:$B,$A95,RawDataDead!AE:AE)</f>
        <v>0</v>
      </c>
      <c r="AC95">
        <f>SUMIF(RawDataDead!$B:$B,$A95,RawDataDead!AF:AF)</f>
        <v>0</v>
      </c>
      <c r="AD95">
        <f>SUMIF(RawDataDead!$B:$B,$A95,RawDataDead!AG:AG)</f>
        <v>0</v>
      </c>
      <c r="AE95">
        <f>SUMIF(RawDataDead!$B:$B,$A95,RawDataDead!AH:AH)</f>
        <v>0</v>
      </c>
      <c r="AF95">
        <f>SUMIF(RawDataDead!$B:$B,$A95,RawDataDead!AI:AI)</f>
        <v>0</v>
      </c>
      <c r="AG95">
        <f>SUMIF(RawDataDead!$B:$B,$A95,RawDataDead!AJ:AJ)</f>
        <v>0</v>
      </c>
      <c r="AH95">
        <f>SUMIF(RawDataDead!$B:$B,$A95,RawDataDead!AK:AK)</f>
        <v>0</v>
      </c>
      <c r="AI95">
        <f>SUMIF(RawDataDead!$B:$B,$A95,RawDataDead!AL:AL)</f>
        <v>0</v>
      </c>
      <c r="AJ95">
        <f>SUMIF(RawDataDead!$B:$B,$A95,RawDataDead!AM:AM)</f>
        <v>0</v>
      </c>
      <c r="AK95">
        <f>SUMIF(RawDataDead!$B:$B,$A95,RawDataDead!AN:AN)</f>
        <v>0</v>
      </c>
      <c r="AL95">
        <f>SUMIF(RawDataDead!$B:$B,$A95,RawDataDead!AO:AO)</f>
        <v>0</v>
      </c>
      <c r="AM95">
        <f>SUMIF(RawDataDead!$B:$B,$A95,RawDataDead!AP:AP)</f>
        <v>0</v>
      </c>
      <c r="AN95">
        <f>SUMIF(RawDataDead!$B:$B,$A95,RawDataDead!AQ:AQ)</f>
        <v>0</v>
      </c>
      <c r="AO95">
        <f>SUMIF(RawDataDead!$B:$B,$A95,RawDataDead!AR:AR)</f>
        <v>0</v>
      </c>
      <c r="AP95">
        <f>SUMIF(RawDataDead!$B:$B,$A95,RawDataDead!AS:AS)</f>
        <v>0</v>
      </c>
      <c r="AQ95">
        <f>SUMIF(RawDataDead!$B:$B,$A95,RawDataDead!AT:AT)</f>
        <v>0</v>
      </c>
      <c r="AR95">
        <f>SUMIF(RawDataDead!$B:$B,$A95,RawDataDead!AU:AU)</f>
        <v>0</v>
      </c>
      <c r="AS95">
        <f>SUMIF(RawDataDead!$B:$B,$A95,RawDataDead!AV:AV)</f>
        <v>0</v>
      </c>
      <c r="AT95">
        <f>SUMIF(RawDataDead!$B:$B,$A95,RawDataDead!AW:AW)</f>
        <v>0</v>
      </c>
      <c r="AU95">
        <f>SUMIF(RawDataDead!$B:$B,$A95,RawDataDead!AX:AX)</f>
        <v>0</v>
      </c>
      <c r="AV95">
        <f>SUMIF(RawDataDead!$B:$B,$A95,RawDataDead!AY:AY)</f>
        <v>0</v>
      </c>
      <c r="AW95">
        <f>SUMIF(RawDataDead!$B:$B,$A95,RawDataDead!AZ:AZ)</f>
        <v>0</v>
      </c>
      <c r="AX95">
        <f>SUMIF(RawDataDead!$B:$B,$A95,RawDataDead!BA:BA)</f>
        <v>0</v>
      </c>
      <c r="AY95">
        <f>SUMIF(RawDataDead!$B:$B,$A95,RawDataDead!BB:BB)</f>
        <v>0</v>
      </c>
      <c r="AZ95">
        <f>SUMIF(RawDataDead!$B:$B,$A95,RawDataDead!BC:BC)</f>
        <v>0</v>
      </c>
      <c r="BA95">
        <f>SUMIF(RawDataDead!$B:$B,$A95,RawDataDead!BD:BD)</f>
        <v>0</v>
      </c>
      <c r="BB95">
        <f>SUMIF(RawDataDead!$B:$B,$A95,RawDataDead!BE:BE)</f>
        <v>0</v>
      </c>
      <c r="BC95">
        <f>SUMIF(RawDataDead!$B:$B,$A95,RawDataDead!BF:BF)</f>
        <v>0</v>
      </c>
      <c r="BD95">
        <f>SUMIF(RawDataDead!$B:$B,$A95,RawDataDead!BG:BG)</f>
        <v>0</v>
      </c>
      <c r="BE95">
        <f>SUMIF(RawDataDead!$B:$B,$A95,RawDataDead!BH:BH)</f>
        <v>0</v>
      </c>
      <c r="BF95">
        <f>SUMIF(RawDataDead!$B:$B,$A95,RawDataDead!BI:BI)</f>
        <v>0</v>
      </c>
      <c r="BG95">
        <f>SUMIF(RawDataDead!$B:$B,$A95,RawDataDead!BJ:BJ)</f>
        <v>0</v>
      </c>
      <c r="BH95">
        <f>SUMIF(RawDataDead!$B:$B,$A95,RawDataDead!BK:BK)</f>
        <v>0</v>
      </c>
      <c r="BI95">
        <f>SUMIF(RawDataDead!$B:$B,$A95,RawDataDead!BL:BL)</f>
        <v>0</v>
      </c>
      <c r="BJ95">
        <f>SUMIF(RawDataDead!$B:$B,$A95,RawDataDead!BM:BM)</f>
        <v>0</v>
      </c>
      <c r="BK95">
        <f>SUMIF(RawDataDead!$B:$B,$A95,RawDataDead!BN:BN)</f>
        <v>0</v>
      </c>
      <c r="BL95">
        <f>SUMIF(RawDataDead!$B:$B,$A95,RawDataDead!BO:BO)</f>
        <v>0</v>
      </c>
      <c r="BM95">
        <f>SUMIF(RawDataDead!$B:$B,$A95,RawDataDead!BP:BP)</f>
        <v>0</v>
      </c>
      <c r="BN95">
        <f>SUMIF(RawDataDead!$B:$B,$A95,RawDataDead!BQ:BQ)</f>
        <v>0</v>
      </c>
      <c r="BO95">
        <f>SUMIF(RawDataDead!$B:$B,$A95,RawDataDead!BR:BR)</f>
        <v>0</v>
      </c>
      <c r="BP95">
        <f>SUMIF(RawDataDead!$B:$B,$A95,RawDataDead!BS:BS)</f>
        <v>0</v>
      </c>
      <c r="BQ95">
        <f>SUMIF(RawDataDead!$B:$B,$A95,RawDataDead!BT:BT)</f>
        <v>0</v>
      </c>
      <c r="BR95">
        <f>SUMIF(RawDataDead!$B:$B,$A95,RawDataDead!BU:BU)</f>
        <v>0</v>
      </c>
      <c r="BS95">
        <f>SUMIF(RawDataDead!$B:$B,$A95,RawDataDead!BV:BV)</f>
        <v>0</v>
      </c>
      <c r="BT95">
        <f>SUMIF(RawDataDead!$B:$B,$A95,RawDataDead!BW:BW)</f>
        <v>0</v>
      </c>
    </row>
    <row r="96" spans="1:72" ht="15" thickBot="1" x14ac:dyDescent="0.35">
      <c r="A96" s="3" t="s">
        <v>383</v>
      </c>
      <c r="B96">
        <f>SUMIF(RawDataDead!$B:$B,$A96,RawDataDead!E:E)</f>
        <v>0</v>
      </c>
      <c r="C96">
        <f>SUMIF(RawDataDead!$B:$B,$A96,RawDataDead!F:F)</f>
        <v>0</v>
      </c>
      <c r="D96">
        <f>SUMIF(RawDataDead!$B:$B,$A96,RawDataDead!G:G)</f>
        <v>0</v>
      </c>
      <c r="E96">
        <f>SUMIF(RawDataDead!$B:$B,$A96,RawDataDead!H:H)</f>
        <v>0</v>
      </c>
      <c r="F96">
        <f>SUMIF(RawDataDead!$B:$B,$A96,RawDataDead!I:I)</f>
        <v>0</v>
      </c>
      <c r="G96">
        <f>SUMIF(RawDataDead!$B:$B,$A96,RawDataDead!J:J)</f>
        <v>0</v>
      </c>
      <c r="H96">
        <f>SUMIF(RawDataDead!$B:$B,$A96,RawDataDead!K:K)</f>
        <v>0</v>
      </c>
      <c r="I96">
        <f>SUMIF(RawDataDead!$B:$B,$A96,RawDataDead!L:L)</f>
        <v>0</v>
      </c>
      <c r="J96">
        <f>SUMIF(RawDataDead!$B:$B,$A96,RawDataDead!M:M)</f>
        <v>0</v>
      </c>
      <c r="K96">
        <f>SUMIF(RawDataDead!$B:$B,$A96,RawDataDead!N:N)</f>
        <v>0</v>
      </c>
      <c r="L96">
        <f>SUMIF(RawDataDead!$B:$B,$A96,RawDataDead!O:O)</f>
        <v>0</v>
      </c>
      <c r="M96">
        <f>SUMIF(RawDataDead!$B:$B,$A96,RawDataDead!P:P)</f>
        <v>0</v>
      </c>
      <c r="N96">
        <f>SUMIF(RawDataDead!$B:$B,$A96,RawDataDead!Q:Q)</f>
        <v>0</v>
      </c>
      <c r="O96">
        <f>SUMIF(RawDataDead!$B:$B,$A96,RawDataDead!R:R)</f>
        <v>0</v>
      </c>
      <c r="P96">
        <f>SUMIF(RawDataDead!$B:$B,$A96,RawDataDead!S:S)</f>
        <v>0</v>
      </c>
      <c r="Q96">
        <f>SUMIF(RawDataDead!$B:$B,$A96,RawDataDead!T:T)</f>
        <v>0</v>
      </c>
      <c r="R96">
        <f>SUMIF(RawDataDead!$B:$B,$A96,RawDataDead!U:U)</f>
        <v>0</v>
      </c>
      <c r="S96">
        <f>SUMIF(RawDataDead!$B:$B,$A96,RawDataDead!V:V)</f>
        <v>0</v>
      </c>
      <c r="T96">
        <f>SUMIF(RawDataDead!$B:$B,$A96,RawDataDead!W:W)</f>
        <v>0</v>
      </c>
      <c r="U96">
        <f>SUMIF(RawDataDead!$B:$B,$A96,RawDataDead!X:X)</f>
        <v>0</v>
      </c>
      <c r="V96">
        <f>SUMIF(RawDataDead!$B:$B,$A96,RawDataDead!Y:Y)</f>
        <v>0</v>
      </c>
      <c r="W96">
        <f>SUMIF(RawDataDead!$B:$B,$A96,RawDataDead!Z:Z)</f>
        <v>0</v>
      </c>
      <c r="X96">
        <f>SUMIF(RawDataDead!$B:$B,$A96,RawDataDead!AA:AA)</f>
        <v>0</v>
      </c>
      <c r="Y96">
        <f>SUMIF(RawDataDead!$B:$B,$A96,RawDataDead!AB:AB)</f>
        <v>0</v>
      </c>
      <c r="Z96">
        <f>SUMIF(RawDataDead!$B:$B,$A96,RawDataDead!AC:AC)</f>
        <v>0</v>
      </c>
      <c r="AA96">
        <f>SUMIF(RawDataDead!$B:$B,$A96,RawDataDead!AD:AD)</f>
        <v>0</v>
      </c>
      <c r="AB96">
        <f>SUMIF(RawDataDead!$B:$B,$A96,RawDataDead!AE:AE)</f>
        <v>0</v>
      </c>
      <c r="AC96">
        <f>SUMIF(RawDataDead!$B:$B,$A96,RawDataDead!AF:AF)</f>
        <v>0</v>
      </c>
      <c r="AD96">
        <f>SUMIF(RawDataDead!$B:$B,$A96,RawDataDead!AG:AG)</f>
        <v>0</v>
      </c>
      <c r="AE96">
        <f>SUMIF(RawDataDead!$B:$B,$A96,RawDataDead!AH:AH)</f>
        <v>0</v>
      </c>
      <c r="AF96">
        <f>SUMIF(RawDataDead!$B:$B,$A96,RawDataDead!AI:AI)</f>
        <v>0</v>
      </c>
      <c r="AG96">
        <f>SUMIF(RawDataDead!$B:$B,$A96,RawDataDead!AJ:AJ)</f>
        <v>0</v>
      </c>
      <c r="AH96">
        <f>SUMIF(RawDataDead!$B:$B,$A96,RawDataDead!AK:AK)</f>
        <v>0</v>
      </c>
      <c r="AI96">
        <f>SUMIF(RawDataDead!$B:$B,$A96,RawDataDead!AL:AL)</f>
        <v>0</v>
      </c>
      <c r="AJ96">
        <f>SUMIF(RawDataDead!$B:$B,$A96,RawDataDead!AM:AM)</f>
        <v>0</v>
      </c>
      <c r="AK96">
        <f>SUMIF(RawDataDead!$B:$B,$A96,RawDataDead!AN:AN)</f>
        <v>0</v>
      </c>
      <c r="AL96">
        <f>SUMIF(RawDataDead!$B:$B,$A96,RawDataDead!AO:AO)</f>
        <v>0</v>
      </c>
      <c r="AM96">
        <f>SUMIF(RawDataDead!$B:$B,$A96,RawDataDead!AP:AP)</f>
        <v>0</v>
      </c>
      <c r="AN96">
        <f>SUMIF(RawDataDead!$B:$B,$A96,RawDataDead!AQ:AQ)</f>
        <v>0</v>
      </c>
      <c r="AO96">
        <f>SUMIF(RawDataDead!$B:$B,$A96,RawDataDead!AR:AR)</f>
        <v>0</v>
      </c>
      <c r="AP96">
        <f>SUMIF(RawDataDead!$B:$B,$A96,RawDataDead!AS:AS)</f>
        <v>0</v>
      </c>
      <c r="AQ96">
        <f>SUMIF(RawDataDead!$B:$B,$A96,RawDataDead!AT:AT)</f>
        <v>0</v>
      </c>
      <c r="AR96">
        <f>SUMIF(RawDataDead!$B:$B,$A96,RawDataDead!AU:AU)</f>
        <v>0</v>
      </c>
      <c r="AS96">
        <f>SUMIF(RawDataDead!$B:$B,$A96,RawDataDead!AV:AV)</f>
        <v>0</v>
      </c>
      <c r="AT96">
        <f>SUMIF(RawDataDead!$B:$B,$A96,RawDataDead!AW:AW)</f>
        <v>0</v>
      </c>
      <c r="AU96">
        <f>SUMIF(RawDataDead!$B:$B,$A96,RawDataDead!AX:AX)</f>
        <v>0</v>
      </c>
      <c r="AV96">
        <f>SUMIF(RawDataDead!$B:$B,$A96,RawDataDead!AY:AY)</f>
        <v>0</v>
      </c>
      <c r="AW96">
        <f>SUMIF(RawDataDead!$B:$B,$A96,RawDataDead!AZ:AZ)</f>
        <v>0</v>
      </c>
      <c r="AX96">
        <f>SUMIF(RawDataDead!$B:$B,$A96,RawDataDead!BA:BA)</f>
        <v>0</v>
      </c>
      <c r="AY96">
        <f>SUMIF(RawDataDead!$B:$B,$A96,RawDataDead!BB:BB)</f>
        <v>0</v>
      </c>
      <c r="AZ96">
        <f>SUMIF(RawDataDead!$B:$B,$A96,RawDataDead!BC:BC)</f>
        <v>0</v>
      </c>
      <c r="BA96">
        <f>SUMIF(RawDataDead!$B:$B,$A96,RawDataDead!BD:BD)</f>
        <v>0</v>
      </c>
      <c r="BB96">
        <f>SUMIF(RawDataDead!$B:$B,$A96,RawDataDead!BE:BE)</f>
        <v>0</v>
      </c>
      <c r="BC96">
        <f>SUMIF(RawDataDead!$B:$B,$A96,RawDataDead!BF:BF)</f>
        <v>0</v>
      </c>
      <c r="BD96">
        <f>SUMIF(RawDataDead!$B:$B,$A96,RawDataDead!BG:BG)</f>
        <v>0</v>
      </c>
      <c r="BE96">
        <f>SUMIF(RawDataDead!$B:$B,$A96,RawDataDead!BH:BH)</f>
        <v>1</v>
      </c>
      <c r="BF96">
        <f>SUMIF(RawDataDead!$B:$B,$A96,RawDataDead!BI:BI)</f>
        <v>0</v>
      </c>
      <c r="BG96">
        <f>SUMIF(RawDataDead!$B:$B,$A96,RawDataDead!BJ:BJ)</f>
        <v>0</v>
      </c>
      <c r="BH96">
        <f>SUMIF(RawDataDead!$B:$B,$A96,RawDataDead!BK:BK)</f>
        <v>0</v>
      </c>
      <c r="BI96">
        <f>SUMIF(RawDataDead!$B:$B,$A96,RawDataDead!BL:BL)</f>
        <v>0</v>
      </c>
      <c r="BJ96">
        <f>SUMIF(RawDataDead!$B:$B,$A96,RawDataDead!BM:BM)</f>
        <v>0</v>
      </c>
      <c r="BK96">
        <f>SUMIF(RawDataDead!$B:$B,$A96,RawDataDead!BN:BN)</f>
        <v>0</v>
      </c>
      <c r="BL96">
        <f>SUMIF(RawDataDead!$B:$B,$A96,RawDataDead!BO:BO)</f>
        <v>0</v>
      </c>
      <c r="BM96">
        <f>SUMIF(RawDataDead!$B:$B,$A96,RawDataDead!BP:BP)</f>
        <v>0</v>
      </c>
      <c r="BN96">
        <f>SUMIF(RawDataDead!$B:$B,$A96,RawDataDead!BQ:BQ)</f>
        <v>0</v>
      </c>
      <c r="BO96">
        <f>SUMIF(RawDataDead!$B:$B,$A96,RawDataDead!BR:BR)</f>
        <v>0</v>
      </c>
      <c r="BP96">
        <f>SUMIF(RawDataDead!$B:$B,$A96,RawDataDead!BS:BS)</f>
        <v>0</v>
      </c>
      <c r="BQ96">
        <f>SUMIF(RawDataDead!$B:$B,$A96,RawDataDead!BT:BT)</f>
        <v>0</v>
      </c>
      <c r="BR96">
        <f>SUMIF(RawDataDead!$B:$B,$A96,RawDataDead!BU:BU)</f>
        <v>0</v>
      </c>
      <c r="BS96">
        <f>SUMIF(RawDataDead!$B:$B,$A96,RawDataDead!BV:BV)</f>
        <v>0</v>
      </c>
      <c r="BT96">
        <f>SUMIF(RawDataDead!$B:$B,$A96,RawDataDead!BW:BW)</f>
        <v>0</v>
      </c>
    </row>
    <row r="97" spans="1:72" ht="15" thickBot="1" x14ac:dyDescent="0.35">
      <c r="A97" s="4" t="s">
        <v>438</v>
      </c>
      <c r="B97">
        <f>SUMIF(RawDataDead!$B:$B,$A97,RawDataDead!E:E)</f>
        <v>0</v>
      </c>
      <c r="C97">
        <f>SUMIF(RawDataDead!$B:$B,$A97,RawDataDead!F:F)</f>
        <v>0</v>
      </c>
      <c r="D97">
        <f>SUMIF(RawDataDead!$B:$B,$A97,RawDataDead!G:G)</f>
        <v>0</v>
      </c>
      <c r="E97">
        <f>SUMIF(RawDataDead!$B:$B,$A97,RawDataDead!H:H)</f>
        <v>0</v>
      </c>
      <c r="F97">
        <f>SUMIF(RawDataDead!$B:$B,$A97,RawDataDead!I:I)</f>
        <v>0</v>
      </c>
      <c r="G97">
        <f>SUMIF(RawDataDead!$B:$B,$A97,RawDataDead!J:J)</f>
        <v>0</v>
      </c>
      <c r="H97">
        <f>SUMIF(RawDataDead!$B:$B,$A97,RawDataDead!K:K)</f>
        <v>0</v>
      </c>
      <c r="I97">
        <f>SUMIF(RawDataDead!$B:$B,$A97,RawDataDead!L:L)</f>
        <v>0</v>
      </c>
      <c r="J97">
        <f>SUMIF(RawDataDead!$B:$B,$A97,RawDataDead!M:M)</f>
        <v>0</v>
      </c>
      <c r="K97">
        <f>SUMIF(RawDataDead!$B:$B,$A97,RawDataDead!N:N)</f>
        <v>0</v>
      </c>
      <c r="L97">
        <f>SUMIF(RawDataDead!$B:$B,$A97,RawDataDead!O:O)</f>
        <v>0</v>
      </c>
      <c r="M97">
        <f>SUMIF(RawDataDead!$B:$B,$A97,RawDataDead!P:P)</f>
        <v>0</v>
      </c>
      <c r="N97">
        <f>SUMIF(RawDataDead!$B:$B,$A97,RawDataDead!Q:Q)</f>
        <v>0</v>
      </c>
      <c r="O97">
        <f>SUMIF(RawDataDead!$B:$B,$A97,RawDataDead!R:R)</f>
        <v>0</v>
      </c>
      <c r="P97">
        <f>SUMIF(RawDataDead!$B:$B,$A97,RawDataDead!S:S)</f>
        <v>0</v>
      </c>
      <c r="Q97">
        <f>SUMIF(RawDataDead!$B:$B,$A97,RawDataDead!T:T)</f>
        <v>0</v>
      </c>
      <c r="R97">
        <f>SUMIF(RawDataDead!$B:$B,$A97,RawDataDead!U:U)</f>
        <v>0</v>
      </c>
      <c r="S97">
        <f>SUMIF(RawDataDead!$B:$B,$A97,RawDataDead!V:V)</f>
        <v>0</v>
      </c>
      <c r="T97">
        <f>SUMIF(RawDataDead!$B:$B,$A97,RawDataDead!W:W)</f>
        <v>0</v>
      </c>
      <c r="U97">
        <f>SUMIF(RawDataDead!$B:$B,$A97,RawDataDead!X:X)</f>
        <v>0</v>
      </c>
      <c r="V97">
        <f>SUMIF(RawDataDead!$B:$B,$A97,RawDataDead!Y:Y)</f>
        <v>0</v>
      </c>
      <c r="W97">
        <f>SUMIF(RawDataDead!$B:$B,$A97,RawDataDead!Z:Z)</f>
        <v>0</v>
      </c>
      <c r="X97">
        <f>SUMIF(RawDataDead!$B:$B,$A97,RawDataDead!AA:AA)</f>
        <v>0</v>
      </c>
      <c r="Y97">
        <f>SUMIF(RawDataDead!$B:$B,$A97,RawDataDead!AB:AB)</f>
        <v>0</v>
      </c>
      <c r="Z97">
        <f>SUMIF(RawDataDead!$B:$B,$A97,RawDataDead!AC:AC)</f>
        <v>0</v>
      </c>
      <c r="AA97">
        <f>SUMIF(RawDataDead!$B:$B,$A97,RawDataDead!AD:AD)</f>
        <v>0</v>
      </c>
      <c r="AB97">
        <f>SUMIF(RawDataDead!$B:$B,$A97,RawDataDead!AE:AE)</f>
        <v>0</v>
      </c>
      <c r="AC97">
        <f>SUMIF(RawDataDead!$B:$B,$A97,RawDataDead!AF:AF)</f>
        <v>0</v>
      </c>
      <c r="AD97">
        <f>SUMIF(RawDataDead!$B:$B,$A97,RawDataDead!AG:AG)</f>
        <v>0</v>
      </c>
      <c r="AE97">
        <f>SUMIF(RawDataDead!$B:$B,$A97,RawDataDead!AH:AH)</f>
        <v>0</v>
      </c>
      <c r="AF97">
        <f>SUMIF(RawDataDead!$B:$B,$A97,RawDataDead!AI:AI)</f>
        <v>0</v>
      </c>
      <c r="AG97">
        <f>SUMIF(RawDataDead!$B:$B,$A97,RawDataDead!AJ:AJ)</f>
        <v>0</v>
      </c>
      <c r="AH97">
        <f>SUMIF(RawDataDead!$B:$B,$A97,RawDataDead!AK:AK)</f>
        <v>0</v>
      </c>
      <c r="AI97">
        <f>SUMIF(RawDataDead!$B:$B,$A97,RawDataDead!AL:AL)</f>
        <v>0</v>
      </c>
      <c r="AJ97">
        <f>SUMIF(RawDataDead!$B:$B,$A97,RawDataDead!AM:AM)</f>
        <v>0</v>
      </c>
      <c r="AK97">
        <f>SUMIF(RawDataDead!$B:$B,$A97,RawDataDead!AN:AN)</f>
        <v>0</v>
      </c>
      <c r="AL97">
        <f>SUMIF(RawDataDead!$B:$B,$A97,RawDataDead!AO:AO)</f>
        <v>0</v>
      </c>
      <c r="AM97">
        <f>SUMIF(RawDataDead!$B:$B,$A97,RawDataDead!AP:AP)</f>
        <v>0</v>
      </c>
      <c r="AN97">
        <f>SUMIF(RawDataDead!$B:$B,$A97,RawDataDead!AQ:AQ)</f>
        <v>0</v>
      </c>
      <c r="AO97">
        <f>SUMIF(RawDataDead!$B:$B,$A97,RawDataDead!AR:AR)</f>
        <v>0</v>
      </c>
      <c r="AP97">
        <f>SUMIF(RawDataDead!$B:$B,$A97,RawDataDead!AS:AS)</f>
        <v>0</v>
      </c>
      <c r="AQ97">
        <f>SUMIF(RawDataDead!$B:$B,$A97,RawDataDead!AT:AT)</f>
        <v>0</v>
      </c>
      <c r="AR97">
        <f>SUMIF(RawDataDead!$B:$B,$A97,RawDataDead!AU:AU)</f>
        <v>0</v>
      </c>
      <c r="AS97">
        <f>SUMIF(RawDataDead!$B:$B,$A97,RawDataDead!AV:AV)</f>
        <v>0</v>
      </c>
      <c r="AT97">
        <f>SUMIF(RawDataDead!$B:$B,$A97,RawDataDead!AW:AW)</f>
        <v>0</v>
      </c>
      <c r="AU97">
        <f>SUMIF(RawDataDead!$B:$B,$A97,RawDataDead!AX:AX)</f>
        <v>0</v>
      </c>
      <c r="AV97">
        <f>SUMIF(RawDataDead!$B:$B,$A97,RawDataDead!AY:AY)</f>
        <v>0</v>
      </c>
      <c r="AW97">
        <f>SUMIF(RawDataDead!$B:$B,$A97,RawDataDead!AZ:AZ)</f>
        <v>0</v>
      </c>
      <c r="AX97">
        <f>SUMIF(RawDataDead!$B:$B,$A97,RawDataDead!BA:BA)</f>
        <v>0</v>
      </c>
      <c r="AY97">
        <f>SUMIF(RawDataDead!$B:$B,$A97,RawDataDead!BB:BB)</f>
        <v>0</v>
      </c>
      <c r="AZ97">
        <f>SUMIF(RawDataDead!$B:$B,$A97,RawDataDead!BC:BC)</f>
        <v>0</v>
      </c>
      <c r="BA97">
        <f>SUMIF(RawDataDead!$B:$B,$A97,RawDataDead!BD:BD)</f>
        <v>0</v>
      </c>
      <c r="BB97">
        <f>SUMIF(RawDataDead!$B:$B,$A97,RawDataDead!BE:BE)</f>
        <v>0</v>
      </c>
      <c r="BC97">
        <f>SUMIF(RawDataDead!$B:$B,$A97,RawDataDead!BF:BF)</f>
        <v>0</v>
      </c>
      <c r="BD97">
        <f>SUMIF(RawDataDead!$B:$B,$A97,RawDataDead!BG:BG)</f>
        <v>0</v>
      </c>
      <c r="BE97">
        <f>SUMIF(RawDataDead!$B:$B,$A97,RawDataDead!BH:BH)</f>
        <v>0</v>
      </c>
      <c r="BF97">
        <f>SUMIF(RawDataDead!$B:$B,$A97,RawDataDead!BI:BI)</f>
        <v>0</v>
      </c>
      <c r="BG97">
        <f>SUMIF(RawDataDead!$B:$B,$A97,RawDataDead!BJ:BJ)</f>
        <v>0</v>
      </c>
      <c r="BH97">
        <f>SUMIF(RawDataDead!$B:$B,$A97,RawDataDead!BK:BK)</f>
        <v>0</v>
      </c>
      <c r="BI97">
        <f>SUMIF(RawDataDead!$B:$B,$A97,RawDataDead!BL:BL)</f>
        <v>0</v>
      </c>
      <c r="BJ97">
        <f>SUMIF(RawDataDead!$B:$B,$A97,RawDataDead!BM:BM)</f>
        <v>0</v>
      </c>
      <c r="BK97">
        <f>SUMIF(RawDataDead!$B:$B,$A97,RawDataDead!BN:BN)</f>
        <v>0</v>
      </c>
      <c r="BL97">
        <f>SUMIF(RawDataDead!$B:$B,$A97,RawDataDead!BO:BO)</f>
        <v>0</v>
      </c>
      <c r="BM97">
        <f>SUMIF(RawDataDead!$B:$B,$A97,RawDataDead!BP:BP)</f>
        <v>0</v>
      </c>
      <c r="BN97">
        <f>SUMIF(RawDataDead!$B:$B,$A97,RawDataDead!BQ:BQ)</f>
        <v>0</v>
      </c>
      <c r="BO97">
        <f>SUMIF(RawDataDead!$B:$B,$A97,RawDataDead!BR:BR)</f>
        <v>0</v>
      </c>
      <c r="BP97">
        <f>SUMIF(RawDataDead!$B:$B,$A97,RawDataDead!BS:BS)</f>
        <v>0</v>
      </c>
      <c r="BQ97">
        <f>SUMIF(RawDataDead!$B:$B,$A97,RawDataDead!BT:BT)</f>
        <v>0</v>
      </c>
      <c r="BR97">
        <f>SUMIF(RawDataDead!$B:$B,$A97,RawDataDead!BU:BU)</f>
        <v>0</v>
      </c>
      <c r="BS97">
        <f>SUMIF(RawDataDead!$B:$B,$A97,RawDataDead!BV:BV)</f>
        <v>0</v>
      </c>
      <c r="BT97">
        <f>SUMIF(RawDataDead!$B:$B,$A97,RawDataDead!BW:BW)</f>
        <v>0</v>
      </c>
    </row>
    <row r="98" spans="1:72" ht="15" thickBot="1" x14ac:dyDescent="0.35">
      <c r="A98" s="4" t="s">
        <v>441</v>
      </c>
      <c r="B98">
        <f>SUMIF(RawDataDead!$B:$B,$A98,RawDataDead!E:E)</f>
        <v>0</v>
      </c>
      <c r="C98">
        <f>SUMIF(RawDataDead!$B:$B,$A98,RawDataDead!F:F)</f>
        <v>0</v>
      </c>
      <c r="D98">
        <f>SUMIF(RawDataDead!$B:$B,$A98,RawDataDead!G:G)</f>
        <v>0</v>
      </c>
      <c r="E98">
        <f>SUMIF(RawDataDead!$B:$B,$A98,RawDataDead!H:H)</f>
        <v>0</v>
      </c>
      <c r="F98">
        <f>SUMIF(RawDataDead!$B:$B,$A98,RawDataDead!I:I)</f>
        <v>0</v>
      </c>
      <c r="G98">
        <f>SUMIF(RawDataDead!$B:$B,$A98,RawDataDead!J:J)</f>
        <v>0</v>
      </c>
      <c r="H98">
        <f>SUMIF(RawDataDead!$B:$B,$A98,RawDataDead!K:K)</f>
        <v>0</v>
      </c>
      <c r="I98">
        <f>SUMIF(RawDataDead!$B:$B,$A98,RawDataDead!L:L)</f>
        <v>0</v>
      </c>
      <c r="J98">
        <f>SUMIF(RawDataDead!$B:$B,$A98,RawDataDead!M:M)</f>
        <v>0</v>
      </c>
      <c r="K98">
        <f>SUMIF(RawDataDead!$B:$B,$A98,RawDataDead!N:N)</f>
        <v>0</v>
      </c>
      <c r="L98">
        <f>SUMIF(RawDataDead!$B:$B,$A98,RawDataDead!O:O)</f>
        <v>0</v>
      </c>
      <c r="M98">
        <f>SUMIF(RawDataDead!$B:$B,$A98,RawDataDead!P:P)</f>
        <v>0</v>
      </c>
      <c r="N98">
        <f>SUMIF(RawDataDead!$B:$B,$A98,RawDataDead!Q:Q)</f>
        <v>0</v>
      </c>
      <c r="O98">
        <f>SUMIF(RawDataDead!$B:$B,$A98,RawDataDead!R:R)</f>
        <v>0</v>
      </c>
      <c r="P98">
        <f>SUMIF(RawDataDead!$B:$B,$A98,RawDataDead!S:S)</f>
        <v>0</v>
      </c>
      <c r="Q98">
        <f>SUMIF(RawDataDead!$B:$B,$A98,RawDataDead!T:T)</f>
        <v>0</v>
      </c>
      <c r="R98">
        <f>SUMIF(RawDataDead!$B:$B,$A98,RawDataDead!U:U)</f>
        <v>0</v>
      </c>
      <c r="S98">
        <f>SUMIF(RawDataDead!$B:$B,$A98,RawDataDead!V:V)</f>
        <v>0</v>
      </c>
      <c r="T98">
        <f>SUMIF(RawDataDead!$B:$B,$A98,RawDataDead!W:W)</f>
        <v>0</v>
      </c>
      <c r="U98">
        <f>SUMIF(RawDataDead!$B:$B,$A98,RawDataDead!X:X)</f>
        <v>0</v>
      </c>
      <c r="V98">
        <f>SUMIF(RawDataDead!$B:$B,$A98,RawDataDead!Y:Y)</f>
        <v>0</v>
      </c>
      <c r="W98">
        <f>SUMIF(RawDataDead!$B:$B,$A98,RawDataDead!Z:Z)</f>
        <v>0</v>
      </c>
      <c r="X98">
        <f>SUMIF(RawDataDead!$B:$B,$A98,RawDataDead!AA:AA)</f>
        <v>0</v>
      </c>
      <c r="Y98">
        <f>SUMIF(RawDataDead!$B:$B,$A98,RawDataDead!AB:AB)</f>
        <v>0</v>
      </c>
      <c r="Z98">
        <f>SUMIF(RawDataDead!$B:$B,$A98,RawDataDead!AC:AC)</f>
        <v>0</v>
      </c>
      <c r="AA98">
        <f>SUMIF(RawDataDead!$B:$B,$A98,RawDataDead!AD:AD)</f>
        <v>0</v>
      </c>
      <c r="AB98">
        <f>SUMIF(RawDataDead!$B:$B,$A98,RawDataDead!AE:AE)</f>
        <v>0</v>
      </c>
      <c r="AC98">
        <f>SUMIF(RawDataDead!$B:$B,$A98,RawDataDead!AF:AF)</f>
        <v>0</v>
      </c>
      <c r="AD98">
        <f>SUMIF(RawDataDead!$B:$B,$A98,RawDataDead!AG:AG)</f>
        <v>0</v>
      </c>
      <c r="AE98">
        <f>SUMIF(RawDataDead!$B:$B,$A98,RawDataDead!AH:AH)</f>
        <v>0</v>
      </c>
      <c r="AF98">
        <f>SUMIF(RawDataDead!$B:$B,$A98,RawDataDead!AI:AI)</f>
        <v>0</v>
      </c>
      <c r="AG98">
        <f>SUMIF(RawDataDead!$B:$B,$A98,RawDataDead!AJ:AJ)</f>
        <v>0</v>
      </c>
      <c r="AH98">
        <f>SUMIF(RawDataDead!$B:$B,$A98,RawDataDead!AK:AK)</f>
        <v>0</v>
      </c>
      <c r="AI98">
        <f>SUMIF(RawDataDead!$B:$B,$A98,RawDataDead!AL:AL)</f>
        <v>0</v>
      </c>
      <c r="AJ98">
        <f>SUMIF(RawDataDead!$B:$B,$A98,RawDataDead!AM:AM)</f>
        <v>0</v>
      </c>
      <c r="AK98">
        <f>SUMIF(RawDataDead!$B:$B,$A98,RawDataDead!AN:AN)</f>
        <v>0</v>
      </c>
      <c r="AL98">
        <f>SUMIF(RawDataDead!$B:$B,$A98,RawDataDead!AO:AO)</f>
        <v>0</v>
      </c>
      <c r="AM98">
        <f>SUMIF(RawDataDead!$B:$B,$A98,RawDataDead!AP:AP)</f>
        <v>0</v>
      </c>
      <c r="AN98">
        <f>SUMIF(RawDataDead!$B:$B,$A98,RawDataDead!AQ:AQ)</f>
        <v>0</v>
      </c>
      <c r="AO98">
        <f>SUMIF(RawDataDead!$B:$B,$A98,RawDataDead!AR:AR)</f>
        <v>0</v>
      </c>
      <c r="AP98">
        <f>SUMIF(RawDataDead!$B:$B,$A98,RawDataDead!AS:AS)</f>
        <v>0</v>
      </c>
      <c r="AQ98">
        <f>SUMIF(RawDataDead!$B:$B,$A98,RawDataDead!AT:AT)</f>
        <v>0</v>
      </c>
      <c r="AR98">
        <f>SUMIF(RawDataDead!$B:$B,$A98,RawDataDead!AU:AU)</f>
        <v>0</v>
      </c>
      <c r="AS98">
        <f>SUMIF(RawDataDead!$B:$B,$A98,RawDataDead!AV:AV)</f>
        <v>0</v>
      </c>
      <c r="AT98">
        <f>SUMIF(RawDataDead!$B:$B,$A98,RawDataDead!AW:AW)</f>
        <v>0</v>
      </c>
      <c r="AU98">
        <f>SUMIF(RawDataDead!$B:$B,$A98,RawDataDead!AX:AX)</f>
        <v>0</v>
      </c>
      <c r="AV98">
        <f>SUMIF(RawDataDead!$B:$B,$A98,RawDataDead!AY:AY)</f>
        <v>0</v>
      </c>
      <c r="AW98">
        <f>SUMIF(RawDataDead!$B:$B,$A98,RawDataDead!AZ:AZ)</f>
        <v>0</v>
      </c>
      <c r="AX98">
        <f>SUMIF(RawDataDead!$B:$B,$A98,RawDataDead!BA:BA)</f>
        <v>0</v>
      </c>
      <c r="AY98">
        <f>SUMIF(RawDataDead!$B:$B,$A98,RawDataDead!BB:BB)</f>
        <v>0</v>
      </c>
      <c r="AZ98">
        <f>SUMIF(RawDataDead!$B:$B,$A98,RawDataDead!BC:BC)</f>
        <v>0</v>
      </c>
      <c r="BA98">
        <f>SUMIF(RawDataDead!$B:$B,$A98,RawDataDead!BD:BD)</f>
        <v>0</v>
      </c>
      <c r="BB98">
        <f>SUMIF(RawDataDead!$B:$B,$A98,RawDataDead!BE:BE)</f>
        <v>0</v>
      </c>
      <c r="BC98">
        <f>SUMIF(RawDataDead!$B:$B,$A98,RawDataDead!BF:BF)</f>
        <v>0</v>
      </c>
      <c r="BD98">
        <f>SUMIF(RawDataDead!$B:$B,$A98,RawDataDead!BG:BG)</f>
        <v>0</v>
      </c>
      <c r="BE98">
        <f>SUMIF(RawDataDead!$B:$B,$A98,RawDataDead!BH:BH)</f>
        <v>0</v>
      </c>
      <c r="BF98">
        <f>SUMIF(RawDataDead!$B:$B,$A98,RawDataDead!BI:BI)</f>
        <v>0</v>
      </c>
      <c r="BG98">
        <f>SUMIF(RawDataDead!$B:$B,$A98,RawDataDead!BJ:BJ)</f>
        <v>0</v>
      </c>
      <c r="BH98">
        <f>SUMIF(RawDataDead!$B:$B,$A98,RawDataDead!BK:BK)</f>
        <v>0</v>
      </c>
      <c r="BI98">
        <f>SUMIF(RawDataDead!$B:$B,$A98,RawDataDead!BL:BL)</f>
        <v>0</v>
      </c>
      <c r="BJ98">
        <f>SUMIF(RawDataDead!$B:$B,$A98,RawDataDead!BM:BM)</f>
        <v>0</v>
      </c>
      <c r="BK98">
        <f>SUMIF(RawDataDead!$B:$B,$A98,RawDataDead!BN:BN)</f>
        <v>0</v>
      </c>
      <c r="BL98">
        <f>SUMIF(RawDataDead!$B:$B,$A98,RawDataDead!BO:BO)</f>
        <v>0</v>
      </c>
      <c r="BM98">
        <f>SUMIF(RawDataDead!$B:$B,$A98,RawDataDead!BP:BP)</f>
        <v>0</v>
      </c>
      <c r="BN98">
        <f>SUMIF(RawDataDead!$B:$B,$A98,RawDataDead!BQ:BQ)</f>
        <v>0</v>
      </c>
      <c r="BO98">
        <f>SUMIF(RawDataDead!$B:$B,$A98,RawDataDead!BR:BR)</f>
        <v>0</v>
      </c>
      <c r="BP98">
        <f>SUMIF(RawDataDead!$B:$B,$A98,RawDataDead!BS:BS)</f>
        <v>0</v>
      </c>
      <c r="BQ98">
        <f>SUMIF(RawDataDead!$B:$B,$A98,RawDataDead!BT:BT)</f>
        <v>0</v>
      </c>
      <c r="BR98">
        <f>SUMIF(RawDataDead!$B:$B,$A98,RawDataDead!BU:BU)</f>
        <v>0</v>
      </c>
      <c r="BS98">
        <f>SUMIF(RawDataDead!$B:$B,$A98,RawDataDead!BV:BV)</f>
        <v>0</v>
      </c>
      <c r="BT98">
        <f>SUMIF(RawDataDead!$B:$B,$A98,RawDataDead!BW:BW)</f>
        <v>0</v>
      </c>
    </row>
    <row r="99" spans="1:72" ht="15" thickBot="1" x14ac:dyDescent="0.35">
      <c r="A99" s="3" t="s">
        <v>229</v>
      </c>
      <c r="B99">
        <f>SUMIF(RawDataDead!$B:$B,$A99,RawDataDead!E:E)</f>
        <v>0</v>
      </c>
      <c r="C99">
        <f>SUMIF(RawDataDead!$B:$B,$A99,RawDataDead!F:F)</f>
        <v>0</v>
      </c>
      <c r="D99">
        <f>SUMIF(RawDataDead!$B:$B,$A99,RawDataDead!G:G)</f>
        <v>0</v>
      </c>
      <c r="E99">
        <f>SUMIF(RawDataDead!$B:$B,$A99,RawDataDead!H:H)</f>
        <v>0</v>
      </c>
      <c r="F99">
        <f>SUMIF(RawDataDead!$B:$B,$A99,RawDataDead!I:I)</f>
        <v>0</v>
      </c>
      <c r="G99">
        <f>SUMIF(RawDataDead!$B:$B,$A99,RawDataDead!J:J)</f>
        <v>0</v>
      </c>
      <c r="H99">
        <f>SUMIF(RawDataDead!$B:$B,$A99,RawDataDead!K:K)</f>
        <v>0</v>
      </c>
      <c r="I99">
        <f>SUMIF(RawDataDead!$B:$B,$A99,RawDataDead!L:L)</f>
        <v>0</v>
      </c>
      <c r="J99">
        <f>SUMIF(RawDataDead!$B:$B,$A99,RawDataDead!M:M)</f>
        <v>0</v>
      </c>
      <c r="K99">
        <f>SUMIF(RawDataDead!$B:$B,$A99,RawDataDead!N:N)</f>
        <v>0</v>
      </c>
      <c r="L99">
        <f>SUMIF(RawDataDead!$B:$B,$A99,RawDataDead!O:O)</f>
        <v>0</v>
      </c>
      <c r="M99">
        <f>SUMIF(RawDataDead!$B:$B,$A99,RawDataDead!P:P)</f>
        <v>0</v>
      </c>
      <c r="N99">
        <f>SUMIF(RawDataDead!$B:$B,$A99,RawDataDead!Q:Q)</f>
        <v>0</v>
      </c>
      <c r="O99">
        <f>SUMIF(RawDataDead!$B:$B,$A99,RawDataDead!R:R)</f>
        <v>0</v>
      </c>
      <c r="P99">
        <f>SUMIF(RawDataDead!$B:$B,$A99,RawDataDead!S:S)</f>
        <v>0</v>
      </c>
      <c r="Q99">
        <f>SUMIF(RawDataDead!$B:$B,$A99,RawDataDead!T:T)</f>
        <v>0</v>
      </c>
      <c r="R99">
        <f>SUMIF(RawDataDead!$B:$B,$A99,RawDataDead!U:U)</f>
        <v>0</v>
      </c>
      <c r="S99">
        <f>SUMIF(RawDataDead!$B:$B,$A99,RawDataDead!V:V)</f>
        <v>0</v>
      </c>
      <c r="T99">
        <f>SUMIF(RawDataDead!$B:$B,$A99,RawDataDead!W:W)</f>
        <v>0</v>
      </c>
      <c r="U99">
        <f>SUMIF(RawDataDead!$B:$B,$A99,RawDataDead!X:X)</f>
        <v>0</v>
      </c>
      <c r="V99">
        <f>SUMIF(RawDataDead!$B:$B,$A99,RawDataDead!Y:Y)</f>
        <v>0</v>
      </c>
      <c r="W99">
        <f>SUMIF(RawDataDead!$B:$B,$A99,RawDataDead!Z:Z)</f>
        <v>0</v>
      </c>
      <c r="X99">
        <f>SUMIF(RawDataDead!$B:$B,$A99,RawDataDead!AA:AA)</f>
        <v>0</v>
      </c>
      <c r="Y99">
        <f>SUMIF(RawDataDead!$B:$B,$A99,RawDataDead!AB:AB)</f>
        <v>0</v>
      </c>
      <c r="Z99">
        <f>SUMIF(RawDataDead!$B:$B,$A99,RawDataDead!AC:AC)</f>
        <v>0</v>
      </c>
      <c r="AA99">
        <f>SUMIF(RawDataDead!$B:$B,$A99,RawDataDead!AD:AD)</f>
        <v>0</v>
      </c>
      <c r="AB99">
        <f>SUMIF(RawDataDead!$B:$B,$A99,RawDataDead!AE:AE)</f>
        <v>0</v>
      </c>
      <c r="AC99">
        <f>SUMIF(RawDataDead!$B:$B,$A99,RawDataDead!AF:AF)</f>
        <v>0</v>
      </c>
      <c r="AD99">
        <f>SUMIF(RawDataDead!$B:$B,$A99,RawDataDead!AG:AG)</f>
        <v>0</v>
      </c>
      <c r="AE99">
        <f>SUMIF(RawDataDead!$B:$B,$A99,RawDataDead!AH:AH)</f>
        <v>0</v>
      </c>
      <c r="AF99">
        <f>SUMIF(RawDataDead!$B:$B,$A99,RawDataDead!AI:AI)</f>
        <v>0</v>
      </c>
      <c r="AG99">
        <f>SUMIF(RawDataDead!$B:$B,$A99,RawDataDead!AJ:AJ)</f>
        <v>0</v>
      </c>
      <c r="AH99">
        <f>SUMIF(RawDataDead!$B:$B,$A99,RawDataDead!AK:AK)</f>
        <v>0</v>
      </c>
      <c r="AI99">
        <f>SUMIF(RawDataDead!$B:$B,$A99,RawDataDead!AL:AL)</f>
        <v>0</v>
      </c>
      <c r="AJ99">
        <f>SUMIF(RawDataDead!$B:$B,$A99,RawDataDead!AM:AM)</f>
        <v>0</v>
      </c>
      <c r="AK99">
        <f>SUMIF(RawDataDead!$B:$B,$A99,RawDataDead!AN:AN)</f>
        <v>0</v>
      </c>
      <c r="AL99">
        <f>SUMIF(RawDataDead!$B:$B,$A99,RawDataDead!AO:AO)</f>
        <v>0</v>
      </c>
      <c r="AM99">
        <f>SUMIF(RawDataDead!$B:$B,$A99,RawDataDead!AP:AP)</f>
        <v>0</v>
      </c>
      <c r="AN99">
        <f>SUMIF(RawDataDead!$B:$B,$A99,RawDataDead!AQ:AQ)</f>
        <v>0</v>
      </c>
      <c r="AO99">
        <f>SUMIF(RawDataDead!$B:$B,$A99,RawDataDead!AR:AR)</f>
        <v>0</v>
      </c>
      <c r="AP99">
        <f>SUMIF(RawDataDead!$B:$B,$A99,RawDataDead!AS:AS)</f>
        <v>0</v>
      </c>
      <c r="AQ99">
        <f>SUMIF(RawDataDead!$B:$B,$A99,RawDataDead!AT:AT)</f>
        <v>0</v>
      </c>
      <c r="AR99">
        <f>SUMIF(RawDataDead!$B:$B,$A99,RawDataDead!AU:AU)</f>
        <v>0</v>
      </c>
      <c r="AS99">
        <f>SUMIF(RawDataDead!$B:$B,$A99,RawDataDead!AV:AV)</f>
        <v>0</v>
      </c>
      <c r="AT99">
        <f>SUMIF(RawDataDead!$B:$B,$A99,RawDataDead!AW:AW)</f>
        <v>0</v>
      </c>
      <c r="AU99">
        <f>SUMIF(RawDataDead!$B:$B,$A99,RawDataDead!AX:AX)</f>
        <v>0</v>
      </c>
      <c r="AV99">
        <f>SUMIF(RawDataDead!$B:$B,$A99,RawDataDead!AY:AY)</f>
        <v>0</v>
      </c>
      <c r="AW99">
        <f>SUMIF(RawDataDead!$B:$B,$A99,RawDataDead!AZ:AZ)</f>
        <v>0</v>
      </c>
      <c r="AX99">
        <f>SUMIF(RawDataDead!$B:$B,$A99,RawDataDead!BA:BA)</f>
        <v>0</v>
      </c>
      <c r="AY99">
        <f>SUMIF(RawDataDead!$B:$B,$A99,RawDataDead!BB:BB)</f>
        <v>0</v>
      </c>
      <c r="AZ99">
        <f>SUMIF(RawDataDead!$B:$B,$A99,RawDataDead!BC:BC)</f>
        <v>0</v>
      </c>
      <c r="BA99">
        <f>SUMIF(RawDataDead!$B:$B,$A99,RawDataDead!BD:BD)</f>
        <v>0</v>
      </c>
      <c r="BB99">
        <f>SUMIF(RawDataDead!$B:$B,$A99,RawDataDead!BE:BE)</f>
        <v>0</v>
      </c>
      <c r="BC99">
        <f>SUMIF(RawDataDead!$B:$B,$A99,RawDataDead!BF:BF)</f>
        <v>0</v>
      </c>
      <c r="BD99">
        <f>SUMIF(RawDataDead!$B:$B,$A99,RawDataDead!BG:BG)</f>
        <v>0</v>
      </c>
      <c r="BE99">
        <f>SUMIF(RawDataDead!$B:$B,$A99,RawDataDead!BH:BH)</f>
        <v>0</v>
      </c>
      <c r="BF99">
        <f>SUMIF(RawDataDead!$B:$B,$A99,RawDataDead!BI:BI)</f>
        <v>0</v>
      </c>
      <c r="BG99">
        <f>SUMIF(RawDataDead!$B:$B,$A99,RawDataDead!BJ:BJ)</f>
        <v>0</v>
      </c>
      <c r="BH99">
        <f>SUMIF(RawDataDead!$B:$B,$A99,RawDataDead!BK:BK)</f>
        <v>0</v>
      </c>
      <c r="BI99">
        <f>SUMIF(RawDataDead!$B:$B,$A99,RawDataDead!BL:BL)</f>
        <v>0</v>
      </c>
      <c r="BJ99">
        <f>SUMIF(RawDataDead!$B:$B,$A99,RawDataDead!BM:BM)</f>
        <v>0</v>
      </c>
      <c r="BK99">
        <f>SUMIF(RawDataDead!$B:$B,$A99,RawDataDead!BN:BN)</f>
        <v>0</v>
      </c>
      <c r="BL99">
        <f>SUMIF(RawDataDead!$B:$B,$A99,RawDataDead!BO:BO)</f>
        <v>0</v>
      </c>
      <c r="BM99">
        <f>SUMIF(RawDataDead!$B:$B,$A99,RawDataDead!BP:BP)</f>
        <v>0</v>
      </c>
      <c r="BN99">
        <f>SUMIF(RawDataDead!$B:$B,$A99,RawDataDead!BQ:BQ)</f>
        <v>0</v>
      </c>
      <c r="BO99">
        <f>SUMIF(RawDataDead!$B:$B,$A99,RawDataDead!BR:BR)</f>
        <v>0</v>
      </c>
      <c r="BP99">
        <f>SUMIF(RawDataDead!$B:$B,$A99,RawDataDead!BS:BS)</f>
        <v>0</v>
      </c>
      <c r="BQ99">
        <f>SUMIF(RawDataDead!$B:$B,$A99,RawDataDead!BT:BT)</f>
        <v>0</v>
      </c>
      <c r="BR99">
        <f>SUMIF(RawDataDead!$B:$B,$A99,RawDataDead!BU:BU)</f>
        <v>0</v>
      </c>
      <c r="BS99">
        <f>SUMIF(RawDataDead!$B:$B,$A99,RawDataDead!BV:BV)</f>
        <v>0</v>
      </c>
      <c r="BT99">
        <f>SUMIF(RawDataDead!$B:$B,$A99,RawDataDead!BW:BW)</f>
        <v>0</v>
      </c>
    </row>
    <row r="100" spans="1:72" ht="15" thickBot="1" x14ac:dyDescent="0.35">
      <c r="A100" s="3" t="s">
        <v>374</v>
      </c>
      <c r="B100">
        <f>SUMIF(RawDataDead!$B:$B,$A100,RawDataDead!E:E)</f>
        <v>0</v>
      </c>
      <c r="C100">
        <f>SUMIF(RawDataDead!$B:$B,$A100,RawDataDead!F:F)</f>
        <v>0</v>
      </c>
      <c r="D100">
        <f>SUMIF(RawDataDead!$B:$B,$A100,RawDataDead!G:G)</f>
        <v>0</v>
      </c>
      <c r="E100">
        <f>SUMIF(RawDataDead!$B:$B,$A100,RawDataDead!H:H)</f>
        <v>0</v>
      </c>
      <c r="F100">
        <f>SUMIF(RawDataDead!$B:$B,$A100,RawDataDead!I:I)</f>
        <v>0</v>
      </c>
      <c r="G100">
        <f>SUMIF(RawDataDead!$B:$B,$A100,RawDataDead!J:J)</f>
        <v>0</v>
      </c>
      <c r="H100">
        <f>SUMIF(RawDataDead!$B:$B,$A100,RawDataDead!K:K)</f>
        <v>0</v>
      </c>
      <c r="I100">
        <f>SUMIF(RawDataDead!$B:$B,$A100,RawDataDead!L:L)</f>
        <v>0</v>
      </c>
      <c r="J100">
        <f>SUMIF(RawDataDead!$B:$B,$A100,RawDataDead!M:M)</f>
        <v>0</v>
      </c>
      <c r="K100">
        <f>SUMIF(RawDataDead!$B:$B,$A100,RawDataDead!N:N)</f>
        <v>0</v>
      </c>
      <c r="L100">
        <f>SUMIF(RawDataDead!$B:$B,$A100,RawDataDead!O:O)</f>
        <v>0</v>
      </c>
      <c r="M100">
        <f>SUMIF(RawDataDead!$B:$B,$A100,RawDataDead!P:P)</f>
        <v>0</v>
      </c>
      <c r="N100">
        <f>SUMIF(RawDataDead!$B:$B,$A100,RawDataDead!Q:Q)</f>
        <v>0</v>
      </c>
      <c r="O100">
        <f>SUMIF(RawDataDead!$B:$B,$A100,RawDataDead!R:R)</f>
        <v>0</v>
      </c>
      <c r="P100">
        <f>SUMIF(RawDataDead!$B:$B,$A100,RawDataDead!S:S)</f>
        <v>0</v>
      </c>
      <c r="Q100">
        <f>SUMIF(RawDataDead!$B:$B,$A100,RawDataDead!T:T)</f>
        <v>0</v>
      </c>
      <c r="R100">
        <f>SUMIF(RawDataDead!$B:$B,$A100,RawDataDead!U:U)</f>
        <v>0</v>
      </c>
      <c r="S100">
        <f>SUMIF(RawDataDead!$B:$B,$A100,RawDataDead!V:V)</f>
        <v>0</v>
      </c>
      <c r="T100">
        <f>SUMIF(RawDataDead!$B:$B,$A100,RawDataDead!W:W)</f>
        <v>0</v>
      </c>
      <c r="U100">
        <f>SUMIF(RawDataDead!$B:$B,$A100,RawDataDead!X:X)</f>
        <v>0</v>
      </c>
      <c r="V100">
        <f>SUMIF(RawDataDead!$B:$B,$A100,RawDataDead!Y:Y)</f>
        <v>0</v>
      </c>
      <c r="W100">
        <f>SUMIF(RawDataDead!$B:$B,$A100,RawDataDead!Z:Z)</f>
        <v>0</v>
      </c>
      <c r="X100">
        <f>SUMIF(RawDataDead!$B:$B,$A100,RawDataDead!AA:AA)</f>
        <v>0</v>
      </c>
      <c r="Y100">
        <f>SUMIF(RawDataDead!$B:$B,$A100,RawDataDead!AB:AB)</f>
        <v>0</v>
      </c>
      <c r="Z100">
        <f>SUMIF(RawDataDead!$B:$B,$A100,RawDataDead!AC:AC)</f>
        <v>0</v>
      </c>
      <c r="AA100">
        <f>SUMIF(RawDataDead!$B:$B,$A100,RawDataDead!AD:AD)</f>
        <v>0</v>
      </c>
      <c r="AB100">
        <f>SUMIF(RawDataDead!$B:$B,$A100,RawDataDead!AE:AE)</f>
        <v>0</v>
      </c>
      <c r="AC100">
        <f>SUMIF(RawDataDead!$B:$B,$A100,RawDataDead!AF:AF)</f>
        <v>0</v>
      </c>
      <c r="AD100">
        <f>SUMIF(RawDataDead!$B:$B,$A100,RawDataDead!AG:AG)</f>
        <v>0</v>
      </c>
      <c r="AE100">
        <f>SUMIF(RawDataDead!$B:$B,$A100,RawDataDead!AH:AH)</f>
        <v>0</v>
      </c>
      <c r="AF100">
        <f>SUMIF(RawDataDead!$B:$B,$A100,RawDataDead!AI:AI)</f>
        <v>0</v>
      </c>
      <c r="AG100">
        <f>SUMIF(RawDataDead!$B:$B,$A100,RawDataDead!AJ:AJ)</f>
        <v>0</v>
      </c>
      <c r="AH100">
        <f>SUMIF(RawDataDead!$B:$B,$A100,RawDataDead!AK:AK)</f>
        <v>0</v>
      </c>
      <c r="AI100">
        <f>SUMIF(RawDataDead!$B:$B,$A100,RawDataDead!AL:AL)</f>
        <v>0</v>
      </c>
      <c r="AJ100">
        <f>SUMIF(RawDataDead!$B:$B,$A100,RawDataDead!AM:AM)</f>
        <v>0</v>
      </c>
      <c r="AK100">
        <f>SUMIF(RawDataDead!$B:$B,$A100,RawDataDead!AN:AN)</f>
        <v>0</v>
      </c>
      <c r="AL100">
        <f>SUMIF(RawDataDead!$B:$B,$A100,RawDataDead!AO:AO)</f>
        <v>0</v>
      </c>
      <c r="AM100">
        <f>SUMIF(RawDataDead!$B:$B,$A100,RawDataDead!AP:AP)</f>
        <v>0</v>
      </c>
      <c r="AN100">
        <f>SUMIF(RawDataDead!$B:$B,$A100,RawDataDead!AQ:AQ)</f>
        <v>0</v>
      </c>
      <c r="AO100">
        <f>SUMIF(RawDataDead!$B:$B,$A100,RawDataDead!AR:AR)</f>
        <v>0</v>
      </c>
      <c r="AP100">
        <f>SUMIF(RawDataDead!$B:$B,$A100,RawDataDead!AS:AS)</f>
        <v>0</v>
      </c>
      <c r="AQ100">
        <f>SUMIF(RawDataDead!$B:$B,$A100,RawDataDead!AT:AT)</f>
        <v>0</v>
      </c>
      <c r="AR100">
        <f>SUMIF(RawDataDead!$B:$B,$A100,RawDataDead!AU:AU)</f>
        <v>0</v>
      </c>
      <c r="AS100">
        <f>SUMIF(RawDataDead!$B:$B,$A100,RawDataDead!AV:AV)</f>
        <v>0</v>
      </c>
      <c r="AT100">
        <f>SUMIF(RawDataDead!$B:$B,$A100,RawDataDead!AW:AW)</f>
        <v>0</v>
      </c>
      <c r="AU100">
        <f>SUMIF(RawDataDead!$B:$B,$A100,RawDataDead!AX:AX)</f>
        <v>0</v>
      </c>
      <c r="AV100">
        <f>SUMIF(RawDataDead!$B:$B,$A100,RawDataDead!AY:AY)</f>
        <v>0</v>
      </c>
      <c r="AW100">
        <f>SUMIF(RawDataDead!$B:$B,$A100,RawDataDead!AZ:AZ)</f>
        <v>0</v>
      </c>
      <c r="AX100">
        <f>SUMIF(RawDataDead!$B:$B,$A100,RawDataDead!BA:BA)</f>
        <v>0</v>
      </c>
      <c r="AY100">
        <f>SUMIF(RawDataDead!$B:$B,$A100,RawDataDead!BB:BB)</f>
        <v>0</v>
      </c>
      <c r="AZ100">
        <f>SUMIF(RawDataDead!$B:$B,$A100,RawDataDead!BC:BC)</f>
        <v>0</v>
      </c>
      <c r="BA100">
        <f>SUMIF(RawDataDead!$B:$B,$A100,RawDataDead!BD:BD)</f>
        <v>0</v>
      </c>
      <c r="BB100">
        <f>SUMIF(RawDataDead!$B:$B,$A100,RawDataDead!BE:BE)</f>
        <v>0</v>
      </c>
      <c r="BC100">
        <f>SUMIF(RawDataDead!$B:$B,$A100,RawDataDead!BF:BF)</f>
        <v>0</v>
      </c>
      <c r="BD100">
        <f>SUMIF(RawDataDead!$B:$B,$A100,RawDataDead!BG:BG)</f>
        <v>0</v>
      </c>
      <c r="BE100">
        <f>SUMIF(RawDataDead!$B:$B,$A100,RawDataDead!BH:BH)</f>
        <v>0</v>
      </c>
      <c r="BF100">
        <f>SUMIF(RawDataDead!$B:$B,$A100,RawDataDead!BI:BI)</f>
        <v>0</v>
      </c>
      <c r="BG100">
        <f>SUMIF(RawDataDead!$B:$B,$A100,RawDataDead!BJ:BJ)</f>
        <v>0</v>
      </c>
      <c r="BH100">
        <f>SUMIF(RawDataDead!$B:$B,$A100,RawDataDead!BK:BK)</f>
        <v>0</v>
      </c>
      <c r="BI100">
        <f>SUMIF(RawDataDead!$B:$B,$A100,RawDataDead!BL:BL)</f>
        <v>0</v>
      </c>
      <c r="BJ100">
        <f>SUMIF(RawDataDead!$B:$B,$A100,RawDataDead!BM:BM)</f>
        <v>0</v>
      </c>
      <c r="BK100">
        <f>SUMIF(RawDataDead!$B:$B,$A100,RawDataDead!BN:BN)</f>
        <v>0</v>
      </c>
      <c r="BL100">
        <f>SUMIF(RawDataDead!$B:$B,$A100,RawDataDead!BO:BO)</f>
        <v>0</v>
      </c>
      <c r="BM100">
        <f>SUMIF(RawDataDead!$B:$B,$A100,RawDataDead!BP:BP)</f>
        <v>0</v>
      </c>
      <c r="BN100">
        <f>SUMIF(RawDataDead!$B:$B,$A100,RawDataDead!BQ:BQ)</f>
        <v>0</v>
      </c>
      <c r="BO100">
        <f>SUMIF(RawDataDead!$B:$B,$A100,RawDataDead!BR:BR)</f>
        <v>0</v>
      </c>
      <c r="BP100">
        <f>SUMIF(RawDataDead!$B:$B,$A100,RawDataDead!BS:BS)</f>
        <v>0</v>
      </c>
      <c r="BQ100">
        <f>SUMIF(RawDataDead!$B:$B,$A100,RawDataDead!BT:BT)</f>
        <v>0</v>
      </c>
      <c r="BR100">
        <f>SUMIF(RawDataDead!$B:$B,$A100,RawDataDead!BU:BU)</f>
        <v>0</v>
      </c>
      <c r="BS100">
        <f>SUMIF(RawDataDead!$B:$B,$A100,RawDataDead!BV:BV)</f>
        <v>0</v>
      </c>
      <c r="BT100">
        <f>SUMIF(RawDataDead!$B:$B,$A100,RawDataDead!BW:BW)</f>
        <v>0</v>
      </c>
    </row>
    <row r="101" spans="1:72" ht="15" thickBot="1" x14ac:dyDescent="0.35">
      <c r="A101" s="4" t="s">
        <v>207</v>
      </c>
      <c r="B101">
        <f>SUMIF(RawDataDead!$B:$B,$A101,RawDataDead!E:E)</f>
        <v>0</v>
      </c>
      <c r="C101">
        <f>SUMIF(RawDataDead!$B:$B,$A101,RawDataDead!F:F)</f>
        <v>0</v>
      </c>
      <c r="D101">
        <f>SUMIF(RawDataDead!$B:$B,$A101,RawDataDead!G:G)</f>
        <v>0</v>
      </c>
      <c r="E101">
        <f>SUMIF(RawDataDead!$B:$B,$A101,RawDataDead!H:H)</f>
        <v>0</v>
      </c>
      <c r="F101">
        <f>SUMIF(RawDataDead!$B:$B,$A101,RawDataDead!I:I)</f>
        <v>0</v>
      </c>
      <c r="G101">
        <f>SUMIF(RawDataDead!$B:$B,$A101,RawDataDead!J:J)</f>
        <v>0</v>
      </c>
      <c r="H101">
        <f>SUMIF(RawDataDead!$B:$B,$A101,RawDataDead!K:K)</f>
        <v>0</v>
      </c>
      <c r="I101">
        <f>SUMIF(RawDataDead!$B:$B,$A101,RawDataDead!L:L)</f>
        <v>0</v>
      </c>
      <c r="J101">
        <f>SUMIF(RawDataDead!$B:$B,$A101,RawDataDead!M:M)</f>
        <v>0</v>
      </c>
      <c r="K101">
        <f>SUMIF(RawDataDead!$B:$B,$A101,RawDataDead!N:N)</f>
        <v>0</v>
      </c>
      <c r="L101">
        <f>SUMIF(RawDataDead!$B:$B,$A101,RawDataDead!O:O)</f>
        <v>0</v>
      </c>
      <c r="M101">
        <f>SUMIF(RawDataDead!$B:$B,$A101,RawDataDead!P:P)</f>
        <v>0</v>
      </c>
      <c r="N101">
        <f>SUMIF(RawDataDead!$B:$B,$A101,RawDataDead!Q:Q)</f>
        <v>0</v>
      </c>
      <c r="O101">
        <f>SUMIF(RawDataDead!$B:$B,$A101,RawDataDead!R:R)</f>
        <v>0</v>
      </c>
      <c r="P101">
        <f>SUMIF(RawDataDead!$B:$B,$A101,RawDataDead!S:S)</f>
        <v>0</v>
      </c>
      <c r="Q101">
        <f>SUMIF(RawDataDead!$B:$B,$A101,RawDataDead!T:T)</f>
        <v>0</v>
      </c>
      <c r="R101">
        <f>SUMIF(RawDataDead!$B:$B,$A101,RawDataDead!U:U)</f>
        <v>0</v>
      </c>
      <c r="S101">
        <f>SUMIF(RawDataDead!$B:$B,$A101,RawDataDead!V:V)</f>
        <v>0</v>
      </c>
      <c r="T101">
        <f>SUMIF(RawDataDead!$B:$B,$A101,RawDataDead!W:W)</f>
        <v>0</v>
      </c>
      <c r="U101">
        <f>SUMIF(RawDataDead!$B:$B,$A101,RawDataDead!X:X)</f>
        <v>0</v>
      </c>
      <c r="V101">
        <f>SUMIF(RawDataDead!$B:$B,$A101,RawDataDead!Y:Y)</f>
        <v>0</v>
      </c>
      <c r="W101">
        <f>SUMIF(RawDataDead!$B:$B,$A101,RawDataDead!Z:Z)</f>
        <v>0</v>
      </c>
      <c r="X101">
        <f>SUMIF(RawDataDead!$B:$B,$A101,RawDataDead!AA:AA)</f>
        <v>0</v>
      </c>
      <c r="Y101">
        <f>SUMIF(RawDataDead!$B:$B,$A101,RawDataDead!AB:AB)</f>
        <v>0</v>
      </c>
      <c r="Z101">
        <f>SUMIF(RawDataDead!$B:$B,$A101,RawDataDead!AC:AC)</f>
        <v>0</v>
      </c>
      <c r="AA101">
        <f>SUMIF(RawDataDead!$B:$B,$A101,RawDataDead!AD:AD)</f>
        <v>0</v>
      </c>
      <c r="AB101">
        <f>SUMIF(RawDataDead!$B:$B,$A101,RawDataDead!AE:AE)</f>
        <v>0</v>
      </c>
      <c r="AC101">
        <f>SUMIF(RawDataDead!$B:$B,$A101,RawDataDead!AF:AF)</f>
        <v>0</v>
      </c>
      <c r="AD101">
        <f>SUMIF(RawDataDead!$B:$B,$A101,RawDataDead!AG:AG)</f>
        <v>0</v>
      </c>
      <c r="AE101">
        <f>SUMIF(RawDataDead!$B:$B,$A101,RawDataDead!AH:AH)</f>
        <v>0</v>
      </c>
      <c r="AF101">
        <f>SUMIF(RawDataDead!$B:$B,$A101,RawDataDead!AI:AI)</f>
        <v>0</v>
      </c>
      <c r="AG101">
        <f>SUMIF(RawDataDead!$B:$B,$A101,RawDataDead!AJ:AJ)</f>
        <v>0</v>
      </c>
      <c r="AH101">
        <f>SUMIF(RawDataDead!$B:$B,$A101,RawDataDead!AK:AK)</f>
        <v>0</v>
      </c>
      <c r="AI101">
        <f>SUMIF(RawDataDead!$B:$B,$A101,RawDataDead!AL:AL)</f>
        <v>0</v>
      </c>
      <c r="AJ101">
        <f>SUMIF(RawDataDead!$B:$B,$A101,RawDataDead!AM:AM)</f>
        <v>0</v>
      </c>
      <c r="AK101">
        <f>SUMIF(RawDataDead!$B:$B,$A101,RawDataDead!AN:AN)</f>
        <v>0</v>
      </c>
      <c r="AL101">
        <f>SUMIF(RawDataDead!$B:$B,$A101,RawDataDead!AO:AO)</f>
        <v>0</v>
      </c>
      <c r="AM101">
        <f>SUMIF(RawDataDead!$B:$B,$A101,RawDataDead!AP:AP)</f>
        <v>0</v>
      </c>
      <c r="AN101">
        <f>SUMIF(RawDataDead!$B:$B,$A101,RawDataDead!AQ:AQ)</f>
        <v>0</v>
      </c>
      <c r="AO101">
        <f>SUMIF(RawDataDead!$B:$B,$A101,RawDataDead!AR:AR)</f>
        <v>0</v>
      </c>
      <c r="AP101">
        <f>SUMIF(RawDataDead!$B:$B,$A101,RawDataDead!AS:AS)</f>
        <v>0</v>
      </c>
      <c r="AQ101">
        <f>SUMIF(RawDataDead!$B:$B,$A101,RawDataDead!AT:AT)</f>
        <v>0</v>
      </c>
      <c r="AR101">
        <f>SUMIF(RawDataDead!$B:$B,$A101,RawDataDead!AU:AU)</f>
        <v>0</v>
      </c>
      <c r="AS101">
        <f>SUMIF(RawDataDead!$B:$B,$A101,RawDataDead!AV:AV)</f>
        <v>0</v>
      </c>
      <c r="AT101">
        <f>SUMIF(RawDataDead!$B:$B,$A101,RawDataDead!AW:AW)</f>
        <v>0</v>
      </c>
      <c r="AU101">
        <f>SUMIF(RawDataDead!$B:$B,$A101,RawDataDead!AX:AX)</f>
        <v>0</v>
      </c>
      <c r="AV101">
        <f>SUMIF(RawDataDead!$B:$B,$A101,RawDataDead!AY:AY)</f>
        <v>0</v>
      </c>
      <c r="AW101">
        <f>SUMIF(RawDataDead!$B:$B,$A101,RawDataDead!AZ:AZ)</f>
        <v>0</v>
      </c>
      <c r="AX101">
        <f>SUMIF(RawDataDead!$B:$B,$A101,RawDataDead!BA:BA)</f>
        <v>0</v>
      </c>
      <c r="AY101">
        <f>SUMIF(RawDataDead!$B:$B,$A101,RawDataDead!BB:BB)</f>
        <v>0</v>
      </c>
      <c r="AZ101">
        <f>SUMIF(RawDataDead!$B:$B,$A101,RawDataDead!BC:BC)</f>
        <v>0</v>
      </c>
      <c r="BA101">
        <f>SUMIF(RawDataDead!$B:$B,$A101,RawDataDead!BD:BD)</f>
        <v>0</v>
      </c>
      <c r="BB101">
        <f>SUMIF(RawDataDead!$B:$B,$A101,RawDataDead!BE:BE)</f>
        <v>0</v>
      </c>
      <c r="BC101">
        <f>SUMIF(RawDataDead!$B:$B,$A101,RawDataDead!BF:BF)</f>
        <v>0</v>
      </c>
      <c r="BD101">
        <f>SUMIF(RawDataDead!$B:$B,$A101,RawDataDead!BG:BG)</f>
        <v>1</v>
      </c>
      <c r="BE101">
        <f>SUMIF(RawDataDead!$B:$B,$A101,RawDataDead!BH:BH)</f>
        <v>1</v>
      </c>
      <c r="BF101">
        <f>SUMIF(RawDataDead!$B:$B,$A101,RawDataDead!BI:BI)</f>
        <v>0</v>
      </c>
      <c r="BG101">
        <f>SUMIF(RawDataDead!$B:$B,$A101,RawDataDead!BJ:BJ)</f>
        <v>0</v>
      </c>
      <c r="BH101">
        <f>SUMIF(RawDataDead!$B:$B,$A101,RawDataDead!BK:BK)</f>
        <v>0</v>
      </c>
      <c r="BI101">
        <f>SUMIF(RawDataDead!$B:$B,$A101,RawDataDead!BL:BL)</f>
        <v>0</v>
      </c>
      <c r="BJ101">
        <f>SUMIF(RawDataDead!$B:$B,$A101,RawDataDead!BM:BM)</f>
        <v>0</v>
      </c>
      <c r="BK101">
        <f>SUMIF(RawDataDead!$B:$B,$A101,RawDataDead!BN:BN)</f>
        <v>0</v>
      </c>
      <c r="BL101">
        <f>SUMIF(RawDataDead!$B:$B,$A101,RawDataDead!BO:BO)</f>
        <v>0</v>
      </c>
      <c r="BM101">
        <f>SUMIF(RawDataDead!$B:$B,$A101,RawDataDead!BP:BP)</f>
        <v>0</v>
      </c>
      <c r="BN101">
        <f>SUMIF(RawDataDead!$B:$B,$A101,RawDataDead!BQ:BQ)</f>
        <v>0</v>
      </c>
      <c r="BO101">
        <f>SUMIF(RawDataDead!$B:$B,$A101,RawDataDead!BR:BR)</f>
        <v>0</v>
      </c>
      <c r="BP101">
        <f>SUMIF(RawDataDead!$B:$B,$A101,RawDataDead!BS:BS)</f>
        <v>0</v>
      </c>
      <c r="BQ101">
        <f>SUMIF(RawDataDead!$B:$B,$A101,RawDataDead!BT:BT)</f>
        <v>0</v>
      </c>
      <c r="BR101">
        <f>SUMIF(RawDataDead!$B:$B,$A101,RawDataDead!BU:BU)</f>
        <v>0</v>
      </c>
      <c r="BS101">
        <f>SUMIF(RawDataDead!$B:$B,$A101,RawDataDead!BV:BV)</f>
        <v>0</v>
      </c>
      <c r="BT101">
        <f>SUMIF(RawDataDead!$B:$B,$A101,RawDataDead!BW:BW)</f>
        <v>0</v>
      </c>
    </row>
    <row r="102" spans="1:72" ht="15" thickBot="1" x14ac:dyDescent="0.35">
      <c r="A102" s="3" t="s">
        <v>156</v>
      </c>
      <c r="B102">
        <f>SUMIF(RawDataDead!$B:$B,$A102,RawDataDead!E:E)</f>
        <v>0</v>
      </c>
      <c r="C102">
        <f>SUMIF(RawDataDead!$B:$B,$A102,RawDataDead!F:F)</f>
        <v>0</v>
      </c>
      <c r="D102">
        <f>SUMIF(RawDataDead!$B:$B,$A102,RawDataDead!G:G)</f>
        <v>0</v>
      </c>
      <c r="E102">
        <f>SUMIF(RawDataDead!$B:$B,$A102,RawDataDead!H:H)</f>
        <v>0</v>
      </c>
      <c r="F102">
        <f>SUMIF(RawDataDead!$B:$B,$A102,RawDataDead!I:I)</f>
        <v>0</v>
      </c>
      <c r="G102">
        <f>SUMIF(RawDataDead!$B:$B,$A102,RawDataDead!J:J)</f>
        <v>0</v>
      </c>
      <c r="H102">
        <f>SUMIF(RawDataDead!$B:$B,$A102,RawDataDead!K:K)</f>
        <v>0</v>
      </c>
      <c r="I102">
        <f>SUMIF(RawDataDead!$B:$B,$A102,RawDataDead!L:L)</f>
        <v>0</v>
      </c>
      <c r="J102">
        <f>SUMIF(RawDataDead!$B:$B,$A102,RawDataDead!M:M)</f>
        <v>0</v>
      </c>
      <c r="K102">
        <f>SUMIF(RawDataDead!$B:$B,$A102,RawDataDead!N:N)</f>
        <v>0</v>
      </c>
      <c r="L102">
        <f>SUMIF(RawDataDead!$B:$B,$A102,RawDataDead!O:O)</f>
        <v>0</v>
      </c>
      <c r="M102">
        <f>SUMIF(RawDataDead!$B:$B,$A102,RawDataDead!P:P)</f>
        <v>0</v>
      </c>
      <c r="N102">
        <f>SUMIF(RawDataDead!$B:$B,$A102,RawDataDead!Q:Q)</f>
        <v>0</v>
      </c>
      <c r="O102">
        <f>SUMIF(RawDataDead!$B:$B,$A102,RawDataDead!R:R)</f>
        <v>0</v>
      </c>
      <c r="P102">
        <f>SUMIF(RawDataDead!$B:$B,$A102,RawDataDead!S:S)</f>
        <v>0</v>
      </c>
      <c r="Q102">
        <f>SUMIF(RawDataDead!$B:$B,$A102,RawDataDead!T:T)</f>
        <v>0</v>
      </c>
      <c r="R102">
        <f>SUMIF(RawDataDead!$B:$B,$A102,RawDataDead!U:U)</f>
        <v>0</v>
      </c>
      <c r="S102">
        <f>SUMIF(RawDataDead!$B:$B,$A102,RawDataDead!V:V)</f>
        <v>0</v>
      </c>
      <c r="T102">
        <f>SUMIF(RawDataDead!$B:$B,$A102,RawDataDead!W:W)</f>
        <v>0</v>
      </c>
      <c r="U102">
        <f>SUMIF(RawDataDead!$B:$B,$A102,RawDataDead!X:X)</f>
        <v>0</v>
      </c>
      <c r="V102">
        <f>SUMIF(RawDataDead!$B:$B,$A102,RawDataDead!Y:Y)</f>
        <v>0</v>
      </c>
      <c r="W102">
        <f>SUMIF(RawDataDead!$B:$B,$A102,RawDataDead!Z:Z)</f>
        <v>0</v>
      </c>
      <c r="X102">
        <f>SUMIF(RawDataDead!$B:$B,$A102,RawDataDead!AA:AA)</f>
        <v>0</v>
      </c>
      <c r="Y102">
        <f>SUMIF(RawDataDead!$B:$B,$A102,RawDataDead!AB:AB)</f>
        <v>0</v>
      </c>
      <c r="Z102">
        <f>SUMIF(RawDataDead!$B:$B,$A102,RawDataDead!AC:AC)</f>
        <v>0</v>
      </c>
      <c r="AA102">
        <f>SUMIF(RawDataDead!$B:$B,$A102,RawDataDead!AD:AD)</f>
        <v>0</v>
      </c>
      <c r="AB102">
        <f>SUMIF(RawDataDead!$B:$B,$A102,RawDataDead!AE:AE)</f>
        <v>0</v>
      </c>
      <c r="AC102">
        <f>SUMIF(RawDataDead!$B:$B,$A102,RawDataDead!AF:AF)</f>
        <v>0</v>
      </c>
      <c r="AD102">
        <f>SUMIF(RawDataDead!$B:$B,$A102,RawDataDead!AG:AG)</f>
        <v>0</v>
      </c>
      <c r="AE102">
        <f>SUMIF(RawDataDead!$B:$B,$A102,RawDataDead!AH:AH)</f>
        <v>0</v>
      </c>
      <c r="AF102">
        <f>SUMIF(RawDataDead!$B:$B,$A102,RawDataDead!AI:AI)</f>
        <v>0</v>
      </c>
      <c r="AG102">
        <f>SUMIF(RawDataDead!$B:$B,$A102,RawDataDead!AJ:AJ)</f>
        <v>0</v>
      </c>
      <c r="AH102">
        <f>SUMIF(RawDataDead!$B:$B,$A102,RawDataDead!AK:AK)</f>
        <v>0</v>
      </c>
      <c r="AI102">
        <f>SUMIF(RawDataDead!$B:$B,$A102,RawDataDead!AL:AL)</f>
        <v>0</v>
      </c>
      <c r="AJ102">
        <f>SUMIF(RawDataDead!$B:$B,$A102,RawDataDead!AM:AM)</f>
        <v>0</v>
      </c>
      <c r="AK102">
        <f>SUMIF(RawDataDead!$B:$B,$A102,RawDataDead!AN:AN)</f>
        <v>0</v>
      </c>
      <c r="AL102">
        <f>SUMIF(RawDataDead!$B:$B,$A102,RawDataDead!AO:AO)</f>
        <v>0</v>
      </c>
      <c r="AM102">
        <f>SUMIF(RawDataDead!$B:$B,$A102,RawDataDead!AP:AP)</f>
        <v>0</v>
      </c>
      <c r="AN102">
        <f>SUMIF(RawDataDead!$B:$B,$A102,RawDataDead!AQ:AQ)</f>
        <v>0</v>
      </c>
      <c r="AO102">
        <f>SUMIF(RawDataDead!$B:$B,$A102,RawDataDead!AR:AR)</f>
        <v>0</v>
      </c>
      <c r="AP102">
        <f>SUMIF(RawDataDead!$B:$B,$A102,RawDataDead!AS:AS)</f>
        <v>0</v>
      </c>
      <c r="AQ102">
        <f>SUMIF(RawDataDead!$B:$B,$A102,RawDataDead!AT:AT)</f>
        <v>0</v>
      </c>
      <c r="AR102">
        <f>SUMIF(RawDataDead!$B:$B,$A102,RawDataDead!AU:AU)</f>
        <v>0</v>
      </c>
      <c r="AS102">
        <f>SUMIF(RawDataDead!$B:$B,$A102,RawDataDead!AV:AV)</f>
        <v>0</v>
      </c>
      <c r="AT102">
        <f>SUMIF(RawDataDead!$B:$B,$A102,RawDataDead!AW:AW)</f>
        <v>0</v>
      </c>
      <c r="AU102">
        <f>SUMIF(RawDataDead!$B:$B,$A102,RawDataDead!AX:AX)</f>
        <v>0</v>
      </c>
      <c r="AV102">
        <f>SUMIF(RawDataDead!$B:$B,$A102,RawDataDead!AY:AY)</f>
        <v>0</v>
      </c>
      <c r="AW102">
        <f>SUMIF(RawDataDead!$B:$B,$A102,RawDataDead!AZ:AZ)</f>
        <v>0</v>
      </c>
      <c r="AX102">
        <f>SUMIF(RawDataDead!$B:$B,$A102,RawDataDead!BA:BA)</f>
        <v>0</v>
      </c>
      <c r="AY102">
        <f>SUMIF(RawDataDead!$B:$B,$A102,RawDataDead!BB:BB)</f>
        <v>0</v>
      </c>
      <c r="AZ102">
        <f>SUMIF(RawDataDead!$B:$B,$A102,RawDataDead!BC:BC)</f>
        <v>0</v>
      </c>
      <c r="BA102">
        <f>SUMIF(RawDataDead!$B:$B,$A102,RawDataDead!BD:BD)</f>
        <v>1</v>
      </c>
      <c r="BB102">
        <f>SUMIF(RawDataDead!$B:$B,$A102,RawDataDead!BE:BE)</f>
        <v>1</v>
      </c>
      <c r="BC102">
        <f>SUMIF(RawDataDead!$B:$B,$A102,RawDataDead!BF:BF)</f>
        <v>1</v>
      </c>
      <c r="BD102">
        <f>SUMIF(RawDataDead!$B:$B,$A102,RawDataDead!BG:BG)</f>
        <v>1</v>
      </c>
      <c r="BE102">
        <f>SUMIF(RawDataDead!$B:$B,$A102,RawDataDead!BH:BH)</f>
        <v>2</v>
      </c>
      <c r="BF102">
        <f>SUMIF(RawDataDead!$B:$B,$A102,RawDataDead!BI:BI)</f>
        <v>0</v>
      </c>
      <c r="BG102">
        <f>SUMIF(RawDataDead!$B:$B,$A102,RawDataDead!BJ:BJ)</f>
        <v>0</v>
      </c>
      <c r="BH102">
        <f>SUMIF(RawDataDead!$B:$B,$A102,RawDataDead!BK:BK)</f>
        <v>0</v>
      </c>
      <c r="BI102">
        <f>SUMIF(RawDataDead!$B:$B,$A102,RawDataDead!BL:BL)</f>
        <v>0</v>
      </c>
      <c r="BJ102">
        <f>SUMIF(RawDataDead!$B:$B,$A102,RawDataDead!BM:BM)</f>
        <v>0</v>
      </c>
      <c r="BK102">
        <f>SUMIF(RawDataDead!$B:$B,$A102,RawDataDead!BN:BN)</f>
        <v>0</v>
      </c>
      <c r="BL102">
        <f>SUMIF(RawDataDead!$B:$B,$A102,RawDataDead!BO:BO)</f>
        <v>0</v>
      </c>
      <c r="BM102">
        <f>SUMIF(RawDataDead!$B:$B,$A102,RawDataDead!BP:BP)</f>
        <v>0</v>
      </c>
      <c r="BN102">
        <f>SUMIF(RawDataDead!$B:$B,$A102,RawDataDead!BQ:BQ)</f>
        <v>0</v>
      </c>
      <c r="BO102">
        <f>SUMIF(RawDataDead!$B:$B,$A102,RawDataDead!BR:BR)</f>
        <v>0</v>
      </c>
      <c r="BP102">
        <f>SUMIF(RawDataDead!$B:$B,$A102,RawDataDead!BS:BS)</f>
        <v>0</v>
      </c>
      <c r="BQ102">
        <f>SUMIF(RawDataDead!$B:$B,$A102,RawDataDead!BT:BT)</f>
        <v>0</v>
      </c>
      <c r="BR102">
        <f>SUMIF(RawDataDead!$B:$B,$A102,RawDataDead!BU:BU)</f>
        <v>0</v>
      </c>
      <c r="BS102">
        <f>SUMIF(RawDataDead!$B:$B,$A102,RawDataDead!BV:BV)</f>
        <v>0</v>
      </c>
      <c r="BT102">
        <f>SUMIF(RawDataDead!$B:$B,$A102,RawDataDead!BW:BW)</f>
        <v>0</v>
      </c>
    </row>
    <row r="103" spans="1:72" ht="15" thickBot="1" x14ac:dyDescent="0.35">
      <c r="A103" s="3" t="s">
        <v>450</v>
      </c>
      <c r="B103">
        <f>SUMIF(RawDataDead!$B:$B,$A103,RawDataDead!E:E)</f>
        <v>0</v>
      </c>
      <c r="C103">
        <f>SUMIF(RawDataDead!$B:$B,$A103,RawDataDead!F:F)</f>
        <v>0</v>
      </c>
      <c r="D103">
        <f>SUMIF(RawDataDead!$B:$B,$A103,RawDataDead!G:G)</f>
        <v>0</v>
      </c>
      <c r="E103">
        <f>SUMIF(RawDataDead!$B:$B,$A103,RawDataDead!H:H)</f>
        <v>0</v>
      </c>
      <c r="F103">
        <f>SUMIF(RawDataDead!$B:$B,$A103,RawDataDead!I:I)</f>
        <v>0</v>
      </c>
      <c r="G103">
        <f>SUMIF(RawDataDead!$B:$B,$A103,RawDataDead!J:J)</f>
        <v>0</v>
      </c>
      <c r="H103">
        <f>SUMIF(RawDataDead!$B:$B,$A103,RawDataDead!K:K)</f>
        <v>0</v>
      </c>
      <c r="I103">
        <f>SUMIF(RawDataDead!$B:$B,$A103,RawDataDead!L:L)</f>
        <v>0</v>
      </c>
      <c r="J103">
        <f>SUMIF(RawDataDead!$B:$B,$A103,RawDataDead!M:M)</f>
        <v>0</v>
      </c>
      <c r="K103">
        <f>SUMIF(RawDataDead!$B:$B,$A103,RawDataDead!N:N)</f>
        <v>0</v>
      </c>
      <c r="L103">
        <f>SUMIF(RawDataDead!$B:$B,$A103,RawDataDead!O:O)</f>
        <v>0</v>
      </c>
      <c r="M103">
        <f>SUMIF(RawDataDead!$B:$B,$A103,RawDataDead!P:P)</f>
        <v>0</v>
      </c>
      <c r="N103">
        <f>SUMIF(RawDataDead!$B:$B,$A103,RawDataDead!Q:Q)</f>
        <v>0</v>
      </c>
      <c r="O103">
        <f>SUMIF(RawDataDead!$B:$B,$A103,RawDataDead!R:R)</f>
        <v>0</v>
      </c>
      <c r="P103">
        <f>SUMIF(RawDataDead!$B:$B,$A103,RawDataDead!S:S)</f>
        <v>0</v>
      </c>
      <c r="Q103">
        <f>SUMIF(RawDataDead!$B:$B,$A103,RawDataDead!T:T)</f>
        <v>0</v>
      </c>
      <c r="R103">
        <f>SUMIF(RawDataDead!$B:$B,$A103,RawDataDead!U:U)</f>
        <v>0</v>
      </c>
      <c r="S103">
        <f>SUMIF(RawDataDead!$B:$B,$A103,RawDataDead!V:V)</f>
        <v>0</v>
      </c>
      <c r="T103">
        <f>SUMIF(RawDataDead!$B:$B,$A103,RawDataDead!W:W)</f>
        <v>0</v>
      </c>
      <c r="U103">
        <f>SUMIF(RawDataDead!$B:$B,$A103,RawDataDead!X:X)</f>
        <v>0</v>
      </c>
      <c r="V103">
        <f>SUMIF(RawDataDead!$B:$B,$A103,RawDataDead!Y:Y)</f>
        <v>0</v>
      </c>
      <c r="W103">
        <f>SUMIF(RawDataDead!$B:$B,$A103,RawDataDead!Z:Z)</f>
        <v>0</v>
      </c>
      <c r="X103">
        <f>SUMIF(RawDataDead!$B:$B,$A103,RawDataDead!AA:AA)</f>
        <v>0</v>
      </c>
      <c r="Y103">
        <f>SUMIF(RawDataDead!$B:$B,$A103,RawDataDead!AB:AB)</f>
        <v>0</v>
      </c>
      <c r="Z103">
        <f>SUMIF(RawDataDead!$B:$B,$A103,RawDataDead!AC:AC)</f>
        <v>0</v>
      </c>
      <c r="AA103">
        <f>SUMIF(RawDataDead!$B:$B,$A103,RawDataDead!AD:AD)</f>
        <v>0</v>
      </c>
      <c r="AB103">
        <f>SUMIF(RawDataDead!$B:$B,$A103,RawDataDead!AE:AE)</f>
        <v>0</v>
      </c>
      <c r="AC103">
        <f>SUMIF(RawDataDead!$B:$B,$A103,RawDataDead!AF:AF)</f>
        <v>0</v>
      </c>
      <c r="AD103">
        <f>SUMIF(RawDataDead!$B:$B,$A103,RawDataDead!AG:AG)</f>
        <v>0</v>
      </c>
      <c r="AE103">
        <f>SUMIF(RawDataDead!$B:$B,$A103,RawDataDead!AH:AH)</f>
        <v>0</v>
      </c>
      <c r="AF103">
        <f>SUMIF(RawDataDead!$B:$B,$A103,RawDataDead!AI:AI)</f>
        <v>0</v>
      </c>
      <c r="AG103">
        <f>SUMIF(RawDataDead!$B:$B,$A103,RawDataDead!AJ:AJ)</f>
        <v>0</v>
      </c>
      <c r="AH103">
        <f>SUMIF(RawDataDead!$B:$B,$A103,RawDataDead!AK:AK)</f>
        <v>0</v>
      </c>
      <c r="AI103">
        <f>SUMIF(RawDataDead!$B:$B,$A103,RawDataDead!AL:AL)</f>
        <v>0</v>
      </c>
      <c r="AJ103">
        <f>SUMIF(RawDataDead!$B:$B,$A103,RawDataDead!AM:AM)</f>
        <v>0</v>
      </c>
      <c r="AK103">
        <f>SUMIF(RawDataDead!$B:$B,$A103,RawDataDead!AN:AN)</f>
        <v>0</v>
      </c>
      <c r="AL103">
        <f>SUMIF(RawDataDead!$B:$B,$A103,RawDataDead!AO:AO)</f>
        <v>0</v>
      </c>
      <c r="AM103">
        <f>SUMIF(RawDataDead!$B:$B,$A103,RawDataDead!AP:AP)</f>
        <v>0</v>
      </c>
      <c r="AN103">
        <f>SUMIF(RawDataDead!$B:$B,$A103,RawDataDead!AQ:AQ)</f>
        <v>0</v>
      </c>
      <c r="AO103">
        <f>SUMIF(RawDataDead!$B:$B,$A103,RawDataDead!AR:AR)</f>
        <v>0</v>
      </c>
      <c r="AP103">
        <f>SUMIF(RawDataDead!$B:$B,$A103,RawDataDead!AS:AS)</f>
        <v>0</v>
      </c>
      <c r="AQ103">
        <f>SUMIF(RawDataDead!$B:$B,$A103,RawDataDead!AT:AT)</f>
        <v>0</v>
      </c>
      <c r="AR103">
        <f>SUMIF(RawDataDead!$B:$B,$A103,RawDataDead!AU:AU)</f>
        <v>0</v>
      </c>
      <c r="AS103">
        <f>SUMIF(RawDataDead!$B:$B,$A103,RawDataDead!AV:AV)</f>
        <v>0</v>
      </c>
      <c r="AT103">
        <f>SUMIF(RawDataDead!$B:$B,$A103,RawDataDead!AW:AW)</f>
        <v>0</v>
      </c>
      <c r="AU103">
        <f>SUMIF(RawDataDead!$B:$B,$A103,RawDataDead!AX:AX)</f>
        <v>0</v>
      </c>
      <c r="AV103">
        <f>SUMIF(RawDataDead!$B:$B,$A103,RawDataDead!AY:AY)</f>
        <v>0</v>
      </c>
      <c r="AW103">
        <f>SUMIF(RawDataDead!$B:$B,$A103,RawDataDead!AZ:AZ)</f>
        <v>0</v>
      </c>
      <c r="AX103">
        <f>SUMIF(RawDataDead!$B:$B,$A103,RawDataDead!BA:BA)</f>
        <v>0</v>
      </c>
      <c r="AY103">
        <f>SUMIF(RawDataDead!$B:$B,$A103,RawDataDead!BB:BB)</f>
        <v>0</v>
      </c>
      <c r="AZ103">
        <f>SUMIF(RawDataDead!$B:$B,$A103,RawDataDead!BC:BC)</f>
        <v>0</v>
      </c>
      <c r="BA103">
        <f>SUMIF(RawDataDead!$B:$B,$A103,RawDataDead!BD:BD)</f>
        <v>0</v>
      </c>
      <c r="BB103">
        <f>SUMIF(RawDataDead!$B:$B,$A103,RawDataDead!BE:BE)</f>
        <v>0</v>
      </c>
      <c r="BC103">
        <f>SUMIF(RawDataDead!$B:$B,$A103,RawDataDead!BF:BF)</f>
        <v>0</v>
      </c>
      <c r="BD103">
        <f>SUMIF(RawDataDead!$B:$B,$A103,RawDataDead!BG:BG)</f>
        <v>0</v>
      </c>
      <c r="BE103">
        <f>SUMIF(RawDataDead!$B:$B,$A103,RawDataDead!BH:BH)</f>
        <v>0</v>
      </c>
      <c r="BF103">
        <f>SUMIF(RawDataDead!$B:$B,$A103,RawDataDead!BI:BI)</f>
        <v>0</v>
      </c>
      <c r="BG103">
        <f>SUMIF(RawDataDead!$B:$B,$A103,RawDataDead!BJ:BJ)</f>
        <v>0</v>
      </c>
      <c r="BH103">
        <f>SUMIF(RawDataDead!$B:$B,$A103,RawDataDead!BK:BK)</f>
        <v>0</v>
      </c>
      <c r="BI103">
        <f>SUMIF(RawDataDead!$B:$B,$A103,RawDataDead!BL:BL)</f>
        <v>0</v>
      </c>
      <c r="BJ103">
        <f>SUMIF(RawDataDead!$B:$B,$A103,RawDataDead!BM:BM)</f>
        <v>0</v>
      </c>
      <c r="BK103">
        <f>SUMIF(RawDataDead!$B:$B,$A103,RawDataDead!BN:BN)</f>
        <v>0</v>
      </c>
      <c r="BL103">
        <f>SUMIF(RawDataDead!$B:$B,$A103,RawDataDead!BO:BO)</f>
        <v>0</v>
      </c>
      <c r="BM103">
        <f>SUMIF(RawDataDead!$B:$B,$A103,RawDataDead!BP:BP)</f>
        <v>0</v>
      </c>
      <c r="BN103">
        <f>SUMIF(RawDataDead!$B:$B,$A103,RawDataDead!BQ:BQ)</f>
        <v>0</v>
      </c>
      <c r="BO103">
        <f>SUMIF(RawDataDead!$B:$B,$A103,RawDataDead!BR:BR)</f>
        <v>0</v>
      </c>
      <c r="BP103">
        <f>SUMIF(RawDataDead!$B:$B,$A103,RawDataDead!BS:BS)</f>
        <v>0</v>
      </c>
      <c r="BQ103">
        <f>SUMIF(RawDataDead!$B:$B,$A103,RawDataDead!BT:BT)</f>
        <v>0</v>
      </c>
      <c r="BR103">
        <f>SUMIF(RawDataDead!$B:$B,$A103,RawDataDead!BU:BU)</f>
        <v>0</v>
      </c>
      <c r="BS103">
        <f>SUMIF(RawDataDead!$B:$B,$A103,RawDataDead!BV:BV)</f>
        <v>0</v>
      </c>
      <c r="BT103">
        <f>SUMIF(RawDataDead!$B:$B,$A103,RawDataDead!BW:BW)</f>
        <v>0</v>
      </c>
    </row>
    <row r="104" spans="1:72" ht="15" thickBot="1" x14ac:dyDescent="0.35">
      <c r="A104" s="4" t="s">
        <v>306</v>
      </c>
      <c r="B104">
        <f>SUMIF(RawDataDead!$B:$B,$A104,RawDataDead!E:E)</f>
        <v>0</v>
      </c>
      <c r="C104">
        <f>SUMIF(RawDataDead!$B:$B,$A104,RawDataDead!F:F)</f>
        <v>0</v>
      </c>
      <c r="D104">
        <f>SUMIF(RawDataDead!$B:$B,$A104,RawDataDead!G:G)</f>
        <v>0</v>
      </c>
      <c r="E104">
        <f>SUMIF(RawDataDead!$B:$B,$A104,RawDataDead!H:H)</f>
        <v>0</v>
      </c>
      <c r="F104">
        <f>SUMIF(RawDataDead!$B:$B,$A104,RawDataDead!I:I)</f>
        <v>0</v>
      </c>
      <c r="G104">
        <f>SUMIF(RawDataDead!$B:$B,$A104,RawDataDead!J:J)</f>
        <v>0</v>
      </c>
      <c r="H104">
        <f>SUMIF(RawDataDead!$B:$B,$A104,RawDataDead!K:K)</f>
        <v>0</v>
      </c>
      <c r="I104">
        <f>SUMIF(RawDataDead!$B:$B,$A104,RawDataDead!L:L)</f>
        <v>0</v>
      </c>
      <c r="J104">
        <f>SUMIF(RawDataDead!$B:$B,$A104,RawDataDead!M:M)</f>
        <v>0</v>
      </c>
      <c r="K104">
        <f>SUMIF(RawDataDead!$B:$B,$A104,RawDataDead!N:N)</f>
        <v>0</v>
      </c>
      <c r="L104">
        <f>SUMIF(RawDataDead!$B:$B,$A104,RawDataDead!O:O)</f>
        <v>0</v>
      </c>
      <c r="M104">
        <f>SUMIF(RawDataDead!$B:$B,$A104,RawDataDead!P:P)</f>
        <v>0</v>
      </c>
      <c r="N104">
        <f>SUMIF(RawDataDead!$B:$B,$A104,RawDataDead!Q:Q)</f>
        <v>0</v>
      </c>
      <c r="O104">
        <f>SUMIF(RawDataDead!$B:$B,$A104,RawDataDead!R:R)</f>
        <v>0</v>
      </c>
      <c r="P104">
        <f>SUMIF(RawDataDead!$B:$B,$A104,RawDataDead!S:S)</f>
        <v>0</v>
      </c>
      <c r="Q104">
        <f>SUMIF(RawDataDead!$B:$B,$A104,RawDataDead!T:T)</f>
        <v>0</v>
      </c>
      <c r="R104">
        <f>SUMIF(RawDataDead!$B:$B,$A104,RawDataDead!U:U)</f>
        <v>0</v>
      </c>
      <c r="S104">
        <f>SUMIF(RawDataDead!$B:$B,$A104,RawDataDead!V:V)</f>
        <v>0</v>
      </c>
      <c r="T104">
        <f>SUMIF(RawDataDead!$B:$B,$A104,RawDataDead!W:W)</f>
        <v>0</v>
      </c>
      <c r="U104">
        <f>SUMIF(RawDataDead!$B:$B,$A104,RawDataDead!X:X)</f>
        <v>0</v>
      </c>
      <c r="V104">
        <f>SUMIF(RawDataDead!$B:$B,$A104,RawDataDead!Y:Y)</f>
        <v>0</v>
      </c>
      <c r="W104">
        <f>SUMIF(RawDataDead!$B:$B,$A104,RawDataDead!Z:Z)</f>
        <v>0</v>
      </c>
      <c r="X104">
        <f>SUMIF(RawDataDead!$B:$B,$A104,RawDataDead!AA:AA)</f>
        <v>0</v>
      </c>
      <c r="Y104">
        <f>SUMIF(RawDataDead!$B:$B,$A104,RawDataDead!AB:AB)</f>
        <v>0</v>
      </c>
      <c r="Z104">
        <f>SUMIF(RawDataDead!$B:$B,$A104,RawDataDead!AC:AC)</f>
        <v>0</v>
      </c>
      <c r="AA104">
        <f>SUMIF(RawDataDead!$B:$B,$A104,RawDataDead!AD:AD)</f>
        <v>0</v>
      </c>
      <c r="AB104">
        <f>SUMIF(RawDataDead!$B:$B,$A104,RawDataDead!AE:AE)</f>
        <v>0</v>
      </c>
      <c r="AC104">
        <f>SUMIF(RawDataDead!$B:$B,$A104,RawDataDead!AF:AF)</f>
        <v>0</v>
      </c>
      <c r="AD104">
        <f>SUMIF(RawDataDead!$B:$B,$A104,RawDataDead!AG:AG)</f>
        <v>0</v>
      </c>
      <c r="AE104">
        <f>SUMIF(RawDataDead!$B:$B,$A104,RawDataDead!AH:AH)</f>
        <v>0</v>
      </c>
      <c r="AF104">
        <f>SUMIF(RawDataDead!$B:$B,$A104,RawDataDead!AI:AI)</f>
        <v>0</v>
      </c>
      <c r="AG104">
        <f>SUMIF(RawDataDead!$B:$B,$A104,RawDataDead!AJ:AJ)</f>
        <v>0</v>
      </c>
      <c r="AH104">
        <f>SUMIF(RawDataDead!$B:$B,$A104,RawDataDead!AK:AK)</f>
        <v>0</v>
      </c>
      <c r="AI104">
        <f>SUMIF(RawDataDead!$B:$B,$A104,RawDataDead!AL:AL)</f>
        <v>0</v>
      </c>
      <c r="AJ104">
        <f>SUMIF(RawDataDead!$B:$B,$A104,RawDataDead!AM:AM)</f>
        <v>0</v>
      </c>
      <c r="AK104">
        <f>SUMIF(RawDataDead!$B:$B,$A104,RawDataDead!AN:AN)</f>
        <v>0</v>
      </c>
      <c r="AL104">
        <f>SUMIF(RawDataDead!$B:$B,$A104,RawDataDead!AO:AO)</f>
        <v>0</v>
      </c>
      <c r="AM104">
        <f>SUMIF(RawDataDead!$B:$B,$A104,RawDataDead!AP:AP)</f>
        <v>0</v>
      </c>
      <c r="AN104">
        <f>SUMIF(RawDataDead!$B:$B,$A104,RawDataDead!AQ:AQ)</f>
        <v>0</v>
      </c>
      <c r="AO104">
        <f>SUMIF(RawDataDead!$B:$B,$A104,RawDataDead!AR:AR)</f>
        <v>0</v>
      </c>
      <c r="AP104">
        <f>SUMIF(RawDataDead!$B:$B,$A104,RawDataDead!AS:AS)</f>
        <v>0</v>
      </c>
      <c r="AQ104">
        <f>SUMIF(RawDataDead!$B:$B,$A104,RawDataDead!AT:AT)</f>
        <v>0</v>
      </c>
      <c r="AR104">
        <f>SUMIF(RawDataDead!$B:$B,$A104,RawDataDead!AU:AU)</f>
        <v>0</v>
      </c>
      <c r="AS104">
        <f>SUMIF(RawDataDead!$B:$B,$A104,RawDataDead!AV:AV)</f>
        <v>0</v>
      </c>
      <c r="AT104">
        <f>SUMIF(RawDataDead!$B:$B,$A104,RawDataDead!AW:AW)</f>
        <v>0</v>
      </c>
      <c r="AU104">
        <f>SUMIF(RawDataDead!$B:$B,$A104,RawDataDead!AX:AX)</f>
        <v>0</v>
      </c>
      <c r="AV104">
        <f>SUMIF(RawDataDead!$B:$B,$A104,RawDataDead!AY:AY)</f>
        <v>0</v>
      </c>
      <c r="AW104">
        <f>SUMIF(RawDataDead!$B:$B,$A104,RawDataDead!AZ:AZ)</f>
        <v>0</v>
      </c>
      <c r="AX104">
        <f>SUMIF(RawDataDead!$B:$B,$A104,RawDataDead!BA:BA)</f>
        <v>0</v>
      </c>
      <c r="AY104">
        <f>SUMIF(RawDataDead!$B:$B,$A104,RawDataDead!BB:BB)</f>
        <v>0</v>
      </c>
      <c r="AZ104">
        <f>SUMIF(RawDataDead!$B:$B,$A104,RawDataDead!BC:BC)</f>
        <v>0</v>
      </c>
      <c r="BA104">
        <f>SUMIF(RawDataDead!$B:$B,$A104,RawDataDead!BD:BD)</f>
        <v>0</v>
      </c>
      <c r="BB104">
        <f>SUMIF(RawDataDead!$B:$B,$A104,RawDataDead!BE:BE)</f>
        <v>0</v>
      </c>
      <c r="BC104">
        <f>SUMIF(RawDataDead!$B:$B,$A104,RawDataDead!BF:BF)</f>
        <v>0</v>
      </c>
      <c r="BD104">
        <f>SUMIF(RawDataDead!$B:$B,$A104,RawDataDead!BG:BG)</f>
        <v>0</v>
      </c>
      <c r="BE104">
        <f>SUMIF(RawDataDead!$B:$B,$A104,RawDataDead!BH:BH)</f>
        <v>0</v>
      </c>
      <c r="BF104">
        <f>SUMIF(RawDataDead!$B:$B,$A104,RawDataDead!BI:BI)</f>
        <v>0</v>
      </c>
      <c r="BG104">
        <f>SUMIF(RawDataDead!$B:$B,$A104,RawDataDead!BJ:BJ)</f>
        <v>0</v>
      </c>
      <c r="BH104">
        <f>SUMIF(RawDataDead!$B:$B,$A104,RawDataDead!BK:BK)</f>
        <v>0</v>
      </c>
      <c r="BI104">
        <f>SUMIF(RawDataDead!$B:$B,$A104,RawDataDead!BL:BL)</f>
        <v>0</v>
      </c>
      <c r="BJ104">
        <f>SUMIF(RawDataDead!$B:$B,$A104,RawDataDead!BM:BM)</f>
        <v>0</v>
      </c>
      <c r="BK104">
        <f>SUMIF(RawDataDead!$B:$B,$A104,RawDataDead!BN:BN)</f>
        <v>0</v>
      </c>
      <c r="BL104">
        <f>SUMIF(RawDataDead!$B:$B,$A104,RawDataDead!BO:BO)</f>
        <v>0</v>
      </c>
      <c r="BM104">
        <f>SUMIF(RawDataDead!$B:$B,$A104,RawDataDead!BP:BP)</f>
        <v>0</v>
      </c>
      <c r="BN104">
        <f>SUMIF(RawDataDead!$B:$B,$A104,RawDataDead!BQ:BQ)</f>
        <v>0</v>
      </c>
      <c r="BO104">
        <f>SUMIF(RawDataDead!$B:$B,$A104,RawDataDead!BR:BR)</f>
        <v>0</v>
      </c>
      <c r="BP104">
        <f>SUMIF(RawDataDead!$B:$B,$A104,RawDataDead!BS:BS)</f>
        <v>0</v>
      </c>
      <c r="BQ104">
        <f>SUMIF(RawDataDead!$B:$B,$A104,RawDataDead!BT:BT)</f>
        <v>0</v>
      </c>
      <c r="BR104">
        <f>SUMIF(RawDataDead!$B:$B,$A104,RawDataDead!BU:BU)</f>
        <v>0</v>
      </c>
      <c r="BS104">
        <f>SUMIF(RawDataDead!$B:$B,$A104,RawDataDead!BV:BV)</f>
        <v>0</v>
      </c>
      <c r="BT104">
        <f>SUMIF(RawDataDead!$B:$B,$A104,RawDataDead!BW:BW)</f>
        <v>0</v>
      </c>
    </row>
    <row r="105" spans="1:72" ht="15" thickBot="1" x14ac:dyDescent="0.35">
      <c r="A105" s="3" t="s">
        <v>184</v>
      </c>
      <c r="B105">
        <f>SUMIF(RawDataDead!$B:$B,$A105,RawDataDead!E:E)</f>
        <v>0</v>
      </c>
      <c r="C105">
        <f>SUMIF(RawDataDead!$B:$B,$A105,RawDataDead!F:F)</f>
        <v>0</v>
      </c>
      <c r="D105">
        <f>SUMIF(RawDataDead!$B:$B,$A105,RawDataDead!G:G)</f>
        <v>0</v>
      </c>
      <c r="E105">
        <f>SUMIF(RawDataDead!$B:$B,$A105,RawDataDead!H:H)</f>
        <v>0</v>
      </c>
      <c r="F105">
        <f>SUMIF(RawDataDead!$B:$B,$A105,RawDataDead!I:I)</f>
        <v>0</v>
      </c>
      <c r="G105">
        <f>SUMIF(RawDataDead!$B:$B,$A105,RawDataDead!J:J)</f>
        <v>0</v>
      </c>
      <c r="H105">
        <f>SUMIF(RawDataDead!$B:$B,$A105,RawDataDead!K:K)</f>
        <v>0</v>
      </c>
      <c r="I105">
        <f>SUMIF(RawDataDead!$B:$B,$A105,RawDataDead!L:L)</f>
        <v>0</v>
      </c>
      <c r="J105">
        <f>SUMIF(RawDataDead!$B:$B,$A105,RawDataDead!M:M)</f>
        <v>0</v>
      </c>
      <c r="K105">
        <f>SUMIF(RawDataDead!$B:$B,$A105,RawDataDead!N:N)</f>
        <v>0</v>
      </c>
      <c r="L105">
        <f>SUMIF(RawDataDead!$B:$B,$A105,RawDataDead!O:O)</f>
        <v>0</v>
      </c>
      <c r="M105">
        <f>SUMIF(RawDataDead!$B:$B,$A105,RawDataDead!P:P)</f>
        <v>0</v>
      </c>
      <c r="N105">
        <f>SUMIF(RawDataDead!$B:$B,$A105,RawDataDead!Q:Q)</f>
        <v>0</v>
      </c>
      <c r="O105">
        <f>SUMIF(RawDataDead!$B:$B,$A105,RawDataDead!R:R)</f>
        <v>0</v>
      </c>
      <c r="P105">
        <f>SUMIF(RawDataDead!$B:$B,$A105,RawDataDead!S:S)</f>
        <v>0</v>
      </c>
      <c r="Q105">
        <f>SUMIF(RawDataDead!$B:$B,$A105,RawDataDead!T:T)</f>
        <v>0</v>
      </c>
      <c r="R105">
        <f>SUMIF(RawDataDead!$B:$B,$A105,RawDataDead!U:U)</f>
        <v>0</v>
      </c>
      <c r="S105">
        <f>SUMIF(RawDataDead!$B:$B,$A105,RawDataDead!V:V)</f>
        <v>0</v>
      </c>
      <c r="T105">
        <f>SUMIF(RawDataDead!$B:$B,$A105,RawDataDead!W:W)</f>
        <v>0</v>
      </c>
      <c r="U105">
        <f>SUMIF(RawDataDead!$B:$B,$A105,RawDataDead!X:X)</f>
        <v>0</v>
      </c>
      <c r="V105">
        <f>SUMIF(RawDataDead!$B:$B,$A105,RawDataDead!Y:Y)</f>
        <v>0</v>
      </c>
      <c r="W105">
        <f>SUMIF(RawDataDead!$B:$B,$A105,RawDataDead!Z:Z)</f>
        <v>0</v>
      </c>
      <c r="X105">
        <f>SUMIF(RawDataDead!$B:$B,$A105,RawDataDead!AA:AA)</f>
        <v>0</v>
      </c>
      <c r="Y105">
        <f>SUMIF(RawDataDead!$B:$B,$A105,RawDataDead!AB:AB)</f>
        <v>0</v>
      </c>
      <c r="Z105">
        <f>SUMIF(RawDataDead!$B:$B,$A105,RawDataDead!AC:AC)</f>
        <v>0</v>
      </c>
      <c r="AA105">
        <f>SUMIF(RawDataDead!$B:$B,$A105,RawDataDead!AD:AD)</f>
        <v>0</v>
      </c>
      <c r="AB105">
        <f>SUMIF(RawDataDead!$B:$B,$A105,RawDataDead!AE:AE)</f>
        <v>0</v>
      </c>
      <c r="AC105">
        <f>SUMIF(RawDataDead!$B:$B,$A105,RawDataDead!AF:AF)</f>
        <v>0</v>
      </c>
      <c r="AD105">
        <f>SUMIF(RawDataDead!$B:$B,$A105,RawDataDead!AG:AG)</f>
        <v>0</v>
      </c>
      <c r="AE105">
        <f>SUMIF(RawDataDead!$B:$B,$A105,RawDataDead!AH:AH)</f>
        <v>0</v>
      </c>
      <c r="AF105">
        <f>SUMIF(RawDataDead!$B:$B,$A105,RawDataDead!AI:AI)</f>
        <v>0</v>
      </c>
      <c r="AG105">
        <f>SUMIF(RawDataDead!$B:$B,$A105,RawDataDead!AJ:AJ)</f>
        <v>0</v>
      </c>
      <c r="AH105">
        <f>SUMIF(RawDataDead!$B:$B,$A105,RawDataDead!AK:AK)</f>
        <v>0</v>
      </c>
      <c r="AI105">
        <f>SUMIF(RawDataDead!$B:$B,$A105,RawDataDead!AL:AL)</f>
        <v>0</v>
      </c>
      <c r="AJ105">
        <f>SUMIF(RawDataDead!$B:$B,$A105,RawDataDead!AM:AM)</f>
        <v>0</v>
      </c>
      <c r="AK105">
        <f>SUMIF(RawDataDead!$B:$B,$A105,RawDataDead!AN:AN)</f>
        <v>0</v>
      </c>
      <c r="AL105">
        <f>SUMIF(RawDataDead!$B:$B,$A105,RawDataDead!AO:AO)</f>
        <v>0</v>
      </c>
      <c r="AM105">
        <f>SUMIF(RawDataDead!$B:$B,$A105,RawDataDead!AP:AP)</f>
        <v>0</v>
      </c>
      <c r="AN105">
        <f>SUMIF(RawDataDead!$B:$B,$A105,RawDataDead!AQ:AQ)</f>
        <v>0</v>
      </c>
      <c r="AO105">
        <f>SUMIF(RawDataDead!$B:$B,$A105,RawDataDead!AR:AR)</f>
        <v>0</v>
      </c>
      <c r="AP105">
        <f>SUMIF(RawDataDead!$B:$B,$A105,RawDataDead!AS:AS)</f>
        <v>0</v>
      </c>
      <c r="AQ105">
        <f>SUMIF(RawDataDead!$B:$B,$A105,RawDataDead!AT:AT)</f>
        <v>0</v>
      </c>
      <c r="AR105">
        <f>SUMIF(RawDataDead!$B:$B,$A105,RawDataDead!AU:AU)</f>
        <v>0</v>
      </c>
      <c r="AS105">
        <f>SUMIF(RawDataDead!$B:$B,$A105,RawDataDead!AV:AV)</f>
        <v>0</v>
      </c>
      <c r="AT105">
        <f>SUMIF(RawDataDead!$B:$B,$A105,RawDataDead!AW:AW)</f>
        <v>0</v>
      </c>
      <c r="AU105">
        <f>SUMIF(RawDataDead!$B:$B,$A105,RawDataDead!AX:AX)</f>
        <v>0</v>
      </c>
      <c r="AV105">
        <f>SUMIF(RawDataDead!$B:$B,$A105,RawDataDead!AY:AY)</f>
        <v>0</v>
      </c>
      <c r="AW105">
        <f>SUMIF(RawDataDead!$B:$B,$A105,RawDataDead!AZ:AZ)</f>
        <v>0</v>
      </c>
      <c r="AX105">
        <f>SUMIF(RawDataDead!$B:$B,$A105,RawDataDead!BA:BA)</f>
        <v>0</v>
      </c>
      <c r="AY105">
        <f>SUMIF(RawDataDead!$B:$B,$A105,RawDataDead!BB:BB)</f>
        <v>0</v>
      </c>
      <c r="AZ105">
        <f>SUMIF(RawDataDead!$B:$B,$A105,RawDataDead!BC:BC)</f>
        <v>0</v>
      </c>
      <c r="BA105">
        <f>SUMIF(RawDataDead!$B:$B,$A105,RawDataDead!BD:BD)</f>
        <v>0</v>
      </c>
      <c r="BB105">
        <f>SUMIF(RawDataDead!$B:$B,$A105,RawDataDead!BE:BE)</f>
        <v>0</v>
      </c>
      <c r="BC105">
        <f>SUMIF(RawDataDead!$B:$B,$A105,RawDataDead!BF:BF)</f>
        <v>0</v>
      </c>
      <c r="BD105">
        <f>SUMIF(RawDataDead!$B:$B,$A105,RawDataDead!BG:BG)</f>
        <v>0</v>
      </c>
      <c r="BE105">
        <f>SUMIF(RawDataDead!$B:$B,$A105,RawDataDead!BH:BH)</f>
        <v>0</v>
      </c>
      <c r="BF105">
        <f>SUMIF(RawDataDead!$B:$B,$A105,RawDataDead!BI:BI)</f>
        <v>0</v>
      </c>
      <c r="BG105">
        <f>SUMIF(RawDataDead!$B:$B,$A105,RawDataDead!BJ:BJ)</f>
        <v>0</v>
      </c>
      <c r="BH105">
        <f>SUMIF(RawDataDead!$B:$B,$A105,RawDataDead!BK:BK)</f>
        <v>0</v>
      </c>
      <c r="BI105">
        <f>SUMIF(RawDataDead!$B:$B,$A105,RawDataDead!BL:BL)</f>
        <v>0</v>
      </c>
      <c r="BJ105">
        <f>SUMIF(RawDataDead!$B:$B,$A105,RawDataDead!BM:BM)</f>
        <v>0</v>
      </c>
      <c r="BK105">
        <f>SUMIF(RawDataDead!$B:$B,$A105,RawDataDead!BN:BN)</f>
        <v>0</v>
      </c>
      <c r="BL105">
        <f>SUMIF(RawDataDead!$B:$B,$A105,RawDataDead!BO:BO)</f>
        <v>0</v>
      </c>
      <c r="BM105">
        <f>SUMIF(RawDataDead!$B:$B,$A105,RawDataDead!BP:BP)</f>
        <v>0</v>
      </c>
      <c r="BN105">
        <f>SUMIF(RawDataDead!$B:$B,$A105,RawDataDead!BQ:BQ)</f>
        <v>0</v>
      </c>
      <c r="BO105">
        <f>SUMIF(RawDataDead!$B:$B,$A105,RawDataDead!BR:BR)</f>
        <v>0</v>
      </c>
      <c r="BP105">
        <f>SUMIF(RawDataDead!$B:$B,$A105,RawDataDead!BS:BS)</f>
        <v>0</v>
      </c>
      <c r="BQ105">
        <f>SUMIF(RawDataDead!$B:$B,$A105,RawDataDead!BT:BT)</f>
        <v>0</v>
      </c>
      <c r="BR105">
        <f>SUMIF(RawDataDead!$B:$B,$A105,RawDataDead!BU:BU)</f>
        <v>0</v>
      </c>
      <c r="BS105">
        <f>SUMIF(RawDataDead!$B:$B,$A105,RawDataDead!BV:BV)</f>
        <v>0</v>
      </c>
      <c r="BT105">
        <f>SUMIF(RawDataDead!$B:$B,$A105,RawDataDead!BW:BW)</f>
        <v>0</v>
      </c>
    </row>
    <row r="106" spans="1:72" ht="15" thickBot="1" x14ac:dyDescent="0.35">
      <c r="A106" s="4" t="s">
        <v>379</v>
      </c>
      <c r="B106">
        <f>SUMIF(RawDataDead!$B:$B,$A106,RawDataDead!E:E)</f>
        <v>0</v>
      </c>
      <c r="C106">
        <f>SUMIF(RawDataDead!$B:$B,$A106,RawDataDead!F:F)</f>
        <v>0</v>
      </c>
      <c r="D106">
        <f>SUMIF(RawDataDead!$B:$B,$A106,RawDataDead!G:G)</f>
        <v>0</v>
      </c>
      <c r="E106">
        <f>SUMIF(RawDataDead!$B:$B,$A106,RawDataDead!H:H)</f>
        <v>0</v>
      </c>
      <c r="F106">
        <f>SUMIF(RawDataDead!$B:$B,$A106,RawDataDead!I:I)</f>
        <v>0</v>
      </c>
      <c r="G106">
        <f>SUMIF(RawDataDead!$B:$B,$A106,RawDataDead!J:J)</f>
        <v>0</v>
      </c>
      <c r="H106">
        <f>SUMIF(RawDataDead!$B:$B,$A106,RawDataDead!K:K)</f>
        <v>0</v>
      </c>
      <c r="I106">
        <f>SUMIF(RawDataDead!$B:$B,$A106,RawDataDead!L:L)</f>
        <v>0</v>
      </c>
      <c r="J106">
        <f>SUMIF(RawDataDead!$B:$B,$A106,RawDataDead!M:M)</f>
        <v>0</v>
      </c>
      <c r="K106">
        <f>SUMIF(RawDataDead!$B:$B,$A106,RawDataDead!N:N)</f>
        <v>0</v>
      </c>
      <c r="L106">
        <f>SUMIF(RawDataDead!$B:$B,$A106,RawDataDead!O:O)</f>
        <v>0</v>
      </c>
      <c r="M106">
        <f>SUMIF(RawDataDead!$B:$B,$A106,RawDataDead!P:P)</f>
        <v>0</v>
      </c>
      <c r="N106">
        <f>SUMIF(RawDataDead!$B:$B,$A106,RawDataDead!Q:Q)</f>
        <v>0</v>
      </c>
      <c r="O106">
        <f>SUMIF(RawDataDead!$B:$B,$A106,RawDataDead!R:R)</f>
        <v>0</v>
      </c>
      <c r="P106">
        <f>SUMIF(RawDataDead!$B:$B,$A106,RawDataDead!S:S)</f>
        <v>0</v>
      </c>
      <c r="Q106">
        <f>SUMIF(RawDataDead!$B:$B,$A106,RawDataDead!T:T)</f>
        <v>0</v>
      </c>
      <c r="R106">
        <f>SUMIF(RawDataDead!$B:$B,$A106,RawDataDead!U:U)</f>
        <v>0</v>
      </c>
      <c r="S106">
        <f>SUMIF(RawDataDead!$B:$B,$A106,RawDataDead!V:V)</f>
        <v>0</v>
      </c>
      <c r="T106">
        <f>SUMIF(RawDataDead!$B:$B,$A106,RawDataDead!W:W)</f>
        <v>0</v>
      </c>
      <c r="U106">
        <f>SUMIF(RawDataDead!$B:$B,$A106,RawDataDead!X:X)</f>
        <v>0</v>
      </c>
      <c r="V106">
        <f>SUMIF(RawDataDead!$B:$B,$A106,RawDataDead!Y:Y)</f>
        <v>0</v>
      </c>
      <c r="W106">
        <f>SUMIF(RawDataDead!$B:$B,$A106,RawDataDead!Z:Z)</f>
        <v>0</v>
      </c>
      <c r="X106">
        <f>SUMIF(RawDataDead!$B:$B,$A106,RawDataDead!AA:AA)</f>
        <v>0</v>
      </c>
      <c r="Y106">
        <f>SUMIF(RawDataDead!$B:$B,$A106,RawDataDead!AB:AB)</f>
        <v>0</v>
      </c>
      <c r="Z106">
        <f>SUMIF(RawDataDead!$B:$B,$A106,RawDataDead!AC:AC)</f>
        <v>0</v>
      </c>
      <c r="AA106">
        <f>SUMIF(RawDataDead!$B:$B,$A106,RawDataDead!AD:AD)</f>
        <v>0</v>
      </c>
      <c r="AB106">
        <f>SUMIF(RawDataDead!$B:$B,$A106,RawDataDead!AE:AE)</f>
        <v>0</v>
      </c>
      <c r="AC106">
        <f>SUMIF(RawDataDead!$B:$B,$A106,RawDataDead!AF:AF)</f>
        <v>0</v>
      </c>
      <c r="AD106">
        <f>SUMIF(RawDataDead!$B:$B,$A106,RawDataDead!AG:AG)</f>
        <v>0</v>
      </c>
      <c r="AE106">
        <f>SUMIF(RawDataDead!$B:$B,$A106,RawDataDead!AH:AH)</f>
        <v>0</v>
      </c>
      <c r="AF106">
        <f>SUMIF(RawDataDead!$B:$B,$A106,RawDataDead!AI:AI)</f>
        <v>0</v>
      </c>
      <c r="AG106">
        <f>SUMIF(RawDataDead!$B:$B,$A106,RawDataDead!AJ:AJ)</f>
        <v>0</v>
      </c>
      <c r="AH106">
        <f>SUMIF(RawDataDead!$B:$B,$A106,RawDataDead!AK:AK)</f>
        <v>0</v>
      </c>
      <c r="AI106">
        <f>SUMIF(RawDataDead!$B:$B,$A106,RawDataDead!AL:AL)</f>
        <v>0</v>
      </c>
      <c r="AJ106">
        <f>SUMIF(RawDataDead!$B:$B,$A106,RawDataDead!AM:AM)</f>
        <v>0</v>
      </c>
      <c r="AK106">
        <f>SUMIF(RawDataDead!$B:$B,$A106,RawDataDead!AN:AN)</f>
        <v>0</v>
      </c>
      <c r="AL106">
        <f>SUMIF(RawDataDead!$B:$B,$A106,RawDataDead!AO:AO)</f>
        <v>0</v>
      </c>
      <c r="AM106">
        <f>SUMIF(RawDataDead!$B:$B,$A106,RawDataDead!AP:AP)</f>
        <v>0</v>
      </c>
      <c r="AN106">
        <f>SUMIF(RawDataDead!$B:$B,$A106,RawDataDead!AQ:AQ)</f>
        <v>0</v>
      </c>
      <c r="AO106">
        <f>SUMIF(RawDataDead!$B:$B,$A106,RawDataDead!AR:AR)</f>
        <v>0</v>
      </c>
      <c r="AP106">
        <f>SUMIF(RawDataDead!$B:$B,$A106,RawDataDead!AS:AS)</f>
        <v>0</v>
      </c>
      <c r="AQ106">
        <f>SUMIF(RawDataDead!$B:$B,$A106,RawDataDead!AT:AT)</f>
        <v>0</v>
      </c>
      <c r="AR106">
        <f>SUMIF(RawDataDead!$B:$B,$A106,RawDataDead!AU:AU)</f>
        <v>0</v>
      </c>
      <c r="AS106">
        <f>SUMIF(RawDataDead!$B:$B,$A106,RawDataDead!AV:AV)</f>
        <v>0</v>
      </c>
      <c r="AT106">
        <f>SUMIF(RawDataDead!$B:$B,$A106,RawDataDead!AW:AW)</f>
        <v>0</v>
      </c>
      <c r="AU106">
        <f>SUMIF(RawDataDead!$B:$B,$A106,RawDataDead!AX:AX)</f>
        <v>0</v>
      </c>
      <c r="AV106">
        <f>SUMIF(RawDataDead!$B:$B,$A106,RawDataDead!AY:AY)</f>
        <v>0</v>
      </c>
      <c r="AW106">
        <f>SUMIF(RawDataDead!$B:$B,$A106,RawDataDead!AZ:AZ)</f>
        <v>0</v>
      </c>
      <c r="AX106">
        <f>SUMIF(RawDataDead!$B:$B,$A106,RawDataDead!BA:BA)</f>
        <v>0</v>
      </c>
      <c r="AY106">
        <f>SUMIF(RawDataDead!$B:$B,$A106,RawDataDead!BB:BB)</f>
        <v>0</v>
      </c>
      <c r="AZ106">
        <f>SUMIF(RawDataDead!$B:$B,$A106,RawDataDead!BC:BC)</f>
        <v>0</v>
      </c>
      <c r="BA106">
        <f>SUMIF(RawDataDead!$B:$B,$A106,RawDataDead!BD:BD)</f>
        <v>0</v>
      </c>
      <c r="BB106">
        <f>SUMIF(RawDataDead!$B:$B,$A106,RawDataDead!BE:BE)</f>
        <v>0</v>
      </c>
      <c r="BC106">
        <f>SUMIF(RawDataDead!$B:$B,$A106,RawDataDead!BF:BF)</f>
        <v>0</v>
      </c>
      <c r="BD106">
        <f>SUMIF(RawDataDead!$B:$B,$A106,RawDataDead!BG:BG)</f>
        <v>0</v>
      </c>
      <c r="BE106">
        <f>SUMIF(RawDataDead!$B:$B,$A106,RawDataDead!BH:BH)</f>
        <v>0</v>
      </c>
      <c r="BF106">
        <f>SUMIF(RawDataDead!$B:$B,$A106,RawDataDead!BI:BI)</f>
        <v>0</v>
      </c>
      <c r="BG106">
        <f>SUMIF(RawDataDead!$B:$B,$A106,RawDataDead!BJ:BJ)</f>
        <v>0</v>
      </c>
      <c r="BH106">
        <f>SUMIF(RawDataDead!$B:$B,$A106,RawDataDead!BK:BK)</f>
        <v>0</v>
      </c>
      <c r="BI106">
        <f>SUMIF(RawDataDead!$B:$B,$A106,RawDataDead!BL:BL)</f>
        <v>0</v>
      </c>
      <c r="BJ106">
        <f>SUMIF(RawDataDead!$B:$B,$A106,RawDataDead!BM:BM)</f>
        <v>0</v>
      </c>
      <c r="BK106">
        <f>SUMIF(RawDataDead!$B:$B,$A106,RawDataDead!BN:BN)</f>
        <v>0</v>
      </c>
      <c r="BL106">
        <f>SUMIF(RawDataDead!$B:$B,$A106,RawDataDead!BO:BO)</f>
        <v>0</v>
      </c>
      <c r="BM106">
        <f>SUMIF(RawDataDead!$B:$B,$A106,RawDataDead!BP:BP)</f>
        <v>0</v>
      </c>
      <c r="BN106">
        <f>SUMIF(RawDataDead!$B:$B,$A106,RawDataDead!BQ:BQ)</f>
        <v>0</v>
      </c>
      <c r="BO106">
        <f>SUMIF(RawDataDead!$B:$B,$A106,RawDataDead!BR:BR)</f>
        <v>0</v>
      </c>
      <c r="BP106">
        <f>SUMIF(RawDataDead!$B:$B,$A106,RawDataDead!BS:BS)</f>
        <v>0</v>
      </c>
      <c r="BQ106">
        <f>SUMIF(RawDataDead!$B:$B,$A106,RawDataDead!BT:BT)</f>
        <v>0</v>
      </c>
      <c r="BR106">
        <f>SUMIF(RawDataDead!$B:$B,$A106,RawDataDead!BU:BU)</f>
        <v>0</v>
      </c>
      <c r="BS106">
        <f>SUMIF(RawDataDead!$B:$B,$A106,RawDataDead!BV:BV)</f>
        <v>0</v>
      </c>
      <c r="BT106">
        <f>SUMIF(RawDataDead!$B:$B,$A106,RawDataDead!BW:BW)</f>
        <v>0</v>
      </c>
    </row>
    <row r="107" spans="1:72" ht="15" thickBot="1" x14ac:dyDescent="0.35">
      <c r="A107" s="4" t="s">
        <v>376</v>
      </c>
      <c r="B107">
        <f>SUMIF(RawDataDead!$B:$B,$A107,RawDataDead!E:E)</f>
        <v>0</v>
      </c>
      <c r="C107">
        <f>SUMIF(RawDataDead!$B:$B,$A107,RawDataDead!F:F)</f>
        <v>0</v>
      </c>
      <c r="D107">
        <f>SUMIF(RawDataDead!$B:$B,$A107,RawDataDead!G:G)</f>
        <v>0</v>
      </c>
      <c r="E107">
        <f>SUMIF(RawDataDead!$B:$B,$A107,RawDataDead!H:H)</f>
        <v>0</v>
      </c>
      <c r="F107">
        <f>SUMIF(RawDataDead!$B:$B,$A107,RawDataDead!I:I)</f>
        <v>0</v>
      </c>
      <c r="G107">
        <f>SUMIF(RawDataDead!$B:$B,$A107,RawDataDead!J:J)</f>
        <v>0</v>
      </c>
      <c r="H107">
        <f>SUMIF(RawDataDead!$B:$B,$A107,RawDataDead!K:K)</f>
        <v>0</v>
      </c>
      <c r="I107">
        <f>SUMIF(RawDataDead!$B:$B,$A107,RawDataDead!L:L)</f>
        <v>0</v>
      </c>
      <c r="J107">
        <f>SUMIF(RawDataDead!$B:$B,$A107,RawDataDead!M:M)</f>
        <v>0</v>
      </c>
      <c r="K107">
        <f>SUMIF(RawDataDead!$B:$B,$A107,RawDataDead!N:N)</f>
        <v>0</v>
      </c>
      <c r="L107">
        <f>SUMIF(RawDataDead!$B:$B,$A107,RawDataDead!O:O)</f>
        <v>0</v>
      </c>
      <c r="M107">
        <f>SUMIF(RawDataDead!$B:$B,$A107,RawDataDead!P:P)</f>
        <v>0</v>
      </c>
      <c r="N107">
        <f>SUMIF(RawDataDead!$B:$B,$A107,RawDataDead!Q:Q)</f>
        <v>0</v>
      </c>
      <c r="O107">
        <f>SUMIF(RawDataDead!$B:$B,$A107,RawDataDead!R:R)</f>
        <v>0</v>
      </c>
      <c r="P107">
        <f>SUMIF(RawDataDead!$B:$B,$A107,RawDataDead!S:S)</f>
        <v>0</v>
      </c>
      <c r="Q107">
        <f>SUMIF(RawDataDead!$B:$B,$A107,RawDataDead!T:T)</f>
        <v>0</v>
      </c>
      <c r="R107">
        <f>SUMIF(RawDataDead!$B:$B,$A107,RawDataDead!U:U)</f>
        <v>0</v>
      </c>
      <c r="S107">
        <f>SUMIF(RawDataDead!$B:$B,$A107,RawDataDead!V:V)</f>
        <v>0</v>
      </c>
      <c r="T107">
        <f>SUMIF(RawDataDead!$B:$B,$A107,RawDataDead!W:W)</f>
        <v>0</v>
      </c>
      <c r="U107">
        <f>SUMIF(RawDataDead!$B:$B,$A107,RawDataDead!X:X)</f>
        <v>0</v>
      </c>
      <c r="V107">
        <f>SUMIF(RawDataDead!$B:$B,$A107,RawDataDead!Y:Y)</f>
        <v>0</v>
      </c>
      <c r="W107">
        <f>SUMIF(RawDataDead!$B:$B,$A107,RawDataDead!Z:Z)</f>
        <v>0</v>
      </c>
      <c r="X107">
        <f>SUMIF(RawDataDead!$B:$B,$A107,RawDataDead!AA:AA)</f>
        <v>0</v>
      </c>
      <c r="Y107">
        <f>SUMIF(RawDataDead!$B:$B,$A107,RawDataDead!AB:AB)</f>
        <v>0</v>
      </c>
      <c r="Z107">
        <f>SUMIF(RawDataDead!$B:$B,$A107,RawDataDead!AC:AC)</f>
        <v>0</v>
      </c>
      <c r="AA107">
        <f>SUMIF(RawDataDead!$B:$B,$A107,RawDataDead!AD:AD)</f>
        <v>0</v>
      </c>
      <c r="AB107">
        <f>SUMIF(RawDataDead!$B:$B,$A107,RawDataDead!AE:AE)</f>
        <v>0</v>
      </c>
      <c r="AC107">
        <f>SUMIF(RawDataDead!$B:$B,$A107,RawDataDead!AF:AF)</f>
        <v>0</v>
      </c>
      <c r="AD107">
        <f>SUMIF(RawDataDead!$B:$B,$A107,RawDataDead!AG:AG)</f>
        <v>0</v>
      </c>
      <c r="AE107">
        <f>SUMIF(RawDataDead!$B:$B,$A107,RawDataDead!AH:AH)</f>
        <v>0</v>
      </c>
      <c r="AF107">
        <f>SUMIF(RawDataDead!$B:$B,$A107,RawDataDead!AI:AI)</f>
        <v>0</v>
      </c>
      <c r="AG107">
        <f>SUMIF(RawDataDead!$B:$B,$A107,RawDataDead!AJ:AJ)</f>
        <v>0</v>
      </c>
      <c r="AH107">
        <f>SUMIF(RawDataDead!$B:$B,$A107,RawDataDead!AK:AK)</f>
        <v>0</v>
      </c>
      <c r="AI107">
        <f>SUMIF(RawDataDead!$B:$B,$A107,RawDataDead!AL:AL)</f>
        <v>0</v>
      </c>
      <c r="AJ107">
        <f>SUMIF(RawDataDead!$B:$B,$A107,RawDataDead!AM:AM)</f>
        <v>0</v>
      </c>
      <c r="AK107">
        <f>SUMIF(RawDataDead!$B:$B,$A107,RawDataDead!AN:AN)</f>
        <v>0</v>
      </c>
      <c r="AL107">
        <f>SUMIF(RawDataDead!$B:$B,$A107,RawDataDead!AO:AO)</f>
        <v>0</v>
      </c>
      <c r="AM107">
        <f>SUMIF(RawDataDead!$B:$B,$A107,RawDataDead!AP:AP)</f>
        <v>0</v>
      </c>
      <c r="AN107">
        <f>SUMIF(RawDataDead!$B:$B,$A107,RawDataDead!AQ:AQ)</f>
        <v>0</v>
      </c>
      <c r="AO107">
        <f>SUMIF(RawDataDead!$B:$B,$A107,RawDataDead!AR:AR)</f>
        <v>0</v>
      </c>
      <c r="AP107">
        <f>SUMIF(RawDataDead!$B:$B,$A107,RawDataDead!AS:AS)</f>
        <v>0</v>
      </c>
      <c r="AQ107">
        <f>SUMIF(RawDataDead!$B:$B,$A107,RawDataDead!AT:AT)</f>
        <v>0</v>
      </c>
      <c r="AR107">
        <f>SUMIF(RawDataDead!$B:$B,$A107,RawDataDead!AU:AU)</f>
        <v>0</v>
      </c>
      <c r="AS107">
        <f>SUMIF(RawDataDead!$B:$B,$A107,RawDataDead!AV:AV)</f>
        <v>0</v>
      </c>
      <c r="AT107">
        <f>SUMIF(RawDataDead!$B:$B,$A107,RawDataDead!AW:AW)</f>
        <v>0</v>
      </c>
      <c r="AU107">
        <f>SUMIF(RawDataDead!$B:$B,$A107,RawDataDead!AX:AX)</f>
        <v>0</v>
      </c>
      <c r="AV107">
        <f>SUMIF(RawDataDead!$B:$B,$A107,RawDataDead!AY:AY)</f>
        <v>0</v>
      </c>
      <c r="AW107">
        <f>SUMIF(RawDataDead!$B:$B,$A107,RawDataDead!AZ:AZ)</f>
        <v>0</v>
      </c>
      <c r="AX107">
        <f>SUMIF(RawDataDead!$B:$B,$A107,RawDataDead!BA:BA)</f>
        <v>0</v>
      </c>
      <c r="AY107">
        <f>SUMIF(RawDataDead!$B:$B,$A107,RawDataDead!BB:BB)</f>
        <v>0</v>
      </c>
      <c r="AZ107">
        <f>SUMIF(RawDataDead!$B:$B,$A107,RawDataDead!BC:BC)</f>
        <v>0</v>
      </c>
      <c r="BA107">
        <f>SUMIF(RawDataDead!$B:$B,$A107,RawDataDead!BD:BD)</f>
        <v>0</v>
      </c>
      <c r="BB107">
        <f>SUMIF(RawDataDead!$B:$B,$A107,RawDataDead!BE:BE)</f>
        <v>0</v>
      </c>
      <c r="BC107">
        <f>SUMIF(RawDataDead!$B:$B,$A107,RawDataDead!BF:BF)</f>
        <v>0</v>
      </c>
      <c r="BD107">
        <f>SUMIF(RawDataDead!$B:$B,$A107,RawDataDead!BG:BG)</f>
        <v>0</v>
      </c>
      <c r="BE107">
        <f>SUMIF(RawDataDead!$B:$B,$A107,RawDataDead!BH:BH)</f>
        <v>0</v>
      </c>
      <c r="BF107">
        <f>SUMIF(RawDataDead!$B:$B,$A107,RawDataDead!BI:BI)</f>
        <v>0</v>
      </c>
      <c r="BG107">
        <f>SUMIF(RawDataDead!$B:$B,$A107,RawDataDead!BJ:BJ)</f>
        <v>0</v>
      </c>
      <c r="BH107">
        <f>SUMIF(RawDataDead!$B:$B,$A107,RawDataDead!BK:BK)</f>
        <v>0</v>
      </c>
      <c r="BI107">
        <f>SUMIF(RawDataDead!$B:$B,$A107,RawDataDead!BL:BL)</f>
        <v>0</v>
      </c>
      <c r="BJ107">
        <f>SUMIF(RawDataDead!$B:$B,$A107,RawDataDead!BM:BM)</f>
        <v>0</v>
      </c>
      <c r="BK107">
        <f>SUMIF(RawDataDead!$B:$B,$A107,RawDataDead!BN:BN)</f>
        <v>0</v>
      </c>
      <c r="BL107">
        <f>SUMIF(RawDataDead!$B:$B,$A107,RawDataDead!BO:BO)</f>
        <v>0</v>
      </c>
      <c r="BM107">
        <f>SUMIF(RawDataDead!$B:$B,$A107,RawDataDead!BP:BP)</f>
        <v>0</v>
      </c>
      <c r="BN107">
        <f>SUMIF(RawDataDead!$B:$B,$A107,RawDataDead!BQ:BQ)</f>
        <v>0</v>
      </c>
      <c r="BO107">
        <f>SUMIF(RawDataDead!$B:$B,$A107,RawDataDead!BR:BR)</f>
        <v>0</v>
      </c>
      <c r="BP107">
        <f>SUMIF(RawDataDead!$B:$B,$A107,RawDataDead!BS:BS)</f>
        <v>0</v>
      </c>
      <c r="BQ107">
        <f>SUMIF(RawDataDead!$B:$B,$A107,RawDataDead!BT:BT)</f>
        <v>0</v>
      </c>
      <c r="BR107">
        <f>SUMIF(RawDataDead!$B:$B,$A107,RawDataDead!BU:BU)</f>
        <v>0</v>
      </c>
      <c r="BS107">
        <f>SUMIF(RawDataDead!$B:$B,$A107,RawDataDead!BV:BV)</f>
        <v>0</v>
      </c>
      <c r="BT107">
        <f>SUMIF(RawDataDead!$B:$B,$A107,RawDataDead!BW:BW)</f>
        <v>0</v>
      </c>
    </row>
    <row r="108" spans="1:72" ht="15" thickBot="1" x14ac:dyDescent="0.35">
      <c r="A108" s="4" t="s">
        <v>127</v>
      </c>
      <c r="B108">
        <f>SUMIF(RawDataDead!$B:$B,$A108,RawDataDead!E:E)</f>
        <v>0</v>
      </c>
      <c r="C108">
        <f>SUMIF(RawDataDead!$B:$B,$A108,RawDataDead!F:F)</f>
        <v>0</v>
      </c>
      <c r="D108">
        <f>SUMIF(RawDataDead!$B:$B,$A108,RawDataDead!G:G)</f>
        <v>0</v>
      </c>
      <c r="E108">
        <f>SUMIF(RawDataDead!$B:$B,$A108,RawDataDead!H:H)</f>
        <v>0</v>
      </c>
      <c r="F108">
        <f>SUMIF(RawDataDead!$B:$B,$A108,RawDataDead!I:I)</f>
        <v>0</v>
      </c>
      <c r="G108">
        <f>SUMIF(RawDataDead!$B:$B,$A108,RawDataDead!J:J)</f>
        <v>0</v>
      </c>
      <c r="H108">
        <f>SUMIF(RawDataDead!$B:$B,$A108,RawDataDead!K:K)</f>
        <v>0</v>
      </c>
      <c r="I108">
        <f>SUMIF(RawDataDead!$B:$B,$A108,RawDataDead!L:L)</f>
        <v>0</v>
      </c>
      <c r="J108">
        <f>SUMIF(RawDataDead!$B:$B,$A108,RawDataDead!M:M)</f>
        <v>0</v>
      </c>
      <c r="K108">
        <f>SUMIF(RawDataDead!$B:$B,$A108,RawDataDead!N:N)</f>
        <v>0</v>
      </c>
      <c r="L108">
        <f>SUMIF(RawDataDead!$B:$B,$A108,RawDataDead!O:O)</f>
        <v>0</v>
      </c>
      <c r="M108">
        <f>SUMIF(RawDataDead!$B:$B,$A108,RawDataDead!P:P)</f>
        <v>0</v>
      </c>
      <c r="N108">
        <f>SUMIF(RawDataDead!$B:$B,$A108,RawDataDead!Q:Q)</f>
        <v>0</v>
      </c>
      <c r="O108">
        <f>SUMIF(RawDataDead!$B:$B,$A108,RawDataDead!R:R)</f>
        <v>0</v>
      </c>
      <c r="P108">
        <f>SUMIF(RawDataDead!$B:$B,$A108,RawDataDead!S:S)</f>
        <v>0</v>
      </c>
      <c r="Q108">
        <f>SUMIF(RawDataDead!$B:$B,$A108,RawDataDead!T:T)</f>
        <v>0</v>
      </c>
      <c r="R108">
        <f>SUMIF(RawDataDead!$B:$B,$A108,RawDataDead!U:U)</f>
        <v>0</v>
      </c>
      <c r="S108">
        <f>SUMIF(RawDataDead!$B:$B,$A108,RawDataDead!V:V)</f>
        <v>0</v>
      </c>
      <c r="T108">
        <f>SUMIF(RawDataDead!$B:$B,$A108,RawDataDead!W:W)</f>
        <v>0</v>
      </c>
      <c r="U108">
        <f>SUMIF(RawDataDead!$B:$B,$A108,RawDataDead!X:X)</f>
        <v>0</v>
      </c>
      <c r="V108">
        <f>SUMIF(RawDataDead!$B:$B,$A108,RawDataDead!Y:Y)</f>
        <v>0</v>
      </c>
      <c r="W108">
        <f>SUMIF(RawDataDead!$B:$B,$A108,RawDataDead!Z:Z)</f>
        <v>0</v>
      </c>
      <c r="X108">
        <f>SUMIF(RawDataDead!$B:$B,$A108,RawDataDead!AA:AA)</f>
        <v>0</v>
      </c>
      <c r="Y108">
        <f>SUMIF(RawDataDead!$B:$B,$A108,RawDataDead!AB:AB)</f>
        <v>0</v>
      </c>
      <c r="Z108">
        <f>SUMIF(RawDataDead!$B:$B,$A108,RawDataDead!AC:AC)</f>
        <v>0</v>
      </c>
      <c r="AA108">
        <f>SUMIF(RawDataDead!$B:$B,$A108,RawDataDead!AD:AD)</f>
        <v>0</v>
      </c>
      <c r="AB108">
        <f>SUMIF(RawDataDead!$B:$B,$A108,RawDataDead!AE:AE)</f>
        <v>0</v>
      </c>
      <c r="AC108">
        <f>SUMIF(RawDataDead!$B:$B,$A108,RawDataDead!AF:AF)</f>
        <v>0</v>
      </c>
      <c r="AD108">
        <f>SUMIF(RawDataDead!$B:$B,$A108,RawDataDead!AG:AG)</f>
        <v>0</v>
      </c>
      <c r="AE108">
        <f>SUMIF(RawDataDead!$B:$B,$A108,RawDataDead!AH:AH)</f>
        <v>0</v>
      </c>
      <c r="AF108">
        <f>SUMIF(RawDataDead!$B:$B,$A108,RawDataDead!AI:AI)</f>
        <v>0</v>
      </c>
      <c r="AG108">
        <f>SUMIF(RawDataDead!$B:$B,$A108,RawDataDead!AJ:AJ)</f>
        <v>0</v>
      </c>
      <c r="AH108">
        <f>SUMIF(RawDataDead!$B:$B,$A108,RawDataDead!AK:AK)</f>
        <v>0</v>
      </c>
      <c r="AI108">
        <f>SUMIF(RawDataDead!$B:$B,$A108,RawDataDead!AL:AL)</f>
        <v>0</v>
      </c>
      <c r="AJ108">
        <f>SUMIF(RawDataDead!$B:$B,$A108,RawDataDead!AM:AM)</f>
        <v>0</v>
      </c>
      <c r="AK108">
        <f>SUMIF(RawDataDead!$B:$B,$A108,RawDataDead!AN:AN)</f>
        <v>0</v>
      </c>
      <c r="AL108">
        <f>SUMIF(RawDataDead!$B:$B,$A108,RawDataDead!AO:AO)</f>
        <v>0</v>
      </c>
      <c r="AM108">
        <f>SUMIF(RawDataDead!$B:$B,$A108,RawDataDead!AP:AP)</f>
        <v>0</v>
      </c>
      <c r="AN108">
        <f>SUMIF(RawDataDead!$B:$B,$A108,RawDataDead!AQ:AQ)</f>
        <v>0</v>
      </c>
      <c r="AO108">
        <f>SUMIF(RawDataDead!$B:$B,$A108,RawDataDead!AR:AR)</f>
        <v>0</v>
      </c>
      <c r="AP108">
        <f>SUMIF(RawDataDead!$B:$B,$A108,RawDataDead!AS:AS)</f>
        <v>0</v>
      </c>
      <c r="AQ108">
        <f>SUMIF(RawDataDead!$B:$B,$A108,RawDataDead!AT:AT)</f>
        <v>0</v>
      </c>
      <c r="AR108">
        <f>SUMIF(RawDataDead!$B:$B,$A108,RawDataDead!AU:AU)</f>
        <v>0</v>
      </c>
      <c r="AS108">
        <f>SUMIF(RawDataDead!$B:$B,$A108,RawDataDead!AV:AV)</f>
        <v>0</v>
      </c>
      <c r="AT108">
        <f>SUMIF(RawDataDead!$B:$B,$A108,RawDataDead!AW:AW)</f>
        <v>0</v>
      </c>
      <c r="AU108">
        <f>SUMIF(RawDataDead!$B:$B,$A108,RawDataDead!AX:AX)</f>
        <v>0</v>
      </c>
      <c r="AV108">
        <f>SUMIF(RawDataDead!$B:$B,$A108,RawDataDead!AY:AY)</f>
        <v>0</v>
      </c>
      <c r="AW108">
        <f>SUMIF(RawDataDead!$B:$B,$A108,RawDataDead!AZ:AZ)</f>
        <v>0</v>
      </c>
      <c r="AX108">
        <f>SUMIF(RawDataDead!$B:$B,$A108,RawDataDead!BA:BA)</f>
        <v>0</v>
      </c>
      <c r="AY108">
        <f>SUMIF(RawDataDead!$B:$B,$A108,RawDataDead!BB:BB)</f>
        <v>0</v>
      </c>
      <c r="AZ108">
        <f>SUMIF(RawDataDead!$B:$B,$A108,RawDataDead!BC:BC)</f>
        <v>0</v>
      </c>
      <c r="BA108">
        <f>SUMIF(RawDataDead!$B:$B,$A108,RawDataDead!BD:BD)</f>
        <v>0</v>
      </c>
      <c r="BB108">
        <f>SUMIF(RawDataDead!$B:$B,$A108,RawDataDead!BE:BE)</f>
        <v>0</v>
      </c>
      <c r="BC108">
        <f>SUMIF(RawDataDead!$B:$B,$A108,RawDataDead!BF:BF)</f>
        <v>0</v>
      </c>
      <c r="BD108">
        <f>SUMIF(RawDataDead!$B:$B,$A108,RawDataDead!BG:BG)</f>
        <v>0</v>
      </c>
      <c r="BE108">
        <f>SUMIF(RawDataDead!$B:$B,$A108,RawDataDead!BH:BH)</f>
        <v>0</v>
      </c>
      <c r="BF108">
        <f>SUMIF(RawDataDead!$B:$B,$A108,RawDataDead!BI:BI)</f>
        <v>0</v>
      </c>
      <c r="BG108">
        <f>SUMIF(RawDataDead!$B:$B,$A108,RawDataDead!BJ:BJ)</f>
        <v>0</v>
      </c>
      <c r="BH108">
        <f>SUMIF(RawDataDead!$B:$B,$A108,RawDataDead!BK:BK)</f>
        <v>0</v>
      </c>
      <c r="BI108">
        <f>SUMIF(RawDataDead!$B:$B,$A108,RawDataDead!BL:BL)</f>
        <v>0</v>
      </c>
      <c r="BJ108">
        <f>SUMIF(RawDataDead!$B:$B,$A108,RawDataDead!BM:BM)</f>
        <v>0</v>
      </c>
      <c r="BK108">
        <f>SUMIF(RawDataDead!$B:$B,$A108,RawDataDead!BN:BN)</f>
        <v>0</v>
      </c>
      <c r="BL108">
        <f>SUMIF(RawDataDead!$B:$B,$A108,RawDataDead!BO:BO)</f>
        <v>0</v>
      </c>
      <c r="BM108">
        <f>SUMIF(RawDataDead!$B:$B,$A108,RawDataDead!BP:BP)</f>
        <v>0</v>
      </c>
      <c r="BN108">
        <f>SUMIF(RawDataDead!$B:$B,$A108,RawDataDead!BQ:BQ)</f>
        <v>0</v>
      </c>
      <c r="BO108">
        <f>SUMIF(RawDataDead!$B:$B,$A108,RawDataDead!BR:BR)</f>
        <v>0</v>
      </c>
      <c r="BP108">
        <f>SUMIF(RawDataDead!$B:$B,$A108,RawDataDead!BS:BS)</f>
        <v>0</v>
      </c>
      <c r="BQ108">
        <f>SUMIF(RawDataDead!$B:$B,$A108,RawDataDead!BT:BT)</f>
        <v>0</v>
      </c>
      <c r="BR108">
        <f>SUMIF(RawDataDead!$B:$B,$A108,RawDataDead!BU:BU)</f>
        <v>0</v>
      </c>
      <c r="BS108">
        <f>SUMIF(RawDataDead!$B:$B,$A108,RawDataDead!BV:BV)</f>
        <v>0</v>
      </c>
      <c r="BT108">
        <f>SUMIF(RawDataDead!$B:$B,$A108,RawDataDead!BW:BW)</f>
        <v>0</v>
      </c>
    </row>
    <row r="109" spans="1:72" ht="15" thickBot="1" x14ac:dyDescent="0.35">
      <c r="A109" s="4" t="s">
        <v>123</v>
      </c>
      <c r="B109">
        <f>SUMIF(RawDataDead!$B:$B,$A109,RawDataDead!E:E)</f>
        <v>0</v>
      </c>
      <c r="C109">
        <f>SUMIF(RawDataDead!$B:$B,$A109,RawDataDead!F:F)</f>
        <v>0</v>
      </c>
      <c r="D109">
        <f>SUMIF(RawDataDead!$B:$B,$A109,RawDataDead!G:G)</f>
        <v>0</v>
      </c>
      <c r="E109">
        <f>SUMIF(RawDataDead!$B:$B,$A109,RawDataDead!H:H)</f>
        <v>0</v>
      </c>
      <c r="F109">
        <f>SUMIF(RawDataDead!$B:$B,$A109,RawDataDead!I:I)</f>
        <v>0</v>
      </c>
      <c r="G109">
        <f>SUMIF(RawDataDead!$B:$B,$A109,RawDataDead!J:J)</f>
        <v>0</v>
      </c>
      <c r="H109">
        <f>SUMIF(RawDataDead!$B:$B,$A109,RawDataDead!K:K)</f>
        <v>0</v>
      </c>
      <c r="I109">
        <f>SUMIF(RawDataDead!$B:$B,$A109,RawDataDead!L:L)</f>
        <v>0</v>
      </c>
      <c r="J109">
        <f>SUMIF(RawDataDead!$B:$B,$A109,RawDataDead!M:M)</f>
        <v>0</v>
      </c>
      <c r="K109">
        <f>SUMIF(RawDataDead!$B:$B,$A109,RawDataDead!N:N)</f>
        <v>0</v>
      </c>
      <c r="L109">
        <f>SUMIF(RawDataDead!$B:$B,$A109,RawDataDead!O:O)</f>
        <v>0</v>
      </c>
      <c r="M109">
        <f>SUMIF(RawDataDead!$B:$B,$A109,RawDataDead!P:P)</f>
        <v>0</v>
      </c>
      <c r="N109">
        <f>SUMIF(RawDataDead!$B:$B,$A109,RawDataDead!Q:Q)</f>
        <v>0</v>
      </c>
      <c r="O109">
        <f>SUMIF(RawDataDead!$B:$B,$A109,RawDataDead!R:R)</f>
        <v>0</v>
      </c>
      <c r="P109">
        <f>SUMIF(RawDataDead!$B:$B,$A109,RawDataDead!S:S)</f>
        <v>0</v>
      </c>
      <c r="Q109">
        <f>SUMIF(RawDataDead!$B:$B,$A109,RawDataDead!T:T)</f>
        <v>0</v>
      </c>
      <c r="R109">
        <f>SUMIF(RawDataDead!$B:$B,$A109,RawDataDead!U:U)</f>
        <v>0</v>
      </c>
      <c r="S109">
        <f>SUMIF(RawDataDead!$B:$B,$A109,RawDataDead!V:V)</f>
        <v>0</v>
      </c>
      <c r="T109">
        <f>SUMIF(RawDataDead!$B:$B,$A109,RawDataDead!W:W)</f>
        <v>0</v>
      </c>
      <c r="U109">
        <f>SUMIF(RawDataDead!$B:$B,$A109,RawDataDead!X:X)</f>
        <v>0</v>
      </c>
      <c r="V109">
        <f>SUMIF(RawDataDead!$B:$B,$A109,RawDataDead!Y:Y)</f>
        <v>0</v>
      </c>
      <c r="W109">
        <f>SUMIF(RawDataDead!$B:$B,$A109,RawDataDead!Z:Z)</f>
        <v>0</v>
      </c>
      <c r="X109">
        <f>SUMIF(RawDataDead!$B:$B,$A109,RawDataDead!AA:AA)</f>
        <v>0</v>
      </c>
      <c r="Y109">
        <f>SUMIF(RawDataDead!$B:$B,$A109,RawDataDead!AB:AB)</f>
        <v>0</v>
      </c>
      <c r="Z109">
        <f>SUMIF(RawDataDead!$B:$B,$A109,RawDataDead!AC:AC)</f>
        <v>0</v>
      </c>
      <c r="AA109">
        <f>SUMIF(RawDataDead!$B:$B,$A109,RawDataDead!AD:AD)</f>
        <v>0</v>
      </c>
      <c r="AB109">
        <f>SUMIF(RawDataDead!$B:$B,$A109,RawDataDead!AE:AE)</f>
        <v>0</v>
      </c>
      <c r="AC109">
        <f>SUMIF(RawDataDead!$B:$B,$A109,RawDataDead!AF:AF)</f>
        <v>0</v>
      </c>
      <c r="AD109">
        <f>SUMIF(RawDataDead!$B:$B,$A109,RawDataDead!AG:AG)</f>
        <v>0</v>
      </c>
      <c r="AE109">
        <f>SUMIF(RawDataDead!$B:$B,$A109,RawDataDead!AH:AH)</f>
        <v>0</v>
      </c>
      <c r="AF109">
        <f>SUMIF(RawDataDead!$B:$B,$A109,RawDataDead!AI:AI)</f>
        <v>0</v>
      </c>
      <c r="AG109">
        <f>SUMIF(RawDataDead!$B:$B,$A109,RawDataDead!AJ:AJ)</f>
        <v>0</v>
      </c>
      <c r="AH109">
        <f>SUMIF(RawDataDead!$B:$B,$A109,RawDataDead!AK:AK)</f>
        <v>0</v>
      </c>
      <c r="AI109">
        <f>SUMIF(RawDataDead!$B:$B,$A109,RawDataDead!AL:AL)</f>
        <v>0</v>
      </c>
      <c r="AJ109">
        <f>SUMIF(RawDataDead!$B:$B,$A109,RawDataDead!AM:AM)</f>
        <v>0</v>
      </c>
      <c r="AK109">
        <f>SUMIF(RawDataDead!$B:$B,$A109,RawDataDead!AN:AN)</f>
        <v>0</v>
      </c>
      <c r="AL109">
        <f>SUMIF(RawDataDead!$B:$B,$A109,RawDataDead!AO:AO)</f>
        <v>0</v>
      </c>
      <c r="AM109">
        <f>SUMIF(RawDataDead!$B:$B,$A109,RawDataDead!AP:AP)</f>
        <v>0</v>
      </c>
      <c r="AN109">
        <f>SUMIF(RawDataDead!$B:$B,$A109,RawDataDead!AQ:AQ)</f>
        <v>0</v>
      </c>
      <c r="AO109">
        <f>SUMIF(RawDataDead!$B:$B,$A109,RawDataDead!AR:AR)</f>
        <v>0</v>
      </c>
      <c r="AP109">
        <f>SUMIF(RawDataDead!$B:$B,$A109,RawDataDead!AS:AS)</f>
        <v>0</v>
      </c>
      <c r="AQ109">
        <f>SUMIF(RawDataDead!$B:$B,$A109,RawDataDead!AT:AT)</f>
        <v>0</v>
      </c>
      <c r="AR109">
        <f>SUMIF(RawDataDead!$B:$B,$A109,RawDataDead!AU:AU)</f>
        <v>0</v>
      </c>
      <c r="AS109">
        <f>SUMIF(RawDataDead!$B:$B,$A109,RawDataDead!AV:AV)</f>
        <v>0</v>
      </c>
      <c r="AT109">
        <f>SUMIF(RawDataDead!$B:$B,$A109,RawDataDead!AW:AW)</f>
        <v>0</v>
      </c>
      <c r="AU109">
        <f>SUMIF(RawDataDead!$B:$B,$A109,RawDataDead!AX:AX)</f>
        <v>0</v>
      </c>
      <c r="AV109">
        <f>SUMIF(RawDataDead!$B:$B,$A109,RawDataDead!AY:AY)</f>
        <v>0</v>
      </c>
      <c r="AW109">
        <f>SUMIF(RawDataDead!$B:$B,$A109,RawDataDead!AZ:AZ)</f>
        <v>0</v>
      </c>
      <c r="AX109">
        <f>SUMIF(RawDataDead!$B:$B,$A109,RawDataDead!BA:BA)</f>
        <v>0</v>
      </c>
      <c r="AY109">
        <f>SUMIF(RawDataDead!$B:$B,$A109,RawDataDead!BB:BB)</f>
        <v>0</v>
      </c>
      <c r="AZ109">
        <f>SUMIF(RawDataDead!$B:$B,$A109,RawDataDead!BC:BC)</f>
        <v>0</v>
      </c>
      <c r="BA109">
        <f>SUMIF(RawDataDead!$B:$B,$A109,RawDataDead!BD:BD)</f>
        <v>0</v>
      </c>
      <c r="BB109">
        <f>SUMIF(RawDataDead!$B:$B,$A109,RawDataDead!BE:BE)</f>
        <v>0</v>
      </c>
      <c r="BC109">
        <f>SUMIF(RawDataDead!$B:$B,$A109,RawDataDead!BF:BF)</f>
        <v>0</v>
      </c>
      <c r="BD109">
        <f>SUMIF(RawDataDead!$B:$B,$A109,RawDataDead!BG:BG)</f>
        <v>0</v>
      </c>
      <c r="BE109">
        <f>SUMIF(RawDataDead!$B:$B,$A109,RawDataDead!BH:BH)</f>
        <v>0</v>
      </c>
      <c r="BF109">
        <f>SUMIF(RawDataDead!$B:$B,$A109,RawDataDead!BI:BI)</f>
        <v>0</v>
      </c>
      <c r="BG109">
        <f>SUMIF(RawDataDead!$B:$B,$A109,RawDataDead!BJ:BJ)</f>
        <v>0</v>
      </c>
      <c r="BH109">
        <f>SUMIF(RawDataDead!$B:$B,$A109,RawDataDead!BK:BK)</f>
        <v>0</v>
      </c>
      <c r="BI109">
        <f>SUMIF(RawDataDead!$B:$B,$A109,RawDataDead!BL:BL)</f>
        <v>0</v>
      </c>
      <c r="BJ109">
        <f>SUMIF(RawDataDead!$B:$B,$A109,RawDataDead!BM:BM)</f>
        <v>0</v>
      </c>
      <c r="BK109">
        <f>SUMIF(RawDataDead!$B:$B,$A109,RawDataDead!BN:BN)</f>
        <v>0</v>
      </c>
      <c r="BL109">
        <f>SUMIF(RawDataDead!$B:$B,$A109,RawDataDead!BO:BO)</f>
        <v>0</v>
      </c>
      <c r="BM109">
        <f>SUMIF(RawDataDead!$B:$B,$A109,RawDataDead!BP:BP)</f>
        <v>0</v>
      </c>
      <c r="BN109">
        <f>SUMIF(RawDataDead!$B:$B,$A109,RawDataDead!BQ:BQ)</f>
        <v>0</v>
      </c>
      <c r="BO109">
        <f>SUMIF(RawDataDead!$B:$B,$A109,RawDataDead!BR:BR)</f>
        <v>0</v>
      </c>
      <c r="BP109">
        <f>SUMIF(RawDataDead!$B:$B,$A109,RawDataDead!BS:BS)</f>
        <v>0</v>
      </c>
      <c r="BQ109">
        <f>SUMIF(RawDataDead!$B:$B,$A109,RawDataDead!BT:BT)</f>
        <v>0</v>
      </c>
      <c r="BR109">
        <f>SUMIF(RawDataDead!$B:$B,$A109,RawDataDead!BU:BU)</f>
        <v>0</v>
      </c>
      <c r="BS109">
        <f>SUMIF(RawDataDead!$B:$B,$A109,RawDataDead!BV:BV)</f>
        <v>0</v>
      </c>
      <c r="BT109">
        <f>SUMIF(RawDataDead!$B:$B,$A109,RawDataDead!BW:BW)</f>
        <v>0</v>
      </c>
    </row>
    <row r="110" spans="1:72" ht="15" thickBot="1" x14ac:dyDescent="0.35">
      <c r="A110" s="4" t="s">
        <v>136</v>
      </c>
      <c r="B110">
        <f>SUMIF(RawDataDead!$B:$B,$A110,RawDataDead!E:E)</f>
        <v>0</v>
      </c>
      <c r="C110">
        <f>SUMIF(RawDataDead!$B:$B,$A110,RawDataDead!F:F)</f>
        <v>0</v>
      </c>
      <c r="D110">
        <f>SUMIF(RawDataDead!$B:$B,$A110,RawDataDead!G:G)</f>
        <v>0</v>
      </c>
      <c r="E110">
        <f>SUMIF(RawDataDead!$B:$B,$A110,RawDataDead!H:H)</f>
        <v>0</v>
      </c>
      <c r="F110">
        <f>SUMIF(RawDataDead!$B:$B,$A110,RawDataDead!I:I)</f>
        <v>0</v>
      </c>
      <c r="G110">
        <f>SUMIF(RawDataDead!$B:$B,$A110,RawDataDead!J:J)</f>
        <v>0</v>
      </c>
      <c r="H110">
        <f>SUMIF(RawDataDead!$B:$B,$A110,RawDataDead!K:K)</f>
        <v>0</v>
      </c>
      <c r="I110">
        <f>SUMIF(RawDataDead!$B:$B,$A110,RawDataDead!L:L)</f>
        <v>0</v>
      </c>
      <c r="J110">
        <f>SUMIF(RawDataDead!$B:$B,$A110,RawDataDead!M:M)</f>
        <v>0</v>
      </c>
      <c r="K110">
        <f>SUMIF(RawDataDead!$B:$B,$A110,RawDataDead!N:N)</f>
        <v>0</v>
      </c>
      <c r="L110">
        <f>SUMIF(RawDataDead!$B:$B,$A110,RawDataDead!O:O)</f>
        <v>0</v>
      </c>
      <c r="M110">
        <f>SUMIF(RawDataDead!$B:$B,$A110,RawDataDead!P:P)</f>
        <v>0</v>
      </c>
      <c r="N110">
        <f>SUMIF(RawDataDead!$B:$B,$A110,RawDataDead!Q:Q)</f>
        <v>0</v>
      </c>
      <c r="O110">
        <f>SUMIF(RawDataDead!$B:$B,$A110,RawDataDead!R:R)</f>
        <v>0</v>
      </c>
      <c r="P110">
        <f>SUMIF(RawDataDead!$B:$B,$A110,RawDataDead!S:S)</f>
        <v>0</v>
      </c>
      <c r="Q110">
        <f>SUMIF(RawDataDead!$B:$B,$A110,RawDataDead!T:T)</f>
        <v>0</v>
      </c>
      <c r="R110">
        <f>SUMIF(RawDataDead!$B:$B,$A110,RawDataDead!U:U)</f>
        <v>0</v>
      </c>
      <c r="S110">
        <f>SUMIF(RawDataDead!$B:$B,$A110,RawDataDead!V:V)</f>
        <v>0</v>
      </c>
      <c r="T110">
        <f>SUMIF(RawDataDead!$B:$B,$A110,RawDataDead!W:W)</f>
        <v>0</v>
      </c>
      <c r="U110">
        <f>SUMIF(RawDataDead!$B:$B,$A110,RawDataDead!X:X)</f>
        <v>0</v>
      </c>
      <c r="V110">
        <f>SUMIF(RawDataDead!$B:$B,$A110,RawDataDead!Y:Y)</f>
        <v>0</v>
      </c>
      <c r="W110">
        <f>SUMIF(RawDataDead!$B:$B,$A110,RawDataDead!Z:Z)</f>
        <v>0</v>
      </c>
      <c r="X110">
        <f>SUMIF(RawDataDead!$B:$B,$A110,RawDataDead!AA:AA)</f>
        <v>0</v>
      </c>
      <c r="Y110">
        <f>SUMIF(RawDataDead!$B:$B,$A110,RawDataDead!AB:AB)</f>
        <v>0</v>
      </c>
      <c r="Z110">
        <f>SUMIF(RawDataDead!$B:$B,$A110,RawDataDead!AC:AC)</f>
        <v>0</v>
      </c>
      <c r="AA110">
        <f>SUMIF(RawDataDead!$B:$B,$A110,RawDataDead!AD:AD)</f>
        <v>0</v>
      </c>
      <c r="AB110">
        <f>SUMIF(RawDataDead!$B:$B,$A110,RawDataDead!AE:AE)</f>
        <v>0</v>
      </c>
      <c r="AC110">
        <f>SUMIF(RawDataDead!$B:$B,$A110,RawDataDead!AF:AF)</f>
        <v>0</v>
      </c>
      <c r="AD110">
        <f>SUMIF(RawDataDead!$B:$B,$A110,RawDataDead!AG:AG)</f>
        <v>0</v>
      </c>
      <c r="AE110">
        <f>SUMIF(RawDataDead!$B:$B,$A110,RawDataDead!AH:AH)</f>
        <v>0</v>
      </c>
      <c r="AF110">
        <f>SUMIF(RawDataDead!$B:$B,$A110,RawDataDead!AI:AI)</f>
        <v>0</v>
      </c>
      <c r="AG110">
        <f>SUMIF(RawDataDead!$B:$B,$A110,RawDataDead!AJ:AJ)</f>
        <v>0</v>
      </c>
      <c r="AH110">
        <f>SUMIF(RawDataDead!$B:$B,$A110,RawDataDead!AK:AK)</f>
        <v>0</v>
      </c>
      <c r="AI110">
        <f>SUMIF(RawDataDead!$B:$B,$A110,RawDataDead!AL:AL)</f>
        <v>0</v>
      </c>
      <c r="AJ110">
        <f>SUMIF(RawDataDead!$B:$B,$A110,RawDataDead!AM:AM)</f>
        <v>0</v>
      </c>
      <c r="AK110">
        <f>SUMIF(RawDataDead!$B:$B,$A110,RawDataDead!AN:AN)</f>
        <v>0</v>
      </c>
      <c r="AL110">
        <f>SUMIF(RawDataDead!$B:$B,$A110,RawDataDead!AO:AO)</f>
        <v>0</v>
      </c>
      <c r="AM110">
        <f>SUMIF(RawDataDead!$B:$B,$A110,RawDataDead!AP:AP)</f>
        <v>0</v>
      </c>
      <c r="AN110">
        <f>SUMIF(RawDataDead!$B:$B,$A110,RawDataDead!AQ:AQ)</f>
        <v>0</v>
      </c>
      <c r="AO110">
        <f>SUMIF(RawDataDead!$B:$B,$A110,RawDataDead!AR:AR)</f>
        <v>0</v>
      </c>
      <c r="AP110">
        <f>SUMIF(RawDataDead!$B:$B,$A110,RawDataDead!AS:AS)</f>
        <v>0</v>
      </c>
      <c r="AQ110">
        <f>SUMIF(RawDataDead!$B:$B,$A110,RawDataDead!AT:AT)</f>
        <v>0</v>
      </c>
      <c r="AR110">
        <f>SUMIF(RawDataDead!$B:$B,$A110,RawDataDead!AU:AU)</f>
        <v>0</v>
      </c>
      <c r="AS110">
        <f>SUMIF(RawDataDead!$B:$B,$A110,RawDataDead!AV:AV)</f>
        <v>0</v>
      </c>
      <c r="AT110">
        <f>SUMIF(RawDataDead!$B:$B,$A110,RawDataDead!AW:AW)</f>
        <v>0</v>
      </c>
      <c r="AU110">
        <f>SUMIF(RawDataDead!$B:$B,$A110,RawDataDead!AX:AX)</f>
        <v>0</v>
      </c>
      <c r="AV110">
        <f>SUMIF(RawDataDead!$B:$B,$A110,RawDataDead!AY:AY)</f>
        <v>0</v>
      </c>
      <c r="AW110">
        <f>SUMIF(RawDataDead!$B:$B,$A110,RawDataDead!AZ:AZ)</f>
        <v>0</v>
      </c>
      <c r="AX110">
        <f>SUMIF(RawDataDead!$B:$B,$A110,RawDataDead!BA:BA)</f>
        <v>0</v>
      </c>
      <c r="AY110">
        <f>SUMIF(RawDataDead!$B:$B,$A110,RawDataDead!BB:BB)</f>
        <v>0</v>
      </c>
      <c r="AZ110">
        <f>SUMIF(RawDataDead!$B:$B,$A110,RawDataDead!BC:BC)</f>
        <v>0</v>
      </c>
      <c r="BA110">
        <f>SUMIF(RawDataDead!$B:$B,$A110,RawDataDead!BD:BD)</f>
        <v>0</v>
      </c>
      <c r="BB110">
        <f>SUMIF(RawDataDead!$B:$B,$A110,RawDataDead!BE:BE)</f>
        <v>0</v>
      </c>
      <c r="BC110">
        <f>SUMIF(RawDataDead!$B:$B,$A110,RawDataDead!BF:BF)</f>
        <v>0</v>
      </c>
      <c r="BD110">
        <f>SUMIF(RawDataDead!$B:$B,$A110,RawDataDead!BG:BG)</f>
        <v>0</v>
      </c>
      <c r="BE110">
        <f>SUMIF(RawDataDead!$B:$B,$A110,RawDataDead!BH:BH)</f>
        <v>0</v>
      </c>
      <c r="BF110">
        <f>SUMIF(RawDataDead!$B:$B,$A110,RawDataDead!BI:BI)</f>
        <v>0</v>
      </c>
      <c r="BG110">
        <f>SUMIF(RawDataDead!$B:$B,$A110,RawDataDead!BJ:BJ)</f>
        <v>0</v>
      </c>
      <c r="BH110">
        <f>SUMIF(RawDataDead!$B:$B,$A110,RawDataDead!BK:BK)</f>
        <v>0</v>
      </c>
      <c r="BI110">
        <f>SUMIF(RawDataDead!$B:$B,$A110,RawDataDead!BL:BL)</f>
        <v>0</v>
      </c>
      <c r="BJ110">
        <f>SUMIF(RawDataDead!$B:$B,$A110,RawDataDead!BM:BM)</f>
        <v>0</v>
      </c>
      <c r="BK110">
        <f>SUMIF(RawDataDead!$B:$B,$A110,RawDataDead!BN:BN)</f>
        <v>0</v>
      </c>
      <c r="BL110">
        <f>SUMIF(RawDataDead!$B:$B,$A110,RawDataDead!BO:BO)</f>
        <v>0</v>
      </c>
      <c r="BM110">
        <f>SUMIF(RawDataDead!$B:$B,$A110,RawDataDead!BP:BP)</f>
        <v>0</v>
      </c>
      <c r="BN110">
        <f>SUMIF(RawDataDead!$B:$B,$A110,RawDataDead!BQ:BQ)</f>
        <v>0</v>
      </c>
      <c r="BO110">
        <f>SUMIF(RawDataDead!$B:$B,$A110,RawDataDead!BR:BR)</f>
        <v>0</v>
      </c>
      <c r="BP110">
        <f>SUMIF(RawDataDead!$B:$B,$A110,RawDataDead!BS:BS)</f>
        <v>0</v>
      </c>
      <c r="BQ110">
        <f>SUMIF(RawDataDead!$B:$B,$A110,RawDataDead!BT:BT)</f>
        <v>0</v>
      </c>
      <c r="BR110">
        <f>SUMIF(RawDataDead!$B:$B,$A110,RawDataDead!BU:BU)</f>
        <v>0</v>
      </c>
      <c r="BS110">
        <f>SUMIF(RawDataDead!$B:$B,$A110,RawDataDead!BV:BV)</f>
        <v>0</v>
      </c>
      <c r="BT110">
        <f>SUMIF(RawDataDead!$B:$B,$A110,RawDataDead!BW:BW)</f>
        <v>0</v>
      </c>
    </row>
    <row r="111" spans="1:72" ht="15" thickBot="1" x14ac:dyDescent="0.35">
      <c r="A111" s="4" t="s">
        <v>452</v>
      </c>
      <c r="B111">
        <f>SUMIF(RawDataDead!$B:$B,$A111,RawDataDead!E:E)</f>
        <v>0</v>
      </c>
      <c r="C111">
        <f>SUMIF(RawDataDead!$B:$B,$A111,RawDataDead!F:F)</f>
        <v>0</v>
      </c>
      <c r="D111">
        <f>SUMIF(RawDataDead!$B:$B,$A111,RawDataDead!G:G)</f>
        <v>0</v>
      </c>
      <c r="E111">
        <f>SUMIF(RawDataDead!$B:$B,$A111,RawDataDead!H:H)</f>
        <v>0</v>
      </c>
      <c r="F111">
        <f>SUMIF(RawDataDead!$B:$B,$A111,RawDataDead!I:I)</f>
        <v>0</v>
      </c>
      <c r="G111">
        <f>SUMIF(RawDataDead!$B:$B,$A111,RawDataDead!J:J)</f>
        <v>0</v>
      </c>
      <c r="H111">
        <f>SUMIF(RawDataDead!$B:$B,$A111,RawDataDead!K:K)</f>
        <v>0</v>
      </c>
      <c r="I111">
        <f>SUMIF(RawDataDead!$B:$B,$A111,RawDataDead!L:L)</f>
        <v>0</v>
      </c>
      <c r="J111">
        <f>SUMIF(RawDataDead!$B:$B,$A111,RawDataDead!M:M)</f>
        <v>0</v>
      </c>
      <c r="K111">
        <f>SUMIF(RawDataDead!$B:$B,$A111,RawDataDead!N:N)</f>
        <v>0</v>
      </c>
      <c r="L111">
        <f>SUMIF(RawDataDead!$B:$B,$A111,RawDataDead!O:O)</f>
        <v>0</v>
      </c>
      <c r="M111">
        <f>SUMIF(RawDataDead!$B:$B,$A111,RawDataDead!P:P)</f>
        <v>0</v>
      </c>
      <c r="N111">
        <f>SUMIF(RawDataDead!$B:$B,$A111,RawDataDead!Q:Q)</f>
        <v>0</v>
      </c>
      <c r="O111">
        <f>SUMIF(RawDataDead!$B:$B,$A111,RawDataDead!R:R)</f>
        <v>0</v>
      </c>
      <c r="P111">
        <f>SUMIF(RawDataDead!$B:$B,$A111,RawDataDead!S:S)</f>
        <v>0</v>
      </c>
      <c r="Q111">
        <f>SUMIF(RawDataDead!$B:$B,$A111,RawDataDead!T:T)</f>
        <v>0</v>
      </c>
      <c r="R111">
        <f>SUMIF(RawDataDead!$B:$B,$A111,RawDataDead!U:U)</f>
        <v>0</v>
      </c>
      <c r="S111">
        <f>SUMIF(RawDataDead!$B:$B,$A111,RawDataDead!V:V)</f>
        <v>0</v>
      </c>
      <c r="T111">
        <f>SUMIF(RawDataDead!$B:$B,$A111,RawDataDead!W:W)</f>
        <v>0</v>
      </c>
      <c r="U111">
        <f>SUMIF(RawDataDead!$B:$B,$A111,RawDataDead!X:X)</f>
        <v>0</v>
      </c>
      <c r="V111">
        <f>SUMIF(RawDataDead!$B:$B,$A111,RawDataDead!Y:Y)</f>
        <v>0</v>
      </c>
      <c r="W111">
        <f>SUMIF(RawDataDead!$B:$B,$A111,RawDataDead!Z:Z)</f>
        <v>0</v>
      </c>
      <c r="X111">
        <f>SUMIF(RawDataDead!$B:$B,$A111,RawDataDead!AA:AA)</f>
        <v>0</v>
      </c>
      <c r="Y111">
        <f>SUMIF(RawDataDead!$B:$B,$A111,RawDataDead!AB:AB)</f>
        <v>0</v>
      </c>
      <c r="Z111">
        <f>SUMIF(RawDataDead!$B:$B,$A111,RawDataDead!AC:AC)</f>
        <v>0</v>
      </c>
      <c r="AA111">
        <f>SUMIF(RawDataDead!$B:$B,$A111,RawDataDead!AD:AD)</f>
        <v>0</v>
      </c>
      <c r="AB111">
        <f>SUMIF(RawDataDead!$B:$B,$A111,RawDataDead!AE:AE)</f>
        <v>0</v>
      </c>
      <c r="AC111">
        <f>SUMIF(RawDataDead!$B:$B,$A111,RawDataDead!AF:AF)</f>
        <v>0</v>
      </c>
      <c r="AD111">
        <f>SUMIF(RawDataDead!$B:$B,$A111,RawDataDead!AG:AG)</f>
        <v>0</v>
      </c>
      <c r="AE111">
        <f>SUMIF(RawDataDead!$B:$B,$A111,RawDataDead!AH:AH)</f>
        <v>0</v>
      </c>
      <c r="AF111">
        <f>SUMIF(RawDataDead!$B:$B,$A111,RawDataDead!AI:AI)</f>
        <v>0</v>
      </c>
      <c r="AG111">
        <f>SUMIF(RawDataDead!$B:$B,$A111,RawDataDead!AJ:AJ)</f>
        <v>0</v>
      </c>
      <c r="AH111">
        <f>SUMIF(RawDataDead!$B:$B,$A111,RawDataDead!AK:AK)</f>
        <v>0</v>
      </c>
      <c r="AI111">
        <f>SUMIF(RawDataDead!$B:$B,$A111,RawDataDead!AL:AL)</f>
        <v>0</v>
      </c>
      <c r="AJ111">
        <f>SUMIF(RawDataDead!$B:$B,$A111,RawDataDead!AM:AM)</f>
        <v>0</v>
      </c>
      <c r="AK111">
        <f>SUMIF(RawDataDead!$B:$B,$A111,RawDataDead!AN:AN)</f>
        <v>0</v>
      </c>
      <c r="AL111">
        <f>SUMIF(RawDataDead!$B:$B,$A111,RawDataDead!AO:AO)</f>
        <v>0</v>
      </c>
      <c r="AM111">
        <f>SUMIF(RawDataDead!$B:$B,$A111,RawDataDead!AP:AP)</f>
        <v>0</v>
      </c>
      <c r="AN111">
        <f>SUMIF(RawDataDead!$B:$B,$A111,RawDataDead!AQ:AQ)</f>
        <v>0</v>
      </c>
      <c r="AO111">
        <f>SUMIF(RawDataDead!$B:$B,$A111,RawDataDead!AR:AR)</f>
        <v>0</v>
      </c>
      <c r="AP111">
        <f>SUMIF(RawDataDead!$B:$B,$A111,RawDataDead!AS:AS)</f>
        <v>0</v>
      </c>
      <c r="AQ111">
        <f>SUMIF(RawDataDead!$B:$B,$A111,RawDataDead!AT:AT)</f>
        <v>0</v>
      </c>
      <c r="AR111">
        <f>SUMIF(RawDataDead!$B:$B,$A111,RawDataDead!AU:AU)</f>
        <v>0</v>
      </c>
      <c r="AS111">
        <f>SUMIF(RawDataDead!$B:$B,$A111,RawDataDead!AV:AV)</f>
        <v>0</v>
      </c>
      <c r="AT111">
        <f>SUMIF(RawDataDead!$B:$B,$A111,RawDataDead!AW:AW)</f>
        <v>0</v>
      </c>
      <c r="AU111">
        <f>SUMIF(RawDataDead!$B:$B,$A111,RawDataDead!AX:AX)</f>
        <v>0</v>
      </c>
      <c r="AV111">
        <f>SUMIF(RawDataDead!$B:$B,$A111,RawDataDead!AY:AY)</f>
        <v>0</v>
      </c>
      <c r="AW111">
        <f>SUMIF(RawDataDead!$B:$B,$A111,RawDataDead!AZ:AZ)</f>
        <v>0</v>
      </c>
      <c r="AX111">
        <f>SUMIF(RawDataDead!$B:$B,$A111,RawDataDead!BA:BA)</f>
        <v>0</v>
      </c>
      <c r="AY111">
        <f>SUMIF(RawDataDead!$B:$B,$A111,RawDataDead!BB:BB)</f>
        <v>0</v>
      </c>
      <c r="AZ111">
        <f>SUMIF(RawDataDead!$B:$B,$A111,RawDataDead!BC:BC)</f>
        <v>0</v>
      </c>
      <c r="BA111">
        <f>SUMIF(RawDataDead!$B:$B,$A111,RawDataDead!BD:BD)</f>
        <v>0</v>
      </c>
      <c r="BB111">
        <f>SUMIF(RawDataDead!$B:$B,$A111,RawDataDead!BE:BE)</f>
        <v>0</v>
      </c>
      <c r="BC111">
        <f>SUMIF(RawDataDead!$B:$B,$A111,RawDataDead!BF:BF)</f>
        <v>0</v>
      </c>
      <c r="BD111">
        <f>SUMIF(RawDataDead!$B:$B,$A111,RawDataDead!BG:BG)</f>
        <v>0</v>
      </c>
      <c r="BE111">
        <f>SUMIF(RawDataDead!$B:$B,$A111,RawDataDead!BH:BH)</f>
        <v>0</v>
      </c>
      <c r="BF111">
        <f>SUMIF(RawDataDead!$B:$B,$A111,RawDataDead!BI:BI)</f>
        <v>0</v>
      </c>
      <c r="BG111">
        <f>SUMIF(RawDataDead!$B:$B,$A111,RawDataDead!BJ:BJ)</f>
        <v>0</v>
      </c>
      <c r="BH111">
        <f>SUMIF(RawDataDead!$B:$B,$A111,RawDataDead!BK:BK)</f>
        <v>0</v>
      </c>
      <c r="BI111">
        <f>SUMIF(RawDataDead!$B:$B,$A111,RawDataDead!BL:BL)</f>
        <v>0</v>
      </c>
      <c r="BJ111">
        <f>SUMIF(RawDataDead!$B:$B,$A111,RawDataDead!BM:BM)</f>
        <v>0</v>
      </c>
      <c r="BK111">
        <f>SUMIF(RawDataDead!$B:$B,$A111,RawDataDead!BN:BN)</f>
        <v>0</v>
      </c>
      <c r="BL111">
        <f>SUMIF(RawDataDead!$B:$B,$A111,RawDataDead!BO:BO)</f>
        <v>0</v>
      </c>
      <c r="BM111">
        <f>SUMIF(RawDataDead!$B:$B,$A111,RawDataDead!BP:BP)</f>
        <v>0</v>
      </c>
      <c r="BN111">
        <f>SUMIF(RawDataDead!$B:$B,$A111,RawDataDead!BQ:BQ)</f>
        <v>0</v>
      </c>
      <c r="BO111">
        <f>SUMIF(RawDataDead!$B:$B,$A111,RawDataDead!BR:BR)</f>
        <v>0</v>
      </c>
      <c r="BP111">
        <f>SUMIF(RawDataDead!$B:$B,$A111,RawDataDead!BS:BS)</f>
        <v>0</v>
      </c>
      <c r="BQ111">
        <f>SUMIF(RawDataDead!$B:$B,$A111,RawDataDead!BT:BT)</f>
        <v>0</v>
      </c>
      <c r="BR111">
        <f>SUMIF(RawDataDead!$B:$B,$A111,RawDataDead!BU:BU)</f>
        <v>0</v>
      </c>
      <c r="BS111">
        <f>SUMIF(RawDataDead!$B:$B,$A111,RawDataDead!BV:BV)</f>
        <v>0</v>
      </c>
      <c r="BT111">
        <f>SUMIF(RawDataDead!$B:$B,$A111,RawDataDead!BW:BW)</f>
        <v>0</v>
      </c>
    </row>
    <row r="112" spans="1:72" ht="15" thickBot="1" x14ac:dyDescent="0.35">
      <c r="A112" s="4" t="s">
        <v>183</v>
      </c>
      <c r="B112">
        <f>SUMIF(RawDataDead!$B:$B,$A112,RawDataDead!E:E)</f>
        <v>0</v>
      </c>
      <c r="C112">
        <f>SUMIF(RawDataDead!$B:$B,$A112,RawDataDead!F:F)</f>
        <v>0</v>
      </c>
      <c r="D112">
        <f>SUMIF(RawDataDead!$B:$B,$A112,RawDataDead!G:G)</f>
        <v>0</v>
      </c>
      <c r="E112">
        <f>SUMIF(RawDataDead!$B:$B,$A112,RawDataDead!H:H)</f>
        <v>0</v>
      </c>
      <c r="F112">
        <f>SUMIF(RawDataDead!$B:$B,$A112,RawDataDead!I:I)</f>
        <v>0</v>
      </c>
      <c r="G112">
        <f>SUMIF(RawDataDead!$B:$B,$A112,RawDataDead!J:J)</f>
        <v>0</v>
      </c>
      <c r="H112">
        <f>SUMIF(RawDataDead!$B:$B,$A112,RawDataDead!K:K)</f>
        <v>0</v>
      </c>
      <c r="I112">
        <f>SUMIF(RawDataDead!$B:$B,$A112,RawDataDead!L:L)</f>
        <v>0</v>
      </c>
      <c r="J112">
        <f>SUMIF(RawDataDead!$B:$B,$A112,RawDataDead!M:M)</f>
        <v>0</v>
      </c>
      <c r="K112">
        <f>SUMIF(RawDataDead!$B:$B,$A112,RawDataDead!N:N)</f>
        <v>0</v>
      </c>
      <c r="L112">
        <f>SUMIF(RawDataDead!$B:$B,$A112,RawDataDead!O:O)</f>
        <v>0</v>
      </c>
      <c r="M112">
        <f>SUMIF(RawDataDead!$B:$B,$A112,RawDataDead!P:P)</f>
        <v>0</v>
      </c>
      <c r="N112">
        <f>SUMIF(RawDataDead!$B:$B,$A112,RawDataDead!Q:Q)</f>
        <v>0</v>
      </c>
      <c r="O112">
        <f>SUMIF(RawDataDead!$B:$B,$A112,RawDataDead!R:R)</f>
        <v>0</v>
      </c>
      <c r="P112">
        <f>SUMIF(RawDataDead!$B:$B,$A112,RawDataDead!S:S)</f>
        <v>0</v>
      </c>
      <c r="Q112">
        <f>SUMIF(RawDataDead!$B:$B,$A112,RawDataDead!T:T)</f>
        <v>0</v>
      </c>
      <c r="R112">
        <f>SUMIF(RawDataDead!$B:$B,$A112,RawDataDead!U:U)</f>
        <v>0</v>
      </c>
      <c r="S112">
        <f>SUMIF(RawDataDead!$B:$B,$A112,RawDataDead!V:V)</f>
        <v>0</v>
      </c>
      <c r="T112">
        <f>SUMIF(RawDataDead!$B:$B,$A112,RawDataDead!W:W)</f>
        <v>0</v>
      </c>
      <c r="U112">
        <f>SUMIF(RawDataDead!$B:$B,$A112,RawDataDead!X:X)</f>
        <v>0</v>
      </c>
      <c r="V112">
        <f>SUMIF(RawDataDead!$B:$B,$A112,RawDataDead!Y:Y)</f>
        <v>0</v>
      </c>
      <c r="W112">
        <f>SUMIF(RawDataDead!$B:$B,$A112,RawDataDead!Z:Z)</f>
        <v>0</v>
      </c>
      <c r="X112">
        <f>SUMIF(RawDataDead!$B:$B,$A112,RawDataDead!AA:AA)</f>
        <v>0</v>
      </c>
      <c r="Y112">
        <f>SUMIF(RawDataDead!$B:$B,$A112,RawDataDead!AB:AB)</f>
        <v>0</v>
      </c>
      <c r="Z112">
        <f>SUMIF(RawDataDead!$B:$B,$A112,RawDataDead!AC:AC)</f>
        <v>0</v>
      </c>
      <c r="AA112">
        <f>SUMIF(RawDataDead!$B:$B,$A112,RawDataDead!AD:AD)</f>
        <v>0</v>
      </c>
      <c r="AB112">
        <f>SUMIF(RawDataDead!$B:$B,$A112,RawDataDead!AE:AE)</f>
        <v>0</v>
      </c>
      <c r="AC112">
        <f>SUMIF(RawDataDead!$B:$B,$A112,RawDataDead!AF:AF)</f>
        <v>0</v>
      </c>
      <c r="AD112">
        <f>SUMIF(RawDataDead!$B:$B,$A112,RawDataDead!AG:AG)</f>
        <v>0</v>
      </c>
      <c r="AE112">
        <f>SUMIF(RawDataDead!$B:$B,$A112,RawDataDead!AH:AH)</f>
        <v>0</v>
      </c>
      <c r="AF112">
        <f>SUMIF(RawDataDead!$B:$B,$A112,RawDataDead!AI:AI)</f>
        <v>0</v>
      </c>
      <c r="AG112">
        <f>SUMIF(RawDataDead!$B:$B,$A112,RawDataDead!AJ:AJ)</f>
        <v>0</v>
      </c>
      <c r="AH112">
        <f>SUMIF(RawDataDead!$B:$B,$A112,RawDataDead!AK:AK)</f>
        <v>0</v>
      </c>
      <c r="AI112">
        <f>SUMIF(RawDataDead!$B:$B,$A112,RawDataDead!AL:AL)</f>
        <v>0</v>
      </c>
      <c r="AJ112">
        <f>SUMIF(RawDataDead!$B:$B,$A112,RawDataDead!AM:AM)</f>
        <v>0</v>
      </c>
      <c r="AK112">
        <f>SUMIF(RawDataDead!$B:$B,$A112,RawDataDead!AN:AN)</f>
        <v>0</v>
      </c>
      <c r="AL112">
        <f>SUMIF(RawDataDead!$B:$B,$A112,RawDataDead!AO:AO)</f>
        <v>0</v>
      </c>
      <c r="AM112">
        <f>SUMIF(RawDataDead!$B:$B,$A112,RawDataDead!AP:AP)</f>
        <v>0</v>
      </c>
      <c r="AN112">
        <f>SUMIF(RawDataDead!$B:$B,$A112,RawDataDead!AQ:AQ)</f>
        <v>0</v>
      </c>
      <c r="AO112">
        <f>SUMIF(RawDataDead!$B:$B,$A112,RawDataDead!AR:AR)</f>
        <v>0</v>
      </c>
      <c r="AP112">
        <f>SUMIF(RawDataDead!$B:$B,$A112,RawDataDead!AS:AS)</f>
        <v>0</v>
      </c>
      <c r="AQ112">
        <f>SUMIF(RawDataDead!$B:$B,$A112,RawDataDead!AT:AT)</f>
        <v>0</v>
      </c>
      <c r="AR112">
        <f>SUMIF(RawDataDead!$B:$B,$A112,RawDataDead!AU:AU)</f>
        <v>0</v>
      </c>
      <c r="AS112">
        <f>SUMIF(RawDataDead!$B:$B,$A112,RawDataDead!AV:AV)</f>
        <v>0</v>
      </c>
      <c r="AT112">
        <f>SUMIF(RawDataDead!$B:$B,$A112,RawDataDead!AW:AW)</f>
        <v>0</v>
      </c>
      <c r="AU112">
        <f>SUMIF(RawDataDead!$B:$B,$A112,RawDataDead!AX:AX)</f>
        <v>0</v>
      </c>
      <c r="AV112">
        <f>SUMIF(RawDataDead!$B:$B,$A112,RawDataDead!AY:AY)</f>
        <v>0</v>
      </c>
      <c r="AW112">
        <f>SUMIF(RawDataDead!$B:$B,$A112,RawDataDead!AZ:AZ)</f>
        <v>0</v>
      </c>
      <c r="AX112">
        <f>SUMIF(RawDataDead!$B:$B,$A112,RawDataDead!BA:BA)</f>
        <v>0</v>
      </c>
      <c r="AY112">
        <f>SUMIF(RawDataDead!$B:$B,$A112,RawDataDead!BB:BB)</f>
        <v>0</v>
      </c>
      <c r="AZ112">
        <f>SUMIF(RawDataDead!$B:$B,$A112,RawDataDead!BC:BC)</f>
        <v>0</v>
      </c>
      <c r="BA112">
        <f>SUMIF(RawDataDead!$B:$B,$A112,RawDataDead!BD:BD)</f>
        <v>0</v>
      </c>
      <c r="BB112">
        <f>SUMIF(RawDataDead!$B:$B,$A112,RawDataDead!BE:BE)</f>
        <v>0</v>
      </c>
      <c r="BC112">
        <f>SUMIF(RawDataDead!$B:$B,$A112,RawDataDead!BF:BF)</f>
        <v>0</v>
      </c>
      <c r="BD112">
        <f>SUMIF(RawDataDead!$B:$B,$A112,RawDataDead!BG:BG)</f>
        <v>0</v>
      </c>
      <c r="BE112">
        <f>SUMIF(RawDataDead!$B:$B,$A112,RawDataDead!BH:BH)</f>
        <v>0</v>
      </c>
      <c r="BF112">
        <f>SUMIF(RawDataDead!$B:$B,$A112,RawDataDead!BI:BI)</f>
        <v>0</v>
      </c>
      <c r="BG112">
        <f>SUMIF(RawDataDead!$B:$B,$A112,RawDataDead!BJ:BJ)</f>
        <v>0</v>
      </c>
      <c r="BH112">
        <f>SUMIF(RawDataDead!$B:$B,$A112,RawDataDead!BK:BK)</f>
        <v>0</v>
      </c>
      <c r="BI112">
        <f>SUMIF(RawDataDead!$B:$B,$A112,RawDataDead!BL:BL)</f>
        <v>0</v>
      </c>
      <c r="BJ112">
        <f>SUMIF(RawDataDead!$B:$B,$A112,RawDataDead!BM:BM)</f>
        <v>0</v>
      </c>
      <c r="BK112">
        <f>SUMIF(RawDataDead!$B:$B,$A112,RawDataDead!BN:BN)</f>
        <v>0</v>
      </c>
      <c r="BL112">
        <f>SUMIF(RawDataDead!$B:$B,$A112,RawDataDead!BO:BO)</f>
        <v>0</v>
      </c>
      <c r="BM112">
        <f>SUMIF(RawDataDead!$B:$B,$A112,RawDataDead!BP:BP)</f>
        <v>0</v>
      </c>
      <c r="BN112">
        <f>SUMIF(RawDataDead!$B:$B,$A112,RawDataDead!BQ:BQ)</f>
        <v>0</v>
      </c>
      <c r="BO112">
        <f>SUMIF(RawDataDead!$B:$B,$A112,RawDataDead!BR:BR)</f>
        <v>0</v>
      </c>
      <c r="BP112">
        <f>SUMIF(RawDataDead!$B:$B,$A112,RawDataDead!BS:BS)</f>
        <v>0</v>
      </c>
      <c r="BQ112">
        <f>SUMIF(RawDataDead!$B:$B,$A112,RawDataDead!BT:BT)</f>
        <v>0</v>
      </c>
      <c r="BR112">
        <f>SUMIF(RawDataDead!$B:$B,$A112,RawDataDead!BU:BU)</f>
        <v>0</v>
      </c>
      <c r="BS112">
        <f>SUMIF(RawDataDead!$B:$B,$A112,RawDataDead!BV:BV)</f>
        <v>0</v>
      </c>
      <c r="BT112">
        <f>SUMIF(RawDataDead!$B:$B,$A112,RawDataDead!BW:BW)</f>
        <v>0</v>
      </c>
    </row>
    <row r="113" spans="1:72" ht="15" thickBot="1" x14ac:dyDescent="0.35">
      <c r="A113" s="4" t="s">
        <v>443</v>
      </c>
      <c r="B113">
        <f>SUMIF(RawDataDead!$B:$B,$A113,RawDataDead!E:E)</f>
        <v>0</v>
      </c>
      <c r="C113">
        <f>SUMIF(RawDataDead!$B:$B,$A113,RawDataDead!F:F)</f>
        <v>0</v>
      </c>
      <c r="D113">
        <f>SUMIF(RawDataDead!$B:$B,$A113,RawDataDead!G:G)</f>
        <v>0</v>
      </c>
      <c r="E113">
        <f>SUMIF(RawDataDead!$B:$B,$A113,RawDataDead!H:H)</f>
        <v>0</v>
      </c>
      <c r="F113">
        <f>SUMIF(RawDataDead!$B:$B,$A113,RawDataDead!I:I)</f>
        <v>0</v>
      </c>
      <c r="G113">
        <f>SUMIF(RawDataDead!$B:$B,$A113,RawDataDead!J:J)</f>
        <v>0</v>
      </c>
      <c r="H113">
        <f>SUMIF(RawDataDead!$B:$B,$A113,RawDataDead!K:K)</f>
        <v>0</v>
      </c>
      <c r="I113">
        <f>SUMIF(RawDataDead!$B:$B,$A113,RawDataDead!L:L)</f>
        <v>0</v>
      </c>
      <c r="J113">
        <f>SUMIF(RawDataDead!$B:$B,$A113,RawDataDead!M:M)</f>
        <v>0</v>
      </c>
      <c r="K113">
        <f>SUMIF(RawDataDead!$B:$B,$A113,RawDataDead!N:N)</f>
        <v>0</v>
      </c>
      <c r="L113">
        <f>SUMIF(RawDataDead!$B:$B,$A113,RawDataDead!O:O)</f>
        <v>0</v>
      </c>
      <c r="M113">
        <f>SUMIF(RawDataDead!$B:$B,$A113,RawDataDead!P:P)</f>
        <v>0</v>
      </c>
      <c r="N113">
        <f>SUMIF(RawDataDead!$B:$B,$A113,RawDataDead!Q:Q)</f>
        <v>0</v>
      </c>
      <c r="O113">
        <f>SUMIF(RawDataDead!$B:$B,$A113,RawDataDead!R:R)</f>
        <v>0</v>
      </c>
      <c r="P113">
        <f>SUMIF(RawDataDead!$B:$B,$A113,RawDataDead!S:S)</f>
        <v>0</v>
      </c>
      <c r="Q113">
        <f>SUMIF(RawDataDead!$B:$B,$A113,RawDataDead!T:T)</f>
        <v>0</v>
      </c>
      <c r="R113">
        <f>SUMIF(RawDataDead!$B:$B,$A113,RawDataDead!U:U)</f>
        <v>0</v>
      </c>
      <c r="S113">
        <f>SUMIF(RawDataDead!$B:$B,$A113,RawDataDead!V:V)</f>
        <v>0</v>
      </c>
      <c r="T113">
        <f>SUMIF(RawDataDead!$B:$B,$A113,RawDataDead!W:W)</f>
        <v>0</v>
      </c>
      <c r="U113">
        <f>SUMIF(RawDataDead!$B:$B,$A113,RawDataDead!X:X)</f>
        <v>0</v>
      </c>
      <c r="V113">
        <f>SUMIF(RawDataDead!$B:$B,$A113,RawDataDead!Y:Y)</f>
        <v>0</v>
      </c>
      <c r="W113">
        <f>SUMIF(RawDataDead!$B:$B,$A113,RawDataDead!Z:Z)</f>
        <v>0</v>
      </c>
      <c r="X113">
        <f>SUMIF(RawDataDead!$B:$B,$A113,RawDataDead!AA:AA)</f>
        <v>0</v>
      </c>
      <c r="Y113">
        <f>SUMIF(RawDataDead!$B:$B,$A113,RawDataDead!AB:AB)</f>
        <v>0</v>
      </c>
      <c r="Z113">
        <f>SUMIF(RawDataDead!$B:$B,$A113,RawDataDead!AC:AC)</f>
        <v>0</v>
      </c>
      <c r="AA113">
        <f>SUMIF(RawDataDead!$B:$B,$A113,RawDataDead!AD:AD)</f>
        <v>0</v>
      </c>
      <c r="AB113">
        <f>SUMIF(RawDataDead!$B:$B,$A113,RawDataDead!AE:AE)</f>
        <v>0</v>
      </c>
      <c r="AC113">
        <f>SUMIF(RawDataDead!$B:$B,$A113,RawDataDead!AF:AF)</f>
        <v>0</v>
      </c>
      <c r="AD113">
        <f>SUMIF(RawDataDead!$B:$B,$A113,RawDataDead!AG:AG)</f>
        <v>0</v>
      </c>
      <c r="AE113">
        <f>SUMIF(RawDataDead!$B:$B,$A113,RawDataDead!AH:AH)</f>
        <v>0</v>
      </c>
      <c r="AF113">
        <f>SUMIF(RawDataDead!$B:$B,$A113,RawDataDead!AI:AI)</f>
        <v>0</v>
      </c>
      <c r="AG113">
        <f>SUMIF(RawDataDead!$B:$B,$A113,RawDataDead!AJ:AJ)</f>
        <v>0</v>
      </c>
      <c r="AH113">
        <f>SUMIF(RawDataDead!$B:$B,$A113,RawDataDead!AK:AK)</f>
        <v>0</v>
      </c>
      <c r="AI113">
        <f>SUMIF(RawDataDead!$B:$B,$A113,RawDataDead!AL:AL)</f>
        <v>0</v>
      </c>
      <c r="AJ113">
        <f>SUMIF(RawDataDead!$B:$B,$A113,RawDataDead!AM:AM)</f>
        <v>0</v>
      </c>
      <c r="AK113">
        <f>SUMIF(RawDataDead!$B:$B,$A113,RawDataDead!AN:AN)</f>
        <v>0</v>
      </c>
      <c r="AL113">
        <f>SUMIF(RawDataDead!$B:$B,$A113,RawDataDead!AO:AO)</f>
        <v>0</v>
      </c>
      <c r="AM113">
        <f>SUMIF(RawDataDead!$B:$B,$A113,RawDataDead!AP:AP)</f>
        <v>0</v>
      </c>
      <c r="AN113">
        <f>SUMIF(RawDataDead!$B:$B,$A113,RawDataDead!AQ:AQ)</f>
        <v>0</v>
      </c>
      <c r="AO113">
        <f>SUMIF(RawDataDead!$B:$B,$A113,RawDataDead!AR:AR)</f>
        <v>0</v>
      </c>
      <c r="AP113">
        <f>SUMIF(RawDataDead!$B:$B,$A113,RawDataDead!AS:AS)</f>
        <v>0</v>
      </c>
      <c r="AQ113">
        <f>SUMIF(RawDataDead!$B:$B,$A113,RawDataDead!AT:AT)</f>
        <v>0</v>
      </c>
      <c r="AR113">
        <f>SUMIF(RawDataDead!$B:$B,$A113,RawDataDead!AU:AU)</f>
        <v>0</v>
      </c>
      <c r="AS113">
        <f>SUMIF(RawDataDead!$B:$B,$A113,RawDataDead!AV:AV)</f>
        <v>0</v>
      </c>
      <c r="AT113">
        <f>SUMIF(RawDataDead!$B:$B,$A113,RawDataDead!AW:AW)</f>
        <v>0</v>
      </c>
      <c r="AU113">
        <f>SUMIF(RawDataDead!$B:$B,$A113,RawDataDead!AX:AX)</f>
        <v>0</v>
      </c>
      <c r="AV113">
        <f>SUMIF(RawDataDead!$B:$B,$A113,RawDataDead!AY:AY)</f>
        <v>0</v>
      </c>
      <c r="AW113">
        <f>SUMIF(RawDataDead!$B:$B,$A113,RawDataDead!AZ:AZ)</f>
        <v>0</v>
      </c>
      <c r="AX113">
        <f>SUMIF(RawDataDead!$B:$B,$A113,RawDataDead!BA:BA)</f>
        <v>0</v>
      </c>
      <c r="AY113">
        <f>SUMIF(RawDataDead!$B:$B,$A113,RawDataDead!BB:BB)</f>
        <v>0</v>
      </c>
      <c r="AZ113">
        <f>SUMIF(RawDataDead!$B:$B,$A113,RawDataDead!BC:BC)</f>
        <v>0</v>
      </c>
      <c r="BA113">
        <f>SUMIF(RawDataDead!$B:$B,$A113,RawDataDead!BD:BD)</f>
        <v>0</v>
      </c>
      <c r="BB113">
        <f>SUMIF(RawDataDead!$B:$B,$A113,RawDataDead!BE:BE)</f>
        <v>0</v>
      </c>
      <c r="BC113">
        <f>SUMIF(RawDataDead!$B:$B,$A113,RawDataDead!BF:BF)</f>
        <v>0</v>
      </c>
      <c r="BD113">
        <f>SUMIF(RawDataDead!$B:$B,$A113,RawDataDead!BG:BG)</f>
        <v>0</v>
      </c>
      <c r="BE113">
        <f>SUMIF(RawDataDead!$B:$B,$A113,RawDataDead!BH:BH)</f>
        <v>0</v>
      </c>
      <c r="BF113">
        <f>SUMIF(RawDataDead!$B:$B,$A113,RawDataDead!BI:BI)</f>
        <v>0</v>
      </c>
      <c r="BG113">
        <f>SUMIF(RawDataDead!$B:$B,$A113,RawDataDead!BJ:BJ)</f>
        <v>0</v>
      </c>
      <c r="BH113">
        <f>SUMIF(RawDataDead!$B:$B,$A113,RawDataDead!BK:BK)</f>
        <v>0</v>
      </c>
      <c r="BI113">
        <f>SUMIF(RawDataDead!$B:$B,$A113,RawDataDead!BL:BL)</f>
        <v>0</v>
      </c>
      <c r="BJ113">
        <f>SUMIF(RawDataDead!$B:$B,$A113,RawDataDead!BM:BM)</f>
        <v>0</v>
      </c>
      <c r="BK113">
        <f>SUMIF(RawDataDead!$B:$B,$A113,RawDataDead!BN:BN)</f>
        <v>0</v>
      </c>
      <c r="BL113">
        <f>SUMIF(RawDataDead!$B:$B,$A113,RawDataDead!BO:BO)</f>
        <v>0</v>
      </c>
      <c r="BM113">
        <f>SUMIF(RawDataDead!$B:$B,$A113,RawDataDead!BP:BP)</f>
        <v>0</v>
      </c>
      <c r="BN113">
        <f>SUMIF(RawDataDead!$B:$B,$A113,RawDataDead!BQ:BQ)</f>
        <v>0</v>
      </c>
      <c r="BO113">
        <f>SUMIF(RawDataDead!$B:$B,$A113,RawDataDead!BR:BR)</f>
        <v>0</v>
      </c>
      <c r="BP113">
        <f>SUMIF(RawDataDead!$B:$B,$A113,RawDataDead!BS:BS)</f>
        <v>0</v>
      </c>
      <c r="BQ113">
        <f>SUMIF(RawDataDead!$B:$B,$A113,RawDataDead!BT:BT)</f>
        <v>0</v>
      </c>
      <c r="BR113">
        <f>SUMIF(RawDataDead!$B:$B,$A113,RawDataDead!BU:BU)</f>
        <v>0</v>
      </c>
      <c r="BS113">
        <f>SUMIF(RawDataDead!$B:$B,$A113,RawDataDead!BV:BV)</f>
        <v>0</v>
      </c>
      <c r="BT113">
        <f>SUMIF(RawDataDead!$B:$B,$A113,RawDataDead!BW:BW)</f>
        <v>0</v>
      </c>
    </row>
    <row r="114" spans="1:72" ht="15" thickBot="1" x14ac:dyDescent="0.35">
      <c r="A114" s="3" t="s">
        <v>380</v>
      </c>
      <c r="B114">
        <f>SUMIF(RawDataDead!$B:$B,$A114,RawDataDead!E:E)</f>
        <v>0</v>
      </c>
      <c r="C114">
        <f>SUMIF(RawDataDead!$B:$B,$A114,RawDataDead!F:F)</f>
        <v>0</v>
      </c>
      <c r="D114">
        <f>SUMIF(RawDataDead!$B:$B,$A114,RawDataDead!G:G)</f>
        <v>0</v>
      </c>
      <c r="E114">
        <f>SUMIF(RawDataDead!$B:$B,$A114,RawDataDead!H:H)</f>
        <v>0</v>
      </c>
      <c r="F114">
        <f>SUMIF(RawDataDead!$B:$B,$A114,RawDataDead!I:I)</f>
        <v>0</v>
      </c>
      <c r="G114">
        <f>SUMIF(RawDataDead!$B:$B,$A114,RawDataDead!J:J)</f>
        <v>0</v>
      </c>
      <c r="H114">
        <f>SUMIF(RawDataDead!$B:$B,$A114,RawDataDead!K:K)</f>
        <v>0</v>
      </c>
      <c r="I114">
        <f>SUMIF(RawDataDead!$B:$B,$A114,RawDataDead!L:L)</f>
        <v>0</v>
      </c>
      <c r="J114">
        <f>SUMIF(RawDataDead!$B:$B,$A114,RawDataDead!M:M)</f>
        <v>0</v>
      </c>
      <c r="K114">
        <f>SUMIF(RawDataDead!$B:$B,$A114,RawDataDead!N:N)</f>
        <v>0</v>
      </c>
      <c r="L114">
        <f>SUMIF(RawDataDead!$B:$B,$A114,RawDataDead!O:O)</f>
        <v>0</v>
      </c>
      <c r="M114">
        <f>SUMIF(RawDataDead!$B:$B,$A114,RawDataDead!P:P)</f>
        <v>0</v>
      </c>
      <c r="N114">
        <f>SUMIF(RawDataDead!$B:$B,$A114,RawDataDead!Q:Q)</f>
        <v>0</v>
      </c>
      <c r="O114">
        <f>SUMIF(RawDataDead!$B:$B,$A114,RawDataDead!R:R)</f>
        <v>0</v>
      </c>
      <c r="P114">
        <f>SUMIF(RawDataDead!$B:$B,$A114,RawDataDead!S:S)</f>
        <v>0</v>
      </c>
      <c r="Q114">
        <f>SUMIF(RawDataDead!$B:$B,$A114,RawDataDead!T:T)</f>
        <v>0</v>
      </c>
      <c r="R114">
        <f>SUMIF(RawDataDead!$B:$B,$A114,RawDataDead!U:U)</f>
        <v>0</v>
      </c>
      <c r="S114">
        <f>SUMIF(RawDataDead!$B:$B,$A114,RawDataDead!V:V)</f>
        <v>0</v>
      </c>
      <c r="T114">
        <f>SUMIF(RawDataDead!$B:$B,$A114,RawDataDead!W:W)</f>
        <v>0</v>
      </c>
      <c r="U114">
        <f>SUMIF(RawDataDead!$B:$B,$A114,RawDataDead!X:X)</f>
        <v>0</v>
      </c>
      <c r="V114">
        <f>SUMIF(RawDataDead!$B:$B,$A114,RawDataDead!Y:Y)</f>
        <v>0</v>
      </c>
      <c r="W114">
        <f>SUMIF(RawDataDead!$B:$B,$A114,RawDataDead!Z:Z)</f>
        <v>0</v>
      </c>
      <c r="X114">
        <f>SUMIF(RawDataDead!$B:$B,$A114,RawDataDead!AA:AA)</f>
        <v>0</v>
      </c>
      <c r="Y114">
        <f>SUMIF(RawDataDead!$B:$B,$A114,RawDataDead!AB:AB)</f>
        <v>0</v>
      </c>
      <c r="Z114">
        <f>SUMIF(RawDataDead!$B:$B,$A114,RawDataDead!AC:AC)</f>
        <v>0</v>
      </c>
      <c r="AA114">
        <f>SUMIF(RawDataDead!$B:$B,$A114,RawDataDead!AD:AD)</f>
        <v>0</v>
      </c>
      <c r="AB114">
        <f>SUMIF(RawDataDead!$B:$B,$A114,RawDataDead!AE:AE)</f>
        <v>0</v>
      </c>
      <c r="AC114">
        <f>SUMIF(RawDataDead!$B:$B,$A114,RawDataDead!AF:AF)</f>
        <v>0</v>
      </c>
      <c r="AD114">
        <f>SUMIF(RawDataDead!$B:$B,$A114,RawDataDead!AG:AG)</f>
        <v>0</v>
      </c>
      <c r="AE114">
        <f>SUMIF(RawDataDead!$B:$B,$A114,RawDataDead!AH:AH)</f>
        <v>0</v>
      </c>
      <c r="AF114">
        <f>SUMIF(RawDataDead!$B:$B,$A114,RawDataDead!AI:AI)</f>
        <v>0</v>
      </c>
      <c r="AG114">
        <f>SUMIF(RawDataDead!$B:$B,$A114,RawDataDead!AJ:AJ)</f>
        <v>0</v>
      </c>
      <c r="AH114">
        <f>SUMIF(RawDataDead!$B:$B,$A114,RawDataDead!AK:AK)</f>
        <v>0</v>
      </c>
      <c r="AI114">
        <f>SUMIF(RawDataDead!$B:$B,$A114,RawDataDead!AL:AL)</f>
        <v>0</v>
      </c>
      <c r="AJ114">
        <f>SUMIF(RawDataDead!$B:$B,$A114,RawDataDead!AM:AM)</f>
        <v>0</v>
      </c>
      <c r="AK114">
        <f>SUMIF(RawDataDead!$B:$B,$A114,RawDataDead!AN:AN)</f>
        <v>0</v>
      </c>
      <c r="AL114">
        <f>SUMIF(RawDataDead!$B:$B,$A114,RawDataDead!AO:AO)</f>
        <v>0</v>
      </c>
      <c r="AM114">
        <f>SUMIF(RawDataDead!$B:$B,$A114,RawDataDead!AP:AP)</f>
        <v>0</v>
      </c>
      <c r="AN114">
        <f>SUMIF(RawDataDead!$B:$B,$A114,RawDataDead!AQ:AQ)</f>
        <v>0</v>
      </c>
      <c r="AO114">
        <f>SUMIF(RawDataDead!$B:$B,$A114,RawDataDead!AR:AR)</f>
        <v>0</v>
      </c>
      <c r="AP114">
        <f>SUMIF(RawDataDead!$B:$B,$A114,RawDataDead!AS:AS)</f>
        <v>0</v>
      </c>
      <c r="AQ114">
        <f>SUMIF(RawDataDead!$B:$B,$A114,RawDataDead!AT:AT)</f>
        <v>0</v>
      </c>
      <c r="AR114">
        <f>SUMIF(RawDataDead!$B:$B,$A114,RawDataDead!AU:AU)</f>
        <v>0</v>
      </c>
      <c r="AS114">
        <f>SUMIF(RawDataDead!$B:$B,$A114,RawDataDead!AV:AV)</f>
        <v>0</v>
      </c>
      <c r="AT114">
        <f>SUMIF(RawDataDead!$B:$B,$A114,RawDataDead!AW:AW)</f>
        <v>0</v>
      </c>
      <c r="AU114">
        <f>SUMIF(RawDataDead!$B:$B,$A114,RawDataDead!AX:AX)</f>
        <v>0</v>
      </c>
      <c r="AV114">
        <f>SUMIF(RawDataDead!$B:$B,$A114,RawDataDead!AY:AY)</f>
        <v>0</v>
      </c>
      <c r="AW114">
        <f>SUMIF(RawDataDead!$B:$B,$A114,RawDataDead!AZ:AZ)</f>
        <v>0</v>
      </c>
      <c r="AX114">
        <f>SUMIF(RawDataDead!$B:$B,$A114,RawDataDead!BA:BA)</f>
        <v>0</v>
      </c>
      <c r="AY114">
        <f>SUMIF(RawDataDead!$B:$B,$A114,RawDataDead!BB:BB)</f>
        <v>0</v>
      </c>
      <c r="AZ114">
        <f>SUMIF(RawDataDead!$B:$B,$A114,RawDataDead!BC:BC)</f>
        <v>0</v>
      </c>
      <c r="BA114">
        <f>SUMIF(RawDataDead!$B:$B,$A114,RawDataDead!BD:BD)</f>
        <v>0</v>
      </c>
      <c r="BB114">
        <f>SUMIF(RawDataDead!$B:$B,$A114,RawDataDead!BE:BE)</f>
        <v>0</v>
      </c>
      <c r="BC114">
        <f>SUMIF(RawDataDead!$B:$B,$A114,RawDataDead!BF:BF)</f>
        <v>0</v>
      </c>
      <c r="BD114">
        <f>SUMIF(RawDataDead!$B:$B,$A114,RawDataDead!BG:BG)</f>
        <v>0</v>
      </c>
      <c r="BE114">
        <f>SUMIF(RawDataDead!$B:$B,$A114,RawDataDead!BH:BH)</f>
        <v>0</v>
      </c>
      <c r="BF114">
        <f>SUMIF(RawDataDead!$B:$B,$A114,RawDataDead!BI:BI)</f>
        <v>0</v>
      </c>
      <c r="BG114">
        <f>SUMIF(RawDataDead!$B:$B,$A114,RawDataDead!BJ:BJ)</f>
        <v>0</v>
      </c>
      <c r="BH114">
        <f>SUMIF(RawDataDead!$B:$B,$A114,RawDataDead!BK:BK)</f>
        <v>0</v>
      </c>
      <c r="BI114">
        <f>SUMIF(RawDataDead!$B:$B,$A114,RawDataDead!BL:BL)</f>
        <v>0</v>
      </c>
      <c r="BJ114">
        <f>SUMIF(RawDataDead!$B:$B,$A114,RawDataDead!BM:BM)</f>
        <v>0</v>
      </c>
      <c r="BK114">
        <f>SUMIF(RawDataDead!$B:$B,$A114,RawDataDead!BN:BN)</f>
        <v>0</v>
      </c>
      <c r="BL114">
        <f>SUMIF(RawDataDead!$B:$B,$A114,RawDataDead!BO:BO)</f>
        <v>0</v>
      </c>
      <c r="BM114">
        <f>SUMIF(RawDataDead!$B:$B,$A114,RawDataDead!BP:BP)</f>
        <v>0</v>
      </c>
      <c r="BN114">
        <f>SUMIF(RawDataDead!$B:$B,$A114,RawDataDead!BQ:BQ)</f>
        <v>0</v>
      </c>
      <c r="BO114">
        <f>SUMIF(RawDataDead!$B:$B,$A114,RawDataDead!BR:BR)</f>
        <v>0</v>
      </c>
      <c r="BP114">
        <f>SUMIF(RawDataDead!$B:$B,$A114,RawDataDead!BS:BS)</f>
        <v>0</v>
      </c>
      <c r="BQ114">
        <f>SUMIF(RawDataDead!$B:$B,$A114,RawDataDead!BT:BT)</f>
        <v>0</v>
      </c>
      <c r="BR114">
        <f>SUMIF(RawDataDead!$B:$B,$A114,RawDataDead!BU:BU)</f>
        <v>0</v>
      </c>
      <c r="BS114">
        <f>SUMIF(RawDataDead!$B:$B,$A114,RawDataDead!BV:BV)</f>
        <v>0</v>
      </c>
      <c r="BT114">
        <f>SUMIF(RawDataDead!$B:$B,$A114,RawDataDead!BW:BW)</f>
        <v>0</v>
      </c>
    </row>
    <row r="115" spans="1:72" ht="15" thickBot="1" x14ac:dyDescent="0.35">
      <c r="A115" s="4" t="s">
        <v>447</v>
      </c>
      <c r="B115">
        <f>SUMIF(RawDataDead!$B:$B,$A115,RawDataDead!E:E)</f>
        <v>0</v>
      </c>
      <c r="C115">
        <f>SUMIF(RawDataDead!$B:$B,$A115,RawDataDead!F:F)</f>
        <v>0</v>
      </c>
      <c r="D115">
        <f>SUMIF(RawDataDead!$B:$B,$A115,RawDataDead!G:G)</f>
        <v>0</v>
      </c>
      <c r="E115">
        <f>SUMIF(RawDataDead!$B:$B,$A115,RawDataDead!H:H)</f>
        <v>0</v>
      </c>
      <c r="F115">
        <f>SUMIF(RawDataDead!$B:$B,$A115,RawDataDead!I:I)</f>
        <v>0</v>
      </c>
      <c r="G115">
        <f>SUMIF(RawDataDead!$B:$B,$A115,RawDataDead!J:J)</f>
        <v>0</v>
      </c>
      <c r="H115">
        <f>SUMIF(RawDataDead!$B:$B,$A115,RawDataDead!K:K)</f>
        <v>0</v>
      </c>
      <c r="I115">
        <f>SUMIF(RawDataDead!$B:$B,$A115,RawDataDead!L:L)</f>
        <v>0</v>
      </c>
      <c r="J115">
        <f>SUMIF(RawDataDead!$B:$B,$A115,RawDataDead!M:M)</f>
        <v>0</v>
      </c>
      <c r="K115">
        <f>SUMIF(RawDataDead!$B:$B,$A115,RawDataDead!N:N)</f>
        <v>0</v>
      </c>
      <c r="L115">
        <f>SUMIF(RawDataDead!$B:$B,$A115,RawDataDead!O:O)</f>
        <v>0</v>
      </c>
      <c r="M115">
        <f>SUMIF(RawDataDead!$B:$B,$A115,RawDataDead!P:P)</f>
        <v>0</v>
      </c>
      <c r="N115">
        <f>SUMIF(RawDataDead!$B:$B,$A115,RawDataDead!Q:Q)</f>
        <v>0</v>
      </c>
      <c r="O115">
        <f>SUMIF(RawDataDead!$B:$B,$A115,RawDataDead!R:R)</f>
        <v>0</v>
      </c>
      <c r="P115">
        <f>SUMIF(RawDataDead!$B:$B,$A115,RawDataDead!S:S)</f>
        <v>0</v>
      </c>
      <c r="Q115">
        <f>SUMIF(RawDataDead!$B:$B,$A115,RawDataDead!T:T)</f>
        <v>0</v>
      </c>
      <c r="R115">
        <f>SUMIF(RawDataDead!$B:$B,$A115,RawDataDead!U:U)</f>
        <v>0</v>
      </c>
      <c r="S115">
        <f>SUMIF(RawDataDead!$B:$B,$A115,RawDataDead!V:V)</f>
        <v>0</v>
      </c>
      <c r="T115">
        <f>SUMIF(RawDataDead!$B:$B,$A115,RawDataDead!W:W)</f>
        <v>0</v>
      </c>
      <c r="U115">
        <f>SUMIF(RawDataDead!$B:$B,$A115,RawDataDead!X:X)</f>
        <v>0</v>
      </c>
      <c r="V115">
        <f>SUMIF(RawDataDead!$B:$B,$A115,RawDataDead!Y:Y)</f>
        <v>0</v>
      </c>
      <c r="W115">
        <f>SUMIF(RawDataDead!$B:$B,$A115,RawDataDead!Z:Z)</f>
        <v>0</v>
      </c>
      <c r="X115">
        <f>SUMIF(RawDataDead!$B:$B,$A115,RawDataDead!AA:AA)</f>
        <v>0</v>
      </c>
      <c r="Y115">
        <f>SUMIF(RawDataDead!$B:$B,$A115,RawDataDead!AB:AB)</f>
        <v>0</v>
      </c>
      <c r="Z115">
        <f>SUMIF(RawDataDead!$B:$B,$A115,RawDataDead!AC:AC)</f>
        <v>0</v>
      </c>
      <c r="AA115">
        <f>SUMIF(RawDataDead!$B:$B,$A115,RawDataDead!AD:AD)</f>
        <v>0</v>
      </c>
      <c r="AB115">
        <f>SUMIF(RawDataDead!$B:$B,$A115,RawDataDead!AE:AE)</f>
        <v>0</v>
      </c>
      <c r="AC115">
        <f>SUMIF(RawDataDead!$B:$B,$A115,RawDataDead!AF:AF)</f>
        <v>0</v>
      </c>
      <c r="AD115">
        <f>SUMIF(RawDataDead!$B:$B,$A115,RawDataDead!AG:AG)</f>
        <v>0</v>
      </c>
      <c r="AE115">
        <f>SUMIF(RawDataDead!$B:$B,$A115,RawDataDead!AH:AH)</f>
        <v>0</v>
      </c>
      <c r="AF115">
        <f>SUMIF(RawDataDead!$B:$B,$A115,RawDataDead!AI:AI)</f>
        <v>0</v>
      </c>
      <c r="AG115">
        <f>SUMIF(RawDataDead!$B:$B,$A115,RawDataDead!AJ:AJ)</f>
        <v>0</v>
      </c>
      <c r="AH115">
        <f>SUMIF(RawDataDead!$B:$B,$A115,RawDataDead!AK:AK)</f>
        <v>0</v>
      </c>
      <c r="AI115">
        <f>SUMIF(RawDataDead!$B:$B,$A115,RawDataDead!AL:AL)</f>
        <v>0</v>
      </c>
      <c r="AJ115">
        <f>SUMIF(RawDataDead!$B:$B,$A115,RawDataDead!AM:AM)</f>
        <v>0</v>
      </c>
      <c r="AK115">
        <f>SUMIF(RawDataDead!$B:$B,$A115,RawDataDead!AN:AN)</f>
        <v>0</v>
      </c>
      <c r="AL115">
        <f>SUMIF(RawDataDead!$B:$B,$A115,RawDataDead!AO:AO)</f>
        <v>0</v>
      </c>
      <c r="AM115">
        <f>SUMIF(RawDataDead!$B:$B,$A115,RawDataDead!AP:AP)</f>
        <v>0</v>
      </c>
      <c r="AN115">
        <f>SUMIF(RawDataDead!$B:$B,$A115,RawDataDead!AQ:AQ)</f>
        <v>0</v>
      </c>
      <c r="AO115">
        <f>SUMIF(RawDataDead!$B:$B,$A115,RawDataDead!AR:AR)</f>
        <v>0</v>
      </c>
      <c r="AP115">
        <f>SUMIF(RawDataDead!$B:$B,$A115,RawDataDead!AS:AS)</f>
        <v>0</v>
      </c>
      <c r="AQ115">
        <f>SUMIF(RawDataDead!$B:$B,$A115,RawDataDead!AT:AT)</f>
        <v>0</v>
      </c>
      <c r="AR115">
        <f>SUMIF(RawDataDead!$B:$B,$A115,RawDataDead!AU:AU)</f>
        <v>0</v>
      </c>
      <c r="AS115">
        <f>SUMIF(RawDataDead!$B:$B,$A115,RawDataDead!AV:AV)</f>
        <v>0</v>
      </c>
      <c r="AT115">
        <f>SUMIF(RawDataDead!$B:$B,$A115,RawDataDead!AW:AW)</f>
        <v>0</v>
      </c>
      <c r="AU115">
        <f>SUMIF(RawDataDead!$B:$B,$A115,RawDataDead!AX:AX)</f>
        <v>0</v>
      </c>
      <c r="AV115">
        <f>SUMIF(RawDataDead!$B:$B,$A115,RawDataDead!AY:AY)</f>
        <v>0</v>
      </c>
      <c r="AW115">
        <f>SUMIF(RawDataDead!$B:$B,$A115,RawDataDead!AZ:AZ)</f>
        <v>0</v>
      </c>
      <c r="AX115">
        <f>SUMIF(RawDataDead!$B:$B,$A115,RawDataDead!BA:BA)</f>
        <v>0</v>
      </c>
      <c r="AY115">
        <f>SUMIF(RawDataDead!$B:$B,$A115,RawDataDead!BB:BB)</f>
        <v>0</v>
      </c>
      <c r="AZ115">
        <f>SUMIF(RawDataDead!$B:$B,$A115,RawDataDead!BC:BC)</f>
        <v>0</v>
      </c>
      <c r="BA115">
        <f>SUMIF(RawDataDead!$B:$B,$A115,RawDataDead!BD:BD)</f>
        <v>0</v>
      </c>
      <c r="BB115">
        <f>SUMIF(RawDataDead!$B:$B,$A115,RawDataDead!BE:BE)</f>
        <v>0</v>
      </c>
      <c r="BC115">
        <f>SUMIF(RawDataDead!$B:$B,$A115,RawDataDead!BF:BF)</f>
        <v>0</v>
      </c>
      <c r="BD115">
        <f>SUMIF(RawDataDead!$B:$B,$A115,RawDataDead!BG:BG)</f>
        <v>0</v>
      </c>
      <c r="BE115">
        <f>SUMIF(RawDataDead!$B:$B,$A115,RawDataDead!BH:BH)</f>
        <v>0</v>
      </c>
      <c r="BF115">
        <f>SUMIF(RawDataDead!$B:$B,$A115,RawDataDead!BI:BI)</f>
        <v>0</v>
      </c>
      <c r="BG115">
        <f>SUMIF(RawDataDead!$B:$B,$A115,RawDataDead!BJ:BJ)</f>
        <v>0</v>
      </c>
      <c r="BH115">
        <f>SUMIF(RawDataDead!$B:$B,$A115,RawDataDead!BK:BK)</f>
        <v>0</v>
      </c>
      <c r="BI115">
        <f>SUMIF(RawDataDead!$B:$B,$A115,RawDataDead!BL:BL)</f>
        <v>0</v>
      </c>
      <c r="BJ115">
        <f>SUMIF(RawDataDead!$B:$B,$A115,RawDataDead!BM:BM)</f>
        <v>0</v>
      </c>
      <c r="BK115">
        <f>SUMIF(RawDataDead!$B:$B,$A115,RawDataDead!BN:BN)</f>
        <v>0</v>
      </c>
      <c r="BL115">
        <f>SUMIF(RawDataDead!$B:$B,$A115,RawDataDead!BO:BO)</f>
        <v>0</v>
      </c>
      <c r="BM115">
        <f>SUMIF(RawDataDead!$B:$B,$A115,RawDataDead!BP:BP)</f>
        <v>0</v>
      </c>
      <c r="BN115">
        <f>SUMIF(RawDataDead!$B:$B,$A115,RawDataDead!BQ:BQ)</f>
        <v>0</v>
      </c>
      <c r="BO115">
        <f>SUMIF(RawDataDead!$B:$B,$A115,RawDataDead!BR:BR)</f>
        <v>0</v>
      </c>
      <c r="BP115">
        <f>SUMIF(RawDataDead!$B:$B,$A115,RawDataDead!BS:BS)</f>
        <v>0</v>
      </c>
      <c r="BQ115">
        <f>SUMIF(RawDataDead!$B:$B,$A115,RawDataDead!BT:BT)</f>
        <v>0</v>
      </c>
      <c r="BR115">
        <f>SUMIF(RawDataDead!$B:$B,$A115,RawDataDead!BU:BU)</f>
        <v>0</v>
      </c>
      <c r="BS115">
        <f>SUMIF(RawDataDead!$B:$B,$A115,RawDataDead!BV:BV)</f>
        <v>0</v>
      </c>
      <c r="BT115">
        <f>SUMIF(RawDataDead!$B:$B,$A115,RawDataDead!BW:BW)</f>
        <v>0</v>
      </c>
    </row>
    <row r="116" spans="1:72" ht="15" thickBot="1" x14ac:dyDescent="0.35">
      <c r="A116" s="3" t="s">
        <v>444</v>
      </c>
      <c r="B116">
        <f>SUMIF(RawDataDead!$B:$B,$A116,RawDataDead!E:E)</f>
        <v>0</v>
      </c>
      <c r="C116">
        <f>SUMIF(RawDataDead!$B:$B,$A116,RawDataDead!F:F)</f>
        <v>0</v>
      </c>
      <c r="D116">
        <f>SUMIF(RawDataDead!$B:$B,$A116,RawDataDead!G:G)</f>
        <v>0</v>
      </c>
      <c r="E116">
        <f>SUMIF(RawDataDead!$B:$B,$A116,RawDataDead!H:H)</f>
        <v>0</v>
      </c>
      <c r="F116">
        <f>SUMIF(RawDataDead!$B:$B,$A116,RawDataDead!I:I)</f>
        <v>0</v>
      </c>
      <c r="G116">
        <f>SUMIF(RawDataDead!$B:$B,$A116,RawDataDead!J:J)</f>
        <v>0</v>
      </c>
      <c r="H116">
        <f>SUMIF(RawDataDead!$B:$B,$A116,RawDataDead!K:K)</f>
        <v>0</v>
      </c>
      <c r="I116">
        <f>SUMIF(RawDataDead!$B:$B,$A116,RawDataDead!L:L)</f>
        <v>0</v>
      </c>
      <c r="J116">
        <f>SUMIF(RawDataDead!$B:$B,$A116,RawDataDead!M:M)</f>
        <v>0</v>
      </c>
      <c r="K116">
        <f>SUMIF(RawDataDead!$B:$B,$A116,RawDataDead!N:N)</f>
        <v>0</v>
      </c>
      <c r="L116">
        <f>SUMIF(RawDataDead!$B:$B,$A116,RawDataDead!O:O)</f>
        <v>0</v>
      </c>
      <c r="M116">
        <f>SUMIF(RawDataDead!$B:$B,$A116,RawDataDead!P:P)</f>
        <v>0</v>
      </c>
      <c r="N116">
        <f>SUMIF(RawDataDead!$B:$B,$A116,RawDataDead!Q:Q)</f>
        <v>0</v>
      </c>
      <c r="O116">
        <f>SUMIF(RawDataDead!$B:$B,$A116,RawDataDead!R:R)</f>
        <v>0</v>
      </c>
      <c r="P116">
        <f>SUMIF(RawDataDead!$B:$B,$A116,RawDataDead!S:S)</f>
        <v>0</v>
      </c>
      <c r="Q116">
        <f>SUMIF(RawDataDead!$B:$B,$A116,RawDataDead!T:T)</f>
        <v>0</v>
      </c>
      <c r="R116">
        <f>SUMIF(RawDataDead!$B:$B,$A116,RawDataDead!U:U)</f>
        <v>0</v>
      </c>
      <c r="S116">
        <f>SUMIF(RawDataDead!$B:$B,$A116,RawDataDead!V:V)</f>
        <v>0</v>
      </c>
      <c r="T116">
        <f>SUMIF(RawDataDead!$B:$B,$A116,RawDataDead!W:W)</f>
        <v>0</v>
      </c>
      <c r="U116">
        <f>SUMIF(RawDataDead!$B:$B,$A116,RawDataDead!X:X)</f>
        <v>0</v>
      </c>
      <c r="V116">
        <f>SUMIF(RawDataDead!$B:$B,$A116,RawDataDead!Y:Y)</f>
        <v>0</v>
      </c>
      <c r="W116">
        <f>SUMIF(RawDataDead!$B:$B,$A116,RawDataDead!Z:Z)</f>
        <v>0</v>
      </c>
      <c r="X116">
        <f>SUMIF(RawDataDead!$B:$B,$A116,RawDataDead!AA:AA)</f>
        <v>0</v>
      </c>
      <c r="Y116">
        <f>SUMIF(RawDataDead!$B:$B,$A116,RawDataDead!AB:AB)</f>
        <v>0</v>
      </c>
      <c r="Z116">
        <f>SUMIF(RawDataDead!$B:$B,$A116,RawDataDead!AC:AC)</f>
        <v>0</v>
      </c>
      <c r="AA116">
        <f>SUMIF(RawDataDead!$B:$B,$A116,RawDataDead!AD:AD)</f>
        <v>0</v>
      </c>
      <c r="AB116">
        <f>SUMIF(RawDataDead!$B:$B,$A116,RawDataDead!AE:AE)</f>
        <v>0</v>
      </c>
      <c r="AC116">
        <f>SUMIF(RawDataDead!$B:$B,$A116,RawDataDead!AF:AF)</f>
        <v>0</v>
      </c>
      <c r="AD116">
        <f>SUMIF(RawDataDead!$B:$B,$A116,RawDataDead!AG:AG)</f>
        <v>0</v>
      </c>
      <c r="AE116">
        <f>SUMIF(RawDataDead!$B:$B,$A116,RawDataDead!AH:AH)</f>
        <v>0</v>
      </c>
      <c r="AF116">
        <f>SUMIF(RawDataDead!$B:$B,$A116,RawDataDead!AI:AI)</f>
        <v>0</v>
      </c>
      <c r="AG116">
        <f>SUMIF(RawDataDead!$B:$B,$A116,RawDataDead!AJ:AJ)</f>
        <v>0</v>
      </c>
      <c r="AH116">
        <f>SUMIF(RawDataDead!$B:$B,$A116,RawDataDead!AK:AK)</f>
        <v>0</v>
      </c>
      <c r="AI116">
        <f>SUMIF(RawDataDead!$B:$B,$A116,RawDataDead!AL:AL)</f>
        <v>0</v>
      </c>
      <c r="AJ116">
        <f>SUMIF(RawDataDead!$B:$B,$A116,RawDataDead!AM:AM)</f>
        <v>0</v>
      </c>
      <c r="AK116">
        <f>SUMIF(RawDataDead!$B:$B,$A116,RawDataDead!AN:AN)</f>
        <v>0</v>
      </c>
      <c r="AL116">
        <f>SUMIF(RawDataDead!$B:$B,$A116,RawDataDead!AO:AO)</f>
        <v>0</v>
      </c>
      <c r="AM116">
        <f>SUMIF(RawDataDead!$B:$B,$A116,RawDataDead!AP:AP)</f>
        <v>0</v>
      </c>
      <c r="AN116">
        <f>SUMIF(RawDataDead!$B:$B,$A116,RawDataDead!AQ:AQ)</f>
        <v>0</v>
      </c>
      <c r="AO116">
        <f>SUMIF(RawDataDead!$B:$B,$A116,RawDataDead!AR:AR)</f>
        <v>0</v>
      </c>
      <c r="AP116">
        <f>SUMIF(RawDataDead!$B:$B,$A116,RawDataDead!AS:AS)</f>
        <v>0</v>
      </c>
      <c r="AQ116">
        <f>SUMIF(RawDataDead!$B:$B,$A116,RawDataDead!AT:AT)</f>
        <v>0</v>
      </c>
      <c r="AR116">
        <f>SUMIF(RawDataDead!$B:$B,$A116,RawDataDead!AU:AU)</f>
        <v>0</v>
      </c>
      <c r="AS116">
        <f>SUMIF(RawDataDead!$B:$B,$A116,RawDataDead!AV:AV)</f>
        <v>0</v>
      </c>
      <c r="AT116">
        <f>SUMIF(RawDataDead!$B:$B,$A116,RawDataDead!AW:AW)</f>
        <v>0</v>
      </c>
      <c r="AU116">
        <f>SUMIF(RawDataDead!$B:$B,$A116,RawDataDead!AX:AX)</f>
        <v>0</v>
      </c>
      <c r="AV116">
        <f>SUMIF(RawDataDead!$B:$B,$A116,RawDataDead!AY:AY)</f>
        <v>0</v>
      </c>
      <c r="AW116">
        <f>SUMIF(RawDataDead!$B:$B,$A116,RawDataDead!AZ:AZ)</f>
        <v>0</v>
      </c>
      <c r="AX116">
        <f>SUMIF(RawDataDead!$B:$B,$A116,RawDataDead!BA:BA)</f>
        <v>0</v>
      </c>
      <c r="AY116">
        <f>SUMIF(RawDataDead!$B:$B,$A116,RawDataDead!BB:BB)</f>
        <v>0</v>
      </c>
      <c r="AZ116">
        <f>SUMIF(RawDataDead!$B:$B,$A116,RawDataDead!BC:BC)</f>
        <v>0</v>
      </c>
      <c r="BA116">
        <f>SUMIF(RawDataDead!$B:$B,$A116,RawDataDead!BD:BD)</f>
        <v>0</v>
      </c>
      <c r="BB116">
        <f>SUMIF(RawDataDead!$B:$B,$A116,RawDataDead!BE:BE)</f>
        <v>0</v>
      </c>
      <c r="BC116">
        <f>SUMIF(RawDataDead!$B:$B,$A116,RawDataDead!BF:BF)</f>
        <v>0</v>
      </c>
      <c r="BD116">
        <f>SUMIF(RawDataDead!$B:$B,$A116,RawDataDead!BG:BG)</f>
        <v>0</v>
      </c>
      <c r="BE116">
        <f>SUMIF(RawDataDead!$B:$B,$A116,RawDataDead!BH:BH)</f>
        <v>0</v>
      </c>
      <c r="BF116">
        <f>SUMIF(RawDataDead!$B:$B,$A116,RawDataDead!BI:BI)</f>
        <v>0</v>
      </c>
      <c r="BG116">
        <f>SUMIF(RawDataDead!$B:$B,$A116,RawDataDead!BJ:BJ)</f>
        <v>0</v>
      </c>
      <c r="BH116">
        <f>SUMIF(RawDataDead!$B:$B,$A116,RawDataDead!BK:BK)</f>
        <v>0</v>
      </c>
      <c r="BI116">
        <f>SUMIF(RawDataDead!$B:$B,$A116,RawDataDead!BL:BL)</f>
        <v>0</v>
      </c>
      <c r="BJ116">
        <f>SUMIF(RawDataDead!$B:$B,$A116,RawDataDead!BM:BM)</f>
        <v>0</v>
      </c>
      <c r="BK116">
        <f>SUMIF(RawDataDead!$B:$B,$A116,RawDataDead!BN:BN)</f>
        <v>0</v>
      </c>
      <c r="BL116">
        <f>SUMIF(RawDataDead!$B:$B,$A116,RawDataDead!BO:BO)</f>
        <v>0</v>
      </c>
      <c r="BM116">
        <f>SUMIF(RawDataDead!$B:$B,$A116,RawDataDead!BP:BP)</f>
        <v>0</v>
      </c>
      <c r="BN116">
        <f>SUMIF(RawDataDead!$B:$B,$A116,RawDataDead!BQ:BQ)</f>
        <v>0</v>
      </c>
      <c r="BO116">
        <f>SUMIF(RawDataDead!$B:$B,$A116,RawDataDead!BR:BR)</f>
        <v>0</v>
      </c>
      <c r="BP116">
        <f>SUMIF(RawDataDead!$B:$B,$A116,RawDataDead!BS:BS)</f>
        <v>0</v>
      </c>
      <c r="BQ116">
        <f>SUMIF(RawDataDead!$B:$B,$A116,RawDataDead!BT:BT)</f>
        <v>0</v>
      </c>
      <c r="BR116">
        <f>SUMIF(RawDataDead!$B:$B,$A116,RawDataDead!BU:BU)</f>
        <v>0</v>
      </c>
      <c r="BS116">
        <f>SUMIF(RawDataDead!$B:$B,$A116,RawDataDead!BV:BV)</f>
        <v>0</v>
      </c>
      <c r="BT116">
        <f>SUMIF(RawDataDead!$B:$B,$A116,RawDataDead!BW:BW)</f>
        <v>0</v>
      </c>
    </row>
    <row r="117" spans="1:72" ht="15" thickBot="1" x14ac:dyDescent="0.35">
      <c r="A117" s="4" t="s">
        <v>449</v>
      </c>
      <c r="B117">
        <f>SUMIF(RawDataDead!$B:$B,$A117,RawDataDead!E:E)</f>
        <v>0</v>
      </c>
      <c r="C117">
        <f>SUMIF(RawDataDead!$B:$B,$A117,RawDataDead!F:F)</f>
        <v>0</v>
      </c>
      <c r="D117">
        <f>SUMIF(RawDataDead!$B:$B,$A117,RawDataDead!G:G)</f>
        <v>0</v>
      </c>
      <c r="E117">
        <f>SUMIF(RawDataDead!$B:$B,$A117,RawDataDead!H:H)</f>
        <v>0</v>
      </c>
      <c r="F117">
        <f>SUMIF(RawDataDead!$B:$B,$A117,RawDataDead!I:I)</f>
        <v>0</v>
      </c>
      <c r="G117">
        <f>SUMIF(RawDataDead!$B:$B,$A117,RawDataDead!J:J)</f>
        <v>0</v>
      </c>
      <c r="H117">
        <f>SUMIF(RawDataDead!$B:$B,$A117,RawDataDead!K:K)</f>
        <v>0</v>
      </c>
      <c r="I117">
        <f>SUMIF(RawDataDead!$B:$B,$A117,RawDataDead!L:L)</f>
        <v>0</v>
      </c>
      <c r="J117">
        <f>SUMIF(RawDataDead!$B:$B,$A117,RawDataDead!M:M)</f>
        <v>0</v>
      </c>
      <c r="K117">
        <f>SUMIF(RawDataDead!$B:$B,$A117,RawDataDead!N:N)</f>
        <v>0</v>
      </c>
      <c r="L117">
        <f>SUMIF(RawDataDead!$B:$B,$A117,RawDataDead!O:O)</f>
        <v>0</v>
      </c>
      <c r="M117">
        <f>SUMIF(RawDataDead!$B:$B,$A117,RawDataDead!P:P)</f>
        <v>0</v>
      </c>
      <c r="N117">
        <f>SUMIF(RawDataDead!$B:$B,$A117,RawDataDead!Q:Q)</f>
        <v>0</v>
      </c>
      <c r="O117">
        <f>SUMIF(RawDataDead!$B:$B,$A117,RawDataDead!R:R)</f>
        <v>0</v>
      </c>
      <c r="P117">
        <f>SUMIF(RawDataDead!$B:$B,$A117,RawDataDead!S:S)</f>
        <v>0</v>
      </c>
      <c r="Q117">
        <f>SUMIF(RawDataDead!$B:$B,$A117,RawDataDead!T:T)</f>
        <v>0</v>
      </c>
      <c r="R117">
        <f>SUMIF(RawDataDead!$B:$B,$A117,RawDataDead!U:U)</f>
        <v>0</v>
      </c>
      <c r="S117">
        <f>SUMIF(RawDataDead!$B:$B,$A117,RawDataDead!V:V)</f>
        <v>0</v>
      </c>
      <c r="T117">
        <f>SUMIF(RawDataDead!$B:$B,$A117,RawDataDead!W:W)</f>
        <v>0</v>
      </c>
      <c r="U117">
        <f>SUMIF(RawDataDead!$B:$B,$A117,RawDataDead!X:X)</f>
        <v>0</v>
      </c>
      <c r="V117">
        <f>SUMIF(RawDataDead!$B:$B,$A117,RawDataDead!Y:Y)</f>
        <v>0</v>
      </c>
      <c r="W117">
        <f>SUMIF(RawDataDead!$B:$B,$A117,RawDataDead!Z:Z)</f>
        <v>0</v>
      </c>
      <c r="X117">
        <f>SUMIF(RawDataDead!$B:$B,$A117,RawDataDead!AA:AA)</f>
        <v>0</v>
      </c>
      <c r="Y117">
        <f>SUMIF(RawDataDead!$B:$B,$A117,RawDataDead!AB:AB)</f>
        <v>0</v>
      </c>
      <c r="Z117">
        <f>SUMIF(RawDataDead!$B:$B,$A117,RawDataDead!AC:AC)</f>
        <v>0</v>
      </c>
      <c r="AA117">
        <f>SUMIF(RawDataDead!$B:$B,$A117,RawDataDead!AD:AD)</f>
        <v>0</v>
      </c>
      <c r="AB117">
        <f>SUMIF(RawDataDead!$B:$B,$A117,RawDataDead!AE:AE)</f>
        <v>0</v>
      </c>
      <c r="AC117">
        <f>SUMIF(RawDataDead!$B:$B,$A117,RawDataDead!AF:AF)</f>
        <v>0</v>
      </c>
      <c r="AD117">
        <f>SUMIF(RawDataDead!$B:$B,$A117,RawDataDead!AG:AG)</f>
        <v>0</v>
      </c>
      <c r="AE117">
        <f>SUMIF(RawDataDead!$B:$B,$A117,RawDataDead!AH:AH)</f>
        <v>0</v>
      </c>
      <c r="AF117">
        <f>SUMIF(RawDataDead!$B:$B,$A117,RawDataDead!AI:AI)</f>
        <v>0</v>
      </c>
      <c r="AG117">
        <f>SUMIF(RawDataDead!$B:$B,$A117,RawDataDead!AJ:AJ)</f>
        <v>0</v>
      </c>
      <c r="AH117">
        <f>SUMIF(RawDataDead!$B:$B,$A117,RawDataDead!AK:AK)</f>
        <v>0</v>
      </c>
      <c r="AI117">
        <f>SUMIF(RawDataDead!$B:$B,$A117,RawDataDead!AL:AL)</f>
        <v>0</v>
      </c>
      <c r="AJ117">
        <f>SUMIF(RawDataDead!$B:$B,$A117,RawDataDead!AM:AM)</f>
        <v>0</v>
      </c>
      <c r="AK117">
        <f>SUMIF(RawDataDead!$B:$B,$A117,RawDataDead!AN:AN)</f>
        <v>0</v>
      </c>
      <c r="AL117">
        <f>SUMIF(RawDataDead!$B:$B,$A117,RawDataDead!AO:AO)</f>
        <v>0</v>
      </c>
      <c r="AM117">
        <f>SUMIF(RawDataDead!$B:$B,$A117,RawDataDead!AP:AP)</f>
        <v>0</v>
      </c>
      <c r="AN117">
        <f>SUMIF(RawDataDead!$B:$B,$A117,RawDataDead!AQ:AQ)</f>
        <v>0</v>
      </c>
      <c r="AO117">
        <f>SUMIF(RawDataDead!$B:$B,$A117,RawDataDead!AR:AR)</f>
        <v>0</v>
      </c>
      <c r="AP117">
        <f>SUMIF(RawDataDead!$B:$B,$A117,RawDataDead!AS:AS)</f>
        <v>0</v>
      </c>
      <c r="AQ117">
        <f>SUMIF(RawDataDead!$B:$B,$A117,RawDataDead!AT:AT)</f>
        <v>0</v>
      </c>
      <c r="AR117">
        <f>SUMIF(RawDataDead!$B:$B,$A117,RawDataDead!AU:AU)</f>
        <v>0</v>
      </c>
      <c r="AS117">
        <f>SUMIF(RawDataDead!$B:$B,$A117,RawDataDead!AV:AV)</f>
        <v>0</v>
      </c>
      <c r="AT117">
        <f>SUMIF(RawDataDead!$B:$B,$A117,RawDataDead!AW:AW)</f>
        <v>0</v>
      </c>
      <c r="AU117">
        <f>SUMIF(RawDataDead!$B:$B,$A117,RawDataDead!AX:AX)</f>
        <v>0</v>
      </c>
      <c r="AV117">
        <f>SUMIF(RawDataDead!$B:$B,$A117,RawDataDead!AY:AY)</f>
        <v>0</v>
      </c>
      <c r="AW117">
        <f>SUMIF(RawDataDead!$B:$B,$A117,RawDataDead!AZ:AZ)</f>
        <v>0</v>
      </c>
      <c r="AX117">
        <f>SUMIF(RawDataDead!$B:$B,$A117,RawDataDead!BA:BA)</f>
        <v>0</v>
      </c>
      <c r="AY117">
        <f>SUMIF(RawDataDead!$B:$B,$A117,RawDataDead!BB:BB)</f>
        <v>0</v>
      </c>
      <c r="AZ117">
        <f>SUMIF(RawDataDead!$B:$B,$A117,RawDataDead!BC:BC)</f>
        <v>0</v>
      </c>
      <c r="BA117">
        <f>SUMIF(RawDataDead!$B:$B,$A117,RawDataDead!BD:BD)</f>
        <v>0</v>
      </c>
      <c r="BB117">
        <f>SUMIF(RawDataDead!$B:$B,$A117,RawDataDead!BE:BE)</f>
        <v>0</v>
      </c>
      <c r="BC117">
        <f>SUMIF(RawDataDead!$B:$B,$A117,RawDataDead!BF:BF)</f>
        <v>0</v>
      </c>
      <c r="BD117">
        <f>SUMIF(RawDataDead!$B:$B,$A117,RawDataDead!BG:BG)</f>
        <v>0</v>
      </c>
      <c r="BE117">
        <f>SUMIF(RawDataDead!$B:$B,$A117,RawDataDead!BH:BH)</f>
        <v>0</v>
      </c>
      <c r="BF117">
        <f>SUMIF(RawDataDead!$B:$B,$A117,RawDataDead!BI:BI)</f>
        <v>0</v>
      </c>
      <c r="BG117">
        <f>SUMIF(RawDataDead!$B:$B,$A117,RawDataDead!BJ:BJ)</f>
        <v>0</v>
      </c>
      <c r="BH117">
        <f>SUMIF(RawDataDead!$B:$B,$A117,RawDataDead!BK:BK)</f>
        <v>0</v>
      </c>
      <c r="BI117">
        <f>SUMIF(RawDataDead!$B:$B,$A117,RawDataDead!BL:BL)</f>
        <v>0</v>
      </c>
      <c r="BJ117">
        <f>SUMIF(RawDataDead!$B:$B,$A117,RawDataDead!BM:BM)</f>
        <v>0</v>
      </c>
      <c r="BK117">
        <f>SUMIF(RawDataDead!$B:$B,$A117,RawDataDead!BN:BN)</f>
        <v>0</v>
      </c>
      <c r="BL117">
        <f>SUMIF(RawDataDead!$B:$B,$A117,RawDataDead!BO:BO)</f>
        <v>0</v>
      </c>
      <c r="BM117">
        <f>SUMIF(RawDataDead!$B:$B,$A117,RawDataDead!BP:BP)</f>
        <v>0</v>
      </c>
      <c r="BN117">
        <f>SUMIF(RawDataDead!$B:$B,$A117,RawDataDead!BQ:BQ)</f>
        <v>0</v>
      </c>
      <c r="BO117">
        <f>SUMIF(RawDataDead!$B:$B,$A117,RawDataDead!BR:BR)</f>
        <v>0</v>
      </c>
      <c r="BP117">
        <f>SUMIF(RawDataDead!$B:$B,$A117,RawDataDead!BS:BS)</f>
        <v>0</v>
      </c>
      <c r="BQ117">
        <f>SUMIF(RawDataDead!$B:$B,$A117,RawDataDead!BT:BT)</f>
        <v>0</v>
      </c>
      <c r="BR117">
        <f>SUMIF(RawDataDead!$B:$B,$A117,RawDataDead!BU:BU)</f>
        <v>0</v>
      </c>
      <c r="BS117">
        <f>SUMIF(RawDataDead!$B:$B,$A117,RawDataDead!BV:BV)</f>
        <v>0</v>
      </c>
      <c r="BT117">
        <f>SUMIF(RawDataDead!$B:$B,$A117,RawDataDead!BW:BW)</f>
        <v>0</v>
      </c>
    </row>
    <row r="118" spans="1:72" ht="15" thickBot="1" x14ac:dyDescent="0.35">
      <c r="A118" s="3" t="s">
        <v>439</v>
      </c>
      <c r="B118">
        <f>SUMIF(RawDataDead!$B:$B,$A118,RawDataDead!E:E)</f>
        <v>0</v>
      </c>
      <c r="C118">
        <f>SUMIF(RawDataDead!$B:$B,$A118,RawDataDead!F:F)</f>
        <v>0</v>
      </c>
      <c r="D118">
        <f>SUMIF(RawDataDead!$B:$B,$A118,RawDataDead!G:G)</f>
        <v>0</v>
      </c>
      <c r="E118">
        <f>SUMIF(RawDataDead!$B:$B,$A118,RawDataDead!H:H)</f>
        <v>0</v>
      </c>
      <c r="F118">
        <f>SUMIF(RawDataDead!$B:$B,$A118,RawDataDead!I:I)</f>
        <v>0</v>
      </c>
      <c r="G118">
        <f>SUMIF(RawDataDead!$B:$B,$A118,RawDataDead!J:J)</f>
        <v>0</v>
      </c>
      <c r="H118">
        <f>SUMIF(RawDataDead!$B:$B,$A118,RawDataDead!K:K)</f>
        <v>0</v>
      </c>
      <c r="I118">
        <f>SUMIF(RawDataDead!$B:$B,$A118,RawDataDead!L:L)</f>
        <v>0</v>
      </c>
      <c r="J118">
        <f>SUMIF(RawDataDead!$B:$B,$A118,RawDataDead!M:M)</f>
        <v>0</v>
      </c>
      <c r="K118">
        <f>SUMIF(RawDataDead!$B:$B,$A118,RawDataDead!N:N)</f>
        <v>0</v>
      </c>
      <c r="L118">
        <f>SUMIF(RawDataDead!$B:$B,$A118,RawDataDead!O:O)</f>
        <v>0</v>
      </c>
      <c r="M118">
        <f>SUMIF(RawDataDead!$B:$B,$A118,RawDataDead!P:P)</f>
        <v>0</v>
      </c>
      <c r="N118">
        <f>SUMIF(RawDataDead!$B:$B,$A118,RawDataDead!Q:Q)</f>
        <v>0</v>
      </c>
      <c r="O118">
        <f>SUMIF(RawDataDead!$B:$B,$A118,RawDataDead!R:R)</f>
        <v>0</v>
      </c>
      <c r="P118">
        <f>SUMIF(RawDataDead!$B:$B,$A118,RawDataDead!S:S)</f>
        <v>0</v>
      </c>
      <c r="Q118">
        <f>SUMIF(RawDataDead!$B:$B,$A118,RawDataDead!T:T)</f>
        <v>0</v>
      </c>
      <c r="R118">
        <f>SUMIF(RawDataDead!$B:$B,$A118,RawDataDead!U:U)</f>
        <v>0</v>
      </c>
      <c r="S118">
        <f>SUMIF(RawDataDead!$B:$B,$A118,RawDataDead!V:V)</f>
        <v>0</v>
      </c>
      <c r="T118">
        <f>SUMIF(RawDataDead!$B:$B,$A118,RawDataDead!W:W)</f>
        <v>0</v>
      </c>
      <c r="U118">
        <f>SUMIF(RawDataDead!$B:$B,$A118,RawDataDead!X:X)</f>
        <v>0</v>
      </c>
      <c r="V118">
        <f>SUMIF(RawDataDead!$B:$B,$A118,RawDataDead!Y:Y)</f>
        <v>0</v>
      </c>
      <c r="W118">
        <f>SUMIF(RawDataDead!$B:$B,$A118,RawDataDead!Z:Z)</f>
        <v>0</v>
      </c>
      <c r="X118">
        <f>SUMIF(RawDataDead!$B:$B,$A118,RawDataDead!AA:AA)</f>
        <v>0</v>
      </c>
      <c r="Y118">
        <f>SUMIF(RawDataDead!$B:$B,$A118,RawDataDead!AB:AB)</f>
        <v>0</v>
      </c>
      <c r="Z118">
        <f>SUMIF(RawDataDead!$B:$B,$A118,RawDataDead!AC:AC)</f>
        <v>0</v>
      </c>
      <c r="AA118">
        <f>SUMIF(RawDataDead!$B:$B,$A118,RawDataDead!AD:AD)</f>
        <v>0</v>
      </c>
      <c r="AB118">
        <f>SUMIF(RawDataDead!$B:$B,$A118,RawDataDead!AE:AE)</f>
        <v>0</v>
      </c>
      <c r="AC118">
        <f>SUMIF(RawDataDead!$B:$B,$A118,RawDataDead!AF:AF)</f>
        <v>0</v>
      </c>
      <c r="AD118">
        <f>SUMIF(RawDataDead!$B:$B,$A118,RawDataDead!AG:AG)</f>
        <v>0</v>
      </c>
      <c r="AE118">
        <f>SUMIF(RawDataDead!$B:$B,$A118,RawDataDead!AH:AH)</f>
        <v>0</v>
      </c>
      <c r="AF118">
        <f>SUMIF(RawDataDead!$B:$B,$A118,RawDataDead!AI:AI)</f>
        <v>0</v>
      </c>
      <c r="AG118">
        <f>SUMIF(RawDataDead!$B:$B,$A118,RawDataDead!AJ:AJ)</f>
        <v>0</v>
      </c>
      <c r="AH118">
        <f>SUMIF(RawDataDead!$B:$B,$A118,RawDataDead!AK:AK)</f>
        <v>0</v>
      </c>
      <c r="AI118">
        <f>SUMIF(RawDataDead!$B:$B,$A118,RawDataDead!AL:AL)</f>
        <v>0</v>
      </c>
      <c r="AJ118">
        <f>SUMIF(RawDataDead!$B:$B,$A118,RawDataDead!AM:AM)</f>
        <v>0</v>
      </c>
      <c r="AK118">
        <f>SUMIF(RawDataDead!$B:$B,$A118,RawDataDead!AN:AN)</f>
        <v>0</v>
      </c>
      <c r="AL118">
        <f>SUMIF(RawDataDead!$B:$B,$A118,RawDataDead!AO:AO)</f>
        <v>0</v>
      </c>
      <c r="AM118">
        <f>SUMIF(RawDataDead!$B:$B,$A118,RawDataDead!AP:AP)</f>
        <v>0</v>
      </c>
      <c r="AN118">
        <f>SUMIF(RawDataDead!$B:$B,$A118,RawDataDead!AQ:AQ)</f>
        <v>0</v>
      </c>
      <c r="AO118">
        <f>SUMIF(RawDataDead!$B:$B,$A118,RawDataDead!AR:AR)</f>
        <v>0</v>
      </c>
      <c r="AP118">
        <f>SUMIF(RawDataDead!$B:$B,$A118,RawDataDead!AS:AS)</f>
        <v>0</v>
      </c>
      <c r="AQ118">
        <f>SUMIF(RawDataDead!$B:$B,$A118,RawDataDead!AT:AT)</f>
        <v>0</v>
      </c>
      <c r="AR118">
        <f>SUMIF(RawDataDead!$B:$B,$A118,RawDataDead!AU:AU)</f>
        <v>0</v>
      </c>
      <c r="AS118">
        <f>SUMIF(RawDataDead!$B:$B,$A118,RawDataDead!AV:AV)</f>
        <v>0</v>
      </c>
      <c r="AT118">
        <f>SUMIF(RawDataDead!$B:$B,$A118,RawDataDead!AW:AW)</f>
        <v>0</v>
      </c>
      <c r="AU118">
        <f>SUMIF(RawDataDead!$B:$B,$A118,RawDataDead!AX:AX)</f>
        <v>0</v>
      </c>
      <c r="AV118">
        <f>SUMIF(RawDataDead!$B:$B,$A118,RawDataDead!AY:AY)</f>
        <v>0</v>
      </c>
      <c r="AW118">
        <f>SUMIF(RawDataDead!$B:$B,$A118,RawDataDead!AZ:AZ)</f>
        <v>0</v>
      </c>
      <c r="AX118">
        <f>SUMIF(RawDataDead!$B:$B,$A118,RawDataDead!BA:BA)</f>
        <v>0</v>
      </c>
      <c r="AY118">
        <f>SUMIF(RawDataDead!$B:$B,$A118,RawDataDead!BB:BB)</f>
        <v>0</v>
      </c>
      <c r="AZ118">
        <f>SUMIF(RawDataDead!$B:$B,$A118,RawDataDead!BC:BC)</f>
        <v>1</v>
      </c>
      <c r="BA118">
        <f>SUMIF(RawDataDead!$B:$B,$A118,RawDataDead!BD:BD)</f>
        <v>1</v>
      </c>
      <c r="BB118">
        <f>SUMIF(RawDataDead!$B:$B,$A118,RawDataDead!BE:BE)</f>
        <v>1</v>
      </c>
      <c r="BC118">
        <f>SUMIF(RawDataDead!$B:$B,$A118,RawDataDead!BF:BF)</f>
        <v>1</v>
      </c>
      <c r="BD118">
        <f>SUMIF(RawDataDead!$B:$B,$A118,RawDataDead!BG:BG)</f>
        <v>1</v>
      </c>
      <c r="BE118">
        <f>SUMIF(RawDataDead!$B:$B,$A118,RawDataDead!BH:BH)</f>
        <v>1</v>
      </c>
      <c r="BF118">
        <f>SUMIF(RawDataDead!$B:$B,$A118,RawDataDead!BI:BI)</f>
        <v>0</v>
      </c>
      <c r="BG118">
        <f>SUMIF(RawDataDead!$B:$B,$A118,RawDataDead!BJ:BJ)</f>
        <v>0</v>
      </c>
      <c r="BH118">
        <f>SUMIF(RawDataDead!$B:$B,$A118,RawDataDead!BK:BK)</f>
        <v>0</v>
      </c>
      <c r="BI118">
        <f>SUMIF(RawDataDead!$B:$B,$A118,RawDataDead!BL:BL)</f>
        <v>0</v>
      </c>
      <c r="BJ118">
        <f>SUMIF(RawDataDead!$B:$B,$A118,RawDataDead!BM:BM)</f>
        <v>0</v>
      </c>
      <c r="BK118">
        <f>SUMIF(RawDataDead!$B:$B,$A118,RawDataDead!BN:BN)</f>
        <v>0</v>
      </c>
      <c r="BL118">
        <f>SUMIF(RawDataDead!$B:$B,$A118,RawDataDead!BO:BO)</f>
        <v>0</v>
      </c>
      <c r="BM118">
        <f>SUMIF(RawDataDead!$B:$B,$A118,RawDataDead!BP:BP)</f>
        <v>0</v>
      </c>
      <c r="BN118">
        <f>SUMIF(RawDataDead!$B:$B,$A118,RawDataDead!BQ:BQ)</f>
        <v>0</v>
      </c>
      <c r="BO118">
        <f>SUMIF(RawDataDead!$B:$B,$A118,RawDataDead!BR:BR)</f>
        <v>0</v>
      </c>
      <c r="BP118">
        <f>SUMIF(RawDataDead!$B:$B,$A118,RawDataDead!BS:BS)</f>
        <v>0</v>
      </c>
      <c r="BQ118">
        <f>SUMIF(RawDataDead!$B:$B,$A118,RawDataDead!BT:BT)</f>
        <v>0</v>
      </c>
      <c r="BR118">
        <f>SUMIF(RawDataDead!$B:$B,$A118,RawDataDead!BU:BU)</f>
        <v>0</v>
      </c>
      <c r="BS118">
        <f>SUMIF(RawDataDead!$B:$B,$A118,RawDataDead!BV:BV)</f>
        <v>0</v>
      </c>
      <c r="BT118">
        <f>SUMIF(RawDataDead!$B:$B,$A118,RawDataDead!BW:BW)</f>
        <v>0</v>
      </c>
    </row>
    <row r="119" spans="1:72" ht="15" thickBot="1" x14ac:dyDescent="0.35">
      <c r="A119" s="3" t="s">
        <v>308</v>
      </c>
      <c r="B119">
        <f>SUMIF(RawDataDead!$B:$B,$A119,RawDataDead!E:E)</f>
        <v>0</v>
      </c>
      <c r="C119">
        <f>SUMIF(RawDataDead!$B:$B,$A119,RawDataDead!F:F)</f>
        <v>0</v>
      </c>
      <c r="D119">
        <f>SUMIF(RawDataDead!$B:$B,$A119,RawDataDead!G:G)</f>
        <v>0</v>
      </c>
      <c r="E119">
        <f>SUMIF(RawDataDead!$B:$B,$A119,RawDataDead!H:H)</f>
        <v>0</v>
      </c>
      <c r="F119">
        <f>SUMIF(RawDataDead!$B:$B,$A119,RawDataDead!I:I)</f>
        <v>0</v>
      </c>
      <c r="G119">
        <f>SUMIF(RawDataDead!$B:$B,$A119,RawDataDead!J:J)</f>
        <v>0</v>
      </c>
      <c r="H119">
        <f>SUMIF(RawDataDead!$B:$B,$A119,RawDataDead!K:K)</f>
        <v>0</v>
      </c>
      <c r="I119">
        <f>SUMIF(RawDataDead!$B:$B,$A119,RawDataDead!L:L)</f>
        <v>0</v>
      </c>
      <c r="J119">
        <f>SUMIF(RawDataDead!$B:$B,$A119,RawDataDead!M:M)</f>
        <v>0</v>
      </c>
      <c r="K119">
        <f>SUMIF(RawDataDead!$B:$B,$A119,RawDataDead!N:N)</f>
        <v>0</v>
      </c>
      <c r="L119">
        <f>SUMIF(RawDataDead!$B:$B,$A119,RawDataDead!O:O)</f>
        <v>0</v>
      </c>
      <c r="M119">
        <f>SUMIF(RawDataDead!$B:$B,$A119,RawDataDead!P:P)</f>
        <v>0</v>
      </c>
      <c r="N119">
        <f>SUMIF(RawDataDead!$B:$B,$A119,RawDataDead!Q:Q)</f>
        <v>0</v>
      </c>
      <c r="O119">
        <f>SUMIF(RawDataDead!$B:$B,$A119,RawDataDead!R:R)</f>
        <v>0</v>
      </c>
      <c r="P119">
        <f>SUMIF(RawDataDead!$B:$B,$A119,RawDataDead!S:S)</f>
        <v>0</v>
      </c>
      <c r="Q119">
        <f>SUMIF(RawDataDead!$B:$B,$A119,RawDataDead!T:T)</f>
        <v>0</v>
      </c>
      <c r="R119">
        <f>SUMIF(RawDataDead!$B:$B,$A119,RawDataDead!U:U)</f>
        <v>0</v>
      </c>
      <c r="S119">
        <f>SUMIF(RawDataDead!$B:$B,$A119,RawDataDead!V:V)</f>
        <v>0</v>
      </c>
      <c r="T119">
        <f>SUMIF(RawDataDead!$B:$B,$A119,RawDataDead!W:W)</f>
        <v>0</v>
      </c>
      <c r="U119">
        <f>SUMIF(RawDataDead!$B:$B,$A119,RawDataDead!X:X)</f>
        <v>0</v>
      </c>
      <c r="V119">
        <f>SUMIF(RawDataDead!$B:$B,$A119,RawDataDead!Y:Y)</f>
        <v>0</v>
      </c>
      <c r="W119">
        <f>SUMIF(RawDataDead!$B:$B,$A119,RawDataDead!Z:Z)</f>
        <v>0</v>
      </c>
      <c r="X119">
        <f>SUMIF(RawDataDead!$B:$B,$A119,RawDataDead!AA:AA)</f>
        <v>0</v>
      </c>
      <c r="Y119">
        <f>SUMIF(RawDataDead!$B:$B,$A119,RawDataDead!AB:AB)</f>
        <v>0</v>
      </c>
      <c r="Z119">
        <f>SUMIF(RawDataDead!$B:$B,$A119,RawDataDead!AC:AC)</f>
        <v>0</v>
      </c>
      <c r="AA119">
        <f>SUMIF(RawDataDead!$B:$B,$A119,RawDataDead!AD:AD)</f>
        <v>0</v>
      </c>
      <c r="AB119">
        <f>SUMIF(RawDataDead!$B:$B,$A119,RawDataDead!AE:AE)</f>
        <v>0</v>
      </c>
      <c r="AC119">
        <f>SUMIF(RawDataDead!$B:$B,$A119,RawDataDead!AF:AF)</f>
        <v>0</v>
      </c>
      <c r="AD119">
        <f>SUMIF(RawDataDead!$B:$B,$A119,RawDataDead!AG:AG)</f>
        <v>0</v>
      </c>
      <c r="AE119">
        <f>SUMIF(RawDataDead!$B:$B,$A119,RawDataDead!AH:AH)</f>
        <v>0</v>
      </c>
      <c r="AF119">
        <f>SUMIF(RawDataDead!$B:$B,$A119,RawDataDead!AI:AI)</f>
        <v>0</v>
      </c>
      <c r="AG119">
        <f>SUMIF(RawDataDead!$B:$B,$A119,RawDataDead!AJ:AJ)</f>
        <v>0</v>
      </c>
      <c r="AH119">
        <f>SUMIF(RawDataDead!$B:$B,$A119,RawDataDead!AK:AK)</f>
        <v>0</v>
      </c>
      <c r="AI119">
        <f>SUMIF(RawDataDead!$B:$B,$A119,RawDataDead!AL:AL)</f>
        <v>0</v>
      </c>
      <c r="AJ119">
        <f>SUMIF(RawDataDead!$B:$B,$A119,RawDataDead!AM:AM)</f>
        <v>0</v>
      </c>
      <c r="AK119">
        <f>SUMIF(RawDataDead!$B:$B,$A119,RawDataDead!AN:AN)</f>
        <v>0</v>
      </c>
      <c r="AL119">
        <f>SUMIF(RawDataDead!$B:$B,$A119,RawDataDead!AO:AO)</f>
        <v>0</v>
      </c>
      <c r="AM119">
        <f>SUMIF(RawDataDead!$B:$B,$A119,RawDataDead!AP:AP)</f>
        <v>0</v>
      </c>
      <c r="AN119">
        <f>SUMIF(RawDataDead!$B:$B,$A119,RawDataDead!AQ:AQ)</f>
        <v>0</v>
      </c>
      <c r="AO119">
        <f>SUMIF(RawDataDead!$B:$B,$A119,RawDataDead!AR:AR)</f>
        <v>0</v>
      </c>
      <c r="AP119">
        <f>SUMIF(RawDataDead!$B:$B,$A119,RawDataDead!AS:AS)</f>
        <v>0</v>
      </c>
      <c r="AQ119">
        <f>SUMIF(RawDataDead!$B:$B,$A119,RawDataDead!AT:AT)</f>
        <v>0</v>
      </c>
      <c r="AR119">
        <f>SUMIF(RawDataDead!$B:$B,$A119,RawDataDead!AU:AU)</f>
        <v>0</v>
      </c>
      <c r="AS119">
        <f>SUMIF(RawDataDead!$B:$B,$A119,RawDataDead!AV:AV)</f>
        <v>0</v>
      </c>
      <c r="AT119">
        <f>SUMIF(RawDataDead!$B:$B,$A119,RawDataDead!AW:AW)</f>
        <v>0</v>
      </c>
      <c r="AU119">
        <f>SUMIF(RawDataDead!$B:$B,$A119,RawDataDead!AX:AX)</f>
        <v>0</v>
      </c>
      <c r="AV119">
        <f>SUMIF(RawDataDead!$B:$B,$A119,RawDataDead!AY:AY)</f>
        <v>0</v>
      </c>
      <c r="AW119">
        <f>SUMIF(RawDataDead!$B:$B,$A119,RawDataDead!AZ:AZ)</f>
        <v>0</v>
      </c>
      <c r="AX119">
        <f>SUMIF(RawDataDead!$B:$B,$A119,RawDataDead!BA:BA)</f>
        <v>0</v>
      </c>
      <c r="AY119">
        <f>SUMIF(RawDataDead!$B:$B,$A119,RawDataDead!BB:BB)</f>
        <v>0</v>
      </c>
      <c r="AZ119">
        <f>SUMIF(RawDataDead!$B:$B,$A119,RawDataDead!BC:BC)</f>
        <v>0</v>
      </c>
      <c r="BA119">
        <f>SUMIF(RawDataDead!$B:$B,$A119,RawDataDead!BD:BD)</f>
        <v>0</v>
      </c>
      <c r="BB119">
        <f>SUMIF(RawDataDead!$B:$B,$A119,RawDataDead!BE:BE)</f>
        <v>0</v>
      </c>
      <c r="BC119">
        <f>SUMIF(RawDataDead!$B:$B,$A119,RawDataDead!BF:BF)</f>
        <v>0</v>
      </c>
      <c r="BD119">
        <f>SUMIF(RawDataDead!$B:$B,$A119,RawDataDead!BG:BG)</f>
        <v>0</v>
      </c>
      <c r="BE119">
        <f>SUMIF(RawDataDead!$B:$B,$A119,RawDataDead!BH:BH)</f>
        <v>0</v>
      </c>
      <c r="BF119">
        <f>SUMIF(RawDataDead!$B:$B,$A119,RawDataDead!BI:BI)</f>
        <v>0</v>
      </c>
      <c r="BG119">
        <f>SUMIF(RawDataDead!$B:$B,$A119,RawDataDead!BJ:BJ)</f>
        <v>0</v>
      </c>
      <c r="BH119">
        <f>SUMIF(RawDataDead!$B:$B,$A119,RawDataDead!BK:BK)</f>
        <v>0</v>
      </c>
      <c r="BI119">
        <f>SUMIF(RawDataDead!$B:$B,$A119,RawDataDead!BL:BL)</f>
        <v>0</v>
      </c>
      <c r="BJ119">
        <f>SUMIF(RawDataDead!$B:$B,$A119,RawDataDead!BM:BM)</f>
        <v>0</v>
      </c>
      <c r="BK119">
        <f>SUMIF(RawDataDead!$B:$B,$A119,RawDataDead!BN:BN)</f>
        <v>0</v>
      </c>
      <c r="BL119">
        <f>SUMIF(RawDataDead!$B:$B,$A119,RawDataDead!BO:BO)</f>
        <v>0</v>
      </c>
      <c r="BM119">
        <f>SUMIF(RawDataDead!$B:$B,$A119,RawDataDead!BP:BP)</f>
        <v>0</v>
      </c>
      <c r="BN119">
        <f>SUMIF(RawDataDead!$B:$B,$A119,RawDataDead!BQ:BQ)</f>
        <v>0</v>
      </c>
      <c r="BO119">
        <f>SUMIF(RawDataDead!$B:$B,$A119,RawDataDead!BR:BR)</f>
        <v>0</v>
      </c>
      <c r="BP119">
        <f>SUMIF(RawDataDead!$B:$B,$A119,RawDataDead!BS:BS)</f>
        <v>0</v>
      </c>
      <c r="BQ119">
        <f>SUMIF(RawDataDead!$B:$B,$A119,RawDataDead!BT:BT)</f>
        <v>0</v>
      </c>
      <c r="BR119">
        <f>SUMIF(RawDataDead!$B:$B,$A119,RawDataDead!BU:BU)</f>
        <v>0</v>
      </c>
      <c r="BS119">
        <f>SUMIF(RawDataDead!$B:$B,$A119,RawDataDead!BV:BV)</f>
        <v>0</v>
      </c>
      <c r="BT119">
        <f>SUMIF(RawDataDead!$B:$B,$A119,RawDataDead!BW:BW)</f>
        <v>0</v>
      </c>
    </row>
    <row r="120" spans="1:72" ht="15" thickBot="1" x14ac:dyDescent="0.35">
      <c r="A120" s="4" t="s">
        <v>152</v>
      </c>
      <c r="B120">
        <f>SUMIF(RawDataDead!$B:$B,$A120,RawDataDead!E:E)</f>
        <v>0</v>
      </c>
      <c r="C120">
        <f>SUMIF(RawDataDead!$B:$B,$A120,RawDataDead!F:F)</f>
        <v>0</v>
      </c>
      <c r="D120">
        <f>SUMIF(RawDataDead!$B:$B,$A120,RawDataDead!G:G)</f>
        <v>0</v>
      </c>
      <c r="E120">
        <f>SUMIF(RawDataDead!$B:$B,$A120,RawDataDead!H:H)</f>
        <v>0</v>
      </c>
      <c r="F120">
        <f>SUMIF(RawDataDead!$B:$B,$A120,RawDataDead!I:I)</f>
        <v>0</v>
      </c>
      <c r="G120">
        <f>SUMIF(RawDataDead!$B:$B,$A120,RawDataDead!J:J)</f>
        <v>0</v>
      </c>
      <c r="H120">
        <f>SUMIF(RawDataDead!$B:$B,$A120,RawDataDead!K:K)</f>
        <v>0</v>
      </c>
      <c r="I120">
        <f>SUMIF(RawDataDead!$B:$B,$A120,RawDataDead!L:L)</f>
        <v>0</v>
      </c>
      <c r="J120">
        <f>SUMIF(RawDataDead!$B:$B,$A120,RawDataDead!M:M)</f>
        <v>0</v>
      </c>
      <c r="K120">
        <f>SUMIF(RawDataDead!$B:$B,$A120,RawDataDead!N:N)</f>
        <v>0</v>
      </c>
      <c r="L120">
        <f>SUMIF(RawDataDead!$B:$B,$A120,RawDataDead!O:O)</f>
        <v>0</v>
      </c>
      <c r="M120">
        <f>SUMIF(RawDataDead!$B:$B,$A120,RawDataDead!P:P)</f>
        <v>0</v>
      </c>
      <c r="N120">
        <f>SUMIF(RawDataDead!$B:$B,$A120,RawDataDead!Q:Q)</f>
        <v>0</v>
      </c>
      <c r="O120">
        <f>SUMIF(RawDataDead!$B:$B,$A120,RawDataDead!R:R)</f>
        <v>0</v>
      </c>
      <c r="P120">
        <f>SUMIF(RawDataDead!$B:$B,$A120,RawDataDead!S:S)</f>
        <v>0</v>
      </c>
      <c r="Q120">
        <f>SUMIF(RawDataDead!$B:$B,$A120,RawDataDead!T:T)</f>
        <v>0</v>
      </c>
      <c r="R120">
        <f>SUMIF(RawDataDead!$B:$B,$A120,RawDataDead!U:U)</f>
        <v>0</v>
      </c>
      <c r="S120">
        <f>SUMIF(RawDataDead!$B:$B,$A120,RawDataDead!V:V)</f>
        <v>0</v>
      </c>
      <c r="T120">
        <f>SUMIF(RawDataDead!$B:$B,$A120,RawDataDead!W:W)</f>
        <v>0</v>
      </c>
      <c r="U120">
        <f>SUMIF(RawDataDead!$B:$B,$A120,RawDataDead!X:X)</f>
        <v>0</v>
      </c>
      <c r="V120">
        <f>SUMIF(RawDataDead!$B:$B,$A120,RawDataDead!Y:Y)</f>
        <v>0</v>
      </c>
      <c r="W120">
        <f>SUMIF(RawDataDead!$B:$B,$A120,RawDataDead!Z:Z)</f>
        <v>0</v>
      </c>
      <c r="X120">
        <f>SUMIF(RawDataDead!$B:$B,$A120,RawDataDead!AA:AA)</f>
        <v>0</v>
      </c>
      <c r="Y120">
        <f>SUMIF(RawDataDead!$B:$B,$A120,RawDataDead!AB:AB)</f>
        <v>0</v>
      </c>
      <c r="Z120">
        <f>SUMIF(RawDataDead!$B:$B,$A120,RawDataDead!AC:AC)</f>
        <v>0</v>
      </c>
      <c r="AA120">
        <f>SUMIF(RawDataDead!$B:$B,$A120,RawDataDead!AD:AD)</f>
        <v>0</v>
      </c>
      <c r="AB120">
        <f>SUMIF(RawDataDead!$B:$B,$A120,RawDataDead!AE:AE)</f>
        <v>0</v>
      </c>
      <c r="AC120">
        <f>SUMIF(RawDataDead!$B:$B,$A120,RawDataDead!AF:AF)</f>
        <v>0</v>
      </c>
      <c r="AD120">
        <f>SUMIF(RawDataDead!$B:$B,$A120,RawDataDead!AG:AG)</f>
        <v>0</v>
      </c>
      <c r="AE120">
        <f>SUMIF(RawDataDead!$B:$B,$A120,RawDataDead!AH:AH)</f>
        <v>0</v>
      </c>
      <c r="AF120">
        <f>SUMIF(RawDataDead!$B:$B,$A120,RawDataDead!AI:AI)</f>
        <v>0</v>
      </c>
      <c r="AG120">
        <f>SUMIF(RawDataDead!$B:$B,$A120,RawDataDead!AJ:AJ)</f>
        <v>0</v>
      </c>
      <c r="AH120">
        <f>SUMIF(RawDataDead!$B:$B,$A120,RawDataDead!AK:AK)</f>
        <v>0</v>
      </c>
      <c r="AI120">
        <f>SUMIF(RawDataDead!$B:$B,$A120,RawDataDead!AL:AL)</f>
        <v>0</v>
      </c>
      <c r="AJ120">
        <f>SUMIF(RawDataDead!$B:$B,$A120,RawDataDead!AM:AM)</f>
        <v>0</v>
      </c>
      <c r="AK120">
        <f>SUMIF(RawDataDead!$B:$B,$A120,RawDataDead!AN:AN)</f>
        <v>0</v>
      </c>
      <c r="AL120">
        <f>SUMIF(RawDataDead!$B:$B,$A120,RawDataDead!AO:AO)</f>
        <v>0</v>
      </c>
      <c r="AM120">
        <f>SUMIF(RawDataDead!$B:$B,$A120,RawDataDead!AP:AP)</f>
        <v>0</v>
      </c>
      <c r="AN120">
        <f>SUMIF(RawDataDead!$B:$B,$A120,RawDataDead!AQ:AQ)</f>
        <v>0</v>
      </c>
      <c r="AO120">
        <f>SUMIF(RawDataDead!$B:$B,$A120,RawDataDead!AR:AR)</f>
        <v>0</v>
      </c>
      <c r="AP120">
        <f>SUMIF(RawDataDead!$B:$B,$A120,RawDataDead!AS:AS)</f>
        <v>0</v>
      </c>
      <c r="AQ120">
        <f>SUMIF(RawDataDead!$B:$B,$A120,RawDataDead!AT:AT)</f>
        <v>0</v>
      </c>
      <c r="AR120">
        <f>SUMIF(RawDataDead!$B:$B,$A120,RawDataDead!AU:AU)</f>
        <v>0</v>
      </c>
      <c r="AS120">
        <f>SUMIF(RawDataDead!$B:$B,$A120,RawDataDead!AV:AV)</f>
        <v>0</v>
      </c>
      <c r="AT120">
        <f>SUMIF(RawDataDead!$B:$B,$A120,RawDataDead!AW:AW)</f>
        <v>0</v>
      </c>
      <c r="AU120">
        <f>SUMIF(RawDataDead!$B:$B,$A120,RawDataDead!AX:AX)</f>
        <v>0</v>
      </c>
      <c r="AV120">
        <f>SUMIF(RawDataDead!$B:$B,$A120,RawDataDead!AY:AY)</f>
        <v>0</v>
      </c>
      <c r="AW120">
        <f>SUMIF(RawDataDead!$B:$B,$A120,RawDataDead!AZ:AZ)</f>
        <v>0</v>
      </c>
      <c r="AX120">
        <f>SUMIF(RawDataDead!$B:$B,$A120,RawDataDead!BA:BA)</f>
        <v>0</v>
      </c>
      <c r="AY120">
        <f>SUMIF(RawDataDead!$B:$B,$A120,RawDataDead!BB:BB)</f>
        <v>0</v>
      </c>
      <c r="AZ120">
        <f>SUMIF(RawDataDead!$B:$B,$A120,RawDataDead!BC:BC)</f>
        <v>0</v>
      </c>
      <c r="BA120">
        <f>SUMIF(RawDataDead!$B:$B,$A120,RawDataDead!BD:BD)</f>
        <v>0</v>
      </c>
      <c r="BB120">
        <f>SUMIF(RawDataDead!$B:$B,$A120,RawDataDead!BE:BE)</f>
        <v>0</v>
      </c>
      <c r="BC120">
        <f>SUMIF(RawDataDead!$B:$B,$A120,RawDataDead!BF:BF)</f>
        <v>0</v>
      </c>
      <c r="BD120">
        <f>SUMIF(RawDataDead!$B:$B,$A120,RawDataDead!BG:BG)</f>
        <v>0</v>
      </c>
      <c r="BE120">
        <f>SUMIF(RawDataDead!$B:$B,$A120,RawDataDead!BH:BH)</f>
        <v>0</v>
      </c>
      <c r="BF120">
        <f>SUMIF(RawDataDead!$B:$B,$A120,RawDataDead!BI:BI)</f>
        <v>0</v>
      </c>
      <c r="BG120">
        <f>SUMIF(RawDataDead!$B:$B,$A120,RawDataDead!BJ:BJ)</f>
        <v>0</v>
      </c>
      <c r="BH120">
        <f>SUMIF(RawDataDead!$B:$B,$A120,RawDataDead!BK:BK)</f>
        <v>0</v>
      </c>
      <c r="BI120">
        <f>SUMIF(RawDataDead!$B:$B,$A120,RawDataDead!BL:BL)</f>
        <v>0</v>
      </c>
      <c r="BJ120">
        <f>SUMIF(RawDataDead!$B:$B,$A120,RawDataDead!BM:BM)</f>
        <v>0</v>
      </c>
      <c r="BK120">
        <f>SUMIF(RawDataDead!$B:$B,$A120,RawDataDead!BN:BN)</f>
        <v>0</v>
      </c>
      <c r="BL120">
        <f>SUMIF(RawDataDead!$B:$B,$A120,RawDataDead!BO:BO)</f>
        <v>0</v>
      </c>
      <c r="BM120">
        <f>SUMIF(RawDataDead!$B:$B,$A120,RawDataDead!BP:BP)</f>
        <v>0</v>
      </c>
      <c r="BN120">
        <f>SUMIF(RawDataDead!$B:$B,$A120,RawDataDead!BQ:BQ)</f>
        <v>0</v>
      </c>
      <c r="BO120">
        <f>SUMIF(RawDataDead!$B:$B,$A120,RawDataDead!BR:BR)</f>
        <v>0</v>
      </c>
      <c r="BP120">
        <f>SUMIF(RawDataDead!$B:$B,$A120,RawDataDead!BS:BS)</f>
        <v>0</v>
      </c>
      <c r="BQ120">
        <f>SUMIF(RawDataDead!$B:$B,$A120,RawDataDead!BT:BT)</f>
        <v>0</v>
      </c>
      <c r="BR120">
        <f>SUMIF(RawDataDead!$B:$B,$A120,RawDataDead!BU:BU)</f>
        <v>0</v>
      </c>
      <c r="BS120">
        <f>SUMIF(RawDataDead!$B:$B,$A120,RawDataDead!BV:BV)</f>
        <v>0</v>
      </c>
      <c r="BT120">
        <f>SUMIF(RawDataDead!$B:$B,$A120,RawDataDead!BW:BW)</f>
        <v>0</v>
      </c>
    </row>
    <row r="121" spans="1:72" ht="15" thickBot="1" x14ac:dyDescent="0.35">
      <c r="A121" s="3" t="s">
        <v>451</v>
      </c>
      <c r="B121">
        <f>SUMIF(RawDataDead!$B:$B,$A121,RawDataDead!E:E)</f>
        <v>0</v>
      </c>
      <c r="C121">
        <f>SUMIF(RawDataDead!$B:$B,$A121,RawDataDead!F:F)</f>
        <v>0</v>
      </c>
      <c r="D121">
        <f>SUMIF(RawDataDead!$B:$B,$A121,RawDataDead!G:G)</f>
        <v>0</v>
      </c>
      <c r="E121">
        <f>SUMIF(RawDataDead!$B:$B,$A121,RawDataDead!H:H)</f>
        <v>0</v>
      </c>
      <c r="F121">
        <f>SUMIF(RawDataDead!$B:$B,$A121,RawDataDead!I:I)</f>
        <v>0</v>
      </c>
      <c r="G121">
        <f>SUMIF(RawDataDead!$B:$B,$A121,RawDataDead!J:J)</f>
        <v>0</v>
      </c>
      <c r="H121">
        <f>SUMIF(RawDataDead!$B:$B,$A121,RawDataDead!K:K)</f>
        <v>0</v>
      </c>
      <c r="I121">
        <f>SUMIF(RawDataDead!$B:$B,$A121,RawDataDead!L:L)</f>
        <v>0</v>
      </c>
      <c r="J121">
        <f>SUMIF(RawDataDead!$B:$B,$A121,RawDataDead!M:M)</f>
        <v>0</v>
      </c>
      <c r="K121">
        <f>SUMIF(RawDataDead!$B:$B,$A121,RawDataDead!N:N)</f>
        <v>0</v>
      </c>
      <c r="L121">
        <f>SUMIF(RawDataDead!$B:$B,$A121,RawDataDead!O:O)</f>
        <v>0</v>
      </c>
      <c r="M121">
        <f>SUMIF(RawDataDead!$B:$B,$A121,RawDataDead!P:P)</f>
        <v>0</v>
      </c>
      <c r="N121">
        <f>SUMIF(RawDataDead!$B:$B,$A121,RawDataDead!Q:Q)</f>
        <v>0</v>
      </c>
      <c r="O121">
        <f>SUMIF(RawDataDead!$B:$B,$A121,RawDataDead!R:R)</f>
        <v>0</v>
      </c>
      <c r="P121">
        <f>SUMIF(RawDataDead!$B:$B,$A121,RawDataDead!S:S)</f>
        <v>0</v>
      </c>
      <c r="Q121">
        <f>SUMIF(RawDataDead!$B:$B,$A121,RawDataDead!T:T)</f>
        <v>0</v>
      </c>
      <c r="R121">
        <f>SUMIF(RawDataDead!$B:$B,$A121,RawDataDead!U:U)</f>
        <v>0</v>
      </c>
      <c r="S121">
        <f>SUMIF(RawDataDead!$B:$B,$A121,RawDataDead!V:V)</f>
        <v>0</v>
      </c>
      <c r="T121">
        <f>SUMIF(RawDataDead!$B:$B,$A121,RawDataDead!W:W)</f>
        <v>0</v>
      </c>
      <c r="U121">
        <f>SUMIF(RawDataDead!$B:$B,$A121,RawDataDead!X:X)</f>
        <v>0</v>
      </c>
      <c r="V121">
        <f>SUMIF(RawDataDead!$B:$B,$A121,RawDataDead!Y:Y)</f>
        <v>0</v>
      </c>
      <c r="W121">
        <f>SUMIF(RawDataDead!$B:$B,$A121,RawDataDead!Z:Z)</f>
        <v>0</v>
      </c>
      <c r="X121">
        <f>SUMIF(RawDataDead!$B:$B,$A121,RawDataDead!AA:AA)</f>
        <v>0</v>
      </c>
      <c r="Y121">
        <f>SUMIF(RawDataDead!$B:$B,$A121,RawDataDead!AB:AB)</f>
        <v>0</v>
      </c>
      <c r="Z121">
        <f>SUMIF(RawDataDead!$B:$B,$A121,RawDataDead!AC:AC)</f>
        <v>0</v>
      </c>
      <c r="AA121">
        <f>SUMIF(RawDataDead!$B:$B,$A121,RawDataDead!AD:AD)</f>
        <v>0</v>
      </c>
      <c r="AB121">
        <f>SUMIF(RawDataDead!$B:$B,$A121,RawDataDead!AE:AE)</f>
        <v>0</v>
      </c>
      <c r="AC121">
        <f>SUMIF(RawDataDead!$B:$B,$A121,RawDataDead!AF:AF)</f>
        <v>0</v>
      </c>
      <c r="AD121">
        <f>SUMIF(RawDataDead!$B:$B,$A121,RawDataDead!AG:AG)</f>
        <v>0</v>
      </c>
      <c r="AE121">
        <f>SUMIF(RawDataDead!$B:$B,$A121,RawDataDead!AH:AH)</f>
        <v>0</v>
      </c>
      <c r="AF121">
        <f>SUMIF(RawDataDead!$B:$B,$A121,RawDataDead!AI:AI)</f>
        <v>0</v>
      </c>
      <c r="AG121">
        <f>SUMIF(RawDataDead!$B:$B,$A121,RawDataDead!AJ:AJ)</f>
        <v>0</v>
      </c>
      <c r="AH121">
        <f>SUMIF(RawDataDead!$B:$B,$A121,RawDataDead!AK:AK)</f>
        <v>0</v>
      </c>
      <c r="AI121">
        <f>SUMIF(RawDataDead!$B:$B,$A121,RawDataDead!AL:AL)</f>
        <v>0</v>
      </c>
      <c r="AJ121">
        <f>SUMIF(RawDataDead!$B:$B,$A121,RawDataDead!AM:AM)</f>
        <v>0</v>
      </c>
      <c r="AK121">
        <f>SUMIF(RawDataDead!$B:$B,$A121,RawDataDead!AN:AN)</f>
        <v>0</v>
      </c>
      <c r="AL121">
        <f>SUMIF(RawDataDead!$B:$B,$A121,RawDataDead!AO:AO)</f>
        <v>0</v>
      </c>
      <c r="AM121">
        <f>SUMIF(RawDataDead!$B:$B,$A121,RawDataDead!AP:AP)</f>
        <v>0</v>
      </c>
      <c r="AN121">
        <f>SUMIF(RawDataDead!$B:$B,$A121,RawDataDead!AQ:AQ)</f>
        <v>0</v>
      </c>
      <c r="AO121">
        <f>SUMIF(RawDataDead!$B:$B,$A121,RawDataDead!AR:AR)</f>
        <v>0</v>
      </c>
      <c r="AP121">
        <f>SUMIF(RawDataDead!$B:$B,$A121,RawDataDead!AS:AS)</f>
        <v>0</v>
      </c>
      <c r="AQ121">
        <f>SUMIF(RawDataDead!$B:$B,$A121,RawDataDead!AT:AT)</f>
        <v>0</v>
      </c>
      <c r="AR121">
        <f>SUMIF(RawDataDead!$B:$B,$A121,RawDataDead!AU:AU)</f>
        <v>0</v>
      </c>
      <c r="AS121">
        <f>SUMIF(RawDataDead!$B:$B,$A121,RawDataDead!AV:AV)</f>
        <v>0</v>
      </c>
      <c r="AT121">
        <f>SUMIF(RawDataDead!$B:$B,$A121,RawDataDead!AW:AW)</f>
        <v>0</v>
      </c>
      <c r="AU121">
        <f>SUMIF(RawDataDead!$B:$B,$A121,RawDataDead!AX:AX)</f>
        <v>0</v>
      </c>
      <c r="AV121">
        <f>SUMIF(RawDataDead!$B:$B,$A121,RawDataDead!AY:AY)</f>
        <v>0</v>
      </c>
      <c r="AW121">
        <f>SUMIF(RawDataDead!$B:$B,$A121,RawDataDead!AZ:AZ)</f>
        <v>0</v>
      </c>
      <c r="AX121">
        <f>SUMIF(RawDataDead!$B:$B,$A121,RawDataDead!BA:BA)</f>
        <v>0</v>
      </c>
      <c r="AY121">
        <f>SUMIF(RawDataDead!$B:$B,$A121,RawDataDead!BB:BB)</f>
        <v>0</v>
      </c>
      <c r="AZ121">
        <f>SUMIF(RawDataDead!$B:$B,$A121,RawDataDead!BC:BC)</f>
        <v>0</v>
      </c>
      <c r="BA121">
        <f>SUMIF(RawDataDead!$B:$B,$A121,RawDataDead!BD:BD)</f>
        <v>0</v>
      </c>
      <c r="BB121">
        <f>SUMIF(RawDataDead!$B:$B,$A121,RawDataDead!BE:BE)</f>
        <v>0</v>
      </c>
      <c r="BC121">
        <f>SUMIF(RawDataDead!$B:$B,$A121,RawDataDead!BF:BF)</f>
        <v>0</v>
      </c>
      <c r="BD121">
        <f>SUMIF(RawDataDead!$B:$B,$A121,RawDataDead!BG:BG)</f>
        <v>0</v>
      </c>
      <c r="BE121">
        <f>SUMIF(RawDataDead!$B:$B,$A121,RawDataDead!BH:BH)</f>
        <v>0</v>
      </c>
      <c r="BF121">
        <f>SUMIF(RawDataDead!$B:$B,$A121,RawDataDead!BI:BI)</f>
        <v>0</v>
      </c>
      <c r="BG121">
        <f>SUMIF(RawDataDead!$B:$B,$A121,RawDataDead!BJ:BJ)</f>
        <v>0</v>
      </c>
      <c r="BH121">
        <f>SUMIF(RawDataDead!$B:$B,$A121,RawDataDead!BK:BK)</f>
        <v>0</v>
      </c>
      <c r="BI121">
        <f>SUMIF(RawDataDead!$B:$B,$A121,RawDataDead!BL:BL)</f>
        <v>0</v>
      </c>
      <c r="BJ121">
        <f>SUMIF(RawDataDead!$B:$B,$A121,RawDataDead!BM:BM)</f>
        <v>0</v>
      </c>
      <c r="BK121">
        <f>SUMIF(RawDataDead!$B:$B,$A121,RawDataDead!BN:BN)</f>
        <v>0</v>
      </c>
      <c r="BL121">
        <f>SUMIF(RawDataDead!$B:$B,$A121,RawDataDead!BO:BO)</f>
        <v>0</v>
      </c>
      <c r="BM121">
        <f>SUMIF(RawDataDead!$B:$B,$A121,RawDataDead!BP:BP)</f>
        <v>0</v>
      </c>
      <c r="BN121">
        <f>SUMIF(RawDataDead!$B:$B,$A121,RawDataDead!BQ:BQ)</f>
        <v>0</v>
      </c>
      <c r="BO121">
        <f>SUMIF(RawDataDead!$B:$B,$A121,RawDataDead!BR:BR)</f>
        <v>0</v>
      </c>
      <c r="BP121">
        <f>SUMIF(RawDataDead!$B:$B,$A121,RawDataDead!BS:BS)</f>
        <v>0</v>
      </c>
      <c r="BQ121">
        <f>SUMIF(RawDataDead!$B:$B,$A121,RawDataDead!BT:BT)</f>
        <v>0</v>
      </c>
      <c r="BR121">
        <f>SUMIF(RawDataDead!$B:$B,$A121,RawDataDead!BU:BU)</f>
        <v>0</v>
      </c>
      <c r="BS121">
        <f>SUMIF(RawDataDead!$B:$B,$A121,RawDataDead!BV:BV)</f>
        <v>0</v>
      </c>
      <c r="BT121">
        <f>SUMIF(RawDataDead!$B:$B,$A121,RawDataDead!BW:BW)</f>
        <v>0</v>
      </c>
    </row>
    <row r="122" spans="1:72" ht="15" thickBot="1" x14ac:dyDescent="0.35">
      <c r="A122" s="4" t="s">
        <v>163</v>
      </c>
      <c r="B122">
        <f>SUMIF(RawDataDead!$B:$B,$A122,RawDataDead!E:E)</f>
        <v>0</v>
      </c>
      <c r="C122">
        <f>SUMIF(RawDataDead!$B:$B,$A122,RawDataDead!F:F)</f>
        <v>0</v>
      </c>
      <c r="D122">
        <f>SUMIF(RawDataDead!$B:$B,$A122,RawDataDead!G:G)</f>
        <v>0</v>
      </c>
      <c r="E122">
        <f>SUMIF(RawDataDead!$B:$B,$A122,RawDataDead!H:H)</f>
        <v>0</v>
      </c>
      <c r="F122">
        <f>SUMIF(RawDataDead!$B:$B,$A122,RawDataDead!I:I)</f>
        <v>0</v>
      </c>
      <c r="G122">
        <f>SUMIF(RawDataDead!$B:$B,$A122,RawDataDead!J:J)</f>
        <v>0</v>
      </c>
      <c r="H122">
        <f>SUMIF(RawDataDead!$B:$B,$A122,RawDataDead!K:K)</f>
        <v>0</v>
      </c>
      <c r="I122">
        <f>SUMIF(RawDataDead!$B:$B,$A122,RawDataDead!L:L)</f>
        <v>0</v>
      </c>
      <c r="J122">
        <f>SUMIF(RawDataDead!$B:$B,$A122,RawDataDead!M:M)</f>
        <v>0</v>
      </c>
      <c r="K122">
        <f>SUMIF(RawDataDead!$B:$B,$A122,RawDataDead!N:N)</f>
        <v>0</v>
      </c>
      <c r="L122">
        <f>SUMIF(RawDataDead!$B:$B,$A122,RawDataDead!O:O)</f>
        <v>0</v>
      </c>
      <c r="M122">
        <f>SUMIF(RawDataDead!$B:$B,$A122,RawDataDead!P:P)</f>
        <v>0</v>
      </c>
      <c r="N122">
        <f>SUMIF(RawDataDead!$B:$B,$A122,RawDataDead!Q:Q)</f>
        <v>0</v>
      </c>
      <c r="O122">
        <f>SUMIF(RawDataDead!$B:$B,$A122,RawDataDead!R:R)</f>
        <v>0</v>
      </c>
      <c r="P122">
        <f>SUMIF(RawDataDead!$B:$B,$A122,RawDataDead!S:S)</f>
        <v>0</v>
      </c>
      <c r="Q122">
        <f>SUMIF(RawDataDead!$B:$B,$A122,RawDataDead!T:T)</f>
        <v>0</v>
      </c>
      <c r="R122">
        <f>SUMIF(RawDataDead!$B:$B,$A122,RawDataDead!U:U)</f>
        <v>0</v>
      </c>
      <c r="S122">
        <f>SUMIF(RawDataDead!$B:$B,$A122,RawDataDead!V:V)</f>
        <v>0</v>
      </c>
      <c r="T122">
        <f>SUMIF(RawDataDead!$B:$B,$A122,RawDataDead!W:W)</f>
        <v>0</v>
      </c>
      <c r="U122">
        <f>SUMIF(RawDataDead!$B:$B,$A122,RawDataDead!X:X)</f>
        <v>0</v>
      </c>
      <c r="V122">
        <f>SUMIF(RawDataDead!$B:$B,$A122,RawDataDead!Y:Y)</f>
        <v>0</v>
      </c>
      <c r="W122">
        <f>SUMIF(RawDataDead!$B:$B,$A122,RawDataDead!Z:Z)</f>
        <v>0</v>
      </c>
      <c r="X122">
        <f>SUMIF(RawDataDead!$B:$B,$A122,RawDataDead!AA:AA)</f>
        <v>0</v>
      </c>
      <c r="Y122">
        <f>SUMIF(RawDataDead!$B:$B,$A122,RawDataDead!AB:AB)</f>
        <v>0</v>
      </c>
      <c r="Z122">
        <f>SUMIF(RawDataDead!$B:$B,$A122,RawDataDead!AC:AC)</f>
        <v>0</v>
      </c>
      <c r="AA122">
        <f>SUMIF(RawDataDead!$B:$B,$A122,RawDataDead!AD:AD)</f>
        <v>0</v>
      </c>
      <c r="AB122">
        <f>SUMIF(RawDataDead!$B:$B,$A122,RawDataDead!AE:AE)</f>
        <v>0</v>
      </c>
      <c r="AC122">
        <f>SUMIF(RawDataDead!$B:$B,$A122,RawDataDead!AF:AF)</f>
        <v>0</v>
      </c>
      <c r="AD122">
        <f>SUMIF(RawDataDead!$B:$B,$A122,RawDataDead!AG:AG)</f>
        <v>0</v>
      </c>
      <c r="AE122">
        <f>SUMIF(RawDataDead!$B:$B,$A122,RawDataDead!AH:AH)</f>
        <v>0</v>
      </c>
      <c r="AF122">
        <f>SUMIF(RawDataDead!$B:$B,$A122,RawDataDead!AI:AI)</f>
        <v>0</v>
      </c>
      <c r="AG122">
        <f>SUMIF(RawDataDead!$B:$B,$A122,RawDataDead!AJ:AJ)</f>
        <v>0</v>
      </c>
      <c r="AH122">
        <f>SUMIF(RawDataDead!$B:$B,$A122,RawDataDead!AK:AK)</f>
        <v>0</v>
      </c>
      <c r="AI122">
        <f>SUMIF(RawDataDead!$B:$B,$A122,RawDataDead!AL:AL)</f>
        <v>0</v>
      </c>
      <c r="AJ122">
        <f>SUMIF(RawDataDead!$B:$B,$A122,RawDataDead!AM:AM)</f>
        <v>0</v>
      </c>
      <c r="AK122">
        <f>SUMIF(RawDataDead!$B:$B,$A122,RawDataDead!AN:AN)</f>
        <v>0</v>
      </c>
      <c r="AL122">
        <f>SUMIF(RawDataDead!$B:$B,$A122,RawDataDead!AO:AO)</f>
        <v>0</v>
      </c>
      <c r="AM122">
        <f>SUMIF(RawDataDead!$B:$B,$A122,RawDataDead!AP:AP)</f>
        <v>0</v>
      </c>
      <c r="AN122">
        <f>SUMIF(RawDataDead!$B:$B,$A122,RawDataDead!AQ:AQ)</f>
        <v>0</v>
      </c>
      <c r="AO122">
        <f>SUMIF(RawDataDead!$B:$B,$A122,RawDataDead!AR:AR)</f>
        <v>0</v>
      </c>
      <c r="AP122">
        <f>SUMIF(RawDataDead!$B:$B,$A122,RawDataDead!AS:AS)</f>
        <v>0</v>
      </c>
      <c r="AQ122">
        <f>SUMIF(RawDataDead!$B:$B,$A122,RawDataDead!AT:AT)</f>
        <v>0</v>
      </c>
      <c r="AR122">
        <f>SUMIF(RawDataDead!$B:$B,$A122,RawDataDead!AU:AU)</f>
        <v>0</v>
      </c>
      <c r="AS122">
        <f>SUMIF(RawDataDead!$B:$B,$A122,RawDataDead!AV:AV)</f>
        <v>0</v>
      </c>
      <c r="AT122">
        <f>SUMIF(RawDataDead!$B:$B,$A122,RawDataDead!AW:AW)</f>
        <v>0</v>
      </c>
      <c r="AU122">
        <f>SUMIF(RawDataDead!$B:$B,$A122,RawDataDead!AX:AX)</f>
        <v>0</v>
      </c>
      <c r="AV122">
        <f>SUMIF(RawDataDead!$B:$B,$A122,RawDataDead!AY:AY)</f>
        <v>0</v>
      </c>
      <c r="AW122">
        <f>SUMIF(RawDataDead!$B:$B,$A122,RawDataDead!AZ:AZ)</f>
        <v>0</v>
      </c>
      <c r="AX122">
        <f>SUMIF(RawDataDead!$B:$B,$A122,RawDataDead!BA:BA)</f>
        <v>0</v>
      </c>
      <c r="AY122">
        <f>SUMIF(RawDataDead!$B:$B,$A122,RawDataDead!BB:BB)</f>
        <v>0</v>
      </c>
      <c r="AZ122">
        <f>SUMIF(RawDataDead!$B:$B,$A122,RawDataDead!BC:BC)</f>
        <v>0</v>
      </c>
      <c r="BA122">
        <f>SUMIF(RawDataDead!$B:$B,$A122,RawDataDead!BD:BD)</f>
        <v>0</v>
      </c>
      <c r="BB122">
        <f>SUMIF(RawDataDead!$B:$B,$A122,RawDataDead!BE:BE)</f>
        <v>0</v>
      </c>
      <c r="BC122">
        <f>SUMIF(RawDataDead!$B:$B,$A122,RawDataDead!BF:BF)</f>
        <v>0</v>
      </c>
      <c r="BD122">
        <f>SUMIF(RawDataDead!$B:$B,$A122,RawDataDead!BG:BG)</f>
        <v>0</v>
      </c>
      <c r="BE122">
        <f>SUMIF(RawDataDead!$B:$B,$A122,RawDataDead!BH:BH)</f>
        <v>0</v>
      </c>
      <c r="BF122">
        <f>SUMIF(RawDataDead!$B:$B,$A122,RawDataDead!BI:BI)</f>
        <v>0</v>
      </c>
      <c r="BG122">
        <f>SUMIF(RawDataDead!$B:$B,$A122,RawDataDead!BJ:BJ)</f>
        <v>0</v>
      </c>
      <c r="BH122">
        <f>SUMIF(RawDataDead!$B:$B,$A122,RawDataDead!BK:BK)</f>
        <v>0</v>
      </c>
      <c r="BI122">
        <f>SUMIF(RawDataDead!$B:$B,$A122,RawDataDead!BL:BL)</f>
        <v>0</v>
      </c>
      <c r="BJ122">
        <f>SUMIF(RawDataDead!$B:$B,$A122,RawDataDead!BM:BM)</f>
        <v>0</v>
      </c>
      <c r="BK122">
        <f>SUMIF(RawDataDead!$B:$B,$A122,RawDataDead!BN:BN)</f>
        <v>0</v>
      </c>
      <c r="BL122">
        <f>SUMIF(RawDataDead!$B:$B,$A122,RawDataDead!BO:BO)</f>
        <v>0</v>
      </c>
      <c r="BM122">
        <f>SUMIF(RawDataDead!$B:$B,$A122,RawDataDead!BP:BP)</f>
        <v>0</v>
      </c>
      <c r="BN122">
        <f>SUMIF(RawDataDead!$B:$B,$A122,RawDataDead!BQ:BQ)</f>
        <v>0</v>
      </c>
      <c r="BO122">
        <f>SUMIF(RawDataDead!$B:$B,$A122,RawDataDead!BR:BR)</f>
        <v>0</v>
      </c>
      <c r="BP122">
        <f>SUMIF(RawDataDead!$B:$B,$A122,RawDataDead!BS:BS)</f>
        <v>0</v>
      </c>
      <c r="BQ122">
        <f>SUMIF(RawDataDead!$B:$B,$A122,RawDataDead!BT:BT)</f>
        <v>0</v>
      </c>
      <c r="BR122">
        <f>SUMIF(RawDataDead!$B:$B,$A122,RawDataDead!BU:BU)</f>
        <v>0</v>
      </c>
      <c r="BS122">
        <f>SUMIF(RawDataDead!$B:$B,$A122,RawDataDead!BV:BV)</f>
        <v>0</v>
      </c>
      <c r="BT122">
        <f>SUMIF(RawDataDead!$B:$B,$A122,RawDataDead!BW:BW)</f>
        <v>0</v>
      </c>
    </row>
    <row r="123" spans="1:72" ht="15" thickBot="1" x14ac:dyDescent="0.35">
      <c r="A123" s="4" t="s">
        <v>309</v>
      </c>
      <c r="B123">
        <f>SUMIF(RawDataDead!$B:$B,$A123,RawDataDead!E:E)</f>
        <v>0</v>
      </c>
      <c r="C123">
        <f>SUMIF(RawDataDead!$B:$B,$A123,RawDataDead!F:F)</f>
        <v>0</v>
      </c>
      <c r="D123">
        <f>SUMIF(RawDataDead!$B:$B,$A123,RawDataDead!G:G)</f>
        <v>0</v>
      </c>
      <c r="E123">
        <f>SUMIF(RawDataDead!$B:$B,$A123,RawDataDead!H:H)</f>
        <v>0</v>
      </c>
      <c r="F123">
        <f>SUMIF(RawDataDead!$B:$B,$A123,RawDataDead!I:I)</f>
        <v>0</v>
      </c>
      <c r="G123">
        <f>SUMIF(RawDataDead!$B:$B,$A123,RawDataDead!J:J)</f>
        <v>0</v>
      </c>
      <c r="H123">
        <f>SUMIF(RawDataDead!$B:$B,$A123,RawDataDead!K:K)</f>
        <v>0</v>
      </c>
      <c r="I123">
        <f>SUMIF(RawDataDead!$B:$B,$A123,RawDataDead!L:L)</f>
        <v>0</v>
      </c>
      <c r="J123">
        <f>SUMIF(RawDataDead!$B:$B,$A123,RawDataDead!M:M)</f>
        <v>0</v>
      </c>
      <c r="K123">
        <f>SUMIF(RawDataDead!$B:$B,$A123,RawDataDead!N:N)</f>
        <v>0</v>
      </c>
      <c r="L123">
        <f>SUMIF(RawDataDead!$B:$B,$A123,RawDataDead!O:O)</f>
        <v>0</v>
      </c>
      <c r="M123">
        <f>SUMIF(RawDataDead!$B:$B,$A123,RawDataDead!P:P)</f>
        <v>0</v>
      </c>
      <c r="N123">
        <f>SUMIF(RawDataDead!$B:$B,$A123,RawDataDead!Q:Q)</f>
        <v>0</v>
      </c>
      <c r="O123">
        <f>SUMIF(RawDataDead!$B:$B,$A123,RawDataDead!R:R)</f>
        <v>0</v>
      </c>
      <c r="P123">
        <f>SUMIF(RawDataDead!$B:$B,$A123,RawDataDead!S:S)</f>
        <v>0</v>
      </c>
      <c r="Q123">
        <f>SUMIF(RawDataDead!$B:$B,$A123,RawDataDead!T:T)</f>
        <v>0</v>
      </c>
      <c r="R123">
        <f>SUMIF(RawDataDead!$B:$B,$A123,RawDataDead!U:U)</f>
        <v>0</v>
      </c>
      <c r="S123">
        <f>SUMIF(RawDataDead!$B:$B,$A123,RawDataDead!V:V)</f>
        <v>0</v>
      </c>
      <c r="T123">
        <f>SUMIF(RawDataDead!$B:$B,$A123,RawDataDead!W:W)</f>
        <v>0</v>
      </c>
      <c r="U123">
        <f>SUMIF(RawDataDead!$B:$B,$A123,RawDataDead!X:X)</f>
        <v>0</v>
      </c>
      <c r="V123">
        <f>SUMIF(RawDataDead!$B:$B,$A123,RawDataDead!Y:Y)</f>
        <v>0</v>
      </c>
      <c r="W123">
        <f>SUMIF(RawDataDead!$B:$B,$A123,RawDataDead!Z:Z)</f>
        <v>0</v>
      </c>
      <c r="X123">
        <f>SUMIF(RawDataDead!$B:$B,$A123,RawDataDead!AA:AA)</f>
        <v>0</v>
      </c>
      <c r="Y123">
        <f>SUMIF(RawDataDead!$B:$B,$A123,RawDataDead!AB:AB)</f>
        <v>0</v>
      </c>
      <c r="Z123">
        <f>SUMIF(RawDataDead!$B:$B,$A123,RawDataDead!AC:AC)</f>
        <v>0</v>
      </c>
      <c r="AA123">
        <f>SUMIF(RawDataDead!$B:$B,$A123,RawDataDead!AD:AD)</f>
        <v>0</v>
      </c>
      <c r="AB123">
        <f>SUMIF(RawDataDead!$B:$B,$A123,RawDataDead!AE:AE)</f>
        <v>0</v>
      </c>
      <c r="AC123">
        <f>SUMIF(RawDataDead!$B:$B,$A123,RawDataDead!AF:AF)</f>
        <v>0</v>
      </c>
      <c r="AD123">
        <f>SUMIF(RawDataDead!$B:$B,$A123,RawDataDead!AG:AG)</f>
        <v>0</v>
      </c>
      <c r="AE123">
        <f>SUMIF(RawDataDead!$B:$B,$A123,RawDataDead!AH:AH)</f>
        <v>0</v>
      </c>
      <c r="AF123">
        <f>SUMIF(RawDataDead!$B:$B,$A123,RawDataDead!AI:AI)</f>
        <v>0</v>
      </c>
      <c r="AG123">
        <f>SUMIF(RawDataDead!$B:$B,$A123,RawDataDead!AJ:AJ)</f>
        <v>0</v>
      </c>
      <c r="AH123">
        <f>SUMIF(RawDataDead!$B:$B,$A123,RawDataDead!AK:AK)</f>
        <v>0</v>
      </c>
      <c r="AI123">
        <f>SUMIF(RawDataDead!$B:$B,$A123,RawDataDead!AL:AL)</f>
        <v>0</v>
      </c>
      <c r="AJ123">
        <f>SUMIF(RawDataDead!$B:$B,$A123,RawDataDead!AM:AM)</f>
        <v>0</v>
      </c>
      <c r="AK123">
        <f>SUMIF(RawDataDead!$B:$B,$A123,RawDataDead!AN:AN)</f>
        <v>0</v>
      </c>
      <c r="AL123">
        <f>SUMIF(RawDataDead!$B:$B,$A123,RawDataDead!AO:AO)</f>
        <v>0</v>
      </c>
      <c r="AM123">
        <f>SUMIF(RawDataDead!$B:$B,$A123,RawDataDead!AP:AP)</f>
        <v>0</v>
      </c>
      <c r="AN123">
        <f>SUMIF(RawDataDead!$B:$B,$A123,RawDataDead!AQ:AQ)</f>
        <v>0</v>
      </c>
      <c r="AO123">
        <f>SUMIF(RawDataDead!$B:$B,$A123,RawDataDead!AR:AR)</f>
        <v>0</v>
      </c>
      <c r="AP123">
        <f>SUMIF(RawDataDead!$B:$B,$A123,RawDataDead!AS:AS)</f>
        <v>0</v>
      </c>
      <c r="AQ123">
        <f>SUMIF(RawDataDead!$B:$B,$A123,RawDataDead!AT:AT)</f>
        <v>0</v>
      </c>
      <c r="AR123">
        <f>SUMIF(RawDataDead!$B:$B,$A123,RawDataDead!AU:AU)</f>
        <v>0</v>
      </c>
      <c r="AS123">
        <f>SUMIF(RawDataDead!$B:$B,$A123,RawDataDead!AV:AV)</f>
        <v>0</v>
      </c>
      <c r="AT123">
        <f>SUMIF(RawDataDead!$B:$B,$A123,RawDataDead!AW:AW)</f>
        <v>0</v>
      </c>
      <c r="AU123">
        <f>SUMIF(RawDataDead!$B:$B,$A123,RawDataDead!AX:AX)</f>
        <v>0</v>
      </c>
      <c r="AV123">
        <f>SUMIF(RawDataDead!$B:$B,$A123,RawDataDead!AY:AY)</f>
        <v>0</v>
      </c>
      <c r="AW123">
        <f>SUMIF(RawDataDead!$B:$B,$A123,RawDataDead!AZ:AZ)</f>
        <v>0</v>
      </c>
      <c r="AX123">
        <f>SUMIF(RawDataDead!$B:$B,$A123,RawDataDead!BA:BA)</f>
        <v>0</v>
      </c>
      <c r="AY123">
        <f>SUMIF(RawDataDead!$B:$B,$A123,RawDataDead!BB:BB)</f>
        <v>0</v>
      </c>
      <c r="AZ123">
        <f>SUMIF(RawDataDead!$B:$B,$A123,RawDataDead!BC:BC)</f>
        <v>0</v>
      </c>
      <c r="BA123">
        <f>SUMIF(RawDataDead!$B:$B,$A123,RawDataDead!BD:BD)</f>
        <v>0</v>
      </c>
      <c r="BB123">
        <f>SUMIF(RawDataDead!$B:$B,$A123,RawDataDead!BE:BE)</f>
        <v>0</v>
      </c>
      <c r="BC123">
        <f>SUMIF(RawDataDead!$B:$B,$A123,RawDataDead!BF:BF)</f>
        <v>0</v>
      </c>
      <c r="BD123">
        <f>SUMIF(RawDataDead!$B:$B,$A123,RawDataDead!BG:BG)</f>
        <v>0</v>
      </c>
      <c r="BE123">
        <f>SUMIF(RawDataDead!$B:$B,$A123,RawDataDead!BH:BH)</f>
        <v>0</v>
      </c>
      <c r="BF123">
        <f>SUMIF(RawDataDead!$B:$B,$A123,RawDataDead!BI:BI)</f>
        <v>0</v>
      </c>
      <c r="BG123">
        <f>SUMIF(RawDataDead!$B:$B,$A123,RawDataDead!BJ:BJ)</f>
        <v>0</v>
      </c>
      <c r="BH123">
        <f>SUMIF(RawDataDead!$B:$B,$A123,RawDataDead!BK:BK)</f>
        <v>0</v>
      </c>
      <c r="BI123">
        <f>SUMIF(RawDataDead!$B:$B,$A123,RawDataDead!BL:BL)</f>
        <v>0</v>
      </c>
      <c r="BJ123">
        <f>SUMIF(RawDataDead!$B:$B,$A123,RawDataDead!BM:BM)</f>
        <v>0</v>
      </c>
      <c r="BK123">
        <f>SUMIF(RawDataDead!$B:$B,$A123,RawDataDead!BN:BN)</f>
        <v>0</v>
      </c>
      <c r="BL123">
        <f>SUMIF(RawDataDead!$B:$B,$A123,RawDataDead!BO:BO)</f>
        <v>0</v>
      </c>
      <c r="BM123">
        <f>SUMIF(RawDataDead!$B:$B,$A123,RawDataDead!BP:BP)</f>
        <v>0</v>
      </c>
      <c r="BN123">
        <f>SUMIF(RawDataDead!$B:$B,$A123,RawDataDead!BQ:BQ)</f>
        <v>0</v>
      </c>
      <c r="BO123">
        <f>SUMIF(RawDataDead!$B:$B,$A123,RawDataDead!BR:BR)</f>
        <v>0</v>
      </c>
      <c r="BP123">
        <f>SUMIF(RawDataDead!$B:$B,$A123,RawDataDead!BS:BS)</f>
        <v>0</v>
      </c>
      <c r="BQ123">
        <f>SUMIF(RawDataDead!$B:$B,$A123,RawDataDead!BT:BT)</f>
        <v>0</v>
      </c>
      <c r="BR123">
        <f>SUMIF(RawDataDead!$B:$B,$A123,RawDataDead!BU:BU)</f>
        <v>0</v>
      </c>
      <c r="BS123">
        <f>SUMIF(RawDataDead!$B:$B,$A123,RawDataDead!BV:BV)</f>
        <v>0</v>
      </c>
      <c r="BT123">
        <f>SUMIF(RawDataDead!$B:$B,$A123,RawDataDead!BW:BW)</f>
        <v>0</v>
      </c>
    </row>
    <row r="124" spans="1:72" ht="15" thickBot="1" x14ac:dyDescent="0.35">
      <c r="A124" s="4" t="s">
        <v>69</v>
      </c>
      <c r="B124">
        <f>SUMIF(RawDataDead!$B:$B,$A124,RawDataDead!E:E)</f>
        <v>0</v>
      </c>
      <c r="C124">
        <f>SUMIF(RawDataDead!$B:$B,$A124,RawDataDead!F:F)</f>
        <v>0</v>
      </c>
      <c r="D124">
        <f>SUMIF(RawDataDead!$B:$B,$A124,RawDataDead!G:G)</f>
        <v>0</v>
      </c>
      <c r="E124">
        <f>SUMIF(RawDataDead!$B:$B,$A124,RawDataDead!H:H)</f>
        <v>0</v>
      </c>
      <c r="F124">
        <f>SUMIF(RawDataDead!$B:$B,$A124,RawDataDead!I:I)</f>
        <v>0</v>
      </c>
      <c r="G124">
        <f>SUMIF(RawDataDead!$B:$B,$A124,RawDataDead!J:J)</f>
        <v>0</v>
      </c>
      <c r="H124">
        <f>SUMIF(RawDataDead!$B:$B,$A124,RawDataDead!K:K)</f>
        <v>0</v>
      </c>
      <c r="I124">
        <f>SUMIF(RawDataDead!$B:$B,$A124,RawDataDead!L:L)</f>
        <v>0</v>
      </c>
      <c r="J124">
        <f>SUMIF(RawDataDead!$B:$B,$A124,RawDataDead!M:M)</f>
        <v>0</v>
      </c>
      <c r="K124">
        <f>SUMIF(RawDataDead!$B:$B,$A124,RawDataDead!N:N)</f>
        <v>0</v>
      </c>
      <c r="L124">
        <f>SUMIF(RawDataDead!$B:$B,$A124,RawDataDead!O:O)</f>
        <v>0</v>
      </c>
      <c r="M124">
        <f>SUMIF(RawDataDead!$B:$B,$A124,RawDataDead!P:P)</f>
        <v>0</v>
      </c>
      <c r="N124">
        <f>SUMIF(RawDataDead!$B:$B,$A124,RawDataDead!Q:Q)</f>
        <v>0</v>
      </c>
      <c r="O124">
        <f>SUMIF(RawDataDead!$B:$B,$A124,RawDataDead!R:R)</f>
        <v>0</v>
      </c>
      <c r="P124">
        <f>SUMIF(RawDataDead!$B:$B,$A124,RawDataDead!S:S)</f>
        <v>0</v>
      </c>
      <c r="Q124">
        <f>SUMIF(RawDataDead!$B:$B,$A124,RawDataDead!T:T)</f>
        <v>0</v>
      </c>
      <c r="R124">
        <f>SUMIF(RawDataDead!$B:$B,$A124,RawDataDead!U:U)</f>
        <v>0</v>
      </c>
      <c r="S124">
        <f>SUMIF(RawDataDead!$B:$B,$A124,RawDataDead!V:V)</f>
        <v>0</v>
      </c>
      <c r="T124">
        <f>SUMIF(RawDataDead!$B:$B,$A124,RawDataDead!W:W)</f>
        <v>0</v>
      </c>
      <c r="U124">
        <f>SUMIF(RawDataDead!$B:$B,$A124,RawDataDead!X:X)</f>
        <v>0</v>
      </c>
      <c r="V124">
        <f>SUMIF(RawDataDead!$B:$B,$A124,RawDataDead!Y:Y)</f>
        <v>0</v>
      </c>
      <c r="W124">
        <f>SUMIF(RawDataDead!$B:$B,$A124,RawDataDead!Z:Z)</f>
        <v>0</v>
      </c>
      <c r="X124">
        <f>SUMIF(RawDataDead!$B:$B,$A124,RawDataDead!AA:AA)</f>
        <v>0</v>
      </c>
      <c r="Y124">
        <f>SUMIF(RawDataDead!$B:$B,$A124,RawDataDead!AB:AB)</f>
        <v>0</v>
      </c>
      <c r="Z124">
        <f>SUMIF(RawDataDead!$B:$B,$A124,RawDataDead!AC:AC)</f>
        <v>0</v>
      </c>
      <c r="AA124">
        <f>SUMIF(RawDataDead!$B:$B,$A124,RawDataDead!AD:AD)</f>
        <v>0</v>
      </c>
      <c r="AB124">
        <f>SUMIF(RawDataDead!$B:$B,$A124,RawDataDead!AE:AE)</f>
        <v>0</v>
      </c>
      <c r="AC124">
        <f>SUMIF(RawDataDead!$B:$B,$A124,RawDataDead!AF:AF)</f>
        <v>0</v>
      </c>
      <c r="AD124">
        <f>SUMIF(RawDataDead!$B:$B,$A124,RawDataDead!AG:AG)</f>
        <v>0</v>
      </c>
      <c r="AE124">
        <f>SUMIF(RawDataDead!$B:$B,$A124,RawDataDead!AH:AH)</f>
        <v>0</v>
      </c>
      <c r="AF124">
        <f>SUMIF(RawDataDead!$B:$B,$A124,RawDataDead!AI:AI)</f>
        <v>0</v>
      </c>
      <c r="AG124">
        <f>SUMIF(RawDataDead!$B:$B,$A124,RawDataDead!AJ:AJ)</f>
        <v>0</v>
      </c>
      <c r="AH124">
        <f>SUMIF(RawDataDead!$B:$B,$A124,RawDataDead!AK:AK)</f>
        <v>0</v>
      </c>
      <c r="AI124">
        <f>SUMIF(RawDataDead!$B:$B,$A124,RawDataDead!AL:AL)</f>
        <v>0</v>
      </c>
      <c r="AJ124">
        <f>SUMIF(RawDataDead!$B:$B,$A124,RawDataDead!AM:AM)</f>
        <v>0</v>
      </c>
      <c r="AK124">
        <f>SUMIF(RawDataDead!$B:$B,$A124,RawDataDead!AN:AN)</f>
        <v>0</v>
      </c>
      <c r="AL124">
        <f>SUMIF(RawDataDead!$B:$B,$A124,RawDataDead!AO:AO)</f>
        <v>0</v>
      </c>
      <c r="AM124">
        <f>SUMIF(RawDataDead!$B:$B,$A124,RawDataDead!AP:AP)</f>
        <v>0</v>
      </c>
      <c r="AN124">
        <f>SUMIF(RawDataDead!$B:$B,$A124,RawDataDead!AQ:AQ)</f>
        <v>0</v>
      </c>
      <c r="AO124">
        <f>SUMIF(RawDataDead!$B:$B,$A124,RawDataDead!AR:AR)</f>
        <v>0</v>
      </c>
      <c r="AP124">
        <f>SUMIF(RawDataDead!$B:$B,$A124,RawDataDead!AS:AS)</f>
        <v>0</v>
      </c>
      <c r="AQ124">
        <f>SUMIF(RawDataDead!$B:$B,$A124,RawDataDead!AT:AT)</f>
        <v>0</v>
      </c>
      <c r="AR124">
        <f>SUMIF(RawDataDead!$B:$B,$A124,RawDataDead!AU:AU)</f>
        <v>0</v>
      </c>
      <c r="AS124">
        <f>SUMIF(RawDataDead!$B:$B,$A124,RawDataDead!AV:AV)</f>
        <v>0</v>
      </c>
      <c r="AT124">
        <f>SUMIF(RawDataDead!$B:$B,$A124,RawDataDead!AW:AW)</f>
        <v>0</v>
      </c>
      <c r="AU124">
        <f>SUMIF(RawDataDead!$B:$B,$A124,RawDataDead!AX:AX)</f>
        <v>0</v>
      </c>
      <c r="AV124">
        <f>SUMIF(RawDataDead!$B:$B,$A124,RawDataDead!AY:AY)</f>
        <v>0</v>
      </c>
      <c r="AW124">
        <f>SUMIF(RawDataDead!$B:$B,$A124,RawDataDead!AZ:AZ)</f>
        <v>0</v>
      </c>
      <c r="AX124">
        <f>SUMIF(RawDataDead!$B:$B,$A124,RawDataDead!BA:BA)</f>
        <v>0</v>
      </c>
      <c r="AY124">
        <f>SUMIF(RawDataDead!$B:$B,$A124,RawDataDead!BB:BB)</f>
        <v>0</v>
      </c>
      <c r="AZ124">
        <f>SUMIF(RawDataDead!$B:$B,$A124,RawDataDead!BC:BC)</f>
        <v>0</v>
      </c>
      <c r="BA124">
        <f>SUMIF(RawDataDead!$B:$B,$A124,RawDataDead!BD:BD)</f>
        <v>0</v>
      </c>
      <c r="BB124">
        <f>SUMIF(RawDataDead!$B:$B,$A124,RawDataDead!BE:BE)</f>
        <v>0</v>
      </c>
      <c r="BC124">
        <f>SUMIF(RawDataDead!$B:$B,$A124,RawDataDead!BF:BF)</f>
        <v>0</v>
      </c>
      <c r="BD124">
        <f>SUMIF(RawDataDead!$B:$B,$A124,RawDataDead!BG:BG)</f>
        <v>0</v>
      </c>
      <c r="BE124">
        <f>SUMIF(RawDataDead!$B:$B,$A124,RawDataDead!BH:BH)</f>
        <v>0</v>
      </c>
      <c r="BF124">
        <f>SUMIF(RawDataDead!$B:$B,$A124,RawDataDead!BI:BI)</f>
        <v>0</v>
      </c>
      <c r="BG124">
        <f>SUMIF(RawDataDead!$B:$B,$A124,RawDataDead!BJ:BJ)</f>
        <v>0</v>
      </c>
      <c r="BH124">
        <f>SUMIF(RawDataDead!$B:$B,$A124,RawDataDead!BK:BK)</f>
        <v>0</v>
      </c>
      <c r="BI124">
        <f>SUMIF(RawDataDead!$B:$B,$A124,RawDataDead!BL:BL)</f>
        <v>0</v>
      </c>
      <c r="BJ124">
        <f>SUMIF(RawDataDead!$B:$B,$A124,RawDataDead!BM:BM)</f>
        <v>0</v>
      </c>
      <c r="BK124">
        <f>SUMIF(RawDataDead!$B:$B,$A124,RawDataDead!BN:BN)</f>
        <v>0</v>
      </c>
      <c r="BL124">
        <f>SUMIF(RawDataDead!$B:$B,$A124,RawDataDead!BO:BO)</f>
        <v>0</v>
      </c>
      <c r="BM124">
        <f>SUMIF(RawDataDead!$B:$B,$A124,RawDataDead!BP:BP)</f>
        <v>0</v>
      </c>
      <c r="BN124">
        <f>SUMIF(RawDataDead!$B:$B,$A124,RawDataDead!BQ:BQ)</f>
        <v>0</v>
      </c>
      <c r="BO124">
        <f>SUMIF(RawDataDead!$B:$B,$A124,RawDataDead!BR:BR)</f>
        <v>0</v>
      </c>
      <c r="BP124">
        <f>SUMIF(RawDataDead!$B:$B,$A124,RawDataDead!BS:BS)</f>
        <v>0</v>
      </c>
      <c r="BQ124">
        <f>SUMIF(RawDataDead!$B:$B,$A124,RawDataDead!BT:BT)</f>
        <v>0</v>
      </c>
      <c r="BR124">
        <f>SUMIF(RawDataDead!$B:$B,$A124,RawDataDead!BU:BU)</f>
        <v>0</v>
      </c>
      <c r="BS124">
        <f>SUMIF(RawDataDead!$B:$B,$A124,RawDataDead!BV:BV)</f>
        <v>0</v>
      </c>
      <c r="BT124">
        <f>SUMIF(RawDataDead!$B:$B,$A124,RawDataDead!BW:BW)</f>
        <v>0</v>
      </c>
    </row>
    <row r="125" spans="1:72" ht="15" thickBot="1" x14ac:dyDescent="0.35">
      <c r="A125" s="3" t="s">
        <v>448</v>
      </c>
      <c r="B125">
        <f>SUMIF(RawDataDead!$B:$B,$A125,RawDataDead!E:E)</f>
        <v>0</v>
      </c>
      <c r="C125">
        <f>SUMIF(RawDataDead!$B:$B,$A125,RawDataDead!F:F)</f>
        <v>0</v>
      </c>
      <c r="D125">
        <f>SUMIF(RawDataDead!$B:$B,$A125,RawDataDead!G:G)</f>
        <v>0</v>
      </c>
      <c r="E125">
        <f>SUMIF(RawDataDead!$B:$B,$A125,RawDataDead!H:H)</f>
        <v>0</v>
      </c>
      <c r="F125">
        <f>SUMIF(RawDataDead!$B:$B,$A125,RawDataDead!I:I)</f>
        <v>0</v>
      </c>
      <c r="G125">
        <f>SUMIF(RawDataDead!$B:$B,$A125,RawDataDead!J:J)</f>
        <v>0</v>
      </c>
      <c r="H125">
        <f>SUMIF(RawDataDead!$B:$B,$A125,RawDataDead!K:K)</f>
        <v>0</v>
      </c>
      <c r="I125">
        <f>SUMIF(RawDataDead!$B:$B,$A125,RawDataDead!L:L)</f>
        <v>0</v>
      </c>
      <c r="J125">
        <f>SUMIF(RawDataDead!$B:$B,$A125,RawDataDead!M:M)</f>
        <v>0</v>
      </c>
      <c r="K125">
        <f>SUMIF(RawDataDead!$B:$B,$A125,RawDataDead!N:N)</f>
        <v>0</v>
      </c>
      <c r="L125">
        <f>SUMIF(RawDataDead!$B:$B,$A125,RawDataDead!O:O)</f>
        <v>0</v>
      </c>
      <c r="M125">
        <f>SUMIF(RawDataDead!$B:$B,$A125,RawDataDead!P:P)</f>
        <v>0</v>
      </c>
      <c r="N125">
        <f>SUMIF(RawDataDead!$B:$B,$A125,RawDataDead!Q:Q)</f>
        <v>0</v>
      </c>
      <c r="O125">
        <f>SUMIF(RawDataDead!$B:$B,$A125,RawDataDead!R:R)</f>
        <v>0</v>
      </c>
      <c r="P125">
        <f>SUMIF(RawDataDead!$B:$B,$A125,RawDataDead!S:S)</f>
        <v>0</v>
      </c>
      <c r="Q125">
        <f>SUMIF(RawDataDead!$B:$B,$A125,RawDataDead!T:T)</f>
        <v>0</v>
      </c>
      <c r="R125">
        <f>SUMIF(RawDataDead!$B:$B,$A125,RawDataDead!U:U)</f>
        <v>0</v>
      </c>
      <c r="S125">
        <f>SUMIF(RawDataDead!$B:$B,$A125,RawDataDead!V:V)</f>
        <v>0</v>
      </c>
      <c r="T125">
        <f>SUMIF(RawDataDead!$B:$B,$A125,RawDataDead!W:W)</f>
        <v>0</v>
      </c>
      <c r="U125">
        <f>SUMIF(RawDataDead!$B:$B,$A125,RawDataDead!X:X)</f>
        <v>0</v>
      </c>
      <c r="V125">
        <f>SUMIF(RawDataDead!$B:$B,$A125,RawDataDead!Y:Y)</f>
        <v>0</v>
      </c>
      <c r="W125">
        <f>SUMIF(RawDataDead!$B:$B,$A125,RawDataDead!Z:Z)</f>
        <v>0</v>
      </c>
      <c r="X125">
        <f>SUMIF(RawDataDead!$B:$B,$A125,RawDataDead!AA:AA)</f>
        <v>0</v>
      </c>
      <c r="Y125">
        <f>SUMIF(RawDataDead!$B:$B,$A125,RawDataDead!AB:AB)</f>
        <v>0</v>
      </c>
      <c r="Z125">
        <f>SUMIF(RawDataDead!$B:$B,$A125,RawDataDead!AC:AC)</f>
        <v>0</v>
      </c>
      <c r="AA125">
        <f>SUMIF(RawDataDead!$B:$B,$A125,RawDataDead!AD:AD)</f>
        <v>0</v>
      </c>
      <c r="AB125">
        <f>SUMIF(RawDataDead!$B:$B,$A125,RawDataDead!AE:AE)</f>
        <v>0</v>
      </c>
      <c r="AC125">
        <f>SUMIF(RawDataDead!$B:$B,$A125,RawDataDead!AF:AF)</f>
        <v>0</v>
      </c>
      <c r="AD125">
        <f>SUMIF(RawDataDead!$B:$B,$A125,RawDataDead!AG:AG)</f>
        <v>0</v>
      </c>
      <c r="AE125">
        <f>SUMIF(RawDataDead!$B:$B,$A125,RawDataDead!AH:AH)</f>
        <v>0</v>
      </c>
      <c r="AF125">
        <f>SUMIF(RawDataDead!$B:$B,$A125,RawDataDead!AI:AI)</f>
        <v>0</v>
      </c>
      <c r="AG125">
        <f>SUMIF(RawDataDead!$B:$B,$A125,RawDataDead!AJ:AJ)</f>
        <v>0</v>
      </c>
      <c r="AH125">
        <f>SUMIF(RawDataDead!$B:$B,$A125,RawDataDead!AK:AK)</f>
        <v>0</v>
      </c>
      <c r="AI125">
        <f>SUMIF(RawDataDead!$B:$B,$A125,RawDataDead!AL:AL)</f>
        <v>0</v>
      </c>
      <c r="AJ125">
        <f>SUMIF(RawDataDead!$B:$B,$A125,RawDataDead!AM:AM)</f>
        <v>0</v>
      </c>
      <c r="AK125">
        <f>SUMIF(RawDataDead!$B:$B,$A125,RawDataDead!AN:AN)</f>
        <v>0</v>
      </c>
      <c r="AL125">
        <f>SUMIF(RawDataDead!$B:$B,$A125,RawDataDead!AO:AO)</f>
        <v>0</v>
      </c>
      <c r="AM125">
        <f>SUMIF(RawDataDead!$B:$B,$A125,RawDataDead!AP:AP)</f>
        <v>0</v>
      </c>
      <c r="AN125">
        <f>SUMIF(RawDataDead!$B:$B,$A125,RawDataDead!AQ:AQ)</f>
        <v>0</v>
      </c>
      <c r="AO125">
        <f>SUMIF(RawDataDead!$B:$B,$A125,RawDataDead!AR:AR)</f>
        <v>0</v>
      </c>
      <c r="AP125">
        <f>SUMIF(RawDataDead!$B:$B,$A125,RawDataDead!AS:AS)</f>
        <v>0</v>
      </c>
      <c r="AQ125">
        <f>SUMIF(RawDataDead!$B:$B,$A125,RawDataDead!AT:AT)</f>
        <v>0</v>
      </c>
      <c r="AR125">
        <f>SUMIF(RawDataDead!$B:$B,$A125,RawDataDead!AU:AU)</f>
        <v>0</v>
      </c>
      <c r="AS125">
        <f>SUMIF(RawDataDead!$B:$B,$A125,RawDataDead!AV:AV)</f>
        <v>0</v>
      </c>
      <c r="AT125">
        <f>SUMIF(RawDataDead!$B:$B,$A125,RawDataDead!AW:AW)</f>
        <v>0</v>
      </c>
      <c r="AU125">
        <f>SUMIF(RawDataDead!$B:$B,$A125,RawDataDead!AX:AX)</f>
        <v>0</v>
      </c>
      <c r="AV125">
        <f>SUMIF(RawDataDead!$B:$B,$A125,RawDataDead!AY:AY)</f>
        <v>0</v>
      </c>
      <c r="AW125">
        <f>SUMIF(RawDataDead!$B:$B,$A125,RawDataDead!AZ:AZ)</f>
        <v>0</v>
      </c>
      <c r="AX125">
        <f>SUMIF(RawDataDead!$B:$B,$A125,RawDataDead!BA:BA)</f>
        <v>0</v>
      </c>
      <c r="AY125">
        <f>SUMIF(RawDataDead!$B:$B,$A125,RawDataDead!BB:BB)</f>
        <v>0</v>
      </c>
      <c r="AZ125">
        <f>SUMIF(RawDataDead!$B:$B,$A125,RawDataDead!BC:BC)</f>
        <v>0</v>
      </c>
      <c r="BA125">
        <f>SUMIF(RawDataDead!$B:$B,$A125,RawDataDead!BD:BD)</f>
        <v>1</v>
      </c>
      <c r="BB125">
        <f>SUMIF(RawDataDead!$B:$B,$A125,RawDataDead!BE:BE)</f>
        <v>1</v>
      </c>
      <c r="BC125">
        <f>SUMIF(RawDataDead!$B:$B,$A125,RawDataDead!BF:BF)</f>
        <v>1</v>
      </c>
      <c r="BD125">
        <f>SUMIF(RawDataDead!$B:$B,$A125,RawDataDead!BG:BG)</f>
        <v>1</v>
      </c>
      <c r="BE125">
        <f>SUMIF(RawDataDead!$B:$B,$A125,RawDataDead!BH:BH)</f>
        <v>1</v>
      </c>
      <c r="BF125">
        <f>SUMIF(RawDataDead!$B:$B,$A125,RawDataDead!BI:BI)</f>
        <v>0</v>
      </c>
      <c r="BG125">
        <f>SUMIF(RawDataDead!$B:$B,$A125,RawDataDead!BJ:BJ)</f>
        <v>0</v>
      </c>
      <c r="BH125">
        <f>SUMIF(RawDataDead!$B:$B,$A125,RawDataDead!BK:BK)</f>
        <v>0</v>
      </c>
      <c r="BI125">
        <f>SUMIF(RawDataDead!$B:$B,$A125,RawDataDead!BL:BL)</f>
        <v>0</v>
      </c>
      <c r="BJ125">
        <f>SUMIF(RawDataDead!$B:$B,$A125,RawDataDead!BM:BM)</f>
        <v>0</v>
      </c>
      <c r="BK125">
        <f>SUMIF(RawDataDead!$B:$B,$A125,RawDataDead!BN:BN)</f>
        <v>0</v>
      </c>
      <c r="BL125">
        <f>SUMIF(RawDataDead!$B:$B,$A125,RawDataDead!BO:BO)</f>
        <v>0</v>
      </c>
      <c r="BM125">
        <f>SUMIF(RawDataDead!$B:$B,$A125,RawDataDead!BP:BP)</f>
        <v>0</v>
      </c>
      <c r="BN125">
        <f>SUMIF(RawDataDead!$B:$B,$A125,RawDataDead!BQ:BQ)</f>
        <v>0</v>
      </c>
      <c r="BO125">
        <f>SUMIF(RawDataDead!$B:$B,$A125,RawDataDead!BR:BR)</f>
        <v>0</v>
      </c>
      <c r="BP125">
        <f>SUMIF(RawDataDead!$B:$B,$A125,RawDataDead!BS:BS)</f>
        <v>0</v>
      </c>
      <c r="BQ125">
        <f>SUMIF(RawDataDead!$B:$B,$A125,RawDataDead!BT:BT)</f>
        <v>0</v>
      </c>
      <c r="BR125">
        <f>SUMIF(RawDataDead!$B:$B,$A125,RawDataDead!BU:BU)</f>
        <v>0</v>
      </c>
      <c r="BS125">
        <f>SUMIF(RawDataDead!$B:$B,$A125,RawDataDead!BV:BV)</f>
        <v>0</v>
      </c>
      <c r="BT125">
        <f>SUMIF(RawDataDead!$B:$B,$A125,RawDataDead!BW:BW)</f>
        <v>0</v>
      </c>
    </row>
    <row r="126" spans="1:72" ht="15" thickBot="1" x14ac:dyDescent="0.35">
      <c r="A126" s="3" t="s">
        <v>190</v>
      </c>
      <c r="B126">
        <f>SUMIF(RawDataDead!$B:$B,$A126,RawDataDead!E:E)</f>
        <v>0</v>
      </c>
      <c r="C126">
        <f>SUMIF(RawDataDead!$B:$B,$A126,RawDataDead!F:F)</f>
        <v>0</v>
      </c>
      <c r="D126">
        <f>SUMIF(RawDataDead!$B:$B,$A126,RawDataDead!G:G)</f>
        <v>0</v>
      </c>
      <c r="E126">
        <f>SUMIF(RawDataDead!$B:$B,$A126,RawDataDead!H:H)</f>
        <v>0</v>
      </c>
      <c r="F126">
        <f>SUMIF(RawDataDead!$B:$B,$A126,RawDataDead!I:I)</f>
        <v>0</v>
      </c>
      <c r="G126">
        <f>SUMIF(RawDataDead!$B:$B,$A126,RawDataDead!J:J)</f>
        <v>0</v>
      </c>
      <c r="H126">
        <f>SUMIF(RawDataDead!$B:$B,$A126,RawDataDead!K:K)</f>
        <v>0</v>
      </c>
      <c r="I126">
        <f>SUMIF(RawDataDead!$B:$B,$A126,RawDataDead!L:L)</f>
        <v>0</v>
      </c>
      <c r="J126">
        <f>SUMIF(RawDataDead!$B:$B,$A126,RawDataDead!M:M)</f>
        <v>0</v>
      </c>
      <c r="K126">
        <f>SUMIF(RawDataDead!$B:$B,$A126,RawDataDead!N:N)</f>
        <v>0</v>
      </c>
      <c r="L126">
        <f>SUMIF(RawDataDead!$B:$B,$A126,RawDataDead!O:O)</f>
        <v>0</v>
      </c>
      <c r="M126">
        <f>SUMIF(RawDataDead!$B:$B,$A126,RawDataDead!P:P)</f>
        <v>0</v>
      </c>
      <c r="N126">
        <f>SUMIF(RawDataDead!$B:$B,$A126,RawDataDead!Q:Q)</f>
        <v>0</v>
      </c>
      <c r="O126">
        <f>SUMIF(RawDataDead!$B:$B,$A126,RawDataDead!R:R)</f>
        <v>0</v>
      </c>
      <c r="P126">
        <f>SUMIF(RawDataDead!$B:$B,$A126,RawDataDead!S:S)</f>
        <v>0</v>
      </c>
      <c r="Q126">
        <f>SUMIF(RawDataDead!$B:$B,$A126,RawDataDead!T:T)</f>
        <v>0</v>
      </c>
      <c r="R126">
        <f>SUMIF(RawDataDead!$B:$B,$A126,RawDataDead!U:U)</f>
        <v>0</v>
      </c>
      <c r="S126">
        <f>SUMIF(RawDataDead!$B:$B,$A126,RawDataDead!V:V)</f>
        <v>0</v>
      </c>
      <c r="T126">
        <f>SUMIF(RawDataDead!$B:$B,$A126,RawDataDead!W:W)</f>
        <v>0</v>
      </c>
      <c r="U126">
        <f>SUMIF(RawDataDead!$B:$B,$A126,RawDataDead!X:X)</f>
        <v>0</v>
      </c>
      <c r="V126">
        <f>SUMIF(RawDataDead!$B:$B,$A126,RawDataDead!Y:Y)</f>
        <v>0</v>
      </c>
      <c r="W126">
        <f>SUMIF(RawDataDead!$B:$B,$A126,RawDataDead!Z:Z)</f>
        <v>0</v>
      </c>
      <c r="X126">
        <f>SUMIF(RawDataDead!$B:$B,$A126,RawDataDead!AA:AA)</f>
        <v>0</v>
      </c>
      <c r="Y126">
        <f>SUMIF(RawDataDead!$B:$B,$A126,RawDataDead!AB:AB)</f>
        <v>0</v>
      </c>
      <c r="Z126">
        <f>SUMIF(RawDataDead!$B:$B,$A126,RawDataDead!AC:AC)</f>
        <v>0</v>
      </c>
      <c r="AA126">
        <f>SUMIF(RawDataDead!$B:$B,$A126,RawDataDead!AD:AD)</f>
        <v>0</v>
      </c>
      <c r="AB126">
        <f>SUMIF(RawDataDead!$B:$B,$A126,RawDataDead!AE:AE)</f>
        <v>0</v>
      </c>
      <c r="AC126">
        <f>SUMIF(RawDataDead!$B:$B,$A126,RawDataDead!AF:AF)</f>
        <v>0</v>
      </c>
      <c r="AD126">
        <f>SUMIF(RawDataDead!$B:$B,$A126,RawDataDead!AG:AG)</f>
        <v>0</v>
      </c>
      <c r="AE126">
        <f>SUMIF(RawDataDead!$B:$B,$A126,RawDataDead!AH:AH)</f>
        <v>0</v>
      </c>
      <c r="AF126">
        <f>SUMIF(RawDataDead!$B:$B,$A126,RawDataDead!AI:AI)</f>
        <v>0</v>
      </c>
      <c r="AG126">
        <f>SUMIF(RawDataDead!$B:$B,$A126,RawDataDead!AJ:AJ)</f>
        <v>0</v>
      </c>
      <c r="AH126">
        <f>SUMIF(RawDataDead!$B:$B,$A126,RawDataDead!AK:AK)</f>
        <v>0</v>
      </c>
      <c r="AI126">
        <f>SUMIF(RawDataDead!$B:$B,$A126,RawDataDead!AL:AL)</f>
        <v>0</v>
      </c>
      <c r="AJ126">
        <f>SUMIF(RawDataDead!$B:$B,$A126,RawDataDead!AM:AM)</f>
        <v>0</v>
      </c>
      <c r="AK126">
        <f>SUMIF(RawDataDead!$B:$B,$A126,RawDataDead!AN:AN)</f>
        <v>0</v>
      </c>
      <c r="AL126">
        <f>SUMIF(RawDataDead!$B:$B,$A126,RawDataDead!AO:AO)</f>
        <v>0</v>
      </c>
      <c r="AM126">
        <f>SUMIF(RawDataDead!$B:$B,$A126,RawDataDead!AP:AP)</f>
        <v>0</v>
      </c>
      <c r="AN126">
        <f>SUMIF(RawDataDead!$B:$B,$A126,RawDataDead!AQ:AQ)</f>
        <v>0</v>
      </c>
      <c r="AO126">
        <f>SUMIF(RawDataDead!$B:$B,$A126,RawDataDead!AR:AR)</f>
        <v>0</v>
      </c>
      <c r="AP126">
        <f>SUMIF(RawDataDead!$B:$B,$A126,RawDataDead!AS:AS)</f>
        <v>0</v>
      </c>
      <c r="AQ126">
        <f>SUMIF(RawDataDead!$B:$B,$A126,RawDataDead!AT:AT)</f>
        <v>0</v>
      </c>
      <c r="AR126">
        <f>SUMIF(RawDataDead!$B:$B,$A126,RawDataDead!AU:AU)</f>
        <v>0</v>
      </c>
      <c r="AS126">
        <f>SUMIF(RawDataDead!$B:$B,$A126,RawDataDead!AV:AV)</f>
        <v>0</v>
      </c>
      <c r="AT126">
        <f>SUMIF(RawDataDead!$B:$B,$A126,RawDataDead!AW:AW)</f>
        <v>0</v>
      </c>
      <c r="AU126">
        <f>SUMIF(RawDataDead!$B:$B,$A126,RawDataDead!AX:AX)</f>
        <v>0</v>
      </c>
      <c r="AV126">
        <f>SUMIF(RawDataDead!$B:$B,$A126,RawDataDead!AY:AY)</f>
        <v>0</v>
      </c>
      <c r="AW126">
        <f>SUMIF(RawDataDead!$B:$B,$A126,RawDataDead!AZ:AZ)</f>
        <v>0</v>
      </c>
      <c r="AX126">
        <f>SUMIF(RawDataDead!$B:$B,$A126,RawDataDead!BA:BA)</f>
        <v>0</v>
      </c>
      <c r="AY126">
        <f>SUMIF(RawDataDead!$B:$B,$A126,RawDataDead!BB:BB)</f>
        <v>0</v>
      </c>
      <c r="AZ126">
        <f>SUMIF(RawDataDead!$B:$B,$A126,RawDataDead!BC:BC)</f>
        <v>0</v>
      </c>
      <c r="BA126">
        <f>SUMIF(RawDataDead!$B:$B,$A126,RawDataDead!BD:BD)</f>
        <v>0</v>
      </c>
      <c r="BB126">
        <f>SUMIF(RawDataDead!$B:$B,$A126,RawDataDead!BE:BE)</f>
        <v>0</v>
      </c>
      <c r="BC126">
        <f>SUMIF(RawDataDead!$B:$B,$A126,RawDataDead!BF:BF)</f>
        <v>0</v>
      </c>
      <c r="BD126">
        <f>SUMIF(RawDataDead!$B:$B,$A126,RawDataDead!BG:BG)</f>
        <v>0</v>
      </c>
      <c r="BE126">
        <f>SUMIF(RawDataDead!$B:$B,$A126,RawDataDead!BH:BH)</f>
        <v>0</v>
      </c>
      <c r="BF126">
        <f>SUMIF(RawDataDead!$B:$B,$A126,RawDataDead!BI:BI)</f>
        <v>0</v>
      </c>
      <c r="BG126">
        <f>SUMIF(RawDataDead!$B:$B,$A126,RawDataDead!BJ:BJ)</f>
        <v>0</v>
      </c>
      <c r="BH126">
        <f>SUMIF(RawDataDead!$B:$B,$A126,RawDataDead!BK:BK)</f>
        <v>0</v>
      </c>
      <c r="BI126">
        <f>SUMIF(RawDataDead!$B:$B,$A126,RawDataDead!BL:BL)</f>
        <v>0</v>
      </c>
      <c r="BJ126">
        <f>SUMIF(RawDataDead!$B:$B,$A126,RawDataDead!BM:BM)</f>
        <v>0</v>
      </c>
      <c r="BK126">
        <f>SUMIF(RawDataDead!$B:$B,$A126,RawDataDead!BN:BN)</f>
        <v>0</v>
      </c>
      <c r="BL126">
        <f>SUMIF(RawDataDead!$B:$B,$A126,RawDataDead!BO:BO)</f>
        <v>0</v>
      </c>
      <c r="BM126">
        <f>SUMIF(RawDataDead!$B:$B,$A126,RawDataDead!BP:BP)</f>
        <v>0</v>
      </c>
      <c r="BN126">
        <f>SUMIF(RawDataDead!$B:$B,$A126,RawDataDead!BQ:BQ)</f>
        <v>0</v>
      </c>
      <c r="BO126">
        <f>SUMIF(RawDataDead!$B:$B,$A126,RawDataDead!BR:BR)</f>
        <v>0</v>
      </c>
      <c r="BP126">
        <f>SUMIF(RawDataDead!$B:$B,$A126,RawDataDead!BS:BS)</f>
        <v>0</v>
      </c>
      <c r="BQ126">
        <f>SUMIF(RawDataDead!$B:$B,$A126,RawDataDead!BT:BT)</f>
        <v>0</v>
      </c>
      <c r="BR126">
        <f>SUMIF(RawDataDead!$B:$B,$A126,RawDataDead!BU:BU)</f>
        <v>0</v>
      </c>
      <c r="BS126">
        <f>SUMIF(RawDataDead!$B:$B,$A126,RawDataDead!BV:BV)</f>
        <v>0</v>
      </c>
      <c r="BT126">
        <f>SUMIF(RawDataDead!$B:$B,$A126,RawDataDead!BW:BW)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I464"/>
  <sheetViews>
    <sheetView topLeftCell="AM403" workbookViewId="0">
      <selection activeCell="BI405" sqref="BI405"/>
    </sheetView>
  </sheetViews>
  <sheetFormatPr defaultRowHeight="14.4" x14ac:dyDescent="0.3"/>
  <sheetData>
    <row r="1" spans="1:6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s="16">
        <v>43832</v>
      </c>
      <c r="P1" s="16">
        <v>43863</v>
      </c>
      <c r="Q1" s="16">
        <v>43892</v>
      </c>
      <c r="R1" s="16">
        <v>43923</v>
      </c>
      <c r="S1" s="16">
        <v>43953</v>
      </c>
      <c r="T1" s="16">
        <v>43984</v>
      </c>
      <c r="U1" s="16">
        <v>44014</v>
      </c>
      <c r="V1" s="16">
        <v>44045</v>
      </c>
      <c r="W1" s="16">
        <v>44076</v>
      </c>
      <c r="X1" s="16">
        <v>44106</v>
      </c>
      <c r="Y1" s="16">
        <v>44137</v>
      </c>
      <c r="Z1" s="16">
        <v>44167</v>
      </c>
      <c r="AA1" t="s">
        <v>14</v>
      </c>
      <c r="AB1" t="s">
        <v>15</v>
      </c>
      <c r="AC1" t="s">
        <v>16</v>
      </c>
      <c r="AD1" t="s">
        <v>17</v>
      </c>
      <c r="AE1" t="s">
        <v>18</v>
      </c>
      <c r="AF1" t="s">
        <v>19</v>
      </c>
      <c r="AG1" t="s">
        <v>20</v>
      </c>
      <c r="AH1" t="s">
        <v>21</v>
      </c>
      <c r="AI1" t="s">
        <v>22</v>
      </c>
      <c r="AJ1" t="s">
        <v>23</v>
      </c>
      <c r="AK1" t="s">
        <v>24</v>
      </c>
      <c r="AL1" t="s">
        <v>25</v>
      </c>
      <c r="AM1" t="s">
        <v>26</v>
      </c>
      <c r="AN1" t="s">
        <v>27</v>
      </c>
      <c r="AO1" t="s">
        <v>28</v>
      </c>
      <c r="AP1" t="s">
        <v>29</v>
      </c>
      <c r="AQ1" t="s">
        <v>30</v>
      </c>
      <c r="AR1" s="16">
        <v>43833</v>
      </c>
      <c r="AS1" s="16">
        <v>43864</v>
      </c>
      <c r="AT1" s="16">
        <v>43893</v>
      </c>
      <c r="AU1" s="16">
        <v>43924</v>
      </c>
      <c r="AV1" s="16">
        <v>43954</v>
      </c>
      <c r="AW1" s="16">
        <v>43985</v>
      </c>
      <c r="AX1" s="16">
        <v>44015</v>
      </c>
      <c r="AY1" s="16">
        <v>44046</v>
      </c>
      <c r="AZ1" s="16">
        <v>44077</v>
      </c>
      <c r="BA1" s="16">
        <v>44107</v>
      </c>
      <c r="BB1" s="16">
        <v>44138</v>
      </c>
      <c r="BC1" s="16">
        <v>44168</v>
      </c>
      <c r="BD1" t="s">
        <v>364</v>
      </c>
      <c r="BE1" t="s">
        <v>461</v>
      </c>
      <c r="BF1" t="s">
        <v>490</v>
      </c>
      <c r="BG1" t="s">
        <v>502</v>
      </c>
      <c r="BH1" t="s">
        <v>624</v>
      </c>
    </row>
    <row r="2" spans="1:60" x14ac:dyDescent="0.3">
      <c r="B2" t="s">
        <v>62</v>
      </c>
      <c r="C2">
        <v>15</v>
      </c>
      <c r="D2">
        <v>101</v>
      </c>
      <c r="E2">
        <v>2</v>
      </c>
      <c r="F2">
        <v>3</v>
      </c>
      <c r="G2">
        <v>5</v>
      </c>
      <c r="H2">
        <v>7</v>
      </c>
      <c r="I2">
        <v>8</v>
      </c>
      <c r="J2">
        <v>8</v>
      </c>
      <c r="K2">
        <v>14</v>
      </c>
      <c r="L2">
        <v>14</v>
      </c>
      <c r="M2">
        <v>14</v>
      </c>
      <c r="N2">
        <v>19</v>
      </c>
      <c r="O2">
        <v>19</v>
      </c>
      <c r="P2">
        <v>19</v>
      </c>
      <c r="Q2">
        <v>19</v>
      </c>
      <c r="R2">
        <v>25</v>
      </c>
      <c r="S2">
        <v>25</v>
      </c>
      <c r="T2">
        <v>25</v>
      </c>
      <c r="U2">
        <v>25</v>
      </c>
      <c r="V2">
        <v>32</v>
      </c>
      <c r="W2">
        <v>32</v>
      </c>
      <c r="X2">
        <v>32</v>
      </c>
      <c r="Y2">
        <v>33</v>
      </c>
      <c r="Z2">
        <v>33</v>
      </c>
      <c r="AA2">
        <v>33</v>
      </c>
      <c r="AB2">
        <v>33</v>
      </c>
      <c r="AC2">
        <v>33</v>
      </c>
      <c r="AD2">
        <v>34</v>
      </c>
      <c r="AE2">
        <v>35</v>
      </c>
      <c r="AF2">
        <v>35</v>
      </c>
      <c r="AG2">
        <v>35</v>
      </c>
      <c r="AH2">
        <v>35</v>
      </c>
      <c r="AI2">
        <v>35</v>
      </c>
      <c r="AJ2">
        <v>35</v>
      </c>
      <c r="AK2">
        <v>35</v>
      </c>
      <c r="AL2">
        <v>35</v>
      </c>
      <c r="AM2">
        <v>37</v>
      </c>
      <c r="AN2">
        <v>40</v>
      </c>
      <c r="AO2">
        <v>40</v>
      </c>
      <c r="AP2">
        <v>41</v>
      </c>
      <c r="AQ2">
        <v>42</v>
      </c>
      <c r="AR2">
        <v>42</v>
      </c>
      <c r="AS2">
        <v>43</v>
      </c>
      <c r="AT2">
        <v>43</v>
      </c>
      <c r="AU2">
        <v>43</v>
      </c>
      <c r="AV2">
        <v>47</v>
      </c>
      <c r="AW2">
        <v>48</v>
      </c>
      <c r="AX2">
        <v>50</v>
      </c>
      <c r="AY2">
        <v>50</v>
      </c>
      <c r="AZ2">
        <v>50</v>
      </c>
      <c r="BA2">
        <v>53</v>
      </c>
      <c r="BB2">
        <v>59</v>
      </c>
      <c r="BC2">
        <v>70</v>
      </c>
      <c r="BD2">
        <v>75</v>
      </c>
      <c r="BE2">
        <v>82</v>
      </c>
      <c r="BF2">
        <v>114</v>
      </c>
      <c r="BG2">
        <v>147</v>
      </c>
      <c r="BH2">
        <v>177</v>
      </c>
    </row>
    <row r="3" spans="1:60" x14ac:dyDescent="0.3">
      <c r="B3" t="s">
        <v>63</v>
      </c>
      <c r="C3">
        <v>36</v>
      </c>
      <c r="D3">
        <v>138</v>
      </c>
      <c r="E3">
        <v>2</v>
      </c>
      <c r="F3">
        <v>1</v>
      </c>
      <c r="G3">
        <v>2</v>
      </c>
      <c r="H3">
        <v>2</v>
      </c>
      <c r="I3">
        <v>4</v>
      </c>
      <c r="J3">
        <v>4</v>
      </c>
      <c r="K3">
        <v>7</v>
      </c>
      <c r="L3">
        <v>7</v>
      </c>
      <c r="M3">
        <v>11</v>
      </c>
      <c r="N3">
        <v>15</v>
      </c>
      <c r="O3">
        <v>20</v>
      </c>
      <c r="P3">
        <v>20</v>
      </c>
      <c r="Q3">
        <v>20</v>
      </c>
      <c r="R3">
        <v>22</v>
      </c>
      <c r="S3">
        <v>22</v>
      </c>
      <c r="T3">
        <v>45</v>
      </c>
      <c r="U3">
        <v>25</v>
      </c>
      <c r="V3">
        <v>25</v>
      </c>
      <c r="W3">
        <v>26</v>
      </c>
      <c r="X3">
        <v>26</v>
      </c>
      <c r="Y3">
        <v>26</v>
      </c>
      <c r="Z3">
        <v>28</v>
      </c>
      <c r="AA3">
        <v>28</v>
      </c>
      <c r="AB3">
        <v>29</v>
      </c>
      <c r="AC3">
        <v>43</v>
      </c>
      <c r="AD3">
        <v>59</v>
      </c>
      <c r="AE3">
        <v>66</v>
      </c>
      <c r="AF3">
        <v>74</v>
      </c>
      <c r="AG3">
        <v>84</v>
      </c>
      <c r="AH3">
        <v>94</v>
      </c>
      <c r="AI3">
        <v>105</v>
      </c>
      <c r="AJ3">
        <v>122</v>
      </c>
      <c r="AK3">
        <v>147</v>
      </c>
      <c r="AL3">
        <v>159</v>
      </c>
      <c r="AM3">
        <v>170</v>
      </c>
      <c r="AN3">
        <v>189</v>
      </c>
      <c r="AO3">
        <v>214</v>
      </c>
      <c r="AP3">
        <v>228</v>
      </c>
      <c r="AQ3">
        <v>241</v>
      </c>
      <c r="AR3">
        <v>256</v>
      </c>
      <c r="AS3">
        <v>274</v>
      </c>
      <c r="AT3">
        <v>293</v>
      </c>
      <c r="AU3">
        <v>331</v>
      </c>
      <c r="AV3">
        <v>360</v>
      </c>
      <c r="AW3">
        <v>420</v>
      </c>
      <c r="AX3">
        <v>461</v>
      </c>
      <c r="AY3">
        <v>502</v>
      </c>
      <c r="AZ3">
        <v>511</v>
      </c>
      <c r="BA3">
        <v>581</v>
      </c>
      <c r="BB3">
        <v>639</v>
      </c>
      <c r="BC3">
        <v>639</v>
      </c>
      <c r="BD3">
        <v>701</v>
      </c>
      <c r="BE3">
        <v>773</v>
      </c>
      <c r="BF3">
        <v>839</v>
      </c>
      <c r="BG3">
        <v>825</v>
      </c>
      <c r="BH3">
        <v>878</v>
      </c>
    </row>
    <row r="4" spans="1:60" x14ac:dyDescent="0.3">
      <c r="B4" t="s">
        <v>67</v>
      </c>
      <c r="C4">
        <v>1.2833000000000001</v>
      </c>
      <c r="D4">
        <v>103.83329999999999</v>
      </c>
      <c r="E4">
        <v>0</v>
      </c>
      <c r="F4">
        <v>1</v>
      </c>
      <c r="G4">
        <v>3</v>
      </c>
      <c r="H4">
        <v>3</v>
      </c>
      <c r="I4">
        <v>4</v>
      </c>
      <c r="J4">
        <v>5</v>
      </c>
      <c r="K4">
        <v>7</v>
      </c>
      <c r="L4">
        <v>7</v>
      </c>
      <c r="M4">
        <v>10</v>
      </c>
      <c r="N4">
        <v>13</v>
      </c>
      <c r="O4">
        <v>16</v>
      </c>
      <c r="P4">
        <v>18</v>
      </c>
      <c r="Q4">
        <v>18</v>
      </c>
      <c r="R4">
        <v>24</v>
      </c>
      <c r="S4">
        <v>28</v>
      </c>
      <c r="T4">
        <v>28</v>
      </c>
      <c r="U4">
        <v>30</v>
      </c>
      <c r="V4">
        <v>33</v>
      </c>
      <c r="W4">
        <v>40</v>
      </c>
      <c r="X4">
        <v>45</v>
      </c>
      <c r="Y4">
        <v>47</v>
      </c>
      <c r="Z4">
        <v>50</v>
      </c>
      <c r="AA4">
        <v>58</v>
      </c>
      <c r="AB4">
        <v>67</v>
      </c>
      <c r="AC4">
        <v>72</v>
      </c>
      <c r="AD4">
        <v>75</v>
      </c>
      <c r="AE4">
        <v>77</v>
      </c>
      <c r="AF4">
        <v>81</v>
      </c>
      <c r="AG4">
        <v>84</v>
      </c>
      <c r="AH4">
        <v>84</v>
      </c>
      <c r="AI4">
        <v>85</v>
      </c>
      <c r="AJ4">
        <v>85</v>
      </c>
      <c r="AK4">
        <v>89</v>
      </c>
      <c r="AL4">
        <v>89</v>
      </c>
      <c r="AM4">
        <v>91</v>
      </c>
      <c r="AN4">
        <v>93</v>
      </c>
      <c r="AO4">
        <v>93</v>
      </c>
      <c r="AP4">
        <v>93</v>
      </c>
      <c r="AQ4">
        <v>102</v>
      </c>
      <c r="AR4">
        <v>106</v>
      </c>
      <c r="AS4">
        <v>108</v>
      </c>
      <c r="AT4">
        <v>110</v>
      </c>
      <c r="AU4">
        <v>110</v>
      </c>
      <c r="AV4">
        <v>117</v>
      </c>
      <c r="AW4">
        <v>130</v>
      </c>
      <c r="AX4">
        <v>138</v>
      </c>
      <c r="AY4">
        <v>150</v>
      </c>
      <c r="AZ4">
        <v>150</v>
      </c>
      <c r="BA4">
        <v>160</v>
      </c>
      <c r="BB4">
        <v>178</v>
      </c>
      <c r="BC4">
        <v>178</v>
      </c>
      <c r="BD4">
        <v>200</v>
      </c>
      <c r="BE4">
        <v>212</v>
      </c>
      <c r="BF4">
        <v>226</v>
      </c>
      <c r="BG4">
        <v>243</v>
      </c>
      <c r="BH4">
        <v>266</v>
      </c>
    </row>
    <row r="5" spans="1:60" x14ac:dyDescent="0.3">
      <c r="B5" t="s">
        <v>69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  <c r="T5">
        <v>1</v>
      </c>
      <c r="U5">
        <v>1</v>
      </c>
      <c r="V5">
        <v>1</v>
      </c>
      <c r="W5">
        <v>1</v>
      </c>
      <c r="X5">
        <v>1</v>
      </c>
      <c r="Y5">
        <v>1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</row>
    <row r="6" spans="1:60" x14ac:dyDescent="0.3">
      <c r="B6" t="s">
        <v>70</v>
      </c>
      <c r="C6">
        <v>2.5</v>
      </c>
      <c r="D6">
        <v>112.5</v>
      </c>
      <c r="E6">
        <v>0</v>
      </c>
      <c r="F6">
        <v>0</v>
      </c>
      <c r="G6">
        <v>0</v>
      </c>
      <c r="H6">
        <v>3</v>
      </c>
      <c r="I6">
        <v>4</v>
      </c>
      <c r="J6">
        <v>4</v>
      </c>
      <c r="K6">
        <v>4</v>
      </c>
      <c r="L6">
        <v>7</v>
      </c>
      <c r="M6">
        <v>8</v>
      </c>
      <c r="N6">
        <v>8</v>
      </c>
      <c r="O6">
        <v>8</v>
      </c>
      <c r="P6">
        <v>8</v>
      </c>
      <c r="Q6">
        <v>8</v>
      </c>
      <c r="R6">
        <v>10</v>
      </c>
      <c r="S6">
        <v>12</v>
      </c>
      <c r="T6">
        <v>12</v>
      </c>
      <c r="U6">
        <v>12</v>
      </c>
      <c r="V6">
        <v>16</v>
      </c>
      <c r="W6">
        <v>16</v>
      </c>
      <c r="X6">
        <v>18</v>
      </c>
      <c r="Y6">
        <v>18</v>
      </c>
      <c r="Z6">
        <v>18</v>
      </c>
      <c r="AA6">
        <v>19</v>
      </c>
      <c r="AB6">
        <v>19</v>
      </c>
      <c r="AC6">
        <v>22</v>
      </c>
      <c r="AD6">
        <v>22</v>
      </c>
      <c r="AE6">
        <v>22</v>
      </c>
      <c r="AF6">
        <v>22</v>
      </c>
      <c r="AG6">
        <v>22</v>
      </c>
      <c r="AH6">
        <v>22</v>
      </c>
      <c r="AI6">
        <v>22</v>
      </c>
      <c r="AJ6">
        <v>22</v>
      </c>
      <c r="AK6">
        <v>22</v>
      </c>
      <c r="AL6">
        <v>22</v>
      </c>
      <c r="AM6">
        <v>22</v>
      </c>
      <c r="AN6">
        <v>22</v>
      </c>
      <c r="AO6">
        <v>23</v>
      </c>
      <c r="AP6">
        <v>23</v>
      </c>
      <c r="AQ6">
        <v>25</v>
      </c>
      <c r="AR6">
        <v>29</v>
      </c>
      <c r="AS6">
        <v>29</v>
      </c>
      <c r="AT6">
        <v>36</v>
      </c>
      <c r="AU6">
        <v>50</v>
      </c>
      <c r="AV6">
        <v>50</v>
      </c>
      <c r="AW6">
        <v>83</v>
      </c>
      <c r="AX6">
        <v>93</v>
      </c>
      <c r="AY6">
        <v>99</v>
      </c>
      <c r="AZ6">
        <v>117</v>
      </c>
      <c r="BA6">
        <v>129</v>
      </c>
      <c r="BB6">
        <v>149</v>
      </c>
      <c r="BC6">
        <v>149</v>
      </c>
      <c r="BD6">
        <v>197</v>
      </c>
      <c r="BE6">
        <v>238</v>
      </c>
      <c r="BF6">
        <v>428</v>
      </c>
      <c r="BG6">
        <v>566</v>
      </c>
      <c r="BH6">
        <v>673</v>
      </c>
    </row>
    <row r="7" spans="1:60" x14ac:dyDescent="0.3">
      <c r="A7" t="s">
        <v>71</v>
      </c>
      <c r="B7" t="s">
        <v>72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2</v>
      </c>
      <c r="T7">
        <v>2</v>
      </c>
      <c r="U7">
        <v>4</v>
      </c>
      <c r="V7">
        <v>4</v>
      </c>
      <c r="W7">
        <v>4</v>
      </c>
      <c r="X7">
        <v>4</v>
      </c>
      <c r="Y7">
        <v>4</v>
      </c>
      <c r="Z7">
        <v>4</v>
      </c>
      <c r="AA7">
        <v>4</v>
      </c>
      <c r="AB7">
        <v>4</v>
      </c>
      <c r="AC7">
        <v>4</v>
      </c>
      <c r="AD7">
        <v>4</v>
      </c>
      <c r="AE7">
        <v>5</v>
      </c>
      <c r="AF7">
        <v>5</v>
      </c>
      <c r="AG7">
        <v>5</v>
      </c>
      <c r="AH7">
        <v>5</v>
      </c>
      <c r="AI7">
        <v>6</v>
      </c>
      <c r="AJ7">
        <v>6</v>
      </c>
      <c r="AK7">
        <v>6</v>
      </c>
      <c r="AL7">
        <v>6</v>
      </c>
      <c r="AM7">
        <v>7</v>
      </c>
      <c r="AN7">
        <v>7</v>
      </c>
      <c r="AO7">
        <v>7</v>
      </c>
      <c r="AP7">
        <v>7</v>
      </c>
      <c r="AQ7">
        <v>8</v>
      </c>
      <c r="AR7">
        <v>8</v>
      </c>
      <c r="AS7">
        <v>8</v>
      </c>
      <c r="AT7">
        <v>9</v>
      </c>
      <c r="AU7">
        <v>12</v>
      </c>
      <c r="AV7">
        <v>13</v>
      </c>
      <c r="AW7">
        <v>21</v>
      </c>
      <c r="AX7">
        <v>21</v>
      </c>
      <c r="AY7">
        <v>27</v>
      </c>
      <c r="AZ7">
        <v>32</v>
      </c>
      <c r="BA7">
        <v>32</v>
      </c>
      <c r="BB7">
        <v>39</v>
      </c>
      <c r="BC7">
        <v>46</v>
      </c>
      <c r="BD7">
        <v>64</v>
      </c>
      <c r="BE7">
        <v>64</v>
      </c>
      <c r="BF7">
        <v>73</v>
      </c>
      <c r="BG7">
        <v>103</v>
      </c>
      <c r="BH7">
        <v>103</v>
      </c>
    </row>
    <row r="8" spans="1:60" x14ac:dyDescent="0.3">
      <c r="A8" t="s">
        <v>74</v>
      </c>
      <c r="B8" t="s">
        <v>75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3</v>
      </c>
      <c r="J8">
        <v>4</v>
      </c>
      <c r="K8">
        <v>4</v>
      </c>
      <c r="L8">
        <v>4</v>
      </c>
      <c r="M8">
        <v>4</v>
      </c>
      <c r="N8">
        <v>4</v>
      </c>
      <c r="O8">
        <v>4</v>
      </c>
      <c r="P8">
        <v>4</v>
      </c>
      <c r="Q8">
        <v>4</v>
      </c>
      <c r="R8">
        <v>4</v>
      </c>
      <c r="S8">
        <v>4</v>
      </c>
      <c r="T8">
        <v>4</v>
      </c>
      <c r="U8">
        <v>4</v>
      </c>
      <c r="V8">
        <v>4</v>
      </c>
      <c r="W8">
        <v>4</v>
      </c>
      <c r="X8">
        <v>4</v>
      </c>
      <c r="Y8">
        <v>4</v>
      </c>
      <c r="Z8">
        <v>4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6</v>
      </c>
      <c r="AS8">
        <v>6</v>
      </c>
      <c r="AT8">
        <v>13</v>
      </c>
      <c r="AU8">
        <v>22</v>
      </c>
      <c r="AV8">
        <v>22</v>
      </c>
      <c r="AW8">
        <v>26</v>
      </c>
      <c r="AX8">
        <v>28</v>
      </c>
      <c r="AY8">
        <v>38</v>
      </c>
      <c r="AZ8">
        <v>48</v>
      </c>
      <c r="BA8">
        <v>55</v>
      </c>
      <c r="BB8">
        <v>65</v>
      </c>
      <c r="BC8">
        <v>65</v>
      </c>
      <c r="BD8">
        <v>92</v>
      </c>
      <c r="BE8">
        <v>112</v>
      </c>
      <c r="BF8">
        <v>134</v>
      </c>
      <c r="BG8">
        <v>171</v>
      </c>
      <c r="BH8">
        <v>210</v>
      </c>
    </row>
    <row r="9" spans="1:60" x14ac:dyDescent="0.3">
      <c r="A9" t="s">
        <v>76</v>
      </c>
      <c r="B9" t="s">
        <v>75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1</v>
      </c>
      <c r="J9">
        <v>1</v>
      </c>
      <c r="K9">
        <v>1</v>
      </c>
      <c r="L9">
        <v>1</v>
      </c>
      <c r="M9">
        <v>2</v>
      </c>
      <c r="N9">
        <v>3</v>
      </c>
      <c r="O9">
        <v>4</v>
      </c>
      <c r="P9">
        <v>4</v>
      </c>
      <c r="Q9">
        <v>4</v>
      </c>
      <c r="R9">
        <v>4</v>
      </c>
      <c r="S9">
        <v>4</v>
      </c>
      <c r="T9">
        <v>4</v>
      </c>
      <c r="U9">
        <v>4</v>
      </c>
      <c r="V9">
        <v>4</v>
      </c>
      <c r="W9">
        <v>4</v>
      </c>
      <c r="X9">
        <v>4</v>
      </c>
      <c r="Y9">
        <v>4</v>
      </c>
      <c r="Z9">
        <v>4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7</v>
      </c>
      <c r="AR9">
        <v>7</v>
      </c>
      <c r="AS9">
        <v>9</v>
      </c>
      <c r="AT9">
        <v>9</v>
      </c>
      <c r="AU9">
        <v>10</v>
      </c>
      <c r="AV9">
        <v>10</v>
      </c>
      <c r="AW9">
        <v>10</v>
      </c>
      <c r="AX9">
        <v>11</v>
      </c>
      <c r="AY9">
        <v>11</v>
      </c>
      <c r="AZ9">
        <v>15</v>
      </c>
      <c r="BA9">
        <v>18</v>
      </c>
      <c r="BB9">
        <v>21</v>
      </c>
      <c r="BC9">
        <v>21</v>
      </c>
      <c r="BD9">
        <v>36</v>
      </c>
      <c r="BE9">
        <v>49</v>
      </c>
      <c r="BF9">
        <v>57</v>
      </c>
      <c r="BG9">
        <v>71</v>
      </c>
      <c r="BH9">
        <v>94</v>
      </c>
    </row>
    <row r="10" spans="1:60" x14ac:dyDescent="0.3">
      <c r="A10" t="s">
        <v>77</v>
      </c>
      <c r="B10" t="s">
        <v>75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3</v>
      </c>
      <c r="N10">
        <v>2</v>
      </c>
      <c r="O10">
        <v>3</v>
      </c>
      <c r="P10">
        <v>2</v>
      </c>
      <c r="Q10">
        <v>2</v>
      </c>
      <c r="R10">
        <v>3</v>
      </c>
      <c r="S10">
        <v>3</v>
      </c>
      <c r="T10">
        <v>4</v>
      </c>
      <c r="U10">
        <v>5</v>
      </c>
      <c r="V10">
        <v>5</v>
      </c>
      <c r="W10">
        <v>5</v>
      </c>
      <c r="X10">
        <v>5</v>
      </c>
      <c r="Y10">
        <v>5</v>
      </c>
      <c r="Z10">
        <v>5</v>
      </c>
      <c r="AA10">
        <v>5</v>
      </c>
      <c r="AB10">
        <v>5</v>
      </c>
      <c r="AC10">
        <v>5</v>
      </c>
      <c r="AD10">
        <v>5</v>
      </c>
      <c r="AE10">
        <v>5</v>
      </c>
      <c r="AF10">
        <v>5</v>
      </c>
      <c r="AG10">
        <v>5</v>
      </c>
      <c r="AH10">
        <v>5</v>
      </c>
      <c r="AI10">
        <v>5</v>
      </c>
      <c r="AJ10">
        <v>5</v>
      </c>
      <c r="AK10">
        <v>5</v>
      </c>
      <c r="AL10">
        <v>5</v>
      </c>
      <c r="AM10">
        <v>5</v>
      </c>
      <c r="AN10">
        <v>5</v>
      </c>
      <c r="AO10">
        <v>5</v>
      </c>
      <c r="AP10">
        <v>5</v>
      </c>
      <c r="AQ10">
        <v>9</v>
      </c>
      <c r="AR10">
        <v>9</v>
      </c>
      <c r="AS10">
        <v>9</v>
      </c>
      <c r="AT10">
        <v>11</v>
      </c>
      <c r="AU10">
        <v>11</v>
      </c>
      <c r="AV10">
        <v>13</v>
      </c>
      <c r="AW10">
        <v>13</v>
      </c>
      <c r="AX10">
        <v>13</v>
      </c>
      <c r="AY10">
        <v>15</v>
      </c>
      <c r="AZ10">
        <v>15</v>
      </c>
      <c r="BA10">
        <v>18</v>
      </c>
      <c r="BB10">
        <v>20</v>
      </c>
      <c r="BC10">
        <v>20</v>
      </c>
      <c r="BD10">
        <v>35</v>
      </c>
      <c r="BE10">
        <v>46</v>
      </c>
      <c r="BF10">
        <v>61</v>
      </c>
      <c r="BG10">
        <v>68</v>
      </c>
      <c r="BH10">
        <v>78</v>
      </c>
    </row>
    <row r="11" spans="1:60" x14ac:dyDescent="0.3">
      <c r="B11" t="s">
        <v>78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1</v>
      </c>
      <c r="K11">
        <v>1</v>
      </c>
      <c r="L11">
        <v>1</v>
      </c>
      <c r="M11">
        <v>1</v>
      </c>
      <c r="N11">
        <v>1</v>
      </c>
      <c r="O11">
        <v>1</v>
      </c>
      <c r="P11">
        <v>1</v>
      </c>
      <c r="Q11">
        <v>1</v>
      </c>
      <c r="R11">
        <v>1</v>
      </c>
      <c r="S11">
        <v>1</v>
      </c>
      <c r="T11">
        <v>1</v>
      </c>
      <c r="U11">
        <v>1</v>
      </c>
      <c r="V11">
        <v>1</v>
      </c>
      <c r="W11">
        <v>1</v>
      </c>
      <c r="X11">
        <v>1</v>
      </c>
      <c r="Y11">
        <v>1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3</v>
      </c>
      <c r="BC11">
        <v>3</v>
      </c>
      <c r="BD11">
        <v>5</v>
      </c>
      <c r="BE11">
        <v>7</v>
      </c>
      <c r="BF11">
        <v>7</v>
      </c>
      <c r="BG11">
        <v>7</v>
      </c>
      <c r="BH11">
        <v>33</v>
      </c>
    </row>
    <row r="12" spans="1:60" x14ac:dyDescent="0.3">
      <c r="B12" t="s">
        <v>79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1</v>
      </c>
      <c r="K12">
        <v>1</v>
      </c>
      <c r="L12">
        <v>1</v>
      </c>
      <c r="M12">
        <v>1</v>
      </c>
      <c r="N12">
        <v>1</v>
      </c>
      <c r="O12">
        <v>1</v>
      </c>
      <c r="P12">
        <v>1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2</v>
      </c>
      <c r="BC12">
        <v>2</v>
      </c>
      <c r="BD12">
        <v>6</v>
      </c>
      <c r="BE12">
        <v>10</v>
      </c>
      <c r="BF12">
        <v>18</v>
      </c>
      <c r="BG12">
        <v>28</v>
      </c>
      <c r="BH12">
        <v>44</v>
      </c>
    </row>
    <row r="13" spans="1:60" x14ac:dyDescent="0.3">
      <c r="B13" t="s">
        <v>80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4</v>
      </c>
      <c r="L13">
        <v>4</v>
      </c>
      <c r="M13">
        <v>4</v>
      </c>
      <c r="N13">
        <v>5</v>
      </c>
      <c r="O13">
        <v>8</v>
      </c>
      <c r="P13">
        <v>10</v>
      </c>
      <c r="Q13">
        <v>12</v>
      </c>
      <c r="R13">
        <v>12</v>
      </c>
      <c r="S13">
        <v>12</v>
      </c>
      <c r="T13">
        <v>12</v>
      </c>
      <c r="U13">
        <v>13</v>
      </c>
      <c r="V13">
        <v>13</v>
      </c>
      <c r="W13">
        <v>14</v>
      </c>
      <c r="X13">
        <v>14</v>
      </c>
      <c r="Y13">
        <v>16</v>
      </c>
      <c r="Z13">
        <v>16</v>
      </c>
      <c r="AA13">
        <v>16</v>
      </c>
      <c r="AB13">
        <v>16</v>
      </c>
      <c r="AC13">
        <v>16</v>
      </c>
      <c r="AD13">
        <v>16</v>
      </c>
      <c r="AE13">
        <v>16</v>
      </c>
      <c r="AF13">
        <v>16</v>
      </c>
      <c r="AG13">
        <v>16</v>
      </c>
      <c r="AH13">
        <v>16</v>
      </c>
      <c r="AI13">
        <v>16</v>
      </c>
      <c r="AJ13">
        <v>16</v>
      </c>
      <c r="AK13">
        <v>16</v>
      </c>
      <c r="AL13">
        <v>16</v>
      </c>
      <c r="AM13">
        <v>17</v>
      </c>
      <c r="AN13">
        <v>27</v>
      </c>
      <c r="AO13">
        <v>46</v>
      </c>
      <c r="AP13">
        <v>48</v>
      </c>
      <c r="AQ13">
        <v>79</v>
      </c>
      <c r="AR13">
        <v>130</v>
      </c>
      <c r="AS13">
        <v>159</v>
      </c>
      <c r="AT13">
        <v>196</v>
      </c>
      <c r="AU13">
        <v>262</v>
      </c>
      <c r="AV13">
        <v>482</v>
      </c>
      <c r="AW13">
        <v>670</v>
      </c>
      <c r="AX13">
        <v>799</v>
      </c>
      <c r="AY13">
        <v>1040</v>
      </c>
      <c r="AZ13">
        <v>1176</v>
      </c>
      <c r="BA13">
        <v>1457</v>
      </c>
      <c r="BB13">
        <v>1908</v>
      </c>
      <c r="BC13">
        <v>2078</v>
      </c>
      <c r="BD13">
        <v>3675</v>
      </c>
      <c r="BE13">
        <v>4585</v>
      </c>
      <c r="BF13">
        <v>5795</v>
      </c>
      <c r="BG13">
        <v>7272</v>
      </c>
      <c r="BH13">
        <v>9257</v>
      </c>
    </row>
    <row r="14" spans="1:60" x14ac:dyDescent="0.3">
      <c r="B14" t="s">
        <v>81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2</v>
      </c>
      <c r="AO14">
        <v>2</v>
      </c>
      <c r="AP14">
        <v>2</v>
      </c>
      <c r="AQ14">
        <v>3</v>
      </c>
      <c r="AR14">
        <v>6</v>
      </c>
      <c r="AS14">
        <v>6</v>
      </c>
      <c r="AT14">
        <v>6</v>
      </c>
      <c r="AU14">
        <v>6</v>
      </c>
      <c r="AV14">
        <v>12</v>
      </c>
      <c r="AW14">
        <v>15</v>
      </c>
      <c r="AX14">
        <v>15</v>
      </c>
      <c r="AY14">
        <v>23</v>
      </c>
      <c r="AZ14">
        <v>30</v>
      </c>
      <c r="BA14">
        <v>40</v>
      </c>
      <c r="BB14">
        <v>59</v>
      </c>
      <c r="BC14">
        <v>59</v>
      </c>
      <c r="BD14">
        <v>155</v>
      </c>
      <c r="BE14">
        <v>225</v>
      </c>
      <c r="BF14">
        <v>244</v>
      </c>
      <c r="BG14">
        <v>277</v>
      </c>
      <c r="BH14">
        <v>321</v>
      </c>
    </row>
    <row r="15" spans="1:60" x14ac:dyDescent="0.3">
      <c r="B15" t="s">
        <v>82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4</v>
      </c>
      <c r="M15">
        <v>4</v>
      </c>
      <c r="N15">
        <v>4</v>
      </c>
      <c r="O15">
        <v>4</v>
      </c>
      <c r="P15">
        <v>5</v>
      </c>
      <c r="Q15">
        <v>5</v>
      </c>
      <c r="R15">
        <v>5</v>
      </c>
      <c r="S15">
        <v>5</v>
      </c>
      <c r="T15">
        <v>5</v>
      </c>
      <c r="U15">
        <v>5</v>
      </c>
      <c r="V15">
        <v>7</v>
      </c>
      <c r="W15">
        <v>7</v>
      </c>
      <c r="X15">
        <v>8</v>
      </c>
      <c r="Y15">
        <v>8</v>
      </c>
      <c r="Z15">
        <v>8</v>
      </c>
      <c r="AA15">
        <v>8</v>
      </c>
      <c r="AB15">
        <v>8</v>
      </c>
      <c r="AC15">
        <v>8</v>
      </c>
      <c r="AD15">
        <v>9</v>
      </c>
      <c r="AE15">
        <v>9</v>
      </c>
      <c r="AF15">
        <v>9</v>
      </c>
      <c r="AG15">
        <v>9</v>
      </c>
      <c r="AH15">
        <v>9</v>
      </c>
      <c r="AI15">
        <v>9</v>
      </c>
      <c r="AJ15">
        <v>13</v>
      </c>
      <c r="AK15">
        <v>13</v>
      </c>
      <c r="AL15">
        <v>13</v>
      </c>
      <c r="AM15">
        <v>13</v>
      </c>
      <c r="AN15">
        <v>13</v>
      </c>
      <c r="AO15">
        <v>13</v>
      </c>
      <c r="AP15">
        <v>19</v>
      </c>
      <c r="AQ15">
        <v>21</v>
      </c>
      <c r="AR15">
        <v>21</v>
      </c>
      <c r="AS15">
        <v>21</v>
      </c>
      <c r="AT15">
        <v>27</v>
      </c>
      <c r="AU15">
        <v>27</v>
      </c>
      <c r="AV15">
        <v>29</v>
      </c>
      <c r="AW15">
        <v>29</v>
      </c>
      <c r="AX15">
        <v>45</v>
      </c>
      <c r="AY15">
        <v>45</v>
      </c>
      <c r="AZ15">
        <v>45</v>
      </c>
      <c r="BA15">
        <v>74</v>
      </c>
      <c r="BB15">
        <v>74</v>
      </c>
      <c r="BC15">
        <v>85</v>
      </c>
      <c r="BD15">
        <v>85</v>
      </c>
      <c r="BE15">
        <v>85</v>
      </c>
      <c r="BF15">
        <v>98</v>
      </c>
      <c r="BG15">
        <v>98</v>
      </c>
      <c r="BH15">
        <v>98</v>
      </c>
    </row>
    <row r="16" spans="1:60" x14ac:dyDescent="0.3">
      <c r="B16" t="s">
        <v>83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1</v>
      </c>
      <c r="P16">
        <v>2</v>
      </c>
      <c r="Q16">
        <v>2</v>
      </c>
      <c r="R16">
        <v>2</v>
      </c>
      <c r="S16">
        <v>2</v>
      </c>
      <c r="T16">
        <v>2</v>
      </c>
      <c r="U16">
        <v>3</v>
      </c>
      <c r="V16">
        <v>3</v>
      </c>
      <c r="W16">
        <v>3</v>
      </c>
      <c r="X16">
        <v>3</v>
      </c>
      <c r="Y16">
        <v>3</v>
      </c>
      <c r="Z16">
        <v>3</v>
      </c>
      <c r="AA16">
        <v>3</v>
      </c>
      <c r="AB16">
        <v>3</v>
      </c>
      <c r="AC16">
        <v>3</v>
      </c>
      <c r="AD16">
        <v>3</v>
      </c>
      <c r="AE16">
        <v>3</v>
      </c>
      <c r="AF16">
        <v>3</v>
      </c>
      <c r="AG16">
        <v>3</v>
      </c>
      <c r="AH16">
        <v>3</v>
      </c>
      <c r="AI16">
        <v>3</v>
      </c>
      <c r="AJ16">
        <v>3</v>
      </c>
      <c r="AK16">
        <v>3</v>
      </c>
      <c r="AL16">
        <v>3</v>
      </c>
      <c r="AM16">
        <v>3</v>
      </c>
      <c r="AN16">
        <v>3</v>
      </c>
      <c r="AO16">
        <v>3</v>
      </c>
      <c r="AP16">
        <v>3</v>
      </c>
      <c r="AQ16">
        <v>3</v>
      </c>
      <c r="AR16">
        <v>3</v>
      </c>
      <c r="AS16">
        <v>3</v>
      </c>
      <c r="AT16">
        <v>3</v>
      </c>
      <c r="AU16">
        <v>3</v>
      </c>
      <c r="AV16">
        <v>3</v>
      </c>
      <c r="AW16">
        <v>5</v>
      </c>
      <c r="AX16">
        <v>6</v>
      </c>
      <c r="AY16">
        <v>10</v>
      </c>
      <c r="AZ16">
        <v>20</v>
      </c>
      <c r="BA16">
        <v>33</v>
      </c>
      <c r="BB16">
        <v>49</v>
      </c>
      <c r="BC16">
        <v>52</v>
      </c>
      <c r="BD16">
        <v>64</v>
      </c>
      <c r="BE16">
        <v>111</v>
      </c>
      <c r="BF16">
        <v>140</v>
      </c>
      <c r="BG16">
        <v>142</v>
      </c>
      <c r="BH16">
        <v>187</v>
      </c>
    </row>
    <row r="17" spans="1:60" x14ac:dyDescent="0.3">
      <c r="B17" t="s">
        <v>84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1</v>
      </c>
      <c r="N17">
        <v>1</v>
      </c>
      <c r="O17">
        <v>1</v>
      </c>
      <c r="P17">
        <v>2</v>
      </c>
      <c r="Q17">
        <v>3</v>
      </c>
      <c r="R17">
        <v>3</v>
      </c>
      <c r="S17">
        <v>3</v>
      </c>
      <c r="T17">
        <v>3</v>
      </c>
      <c r="U17">
        <v>3</v>
      </c>
      <c r="V17">
        <v>3</v>
      </c>
      <c r="W17">
        <v>3</v>
      </c>
      <c r="X17">
        <v>3</v>
      </c>
      <c r="Y17">
        <v>3</v>
      </c>
      <c r="Z17">
        <v>3</v>
      </c>
      <c r="AA17">
        <v>3</v>
      </c>
      <c r="AB17">
        <v>3</v>
      </c>
      <c r="AC17">
        <v>3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5</v>
      </c>
      <c r="AT17">
        <v>5</v>
      </c>
      <c r="AU17">
        <v>28</v>
      </c>
      <c r="AV17">
        <v>30</v>
      </c>
      <c r="AW17">
        <v>31</v>
      </c>
      <c r="AX17">
        <v>34</v>
      </c>
      <c r="AY17">
        <v>39</v>
      </c>
      <c r="AZ17">
        <v>43</v>
      </c>
      <c r="BA17">
        <v>56</v>
      </c>
      <c r="BB17">
        <v>62</v>
      </c>
      <c r="BC17">
        <v>73</v>
      </c>
      <c r="BD17">
        <v>82</v>
      </c>
      <c r="BE17">
        <v>102</v>
      </c>
      <c r="BF17">
        <v>113</v>
      </c>
      <c r="BG17">
        <v>119</v>
      </c>
      <c r="BH17">
        <v>142</v>
      </c>
    </row>
    <row r="18" spans="1:60" x14ac:dyDescent="0.3">
      <c r="B18" t="s">
        <v>85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2</v>
      </c>
      <c r="O18">
        <v>2</v>
      </c>
      <c r="P18">
        <v>2</v>
      </c>
      <c r="Q18">
        <v>2</v>
      </c>
      <c r="R18">
        <v>2</v>
      </c>
      <c r="S18">
        <v>2</v>
      </c>
      <c r="T18">
        <v>2</v>
      </c>
      <c r="U18">
        <v>3</v>
      </c>
      <c r="V18">
        <v>3</v>
      </c>
      <c r="W18">
        <v>3</v>
      </c>
      <c r="X18">
        <v>3</v>
      </c>
      <c r="Y18">
        <v>3</v>
      </c>
      <c r="Z18">
        <v>3</v>
      </c>
      <c r="AA18">
        <v>3</v>
      </c>
      <c r="AB18">
        <v>3</v>
      </c>
      <c r="AC18">
        <v>3</v>
      </c>
      <c r="AD18">
        <v>3</v>
      </c>
      <c r="AE18">
        <v>3</v>
      </c>
      <c r="AF18">
        <v>3</v>
      </c>
      <c r="AG18">
        <v>3</v>
      </c>
      <c r="AH18">
        <v>3</v>
      </c>
      <c r="AI18">
        <v>20</v>
      </c>
      <c r="AJ18">
        <v>62</v>
      </c>
      <c r="AK18">
        <v>155</v>
      </c>
      <c r="AL18">
        <v>229</v>
      </c>
      <c r="AM18">
        <v>322</v>
      </c>
      <c r="AN18">
        <v>453</v>
      </c>
      <c r="AO18">
        <v>655</v>
      </c>
      <c r="AP18">
        <v>888</v>
      </c>
      <c r="AQ18">
        <v>1128</v>
      </c>
      <c r="AR18">
        <v>1694</v>
      </c>
      <c r="AS18">
        <v>2036</v>
      </c>
      <c r="AT18">
        <v>2502</v>
      </c>
      <c r="AU18">
        <v>3089</v>
      </c>
      <c r="AV18">
        <v>3858</v>
      </c>
      <c r="AW18">
        <v>4636</v>
      </c>
      <c r="AX18">
        <v>5883</v>
      </c>
      <c r="AY18">
        <v>7375</v>
      </c>
      <c r="AZ18">
        <v>9172</v>
      </c>
      <c r="BA18">
        <v>10149</v>
      </c>
      <c r="BB18">
        <v>12462</v>
      </c>
      <c r="BC18">
        <v>12462</v>
      </c>
      <c r="BD18">
        <v>17660</v>
      </c>
      <c r="BE18">
        <v>21157</v>
      </c>
      <c r="BF18">
        <v>24747</v>
      </c>
      <c r="BG18">
        <v>27980</v>
      </c>
      <c r="BH18">
        <v>31506</v>
      </c>
    </row>
    <row r="19" spans="1:60" x14ac:dyDescent="0.3">
      <c r="B19" t="s">
        <v>86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AL19">
        <v>1</v>
      </c>
      <c r="AM19">
        <v>1</v>
      </c>
      <c r="AN19">
        <v>2</v>
      </c>
      <c r="AO19">
        <v>7</v>
      </c>
      <c r="AP19">
        <v>7</v>
      </c>
      <c r="AQ19">
        <v>12</v>
      </c>
      <c r="AR19">
        <v>14</v>
      </c>
      <c r="AS19">
        <v>15</v>
      </c>
      <c r="AT19">
        <v>21</v>
      </c>
      <c r="AU19">
        <v>35</v>
      </c>
      <c r="AV19">
        <v>94</v>
      </c>
      <c r="AW19">
        <v>101</v>
      </c>
      <c r="AX19">
        <v>161</v>
      </c>
      <c r="AY19">
        <v>203</v>
      </c>
      <c r="AZ19">
        <v>248</v>
      </c>
      <c r="BA19">
        <v>355</v>
      </c>
      <c r="BB19">
        <v>500</v>
      </c>
      <c r="BC19">
        <v>599</v>
      </c>
      <c r="BD19">
        <v>814</v>
      </c>
      <c r="BE19">
        <v>961</v>
      </c>
      <c r="BF19">
        <v>1022</v>
      </c>
      <c r="BG19">
        <v>1103</v>
      </c>
      <c r="BH19">
        <v>1190</v>
      </c>
    </row>
    <row r="20" spans="1:60" x14ac:dyDescent="0.3">
      <c r="B20" t="s">
        <v>87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1</v>
      </c>
      <c r="P20">
        <v>1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6</v>
      </c>
      <c r="AN20">
        <v>13</v>
      </c>
      <c r="AO20">
        <v>15</v>
      </c>
      <c r="AP20">
        <v>32</v>
      </c>
      <c r="AQ20">
        <v>45</v>
      </c>
      <c r="AR20">
        <v>84</v>
      </c>
      <c r="AS20">
        <v>120</v>
      </c>
      <c r="AT20">
        <v>165</v>
      </c>
      <c r="AU20">
        <v>222</v>
      </c>
      <c r="AV20">
        <v>259</v>
      </c>
      <c r="AW20">
        <v>400</v>
      </c>
      <c r="AX20">
        <v>500</v>
      </c>
      <c r="AY20">
        <v>673</v>
      </c>
      <c r="AZ20">
        <v>1073</v>
      </c>
      <c r="BA20">
        <v>1695</v>
      </c>
      <c r="BB20">
        <v>2277</v>
      </c>
      <c r="BC20">
        <v>2277</v>
      </c>
      <c r="BD20">
        <v>5232</v>
      </c>
      <c r="BE20">
        <v>6391</v>
      </c>
      <c r="BF20">
        <v>7798</v>
      </c>
      <c r="BG20">
        <v>9942</v>
      </c>
      <c r="BH20">
        <v>11748</v>
      </c>
    </row>
    <row r="21" spans="1:60" x14ac:dyDescent="0.3">
      <c r="A21" t="s">
        <v>88</v>
      </c>
      <c r="B21" t="s">
        <v>75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1</v>
      </c>
      <c r="P21">
        <v>2</v>
      </c>
      <c r="Q21">
        <v>2</v>
      </c>
      <c r="R21">
        <v>2</v>
      </c>
      <c r="S21">
        <v>2</v>
      </c>
      <c r="T21">
        <v>2</v>
      </c>
      <c r="U21">
        <v>2</v>
      </c>
      <c r="V21">
        <v>2</v>
      </c>
      <c r="W21">
        <v>2</v>
      </c>
      <c r="X21">
        <v>2</v>
      </c>
      <c r="Y21">
        <v>2</v>
      </c>
      <c r="Z21">
        <v>2</v>
      </c>
      <c r="AA21">
        <v>2</v>
      </c>
      <c r="AB21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3</v>
      </c>
      <c r="AR21">
        <v>3</v>
      </c>
      <c r="AS21">
        <v>3</v>
      </c>
      <c r="AT21">
        <v>3</v>
      </c>
      <c r="AU21">
        <v>5</v>
      </c>
      <c r="AV21">
        <v>5</v>
      </c>
      <c r="AW21">
        <v>7</v>
      </c>
      <c r="AX21">
        <v>7</v>
      </c>
      <c r="AY21">
        <v>7</v>
      </c>
      <c r="AZ21">
        <v>7</v>
      </c>
      <c r="BA21">
        <v>7</v>
      </c>
      <c r="BB21">
        <v>9</v>
      </c>
      <c r="BC21">
        <v>9</v>
      </c>
      <c r="BD21">
        <v>16</v>
      </c>
      <c r="BE21">
        <v>19</v>
      </c>
      <c r="BF21">
        <v>20</v>
      </c>
      <c r="BG21">
        <v>29</v>
      </c>
      <c r="BH21">
        <v>29</v>
      </c>
    </row>
    <row r="22" spans="1:60" x14ac:dyDescent="0.3">
      <c r="B22" t="s">
        <v>90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1</v>
      </c>
      <c r="T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2</v>
      </c>
      <c r="AS22">
        <v>8</v>
      </c>
      <c r="AT22">
        <v>13</v>
      </c>
      <c r="AU22">
        <v>23</v>
      </c>
      <c r="AV22">
        <v>50</v>
      </c>
      <c r="AW22">
        <v>109</v>
      </c>
      <c r="AX22">
        <v>169</v>
      </c>
      <c r="AY22">
        <v>200</v>
      </c>
      <c r="AZ22">
        <v>239</v>
      </c>
      <c r="BA22">
        <v>267</v>
      </c>
      <c r="BB22">
        <v>314</v>
      </c>
      <c r="BC22">
        <v>314</v>
      </c>
      <c r="BD22">
        <v>559</v>
      </c>
      <c r="BE22">
        <v>689</v>
      </c>
      <c r="BF22">
        <v>886</v>
      </c>
      <c r="BG22">
        <v>1058</v>
      </c>
      <c r="BH22">
        <v>1243</v>
      </c>
    </row>
    <row r="23" spans="1:60" x14ac:dyDescent="0.3">
      <c r="B23" t="s">
        <v>92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1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2</v>
      </c>
      <c r="AS23">
        <v>2</v>
      </c>
      <c r="AT23">
        <v>2</v>
      </c>
      <c r="AU23">
        <v>2</v>
      </c>
      <c r="AV23">
        <v>3</v>
      </c>
      <c r="AW23">
        <v>15</v>
      </c>
      <c r="AX23">
        <v>15</v>
      </c>
      <c r="AY23">
        <v>49</v>
      </c>
      <c r="AZ23">
        <v>55</v>
      </c>
      <c r="BA23">
        <v>59</v>
      </c>
      <c r="BB23">
        <v>60</v>
      </c>
      <c r="BC23">
        <v>67</v>
      </c>
      <c r="BD23">
        <v>80</v>
      </c>
      <c r="BE23">
        <v>109</v>
      </c>
      <c r="BF23">
        <v>110</v>
      </c>
      <c r="BG23">
        <v>150</v>
      </c>
      <c r="BH23">
        <v>196</v>
      </c>
    </row>
    <row r="24" spans="1:60" x14ac:dyDescent="0.3">
      <c r="A24" t="s">
        <v>93</v>
      </c>
      <c r="B24" t="s">
        <v>75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4</v>
      </c>
      <c r="AJ24">
        <v>7</v>
      </c>
      <c r="AK24">
        <v>7</v>
      </c>
      <c r="AL24">
        <v>7</v>
      </c>
      <c r="AM24">
        <v>7</v>
      </c>
      <c r="AN24">
        <v>7</v>
      </c>
      <c r="AO24">
        <v>8</v>
      </c>
      <c r="AP24">
        <v>8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</row>
    <row r="25" spans="1:60" x14ac:dyDescent="0.3">
      <c r="B25" t="s">
        <v>94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2</v>
      </c>
      <c r="AO25">
        <v>2</v>
      </c>
      <c r="AP25">
        <v>2</v>
      </c>
      <c r="AQ25">
        <v>4</v>
      </c>
      <c r="AR25">
        <v>10</v>
      </c>
      <c r="AS25">
        <v>13</v>
      </c>
      <c r="AT25">
        <v>13</v>
      </c>
      <c r="AU25">
        <v>13</v>
      </c>
      <c r="AV25">
        <v>16</v>
      </c>
      <c r="AW25">
        <v>22</v>
      </c>
      <c r="AX25">
        <v>22</v>
      </c>
      <c r="AY25">
        <v>32</v>
      </c>
      <c r="AZ25">
        <v>32</v>
      </c>
      <c r="BA25">
        <v>41</v>
      </c>
      <c r="BB25">
        <v>61</v>
      </c>
      <c r="BC25">
        <v>61</v>
      </c>
      <c r="BD25">
        <v>77</v>
      </c>
      <c r="BE25">
        <v>93</v>
      </c>
      <c r="BF25">
        <v>110</v>
      </c>
      <c r="BG25">
        <v>99</v>
      </c>
      <c r="BH25">
        <v>120</v>
      </c>
    </row>
    <row r="26" spans="1:60" x14ac:dyDescent="0.3">
      <c r="B26" t="s">
        <v>97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1</v>
      </c>
      <c r="AM26">
        <v>1</v>
      </c>
      <c r="AN26">
        <v>5</v>
      </c>
      <c r="AO26">
        <v>7</v>
      </c>
      <c r="AP26">
        <v>7</v>
      </c>
      <c r="AQ26">
        <v>13</v>
      </c>
      <c r="AR26">
        <v>19</v>
      </c>
      <c r="AS26">
        <v>26</v>
      </c>
      <c r="AT26">
        <v>32</v>
      </c>
      <c r="AU26">
        <v>35</v>
      </c>
      <c r="AV26">
        <v>35</v>
      </c>
      <c r="AW26">
        <v>40</v>
      </c>
      <c r="AX26">
        <v>54</v>
      </c>
      <c r="AY26">
        <v>60</v>
      </c>
      <c r="AZ26">
        <v>60</v>
      </c>
      <c r="BA26">
        <v>71</v>
      </c>
      <c r="BB26">
        <v>71</v>
      </c>
      <c r="BC26">
        <v>71</v>
      </c>
      <c r="BD26">
        <v>101</v>
      </c>
      <c r="BE26">
        <v>110</v>
      </c>
      <c r="BF26">
        <v>116</v>
      </c>
      <c r="BG26">
        <v>124</v>
      </c>
      <c r="BH26">
        <v>154</v>
      </c>
    </row>
    <row r="27" spans="1:60" x14ac:dyDescent="0.3">
      <c r="B27" t="s">
        <v>98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2</v>
      </c>
      <c r="AM27">
        <v>2</v>
      </c>
      <c r="AN27">
        <v>4</v>
      </c>
      <c r="AO27">
        <v>4</v>
      </c>
      <c r="AP27">
        <v>4</v>
      </c>
      <c r="AQ27">
        <v>6</v>
      </c>
      <c r="AR27">
        <v>6</v>
      </c>
      <c r="AS27">
        <v>6</v>
      </c>
      <c r="AT27">
        <v>12</v>
      </c>
      <c r="AU27">
        <v>15</v>
      </c>
      <c r="AV27">
        <v>16</v>
      </c>
      <c r="AW27">
        <v>16</v>
      </c>
      <c r="AX27">
        <v>16</v>
      </c>
      <c r="AY27">
        <v>16</v>
      </c>
      <c r="AZ27">
        <v>16</v>
      </c>
      <c r="BA27">
        <v>18</v>
      </c>
      <c r="BB27">
        <v>18</v>
      </c>
      <c r="BC27">
        <v>18</v>
      </c>
      <c r="BD27">
        <v>19</v>
      </c>
      <c r="BE27">
        <v>19</v>
      </c>
      <c r="BF27">
        <v>22</v>
      </c>
      <c r="BG27">
        <v>22</v>
      </c>
      <c r="BH27">
        <v>24</v>
      </c>
    </row>
    <row r="28" spans="1:60" x14ac:dyDescent="0.3">
      <c r="B28" t="s">
        <v>99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1</v>
      </c>
      <c r="AM28">
        <v>1</v>
      </c>
      <c r="AN28">
        <v>1</v>
      </c>
      <c r="AO28">
        <v>1</v>
      </c>
      <c r="AP28">
        <v>1</v>
      </c>
      <c r="AQ28">
        <v>1</v>
      </c>
      <c r="AR28">
        <v>1</v>
      </c>
      <c r="AS28">
        <v>1</v>
      </c>
      <c r="AT28">
        <v>1</v>
      </c>
      <c r="AU28">
        <v>1</v>
      </c>
      <c r="AV28">
        <v>1</v>
      </c>
      <c r="AW28">
        <v>1</v>
      </c>
      <c r="AX28">
        <v>1</v>
      </c>
      <c r="AY28">
        <v>4</v>
      </c>
      <c r="AZ28">
        <v>4</v>
      </c>
      <c r="BA28">
        <v>5</v>
      </c>
      <c r="BB28">
        <v>7</v>
      </c>
      <c r="BC28">
        <v>7</v>
      </c>
      <c r="BD28">
        <v>7</v>
      </c>
      <c r="BE28">
        <v>11</v>
      </c>
      <c r="BF28">
        <v>16</v>
      </c>
      <c r="BG28">
        <v>21</v>
      </c>
      <c r="BH28">
        <v>22</v>
      </c>
    </row>
    <row r="29" spans="1:60" x14ac:dyDescent="0.3">
      <c r="B29" t="s">
        <v>100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1</v>
      </c>
      <c r="AM29">
        <v>23</v>
      </c>
      <c r="AN29">
        <v>33</v>
      </c>
      <c r="AO29">
        <v>33</v>
      </c>
      <c r="AP29">
        <v>36</v>
      </c>
      <c r="AQ29">
        <v>41</v>
      </c>
      <c r="AR29">
        <v>47</v>
      </c>
      <c r="AS29">
        <v>49</v>
      </c>
      <c r="AT29">
        <v>49</v>
      </c>
      <c r="AU29">
        <v>52</v>
      </c>
      <c r="AV29">
        <v>55</v>
      </c>
      <c r="AW29">
        <v>60</v>
      </c>
      <c r="AX29">
        <v>85</v>
      </c>
      <c r="AY29">
        <v>85</v>
      </c>
      <c r="AZ29">
        <v>95</v>
      </c>
      <c r="BA29">
        <v>110</v>
      </c>
      <c r="BB29">
        <v>195</v>
      </c>
      <c r="BC29">
        <v>195</v>
      </c>
      <c r="BD29">
        <v>189</v>
      </c>
      <c r="BE29">
        <v>210</v>
      </c>
      <c r="BF29">
        <v>214</v>
      </c>
      <c r="BG29">
        <v>214</v>
      </c>
      <c r="BH29">
        <v>228</v>
      </c>
    </row>
    <row r="30" spans="1:60" x14ac:dyDescent="0.3">
      <c r="B30" t="s">
        <v>101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1</v>
      </c>
      <c r="AM30">
        <v>11</v>
      </c>
      <c r="AN30">
        <v>26</v>
      </c>
      <c r="AO30">
        <v>43</v>
      </c>
      <c r="AP30">
        <v>45</v>
      </c>
      <c r="AQ30">
        <v>45</v>
      </c>
      <c r="AR30">
        <v>45</v>
      </c>
      <c r="AS30">
        <v>56</v>
      </c>
      <c r="AT30">
        <v>56</v>
      </c>
      <c r="AU30">
        <v>56</v>
      </c>
      <c r="AV30">
        <v>58</v>
      </c>
      <c r="AW30">
        <v>58</v>
      </c>
      <c r="AX30">
        <v>61</v>
      </c>
      <c r="AY30">
        <v>64</v>
      </c>
      <c r="AZ30">
        <v>64</v>
      </c>
      <c r="BA30">
        <v>69</v>
      </c>
      <c r="BB30">
        <v>72</v>
      </c>
      <c r="BC30">
        <v>80</v>
      </c>
      <c r="BD30">
        <v>80</v>
      </c>
      <c r="BE30">
        <v>104</v>
      </c>
      <c r="BF30">
        <v>112</v>
      </c>
      <c r="BG30">
        <v>123</v>
      </c>
      <c r="BH30">
        <v>130</v>
      </c>
    </row>
    <row r="31" spans="1:60" x14ac:dyDescent="0.3">
      <c r="B31" t="s">
        <v>102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3</v>
      </c>
      <c r="AT31">
        <v>5</v>
      </c>
      <c r="AU31">
        <v>12</v>
      </c>
      <c r="AV31">
        <v>12</v>
      </c>
      <c r="AW31">
        <v>17</v>
      </c>
      <c r="AX31">
        <v>17</v>
      </c>
      <c r="AY31">
        <v>19</v>
      </c>
      <c r="AZ31">
        <v>20</v>
      </c>
      <c r="BA31">
        <v>20</v>
      </c>
      <c r="BB31">
        <v>20</v>
      </c>
      <c r="BC31">
        <v>24</v>
      </c>
      <c r="BD31">
        <v>26</v>
      </c>
      <c r="BE31">
        <v>37</v>
      </c>
      <c r="BF31">
        <v>48</v>
      </c>
      <c r="BG31">
        <v>54</v>
      </c>
      <c r="BH31">
        <v>60</v>
      </c>
    </row>
    <row r="32" spans="1:60" x14ac:dyDescent="0.3">
      <c r="B32" t="s">
        <v>103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1</v>
      </c>
      <c r="AN32">
        <v>3</v>
      </c>
      <c r="AO32">
        <v>3</v>
      </c>
      <c r="AP32">
        <v>5</v>
      </c>
      <c r="AQ32">
        <v>6</v>
      </c>
      <c r="AR32">
        <v>7</v>
      </c>
      <c r="AS32">
        <v>7</v>
      </c>
      <c r="AT32">
        <v>9</v>
      </c>
      <c r="AU32">
        <v>10</v>
      </c>
      <c r="AV32">
        <v>10</v>
      </c>
      <c r="AW32">
        <v>11</v>
      </c>
      <c r="AX32">
        <v>12</v>
      </c>
      <c r="AY32">
        <v>12</v>
      </c>
      <c r="AZ32">
        <v>12</v>
      </c>
      <c r="BA32">
        <v>14</v>
      </c>
      <c r="BB32">
        <v>19</v>
      </c>
      <c r="BC32">
        <v>19</v>
      </c>
      <c r="BD32">
        <v>32</v>
      </c>
      <c r="BE32">
        <v>38</v>
      </c>
      <c r="BF32">
        <v>49</v>
      </c>
      <c r="BG32">
        <v>57</v>
      </c>
      <c r="BH32">
        <v>65</v>
      </c>
    </row>
    <row r="33" spans="2:60" x14ac:dyDescent="0.3">
      <c r="B33" t="s">
        <v>104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1</v>
      </c>
      <c r="AN33">
        <v>1</v>
      </c>
      <c r="AO33">
        <v>8</v>
      </c>
      <c r="AP33">
        <v>8</v>
      </c>
      <c r="AQ33">
        <v>18</v>
      </c>
      <c r="AR33">
        <v>27</v>
      </c>
      <c r="AS33">
        <v>42</v>
      </c>
      <c r="AT33">
        <v>56</v>
      </c>
      <c r="AU33">
        <v>90</v>
      </c>
      <c r="AV33">
        <v>114</v>
      </c>
      <c r="AW33">
        <v>214</v>
      </c>
      <c r="AX33">
        <v>268</v>
      </c>
      <c r="AY33">
        <v>337</v>
      </c>
      <c r="AZ33">
        <v>374</v>
      </c>
      <c r="BA33">
        <v>491</v>
      </c>
      <c r="BB33">
        <v>652</v>
      </c>
      <c r="BC33">
        <v>652</v>
      </c>
      <c r="BD33">
        <v>1139</v>
      </c>
      <c r="BE33">
        <v>1359</v>
      </c>
      <c r="BF33">
        <v>2200</v>
      </c>
      <c r="BG33">
        <v>2200</v>
      </c>
      <c r="BH33">
        <v>2700</v>
      </c>
    </row>
    <row r="34" spans="2:60" x14ac:dyDescent="0.3">
      <c r="B34" t="s">
        <v>105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2</v>
      </c>
      <c r="AN34">
        <v>2</v>
      </c>
      <c r="AO34">
        <v>3</v>
      </c>
      <c r="AP34">
        <v>3</v>
      </c>
      <c r="AQ34">
        <v>9</v>
      </c>
      <c r="AR34">
        <v>14</v>
      </c>
      <c r="AS34">
        <v>18</v>
      </c>
      <c r="AT34">
        <v>21</v>
      </c>
      <c r="AU34">
        <v>29</v>
      </c>
      <c r="AV34">
        <v>41</v>
      </c>
      <c r="AW34">
        <v>55</v>
      </c>
      <c r="AX34">
        <v>79</v>
      </c>
      <c r="AY34">
        <v>104</v>
      </c>
      <c r="AZ34">
        <v>131</v>
      </c>
      <c r="BA34">
        <v>182</v>
      </c>
      <c r="BB34">
        <v>246</v>
      </c>
      <c r="BC34">
        <v>302</v>
      </c>
      <c r="BD34">
        <v>504</v>
      </c>
      <c r="BE34">
        <v>655</v>
      </c>
      <c r="BF34">
        <v>860</v>
      </c>
      <c r="BG34">
        <v>1018</v>
      </c>
      <c r="BH34">
        <v>1332</v>
      </c>
    </row>
    <row r="35" spans="2:60" x14ac:dyDescent="0.3">
      <c r="B35" t="s">
        <v>106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2</v>
      </c>
      <c r="AO35">
        <v>3</v>
      </c>
      <c r="AP35">
        <v>4</v>
      </c>
      <c r="AQ35">
        <v>7</v>
      </c>
      <c r="AR35">
        <v>10</v>
      </c>
      <c r="AS35">
        <v>10</v>
      </c>
      <c r="AT35">
        <v>12</v>
      </c>
      <c r="AU35">
        <v>15</v>
      </c>
      <c r="AV35">
        <v>20</v>
      </c>
      <c r="AW35">
        <v>37</v>
      </c>
      <c r="AX35">
        <v>43</v>
      </c>
      <c r="AY35">
        <v>61</v>
      </c>
      <c r="AZ35">
        <v>61</v>
      </c>
      <c r="BA35">
        <v>83</v>
      </c>
      <c r="BB35">
        <v>109</v>
      </c>
      <c r="BC35">
        <v>131</v>
      </c>
      <c r="BD35">
        <v>161</v>
      </c>
      <c r="BE35">
        <v>193</v>
      </c>
      <c r="BF35">
        <v>251</v>
      </c>
      <c r="BG35">
        <v>255</v>
      </c>
      <c r="BH35">
        <v>337</v>
      </c>
    </row>
    <row r="36" spans="2:60" x14ac:dyDescent="0.3">
      <c r="B36" t="s">
        <v>107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2</v>
      </c>
      <c r="AO36">
        <v>2</v>
      </c>
      <c r="AP36">
        <v>2</v>
      </c>
      <c r="AQ36">
        <v>4</v>
      </c>
      <c r="AR36">
        <v>4</v>
      </c>
      <c r="AS36">
        <v>4</v>
      </c>
      <c r="AT36">
        <v>5</v>
      </c>
      <c r="AU36">
        <v>5</v>
      </c>
      <c r="AV36">
        <v>5</v>
      </c>
      <c r="AW36">
        <v>6</v>
      </c>
      <c r="AX36">
        <v>6</v>
      </c>
      <c r="AY36">
        <v>6</v>
      </c>
      <c r="AZ36">
        <v>6</v>
      </c>
      <c r="BA36">
        <v>16</v>
      </c>
      <c r="BB36">
        <v>19</v>
      </c>
      <c r="BC36">
        <v>20</v>
      </c>
      <c r="BD36">
        <v>28</v>
      </c>
      <c r="BE36">
        <v>31</v>
      </c>
      <c r="BF36">
        <v>53</v>
      </c>
      <c r="BG36">
        <v>136</v>
      </c>
      <c r="BH36">
        <v>236</v>
      </c>
    </row>
    <row r="37" spans="2:60" x14ac:dyDescent="0.3">
      <c r="B37" t="s">
        <v>108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1</v>
      </c>
      <c r="AO37">
        <v>1</v>
      </c>
      <c r="AP37">
        <v>1</v>
      </c>
      <c r="AQ37">
        <v>2</v>
      </c>
      <c r="AR37">
        <v>2</v>
      </c>
      <c r="AS37">
        <v>2</v>
      </c>
      <c r="AT37">
        <v>2</v>
      </c>
      <c r="AU37">
        <v>4</v>
      </c>
      <c r="AV37">
        <v>4</v>
      </c>
      <c r="AW37">
        <v>13</v>
      </c>
      <c r="AX37">
        <v>13</v>
      </c>
      <c r="AY37">
        <v>20</v>
      </c>
      <c r="AZ37">
        <v>25</v>
      </c>
      <c r="BA37">
        <v>31</v>
      </c>
      <c r="BB37">
        <v>38</v>
      </c>
      <c r="BC37">
        <v>52</v>
      </c>
      <c r="BD37">
        <v>151</v>
      </c>
      <c r="BE37">
        <v>151</v>
      </c>
      <c r="BF37">
        <v>162</v>
      </c>
      <c r="BG37">
        <v>200</v>
      </c>
      <c r="BH37">
        <v>321</v>
      </c>
    </row>
    <row r="38" spans="2:60" x14ac:dyDescent="0.3">
      <c r="B38" t="s">
        <v>109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1</v>
      </c>
      <c r="AO38">
        <v>1</v>
      </c>
      <c r="AP38">
        <v>1</v>
      </c>
      <c r="AQ38">
        <v>1</v>
      </c>
      <c r="AR38">
        <v>3</v>
      </c>
      <c r="AS38">
        <v>3</v>
      </c>
      <c r="AT38">
        <v>3</v>
      </c>
      <c r="AU38">
        <v>3</v>
      </c>
      <c r="AV38">
        <v>4</v>
      </c>
      <c r="AW38">
        <v>4</v>
      </c>
      <c r="AX38">
        <v>4</v>
      </c>
      <c r="AY38">
        <v>13</v>
      </c>
      <c r="AZ38">
        <v>15</v>
      </c>
      <c r="BA38">
        <v>15</v>
      </c>
      <c r="BB38">
        <v>24</v>
      </c>
      <c r="BC38">
        <v>24</v>
      </c>
      <c r="BD38">
        <v>25</v>
      </c>
      <c r="BE38">
        <v>30</v>
      </c>
      <c r="BF38">
        <v>33</v>
      </c>
      <c r="BG38">
        <v>33</v>
      </c>
      <c r="BH38">
        <v>34</v>
      </c>
    </row>
    <row r="39" spans="2:60" x14ac:dyDescent="0.3">
      <c r="B39" t="s">
        <v>110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1</v>
      </c>
      <c r="AO39">
        <v>3</v>
      </c>
      <c r="AP39">
        <v>4</v>
      </c>
      <c r="AQ39">
        <v>4</v>
      </c>
      <c r="AR39">
        <v>7</v>
      </c>
      <c r="AS39">
        <v>7</v>
      </c>
      <c r="AT39">
        <v>7</v>
      </c>
      <c r="AU39">
        <v>9</v>
      </c>
      <c r="AV39">
        <v>31</v>
      </c>
      <c r="AW39">
        <v>45</v>
      </c>
      <c r="AX39">
        <v>46</v>
      </c>
      <c r="AY39">
        <v>73</v>
      </c>
      <c r="AZ39">
        <v>73</v>
      </c>
      <c r="BA39">
        <v>89</v>
      </c>
      <c r="BB39">
        <v>99</v>
      </c>
      <c r="BC39">
        <v>99</v>
      </c>
      <c r="BD39">
        <v>190</v>
      </c>
      <c r="BE39">
        <v>228</v>
      </c>
      <c r="BF39">
        <v>331</v>
      </c>
      <c r="BG39">
        <v>331</v>
      </c>
      <c r="BH39">
        <v>387</v>
      </c>
    </row>
    <row r="40" spans="2:60" x14ac:dyDescent="0.3">
      <c r="B40" t="s">
        <v>111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1</v>
      </c>
      <c r="AO40">
        <v>1</v>
      </c>
      <c r="AP40">
        <v>1</v>
      </c>
      <c r="AQ40">
        <v>1</v>
      </c>
      <c r="AR40">
        <v>1</v>
      </c>
      <c r="AS40">
        <v>1</v>
      </c>
      <c r="AT40">
        <v>1</v>
      </c>
      <c r="AU40">
        <v>1</v>
      </c>
      <c r="AV40">
        <v>1</v>
      </c>
      <c r="AW40">
        <v>3</v>
      </c>
      <c r="AX40">
        <v>3</v>
      </c>
      <c r="AY40">
        <v>3</v>
      </c>
      <c r="AZ40">
        <v>3</v>
      </c>
      <c r="BA40">
        <v>7</v>
      </c>
      <c r="BB40">
        <v>7</v>
      </c>
      <c r="BC40">
        <v>7</v>
      </c>
      <c r="BD40">
        <v>14</v>
      </c>
      <c r="BE40">
        <v>14</v>
      </c>
      <c r="BF40">
        <v>14</v>
      </c>
      <c r="BG40">
        <v>18</v>
      </c>
      <c r="BH40">
        <v>26</v>
      </c>
    </row>
    <row r="41" spans="2:60" x14ac:dyDescent="0.3">
      <c r="B41" t="s">
        <v>112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1</v>
      </c>
      <c r="AO41">
        <v>1</v>
      </c>
      <c r="AP41">
        <v>6</v>
      </c>
      <c r="AQ41">
        <v>15</v>
      </c>
      <c r="AR41">
        <v>19</v>
      </c>
      <c r="AS41">
        <v>25</v>
      </c>
      <c r="AT41">
        <v>32</v>
      </c>
      <c r="AU41">
        <v>56</v>
      </c>
      <c r="AV41">
        <v>87</v>
      </c>
      <c r="AW41">
        <v>108</v>
      </c>
      <c r="AX41">
        <v>147</v>
      </c>
      <c r="AY41">
        <v>176</v>
      </c>
      <c r="AZ41">
        <v>205</v>
      </c>
      <c r="BA41">
        <v>400</v>
      </c>
      <c r="BB41">
        <v>598</v>
      </c>
      <c r="BC41">
        <v>702</v>
      </c>
      <c r="BD41">
        <v>996</v>
      </c>
      <c r="BE41">
        <v>1090</v>
      </c>
      <c r="BF41">
        <v>1221</v>
      </c>
      <c r="BG41">
        <v>1333</v>
      </c>
      <c r="BH41">
        <v>1463</v>
      </c>
    </row>
    <row r="42" spans="2:60" x14ac:dyDescent="0.3">
      <c r="B42" t="s">
        <v>113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1</v>
      </c>
      <c r="AO42">
        <v>1</v>
      </c>
      <c r="AP42">
        <v>3</v>
      </c>
      <c r="AQ42">
        <v>3</v>
      </c>
      <c r="AR42">
        <v>3</v>
      </c>
      <c r="AS42">
        <v>3</v>
      </c>
      <c r="AT42">
        <v>3</v>
      </c>
      <c r="AU42">
        <v>4</v>
      </c>
      <c r="AV42">
        <v>6</v>
      </c>
      <c r="AW42">
        <v>9</v>
      </c>
      <c r="AX42">
        <v>9</v>
      </c>
      <c r="AY42">
        <v>15</v>
      </c>
      <c r="AZ42">
        <v>15</v>
      </c>
      <c r="BA42">
        <v>25</v>
      </c>
      <c r="BB42">
        <v>45</v>
      </c>
      <c r="BC42">
        <v>49</v>
      </c>
      <c r="BD42">
        <v>89</v>
      </c>
      <c r="BE42">
        <v>123</v>
      </c>
      <c r="BF42">
        <v>131</v>
      </c>
      <c r="BG42">
        <v>158</v>
      </c>
      <c r="BH42">
        <v>184</v>
      </c>
    </row>
    <row r="43" spans="2:60" x14ac:dyDescent="0.3">
      <c r="B43" t="s">
        <v>115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1</v>
      </c>
      <c r="AP43">
        <v>1</v>
      </c>
      <c r="AQ43">
        <v>1</v>
      </c>
      <c r="AR43">
        <v>1</v>
      </c>
      <c r="AS43">
        <v>1</v>
      </c>
      <c r="AT43">
        <v>2</v>
      </c>
      <c r="AU43">
        <v>2</v>
      </c>
      <c r="AV43">
        <v>3</v>
      </c>
      <c r="AW43">
        <v>10</v>
      </c>
      <c r="AX43">
        <v>10</v>
      </c>
      <c r="AY43">
        <v>10</v>
      </c>
      <c r="AZ43">
        <v>10</v>
      </c>
      <c r="BA43">
        <v>12</v>
      </c>
      <c r="BB43">
        <v>16</v>
      </c>
      <c r="BC43">
        <v>16</v>
      </c>
      <c r="BD43">
        <v>79</v>
      </c>
      <c r="BE43">
        <v>115</v>
      </c>
      <c r="BF43">
        <v>171</v>
      </c>
      <c r="BG43">
        <v>205</v>
      </c>
      <c r="BH43">
        <v>225</v>
      </c>
    </row>
    <row r="44" spans="2:60" x14ac:dyDescent="0.3">
      <c r="B44" t="s">
        <v>117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1</v>
      </c>
      <c r="AP44">
        <v>1</v>
      </c>
      <c r="AQ44">
        <v>1</v>
      </c>
      <c r="AR44">
        <v>1</v>
      </c>
      <c r="AS44">
        <v>8</v>
      </c>
      <c r="AT44">
        <v>10</v>
      </c>
      <c r="AU44">
        <v>16</v>
      </c>
      <c r="AV44">
        <v>21</v>
      </c>
      <c r="AW44">
        <v>21</v>
      </c>
      <c r="AX44">
        <v>23</v>
      </c>
      <c r="AY44">
        <v>36</v>
      </c>
      <c r="AZ44">
        <v>36</v>
      </c>
      <c r="BA44">
        <v>51</v>
      </c>
      <c r="BB44">
        <v>62</v>
      </c>
      <c r="BC44">
        <v>69</v>
      </c>
      <c r="BD44">
        <v>80</v>
      </c>
      <c r="BE44">
        <v>80</v>
      </c>
      <c r="BF44">
        <v>101</v>
      </c>
      <c r="BG44">
        <v>109</v>
      </c>
      <c r="BH44">
        <v>109</v>
      </c>
    </row>
    <row r="45" spans="2:60" x14ac:dyDescent="0.3">
      <c r="B45" t="s">
        <v>118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6</v>
      </c>
      <c r="AV45">
        <v>6</v>
      </c>
      <c r="AW45">
        <v>6</v>
      </c>
      <c r="AX45">
        <v>6</v>
      </c>
      <c r="AY45">
        <v>6</v>
      </c>
      <c r="AZ45">
        <v>6</v>
      </c>
      <c r="BA45">
        <v>9</v>
      </c>
      <c r="BB45">
        <v>9</v>
      </c>
      <c r="BC45">
        <v>12</v>
      </c>
      <c r="BD45">
        <v>27</v>
      </c>
      <c r="BE45">
        <v>27</v>
      </c>
      <c r="BF45">
        <v>27</v>
      </c>
      <c r="BG45">
        <v>36</v>
      </c>
      <c r="BH45">
        <v>36</v>
      </c>
    </row>
    <row r="46" spans="2:60" x14ac:dyDescent="0.3">
      <c r="B46" t="s">
        <v>119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3</v>
      </c>
      <c r="AS46">
        <v>6</v>
      </c>
      <c r="AT46">
        <v>11</v>
      </c>
      <c r="AU46">
        <v>26</v>
      </c>
      <c r="AV46">
        <v>34</v>
      </c>
      <c r="AW46">
        <v>43</v>
      </c>
      <c r="AX46">
        <v>50</v>
      </c>
      <c r="AY46">
        <v>50</v>
      </c>
      <c r="AZ46">
        <v>58</v>
      </c>
      <c r="BA46">
        <v>69</v>
      </c>
      <c r="BB46">
        <v>85</v>
      </c>
      <c r="BC46">
        <v>103</v>
      </c>
      <c r="BD46">
        <v>134</v>
      </c>
      <c r="BE46">
        <v>156</v>
      </c>
      <c r="BF46">
        <v>171</v>
      </c>
      <c r="BG46">
        <v>180</v>
      </c>
      <c r="BH46">
        <v>220</v>
      </c>
    </row>
    <row r="47" spans="2:60" x14ac:dyDescent="0.3">
      <c r="B47" t="s">
        <v>120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W47">
        <v>1</v>
      </c>
      <c r="AX47">
        <v>1</v>
      </c>
      <c r="AY47">
        <v>1</v>
      </c>
      <c r="AZ47">
        <v>1</v>
      </c>
      <c r="BA47">
        <v>1</v>
      </c>
      <c r="BB47">
        <v>3</v>
      </c>
      <c r="BC47">
        <v>3</v>
      </c>
      <c r="BD47">
        <v>6</v>
      </c>
      <c r="BE47">
        <v>8</v>
      </c>
      <c r="BF47">
        <v>12</v>
      </c>
      <c r="BG47">
        <v>17</v>
      </c>
      <c r="BH47">
        <v>25</v>
      </c>
    </row>
    <row r="48" spans="2:60" x14ac:dyDescent="0.3">
      <c r="B48" t="s">
        <v>121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1</v>
      </c>
      <c r="AQ48">
        <v>4</v>
      </c>
      <c r="AR48">
        <v>5</v>
      </c>
      <c r="AS48">
        <v>5</v>
      </c>
      <c r="AT48">
        <v>5</v>
      </c>
      <c r="AU48">
        <v>5</v>
      </c>
      <c r="AV48">
        <v>5</v>
      </c>
      <c r="AW48">
        <v>6</v>
      </c>
      <c r="AX48">
        <v>6</v>
      </c>
      <c r="AY48">
        <v>7</v>
      </c>
      <c r="AZ48">
        <v>7</v>
      </c>
      <c r="BA48">
        <v>7</v>
      </c>
      <c r="BB48">
        <v>8</v>
      </c>
      <c r="BC48">
        <v>12</v>
      </c>
      <c r="BD48">
        <v>12</v>
      </c>
      <c r="BE48">
        <v>26</v>
      </c>
      <c r="BF48">
        <v>41</v>
      </c>
      <c r="BG48">
        <v>53</v>
      </c>
      <c r="BH48">
        <v>82</v>
      </c>
    </row>
    <row r="49" spans="1:60" x14ac:dyDescent="0.3">
      <c r="B49" t="s">
        <v>122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1</v>
      </c>
      <c r="AQ49">
        <v>1</v>
      </c>
      <c r="AR49">
        <v>1</v>
      </c>
      <c r="AS49">
        <v>1</v>
      </c>
      <c r="AT49">
        <v>1</v>
      </c>
      <c r="AU49">
        <v>3</v>
      </c>
      <c r="AV49">
        <v>3</v>
      </c>
      <c r="AW49">
        <v>4</v>
      </c>
      <c r="AX49">
        <v>5</v>
      </c>
      <c r="AY49">
        <v>5</v>
      </c>
      <c r="AZ49">
        <v>5</v>
      </c>
      <c r="BA49">
        <v>5</v>
      </c>
      <c r="BB49">
        <v>5</v>
      </c>
      <c r="BC49">
        <v>5</v>
      </c>
      <c r="BD49">
        <v>5</v>
      </c>
      <c r="BE49">
        <v>6</v>
      </c>
      <c r="BF49">
        <v>8</v>
      </c>
      <c r="BG49">
        <v>8</v>
      </c>
      <c r="BH49">
        <v>12</v>
      </c>
    </row>
    <row r="50" spans="1:60" x14ac:dyDescent="0.3">
      <c r="B50" t="s">
        <v>123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W50">
        <v>1</v>
      </c>
      <c r="AX50">
        <v>1</v>
      </c>
      <c r="AY50">
        <v>1</v>
      </c>
      <c r="AZ50">
        <v>2</v>
      </c>
      <c r="BA50">
        <v>2</v>
      </c>
      <c r="BB50">
        <v>2</v>
      </c>
      <c r="BC50">
        <v>2</v>
      </c>
      <c r="BD50">
        <v>2</v>
      </c>
      <c r="BE50">
        <v>2</v>
      </c>
      <c r="BF50">
        <v>2</v>
      </c>
      <c r="BG50">
        <v>2</v>
      </c>
      <c r="BH50">
        <v>3</v>
      </c>
    </row>
    <row r="51" spans="1:60" x14ac:dyDescent="0.3">
      <c r="A51" t="s">
        <v>124</v>
      </c>
      <c r="B51" t="s">
        <v>75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2</v>
      </c>
      <c r="AR51">
        <v>2</v>
      </c>
      <c r="AS51">
        <v>2</v>
      </c>
      <c r="AT51">
        <v>2</v>
      </c>
      <c r="AU51">
        <v>2</v>
      </c>
      <c r="AV51">
        <v>3</v>
      </c>
      <c r="AW51">
        <v>3</v>
      </c>
      <c r="AX51">
        <v>3</v>
      </c>
      <c r="AY51">
        <v>3</v>
      </c>
      <c r="AZ51">
        <v>4</v>
      </c>
      <c r="BA51">
        <v>6</v>
      </c>
      <c r="BB51">
        <v>9</v>
      </c>
      <c r="BC51">
        <v>9</v>
      </c>
      <c r="BD51">
        <v>14</v>
      </c>
      <c r="BE51">
        <v>17</v>
      </c>
      <c r="BF51">
        <v>17</v>
      </c>
      <c r="BG51">
        <v>28</v>
      </c>
      <c r="BH51">
        <v>31</v>
      </c>
    </row>
    <row r="52" spans="1:60" x14ac:dyDescent="0.3">
      <c r="B52" t="s">
        <v>125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1</v>
      </c>
      <c r="AR52">
        <v>1</v>
      </c>
      <c r="AS52">
        <v>1</v>
      </c>
      <c r="AT52">
        <v>2</v>
      </c>
      <c r="AU52">
        <v>6</v>
      </c>
      <c r="AV52">
        <v>6</v>
      </c>
      <c r="AW52">
        <v>18</v>
      </c>
      <c r="AX52">
        <v>18</v>
      </c>
      <c r="AY52">
        <v>19</v>
      </c>
      <c r="AZ52">
        <v>21</v>
      </c>
      <c r="BA52">
        <v>34</v>
      </c>
      <c r="BB52">
        <v>43</v>
      </c>
      <c r="BC52">
        <v>43</v>
      </c>
      <c r="BD52">
        <v>90</v>
      </c>
      <c r="BE52">
        <v>129</v>
      </c>
      <c r="BF52">
        <v>129</v>
      </c>
      <c r="BG52">
        <v>169</v>
      </c>
      <c r="BH52">
        <v>223</v>
      </c>
    </row>
    <row r="53" spans="1:60" x14ac:dyDescent="0.3">
      <c r="B53" t="s">
        <v>126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2</v>
      </c>
      <c r="AX53">
        <v>2</v>
      </c>
      <c r="AY53">
        <v>3</v>
      </c>
      <c r="AZ53">
        <v>3</v>
      </c>
      <c r="BA53">
        <v>5</v>
      </c>
      <c r="BB53">
        <v>7</v>
      </c>
      <c r="BC53">
        <v>19</v>
      </c>
      <c r="BD53">
        <v>34</v>
      </c>
      <c r="BE53">
        <v>51</v>
      </c>
      <c r="BF53">
        <v>59</v>
      </c>
      <c r="BG53">
        <v>77</v>
      </c>
      <c r="BH53">
        <v>140</v>
      </c>
    </row>
    <row r="54" spans="1:60" x14ac:dyDescent="0.3">
      <c r="B54" t="s">
        <v>127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2</v>
      </c>
      <c r="BD54">
        <v>2</v>
      </c>
      <c r="BE54">
        <v>2</v>
      </c>
      <c r="BF54">
        <v>2</v>
      </c>
      <c r="BG54">
        <v>7</v>
      </c>
      <c r="BH54">
        <v>7</v>
      </c>
    </row>
    <row r="55" spans="1:60" x14ac:dyDescent="0.3">
      <c r="B55" t="s">
        <v>128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1</v>
      </c>
      <c r="AR55">
        <v>3</v>
      </c>
      <c r="AS55">
        <v>3</v>
      </c>
      <c r="AT55">
        <v>7</v>
      </c>
      <c r="AU55">
        <v>8</v>
      </c>
      <c r="AV55">
        <v>8</v>
      </c>
      <c r="AW55">
        <v>8</v>
      </c>
      <c r="AX55">
        <v>8</v>
      </c>
      <c r="AY55">
        <v>15</v>
      </c>
      <c r="AZ55">
        <v>18</v>
      </c>
      <c r="BA55">
        <v>24</v>
      </c>
      <c r="BB55">
        <v>262</v>
      </c>
      <c r="BC55">
        <v>262</v>
      </c>
      <c r="BD55">
        <v>320</v>
      </c>
      <c r="BE55">
        <v>337</v>
      </c>
      <c r="BF55">
        <v>401</v>
      </c>
      <c r="BG55">
        <v>439</v>
      </c>
      <c r="BH55">
        <v>439</v>
      </c>
    </row>
    <row r="56" spans="1:60" x14ac:dyDescent="0.3">
      <c r="B56" t="s">
        <v>130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6</v>
      </c>
      <c r="AS56">
        <v>6</v>
      </c>
      <c r="AT56">
        <v>7</v>
      </c>
      <c r="AU56">
        <v>10</v>
      </c>
      <c r="AV56">
        <v>13</v>
      </c>
      <c r="AW56">
        <v>13</v>
      </c>
      <c r="AX56">
        <v>13</v>
      </c>
      <c r="AY56">
        <v>14</v>
      </c>
      <c r="AZ56">
        <v>15</v>
      </c>
      <c r="BA56">
        <v>15</v>
      </c>
      <c r="BB56">
        <v>17</v>
      </c>
      <c r="BC56">
        <v>17</v>
      </c>
      <c r="BD56">
        <v>17</v>
      </c>
      <c r="BE56">
        <v>28</v>
      </c>
      <c r="BF56">
        <v>28</v>
      </c>
      <c r="BG56">
        <v>37</v>
      </c>
      <c r="BH56">
        <v>58</v>
      </c>
    </row>
    <row r="57" spans="1:60" x14ac:dyDescent="0.3">
      <c r="B57" t="s">
        <v>131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3</v>
      </c>
      <c r="AS57">
        <v>3</v>
      </c>
      <c r="AT57">
        <v>3</v>
      </c>
      <c r="AU57">
        <v>3</v>
      </c>
      <c r="AV57">
        <v>6</v>
      </c>
      <c r="AW57">
        <v>6</v>
      </c>
      <c r="AX57">
        <v>9</v>
      </c>
      <c r="AY57">
        <v>9</v>
      </c>
      <c r="AZ57">
        <v>9</v>
      </c>
      <c r="BA57">
        <v>11</v>
      </c>
      <c r="BB57">
        <v>11</v>
      </c>
      <c r="BC57">
        <v>11</v>
      </c>
      <c r="BD57">
        <v>15</v>
      </c>
      <c r="BE57">
        <v>15</v>
      </c>
      <c r="BF57">
        <v>23</v>
      </c>
      <c r="BG57">
        <v>15</v>
      </c>
      <c r="BH57">
        <v>28</v>
      </c>
    </row>
    <row r="58" spans="1:60" x14ac:dyDescent="0.3">
      <c r="B58" t="s">
        <v>132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1</v>
      </c>
      <c r="AS58">
        <v>1</v>
      </c>
      <c r="AT58">
        <v>1</v>
      </c>
      <c r="AU58">
        <v>1</v>
      </c>
      <c r="AV58">
        <v>1</v>
      </c>
      <c r="AW58">
        <v>1</v>
      </c>
      <c r="AX58">
        <v>1</v>
      </c>
      <c r="AY58">
        <v>1</v>
      </c>
      <c r="AZ58">
        <v>1</v>
      </c>
      <c r="BA58">
        <v>1</v>
      </c>
      <c r="BB58">
        <v>1</v>
      </c>
      <c r="BC58">
        <v>4</v>
      </c>
      <c r="BD58">
        <v>8</v>
      </c>
      <c r="BE58">
        <v>18</v>
      </c>
      <c r="BF58">
        <v>26</v>
      </c>
      <c r="BG58">
        <v>52</v>
      </c>
      <c r="BH58">
        <v>78</v>
      </c>
    </row>
    <row r="59" spans="1:60" x14ac:dyDescent="0.3">
      <c r="B59" t="s">
        <v>133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1</v>
      </c>
      <c r="AS59">
        <v>1</v>
      </c>
      <c r="AT59">
        <v>1</v>
      </c>
      <c r="AU59">
        <v>1</v>
      </c>
      <c r="AV59">
        <v>1</v>
      </c>
      <c r="AW59">
        <v>2</v>
      </c>
      <c r="AX59">
        <v>2</v>
      </c>
      <c r="AY59">
        <v>5</v>
      </c>
      <c r="AZ59">
        <v>5</v>
      </c>
      <c r="BA59">
        <v>5</v>
      </c>
      <c r="BB59">
        <v>5</v>
      </c>
      <c r="BC59">
        <v>5</v>
      </c>
      <c r="BD59">
        <v>5</v>
      </c>
      <c r="BE59">
        <v>11</v>
      </c>
      <c r="BF59">
        <v>11</v>
      </c>
      <c r="BG59">
        <v>11</v>
      </c>
      <c r="BH59">
        <v>21</v>
      </c>
    </row>
    <row r="60" spans="1:60" x14ac:dyDescent="0.3">
      <c r="B60" t="s">
        <v>134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2</v>
      </c>
      <c r="AT60">
        <v>2</v>
      </c>
      <c r="AU60">
        <v>2</v>
      </c>
      <c r="AV60">
        <v>2</v>
      </c>
      <c r="AW60">
        <v>4</v>
      </c>
      <c r="AX60">
        <v>4</v>
      </c>
      <c r="AY60">
        <v>6</v>
      </c>
      <c r="AZ60">
        <v>19</v>
      </c>
      <c r="BA60">
        <v>27</v>
      </c>
      <c r="BB60">
        <v>34</v>
      </c>
      <c r="BC60">
        <v>34</v>
      </c>
      <c r="BD60">
        <v>69</v>
      </c>
      <c r="BE60">
        <v>96</v>
      </c>
      <c r="BF60">
        <v>117</v>
      </c>
      <c r="BG60">
        <v>134</v>
      </c>
      <c r="BH60">
        <v>172</v>
      </c>
    </row>
    <row r="61" spans="1:60" x14ac:dyDescent="0.3">
      <c r="B61" t="s">
        <v>135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2</v>
      </c>
      <c r="AT61">
        <v>2</v>
      </c>
      <c r="AU61">
        <v>5</v>
      </c>
      <c r="AV61">
        <v>8</v>
      </c>
      <c r="AW61">
        <v>13</v>
      </c>
      <c r="AX61">
        <v>20</v>
      </c>
      <c r="AY61">
        <v>30</v>
      </c>
      <c r="AZ61">
        <v>30</v>
      </c>
      <c r="BA61">
        <v>41</v>
      </c>
      <c r="BB61">
        <v>59</v>
      </c>
      <c r="BC61">
        <v>59</v>
      </c>
      <c r="BD61">
        <v>112</v>
      </c>
      <c r="BE61">
        <v>169</v>
      </c>
      <c r="BF61">
        <v>245</v>
      </c>
      <c r="BG61">
        <v>331</v>
      </c>
      <c r="BH61">
        <v>448</v>
      </c>
    </row>
    <row r="62" spans="1:60" x14ac:dyDescent="0.3">
      <c r="B62" t="s">
        <v>136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2</v>
      </c>
      <c r="BH62">
        <v>39</v>
      </c>
    </row>
    <row r="63" spans="1:60" x14ac:dyDescent="0.3">
      <c r="A63" t="s">
        <v>137</v>
      </c>
      <c r="B63" t="s">
        <v>75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2</v>
      </c>
      <c r="AZ63">
        <v>2</v>
      </c>
      <c r="BA63">
        <v>2</v>
      </c>
      <c r="BB63">
        <v>3</v>
      </c>
      <c r="BC63">
        <v>3</v>
      </c>
      <c r="BD63">
        <v>5</v>
      </c>
      <c r="BE63">
        <v>5</v>
      </c>
      <c r="BF63">
        <v>6</v>
      </c>
      <c r="BG63">
        <v>7</v>
      </c>
      <c r="BH63">
        <v>7</v>
      </c>
    </row>
    <row r="64" spans="1:60" x14ac:dyDescent="0.3">
      <c r="B64" t="s">
        <v>138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1</v>
      </c>
      <c r="AT64">
        <v>1</v>
      </c>
      <c r="AU64">
        <v>1</v>
      </c>
      <c r="AV64">
        <v>1</v>
      </c>
      <c r="AW64">
        <v>1</v>
      </c>
      <c r="AX64">
        <v>1</v>
      </c>
      <c r="AY64">
        <v>2</v>
      </c>
      <c r="AZ64">
        <v>6</v>
      </c>
      <c r="BA64">
        <v>8</v>
      </c>
      <c r="BB64">
        <v>10</v>
      </c>
      <c r="BC64">
        <v>10</v>
      </c>
      <c r="BD64">
        <v>17</v>
      </c>
      <c r="BE64">
        <v>26</v>
      </c>
      <c r="BF64">
        <v>30</v>
      </c>
      <c r="BG64">
        <v>34</v>
      </c>
      <c r="BH64">
        <v>49</v>
      </c>
    </row>
    <row r="65" spans="1:60" x14ac:dyDescent="0.3">
      <c r="B65" t="s">
        <v>139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1</v>
      </c>
      <c r="AT65">
        <v>1</v>
      </c>
      <c r="AU65">
        <v>1</v>
      </c>
      <c r="AV65">
        <v>2</v>
      </c>
      <c r="AW65">
        <v>2</v>
      </c>
      <c r="AX65">
        <v>2</v>
      </c>
      <c r="AY65">
        <v>2</v>
      </c>
      <c r="AZ65">
        <v>2</v>
      </c>
      <c r="BA65">
        <v>3</v>
      </c>
      <c r="BB65">
        <v>5</v>
      </c>
      <c r="BC65">
        <v>6</v>
      </c>
      <c r="BD65">
        <v>7</v>
      </c>
      <c r="BE65">
        <v>17</v>
      </c>
      <c r="BF65">
        <v>28</v>
      </c>
      <c r="BG65">
        <v>29</v>
      </c>
      <c r="BH65">
        <v>38</v>
      </c>
    </row>
    <row r="66" spans="1:60" x14ac:dyDescent="0.3">
      <c r="B66" t="s">
        <v>140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1</v>
      </c>
      <c r="AT66">
        <v>1</v>
      </c>
      <c r="AU66">
        <v>1</v>
      </c>
      <c r="AV66">
        <v>5</v>
      </c>
      <c r="AW66">
        <v>5</v>
      </c>
      <c r="AX66">
        <v>5</v>
      </c>
      <c r="AY66">
        <v>11</v>
      </c>
      <c r="AZ66">
        <v>15</v>
      </c>
      <c r="BA66">
        <v>20</v>
      </c>
      <c r="BB66">
        <v>21</v>
      </c>
      <c r="BC66">
        <v>45</v>
      </c>
      <c r="BD66">
        <v>86</v>
      </c>
      <c r="BE66">
        <v>103</v>
      </c>
      <c r="BF66">
        <v>103</v>
      </c>
      <c r="BG66">
        <v>118</v>
      </c>
      <c r="BH66">
        <v>171</v>
      </c>
    </row>
    <row r="67" spans="1:60" x14ac:dyDescent="0.3">
      <c r="B67" t="s">
        <v>141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1</v>
      </c>
      <c r="AT67">
        <v>2</v>
      </c>
      <c r="AU67">
        <v>4</v>
      </c>
      <c r="AV67">
        <v>4</v>
      </c>
      <c r="AW67">
        <v>4</v>
      </c>
      <c r="AX67">
        <v>4</v>
      </c>
      <c r="AY67">
        <v>4</v>
      </c>
      <c r="AZ67">
        <v>4</v>
      </c>
      <c r="BA67">
        <v>4</v>
      </c>
      <c r="BB67">
        <v>4</v>
      </c>
      <c r="BC67">
        <v>4</v>
      </c>
      <c r="BD67">
        <v>10</v>
      </c>
      <c r="BE67">
        <v>10</v>
      </c>
      <c r="BF67">
        <v>24</v>
      </c>
      <c r="BG67">
        <v>24</v>
      </c>
      <c r="BH67">
        <v>26</v>
      </c>
    </row>
    <row r="68" spans="1:60" x14ac:dyDescent="0.3">
      <c r="B68" t="s">
        <v>150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1</v>
      </c>
      <c r="AU68">
        <v>1</v>
      </c>
      <c r="AV68">
        <v>1</v>
      </c>
      <c r="AW68">
        <v>2</v>
      </c>
      <c r="AX68">
        <v>8</v>
      </c>
      <c r="AY68">
        <v>12</v>
      </c>
      <c r="AZ68">
        <v>12</v>
      </c>
      <c r="BA68">
        <v>17</v>
      </c>
      <c r="BB68">
        <v>19</v>
      </c>
      <c r="BC68">
        <v>19</v>
      </c>
      <c r="BD68">
        <v>31</v>
      </c>
      <c r="BE68">
        <v>34</v>
      </c>
      <c r="BF68">
        <v>45</v>
      </c>
      <c r="BG68">
        <v>56</v>
      </c>
      <c r="BH68">
        <v>68</v>
      </c>
    </row>
    <row r="69" spans="1:60" x14ac:dyDescent="0.3">
      <c r="B69" t="s">
        <v>151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1</v>
      </c>
      <c r="AU69">
        <v>1</v>
      </c>
      <c r="AV69">
        <v>4</v>
      </c>
      <c r="AW69">
        <v>4</v>
      </c>
      <c r="AX69">
        <v>4</v>
      </c>
      <c r="AY69">
        <v>8</v>
      </c>
      <c r="AZ69">
        <v>8</v>
      </c>
      <c r="BA69">
        <v>13</v>
      </c>
      <c r="BB69">
        <v>23</v>
      </c>
      <c r="BC69">
        <v>23</v>
      </c>
      <c r="BD69">
        <v>43</v>
      </c>
      <c r="BE69">
        <v>61</v>
      </c>
      <c r="BF69">
        <v>74</v>
      </c>
      <c r="BG69">
        <v>155</v>
      </c>
      <c r="BH69">
        <v>201</v>
      </c>
    </row>
    <row r="70" spans="1:60" x14ac:dyDescent="0.3">
      <c r="B70" t="s">
        <v>152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8</v>
      </c>
      <c r="BG70">
        <v>17</v>
      </c>
      <c r="BH70">
        <v>34</v>
      </c>
    </row>
    <row r="71" spans="1:60" x14ac:dyDescent="0.3">
      <c r="B71" t="s">
        <v>156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3</v>
      </c>
      <c r="BE71">
        <v>3</v>
      </c>
      <c r="BF71">
        <v>3</v>
      </c>
      <c r="BG71">
        <v>7</v>
      </c>
      <c r="BH71">
        <v>14</v>
      </c>
    </row>
    <row r="72" spans="1:60" x14ac:dyDescent="0.3">
      <c r="B72" t="s">
        <v>159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2</v>
      </c>
      <c r="AV72">
        <v>2</v>
      </c>
      <c r="AW72">
        <v>2</v>
      </c>
      <c r="AX72">
        <v>4</v>
      </c>
      <c r="AY72">
        <v>7</v>
      </c>
      <c r="AZ72">
        <v>9</v>
      </c>
      <c r="BA72">
        <v>9</v>
      </c>
      <c r="BB72">
        <v>13</v>
      </c>
      <c r="BC72">
        <v>13</v>
      </c>
      <c r="BD72">
        <v>19</v>
      </c>
      <c r="BE72">
        <v>30</v>
      </c>
      <c r="BF72">
        <v>32</v>
      </c>
      <c r="BG72">
        <v>39</v>
      </c>
      <c r="BH72">
        <v>50</v>
      </c>
    </row>
    <row r="73" spans="1:60" x14ac:dyDescent="0.3">
      <c r="A73" t="s">
        <v>160</v>
      </c>
      <c r="B73" t="s">
        <v>75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1</v>
      </c>
      <c r="AV73">
        <v>1</v>
      </c>
      <c r="AW73">
        <v>0</v>
      </c>
      <c r="AX73">
        <v>0</v>
      </c>
      <c r="AY73">
        <v>0</v>
      </c>
      <c r="AZ73">
        <v>0</v>
      </c>
      <c r="BA73">
        <v>1</v>
      </c>
      <c r="BB73">
        <v>1</v>
      </c>
      <c r="BC73">
        <v>1</v>
      </c>
      <c r="BD73">
        <v>1</v>
      </c>
      <c r="BE73">
        <v>1</v>
      </c>
      <c r="BF73">
        <v>1</v>
      </c>
      <c r="BG73">
        <v>1</v>
      </c>
      <c r="BH73">
        <v>1</v>
      </c>
    </row>
    <row r="74" spans="1:60" x14ac:dyDescent="0.3">
      <c r="B74" t="s">
        <v>163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1</v>
      </c>
      <c r="BD74">
        <v>1</v>
      </c>
      <c r="BE74">
        <v>4</v>
      </c>
      <c r="BF74">
        <v>4</v>
      </c>
      <c r="BG74">
        <v>4</v>
      </c>
      <c r="BH74">
        <v>7</v>
      </c>
    </row>
    <row r="75" spans="1:60" x14ac:dyDescent="0.3">
      <c r="B75" t="s">
        <v>164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1</v>
      </c>
      <c r="AV75">
        <v>1</v>
      </c>
      <c r="AW75">
        <v>5</v>
      </c>
      <c r="AX75">
        <v>5</v>
      </c>
      <c r="AY75">
        <v>11</v>
      </c>
      <c r="AZ75">
        <v>16</v>
      </c>
      <c r="BA75">
        <v>22</v>
      </c>
      <c r="BB75">
        <v>31</v>
      </c>
      <c r="BC75">
        <v>49</v>
      </c>
      <c r="BD75">
        <v>68</v>
      </c>
      <c r="BE75">
        <v>103</v>
      </c>
      <c r="BF75">
        <v>119</v>
      </c>
      <c r="BG75">
        <v>177</v>
      </c>
      <c r="BH75">
        <v>238</v>
      </c>
    </row>
    <row r="76" spans="1:60" x14ac:dyDescent="0.3">
      <c r="B76" t="s">
        <v>165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1</v>
      </c>
      <c r="AV76">
        <v>1</v>
      </c>
      <c r="AW76">
        <v>1</v>
      </c>
      <c r="AX76">
        <v>1</v>
      </c>
      <c r="AY76">
        <v>2</v>
      </c>
      <c r="AZ76">
        <v>2</v>
      </c>
      <c r="BA76">
        <v>5</v>
      </c>
      <c r="BB76">
        <v>7</v>
      </c>
      <c r="BC76">
        <v>7</v>
      </c>
      <c r="BD76">
        <v>16</v>
      </c>
      <c r="BE76">
        <v>18</v>
      </c>
      <c r="BF76">
        <v>18</v>
      </c>
      <c r="BG76">
        <v>20</v>
      </c>
      <c r="BH76">
        <v>24</v>
      </c>
    </row>
    <row r="77" spans="1:60" x14ac:dyDescent="0.3">
      <c r="B77" t="s">
        <v>167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2</v>
      </c>
      <c r="AW77">
        <v>2</v>
      </c>
      <c r="AX77">
        <v>3</v>
      </c>
      <c r="AY77">
        <v>3</v>
      </c>
      <c r="AZ77">
        <v>3</v>
      </c>
      <c r="BA77">
        <v>5</v>
      </c>
      <c r="BB77">
        <v>7</v>
      </c>
      <c r="BC77">
        <v>11</v>
      </c>
      <c r="BD77">
        <v>13</v>
      </c>
      <c r="BE77">
        <v>18</v>
      </c>
      <c r="BF77">
        <v>24</v>
      </c>
      <c r="BG77">
        <v>25</v>
      </c>
      <c r="BH77">
        <v>26</v>
      </c>
    </row>
    <row r="78" spans="1:60" x14ac:dyDescent="0.3">
      <c r="B78" t="s">
        <v>168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2</v>
      </c>
      <c r="AW78">
        <v>7</v>
      </c>
      <c r="AX78">
        <v>7</v>
      </c>
      <c r="AY78">
        <v>16</v>
      </c>
      <c r="AZ78">
        <v>16</v>
      </c>
      <c r="BA78">
        <v>31</v>
      </c>
      <c r="BB78">
        <v>57</v>
      </c>
      <c r="BC78">
        <v>89</v>
      </c>
      <c r="BD78">
        <v>141</v>
      </c>
      <c r="BE78">
        <v>181</v>
      </c>
      <c r="BF78">
        <v>219</v>
      </c>
      <c r="BG78">
        <v>253</v>
      </c>
      <c r="BH78">
        <v>275</v>
      </c>
    </row>
    <row r="79" spans="1:60" x14ac:dyDescent="0.3">
      <c r="B79" t="s">
        <v>172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1</v>
      </c>
      <c r="AW79">
        <v>1</v>
      </c>
      <c r="AX79">
        <v>1</v>
      </c>
      <c r="AY79">
        <v>3</v>
      </c>
      <c r="AZ79">
        <v>3</v>
      </c>
      <c r="BA79">
        <v>7</v>
      </c>
      <c r="BB79">
        <v>13</v>
      </c>
      <c r="BC79">
        <v>17</v>
      </c>
      <c r="BD79">
        <v>24</v>
      </c>
      <c r="BE79">
        <v>38</v>
      </c>
      <c r="BF79">
        <v>51</v>
      </c>
      <c r="BG79">
        <v>62</v>
      </c>
      <c r="BH79">
        <v>62</v>
      </c>
    </row>
    <row r="80" spans="1:60" x14ac:dyDescent="0.3">
      <c r="B80" t="s">
        <v>183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</row>
    <row r="81" spans="1:60" x14ac:dyDescent="0.3">
      <c r="B81" t="s">
        <v>184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1</v>
      </c>
      <c r="AX81">
        <v>1</v>
      </c>
      <c r="AY81">
        <v>2</v>
      </c>
      <c r="AZ81">
        <v>2</v>
      </c>
      <c r="BA81">
        <v>2</v>
      </c>
      <c r="BB81">
        <v>2</v>
      </c>
      <c r="BC81">
        <v>2</v>
      </c>
      <c r="BD81">
        <v>2</v>
      </c>
      <c r="BE81">
        <v>2</v>
      </c>
      <c r="BF81">
        <v>2</v>
      </c>
      <c r="BG81">
        <v>4</v>
      </c>
      <c r="BH81">
        <v>10</v>
      </c>
    </row>
    <row r="82" spans="1:60" x14ac:dyDescent="0.3">
      <c r="B82" t="s">
        <v>185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1</v>
      </c>
      <c r="AX82">
        <v>1</v>
      </c>
      <c r="AY82">
        <v>1</v>
      </c>
      <c r="AZ82">
        <v>1</v>
      </c>
      <c r="BA82">
        <v>3</v>
      </c>
      <c r="BB82">
        <v>9</v>
      </c>
      <c r="BC82">
        <v>9</v>
      </c>
      <c r="BD82">
        <v>13</v>
      </c>
      <c r="BE82">
        <v>22</v>
      </c>
      <c r="BF82">
        <v>34</v>
      </c>
      <c r="BG82">
        <v>54</v>
      </c>
      <c r="BH82">
        <v>65</v>
      </c>
    </row>
    <row r="83" spans="1:60" x14ac:dyDescent="0.3">
      <c r="B83" t="s">
        <v>186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1</v>
      </c>
      <c r="AX83">
        <v>1</v>
      </c>
      <c r="AY83">
        <v>5</v>
      </c>
      <c r="AZ83">
        <v>9</v>
      </c>
      <c r="BA83">
        <v>9</v>
      </c>
      <c r="BB83">
        <v>13</v>
      </c>
      <c r="BC83">
        <v>22</v>
      </c>
      <c r="BD83">
        <v>23</v>
      </c>
      <c r="BE83">
        <v>26</v>
      </c>
      <c r="BF83">
        <v>27</v>
      </c>
      <c r="BG83">
        <v>35</v>
      </c>
      <c r="BH83">
        <v>41</v>
      </c>
    </row>
    <row r="84" spans="1:60" x14ac:dyDescent="0.3">
      <c r="B84" t="s">
        <v>187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6</v>
      </c>
      <c r="AZ84">
        <v>7</v>
      </c>
      <c r="BA84">
        <v>11</v>
      </c>
      <c r="BB84">
        <v>11</v>
      </c>
      <c r="BC84">
        <v>15</v>
      </c>
      <c r="BD84">
        <v>28</v>
      </c>
      <c r="BE84">
        <v>38</v>
      </c>
      <c r="BF84">
        <v>43</v>
      </c>
      <c r="BG84">
        <v>86</v>
      </c>
      <c r="BH84">
        <v>117</v>
      </c>
    </row>
    <row r="85" spans="1:60" x14ac:dyDescent="0.3">
      <c r="B85" t="s">
        <v>188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1</v>
      </c>
      <c r="AX85">
        <v>1</v>
      </c>
      <c r="AY85">
        <v>1</v>
      </c>
      <c r="AZ85">
        <v>1</v>
      </c>
      <c r="BA85">
        <v>5</v>
      </c>
      <c r="BB85">
        <v>12</v>
      </c>
      <c r="BC85">
        <v>19</v>
      </c>
      <c r="BD85">
        <v>35</v>
      </c>
      <c r="BE85">
        <v>46</v>
      </c>
      <c r="BF85">
        <v>48</v>
      </c>
      <c r="BG85">
        <v>55</v>
      </c>
      <c r="BH85">
        <v>65</v>
      </c>
    </row>
    <row r="86" spans="1:60" x14ac:dyDescent="0.3">
      <c r="B86" t="s">
        <v>189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1</v>
      </c>
      <c r="AX86">
        <v>1</v>
      </c>
      <c r="AY86">
        <v>3</v>
      </c>
      <c r="AZ86">
        <v>3</v>
      </c>
      <c r="BA86">
        <v>7</v>
      </c>
      <c r="BB86">
        <v>10</v>
      </c>
      <c r="BC86">
        <v>16</v>
      </c>
      <c r="BD86">
        <v>32</v>
      </c>
      <c r="BE86">
        <v>44</v>
      </c>
      <c r="BF86">
        <v>54</v>
      </c>
      <c r="BG86">
        <v>63</v>
      </c>
      <c r="BH86">
        <v>72</v>
      </c>
    </row>
    <row r="87" spans="1:60" x14ac:dyDescent="0.3">
      <c r="B87" t="s">
        <v>190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</row>
    <row r="88" spans="1:60" x14ac:dyDescent="0.3">
      <c r="B88" t="s">
        <v>204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3</v>
      </c>
      <c r="AY88">
        <v>3</v>
      </c>
      <c r="AZ88">
        <v>3</v>
      </c>
      <c r="BA88">
        <v>5</v>
      </c>
      <c r="BB88">
        <v>6</v>
      </c>
      <c r="BC88">
        <v>6</v>
      </c>
      <c r="BD88">
        <v>12</v>
      </c>
      <c r="BE88">
        <v>18</v>
      </c>
      <c r="BF88">
        <v>21</v>
      </c>
      <c r="BG88">
        <v>30</v>
      </c>
      <c r="BH88">
        <v>38</v>
      </c>
    </row>
    <row r="89" spans="1:60" x14ac:dyDescent="0.3">
      <c r="B89" t="s">
        <v>207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2</v>
      </c>
      <c r="AY89">
        <v>2</v>
      </c>
      <c r="AZ89">
        <v>2</v>
      </c>
      <c r="BA89">
        <v>2</v>
      </c>
      <c r="BB89">
        <v>3</v>
      </c>
      <c r="BC89">
        <v>3</v>
      </c>
      <c r="BD89">
        <v>3</v>
      </c>
      <c r="BE89">
        <v>9</v>
      </c>
      <c r="BF89">
        <v>9</v>
      </c>
      <c r="BG89">
        <v>15</v>
      </c>
      <c r="BH89">
        <v>16</v>
      </c>
    </row>
    <row r="90" spans="1:60" x14ac:dyDescent="0.3">
      <c r="B90" t="s">
        <v>226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4</v>
      </c>
      <c r="AZ90">
        <v>4</v>
      </c>
      <c r="BA90">
        <v>4</v>
      </c>
      <c r="BB90">
        <v>7</v>
      </c>
      <c r="BC90">
        <v>7</v>
      </c>
      <c r="BD90">
        <v>23</v>
      </c>
      <c r="BE90">
        <v>41</v>
      </c>
      <c r="BF90">
        <v>51</v>
      </c>
      <c r="BG90">
        <v>52</v>
      </c>
      <c r="BH90">
        <v>67</v>
      </c>
    </row>
    <row r="91" spans="1:60" x14ac:dyDescent="0.3">
      <c r="B91" t="s">
        <v>227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4</v>
      </c>
      <c r="AZ91">
        <v>4</v>
      </c>
      <c r="BA91">
        <v>6</v>
      </c>
      <c r="BB91">
        <v>8</v>
      </c>
      <c r="BC91">
        <v>8</v>
      </c>
      <c r="BD91">
        <v>9</v>
      </c>
      <c r="BE91">
        <v>10</v>
      </c>
      <c r="BF91">
        <v>13</v>
      </c>
      <c r="BG91">
        <v>13</v>
      </c>
      <c r="BH91">
        <v>13</v>
      </c>
    </row>
    <row r="92" spans="1:60" x14ac:dyDescent="0.3">
      <c r="B92" t="s">
        <v>229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3</v>
      </c>
      <c r="AZ92">
        <v>3</v>
      </c>
      <c r="BA92">
        <v>3</v>
      </c>
      <c r="BB92">
        <v>3</v>
      </c>
      <c r="BC92">
        <v>3</v>
      </c>
      <c r="BD92">
        <v>3</v>
      </c>
      <c r="BE92">
        <v>3</v>
      </c>
      <c r="BF92">
        <v>5</v>
      </c>
      <c r="BG92">
        <v>8</v>
      </c>
      <c r="BH92">
        <v>10</v>
      </c>
    </row>
    <row r="93" spans="1:60" x14ac:dyDescent="0.3">
      <c r="B93" t="s">
        <v>233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1</v>
      </c>
      <c r="AZ93">
        <v>1</v>
      </c>
      <c r="BA93">
        <v>1</v>
      </c>
      <c r="BB93">
        <v>5</v>
      </c>
      <c r="BC93">
        <v>5</v>
      </c>
      <c r="BD93">
        <v>6</v>
      </c>
      <c r="BE93">
        <v>6</v>
      </c>
      <c r="BF93">
        <v>6</v>
      </c>
      <c r="BG93">
        <v>8</v>
      </c>
      <c r="BH93">
        <v>9</v>
      </c>
    </row>
    <row r="94" spans="1:60" x14ac:dyDescent="0.3">
      <c r="A94" t="s">
        <v>253</v>
      </c>
      <c r="B94" t="s">
        <v>72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1</v>
      </c>
      <c r="J94">
        <v>1</v>
      </c>
      <c r="K94">
        <v>1</v>
      </c>
      <c r="L94">
        <v>1</v>
      </c>
      <c r="M94">
        <v>1</v>
      </c>
      <c r="N94">
        <v>3</v>
      </c>
      <c r="O94">
        <v>3</v>
      </c>
      <c r="P94">
        <v>3</v>
      </c>
      <c r="Q94">
        <v>3</v>
      </c>
      <c r="R94">
        <v>3</v>
      </c>
      <c r="S94">
        <v>3</v>
      </c>
      <c r="T94">
        <v>3</v>
      </c>
      <c r="U94">
        <v>3</v>
      </c>
      <c r="V94">
        <v>3</v>
      </c>
      <c r="W94">
        <v>3</v>
      </c>
      <c r="X94">
        <v>3</v>
      </c>
      <c r="Y94">
        <v>3</v>
      </c>
      <c r="Z94">
        <v>3</v>
      </c>
      <c r="AA94">
        <v>3</v>
      </c>
      <c r="AB94">
        <v>3</v>
      </c>
      <c r="AC94">
        <v>3</v>
      </c>
      <c r="AD94">
        <v>3</v>
      </c>
      <c r="AE94">
        <v>3</v>
      </c>
      <c r="AF94">
        <v>3</v>
      </c>
      <c r="AG94">
        <v>3</v>
      </c>
      <c r="AH94">
        <v>3</v>
      </c>
      <c r="AI94">
        <v>3</v>
      </c>
      <c r="AJ94">
        <v>3</v>
      </c>
      <c r="AK94">
        <v>3</v>
      </c>
      <c r="AL94">
        <v>4</v>
      </c>
      <c r="AM94">
        <v>4</v>
      </c>
      <c r="AN94">
        <v>4</v>
      </c>
      <c r="AO94">
        <v>6</v>
      </c>
      <c r="AP94">
        <v>6</v>
      </c>
      <c r="AQ94">
        <v>11</v>
      </c>
      <c r="AR94">
        <v>15</v>
      </c>
      <c r="AS94">
        <v>18</v>
      </c>
      <c r="AT94">
        <v>20</v>
      </c>
      <c r="AU94">
        <v>20</v>
      </c>
      <c r="AV94">
        <v>22</v>
      </c>
      <c r="AW94">
        <v>25</v>
      </c>
      <c r="AX94">
        <v>28</v>
      </c>
      <c r="AY94">
        <v>29</v>
      </c>
      <c r="AZ94">
        <v>34</v>
      </c>
      <c r="BA94">
        <v>36</v>
      </c>
      <c r="BB94">
        <v>41</v>
      </c>
      <c r="BC94">
        <v>42</v>
      </c>
      <c r="BD94">
        <v>74</v>
      </c>
      <c r="BE94">
        <v>79</v>
      </c>
      <c r="BF94">
        <v>104</v>
      </c>
      <c r="BG94">
        <v>177</v>
      </c>
      <c r="BH94">
        <v>185</v>
      </c>
    </row>
    <row r="95" spans="1:60" x14ac:dyDescent="0.3">
      <c r="A95" t="s">
        <v>254</v>
      </c>
      <c r="B95" t="s">
        <v>72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1</v>
      </c>
      <c r="AX95">
        <v>2</v>
      </c>
      <c r="AY95">
        <v>4</v>
      </c>
      <c r="AZ95">
        <v>7</v>
      </c>
      <c r="BA95">
        <v>7</v>
      </c>
      <c r="BB95">
        <v>19</v>
      </c>
      <c r="BC95">
        <v>19</v>
      </c>
      <c r="BD95">
        <v>29</v>
      </c>
      <c r="BE95">
        <v>29</v>
      </c>
      <c r="BF95">
        <v>39</v>
      </c>
      <c r="BG95">
        <v>56</v>
      </c>
      <c r="BH95">
        <v>74</v>
      </c>
    </row>
    <row r="96" spans="1:60" x14ac:dyDescent="0.3">
      <c r="A96" t="s">
        <v>255</v>
      </c>
      <c r="B96" t="s">
        <v>72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1</v>
      </c>
      <c r="AQ96">
        <v>1</v>
      </c>
      <c r="AR96">
        <v>1</v>
      </c>
      <c r="AS96">
        <v>1</v>
      </c>
      <c r="AT96">
        <v>1</v>
      </c>
      <c r="AU96">
        <v>1</v>
      </c>
      <c r="AV96">
        <v>2</v>
      </c>
      <c r="AW96">
        <v>2</v>
      </c>
      <c r="AX96">
        <v>3</v>
      </c>
      <c r="AY96">
        <v>4</v>
      </c>
      <c r="AZ96">
        <v>4</v>
      </c>
      <c r="BA96">
        <v>4</v>
      </c>
      <c r="BB96">
        <v>8</v>
      </c>
      <c r="BC96">
        <v>9</v>
      </c>
      <c r="BD96">
        <v>17</v>
      </c>
      <c r="BE96">
        <v>17</v>
      </c>
      <c r="BF96">
        <v>24</v>
      </c>
      <c r="BG96">
        <v>50</v>
      </c>
      <c r="BH96">
        <v>74</v>
      </c>
    </row>
    <row r="97" spans="1:60" x14ac:dyDescent="0.3">
      <c r="B97" t="s">
        <v>257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2</v>
      </c>
      <c r="BA97">
        <v>10</v>
      </c>
      <c r="BB97">
        <v>12</v>
      </c>
      <c r="BC97">
        <v>23</v>
      </c>
      <c r="BD97">
        <v>33</v>
      </c>
      <c r="BE97">
        <v>38</v>
      </c>
      <c r="BF97">
        <v>42</v>
      </c>
      <c r="BG97">
        <v>51</v>
      </c>
      <c r="BH97">
        <v>55</v>
      </c>
    </row>
    <row r="98" spans="1:60" x14ac:dyDescent="0.3">
      <c r="B98" t="s">
        <v>258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2</v>
      </c>
      <c r="BA98">
        <v>3</v>
      </c>
      <c r="BB98">
        <v>6</v>
      </c>
      <c r="BC98">
        <v>6</v>
      </c>
      <c r="BD98">
        <v>14</v>
      </c>
      <c r="BE98">
        <v>26</v>
      </c>
      <c r="BF98">
        <v>26</v>
      </c>
      <c r="BG98">
        <v>33</v>
      </c>
      <c r="BH98">
        <v>46</v>
      </c>
    </row>
    <row r="99" spans="1:60" x14ac:dyDescent="0.3">
      <c r="B99" t="s">
        <v>260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1</v>
      </c>
      <c r="BA99">
        <v>1</v>
      </c>
      <c r="BB99">
        <v>11</v>
      </c>
      <c r="BC99">
        <v>11</v>
      </c>
      <c r="BD99">
        <v>37</v>
      </c>
      <c r="BE99">
        <v>40</v>
      </c>
      <c r="BF99">
        <v>50</v>
      </c>
      <c r="BG99">
        <v>54</v>
      </c>
      <c r="BH99">
        <v>56</v>
      </c>
    </row>
    <row r="100" spans="1:60" x14ac:dyDescent="0.3">
      <c r="A100" t="s">
        <v>270</v>
      </c>
      <c r="B100" t="s">
        <v>65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267</v>
      </c>
      <c r="BB100">
        <v>366</v>
      </c>
      <c r="BC100">
        <v>442</v>
      </c>
      <c r="BD100">
        <v>568</v>
      </c>
      <c r="BE100">
        <v>572</v>
      </c>
      <c r="BF100">
        <v>643</v>
      </c>
      <c r="BG100">
        <v>904</v>
      </c>
      <c r="BH100">
        <v>1076</v>
      </c>
    </row>
    <row r="101" spans="1:60" x14ac:dyDescent="0.3">
      <c r="A101" t="s">
        <v>271</v>
      </c>
      <c r="B101" t="s">
        <v>65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173</v>
      </c>
      <c r="BB101">
        <v>220</v>
      </c>
      <c r="BC101">
        <v>328</v>
      </c>
      <c r="BD101">
        <v>421</v>
      </c>
      <c r="BE101">
        <v>525</v>
      </c>
      <c r="BF101">
        <v>732</v>
      </c>
      <c r="BG101">
        <v>967</v>
      </c>
      <c r="BH101">
        <v>1706</v>
      </c>
    </row>
    <row r="102" spans="1:60" x14ac:dyDescent="0.3">
      <c r="A102" t="s">
        <v>272</v>
      </c>
      <c r="B102" t="s">
        <v>65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144</v>
      </c>
      <c r="BB102">
        <v>177</v>
      </c>
      <c r="BC102">
        <v>221</v>
      </c>
      <c r="BD102">
        <v>282</v>
      </c>
      <c r="BE102">
        <v>340</v>
      </c>
      <c r="BF102">
        <v>426</v>
      </c>
      <c r="BG102">
        <v>557</v>
      </c>
      <c r="BH102">
        <v>698</v>
      </c>
    </row>
    <row r="103" spans="1:60" x14ac:dyDescent="0.3">
      <c r="A103" t="s">
        <v>274</v>
      </c>
      <c r="B103" t="s">
        <v>65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92</v>
      </c>
      <c r="BB103">
        <v>95</v>
      </c>
      <c r="BC103">
        <v>108</v>
      </c>
      <c r="BD103">
        <v>123</v>
      </c>
      <c r="BE103">
        <v>138</v>
      </c>
      <c r="BF103">
        <v>164</v>
      </c>
      <c r="BG103">
        <v>197</v>
      </c>
      <c r="BH103">
        <v>218</v>
      </c>
    </row>
    <row r="104" spans="1:60" x14ac:dyDescent="0.3">
      <c r="A104" t="s">
        <v>275</v>
      </c>
      <c r="B104" t="s">
        <v>65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36</v>
      </c>
      <c r="AM104">
        <v>36</v>
      </c>
      <c r="AN104">
        <v>42</v>
      </c>
      <c r="AO104">
        <v>42</v>
      </c>
      <c r="AP104">
        <v>44</v>
      </c>
      <c r="AQ104">
        <v>44</v>
      </c>
      <c r="AR104">
        <v>44</v>
      </c>
      <c r="AS104">
        <v>45</v>
      </c>
      <c r="AT104">
        <v>45</v>
      </c>
      <c r="AU104">
        <v>45</v>
      </c>
      <c r="AV104">
        <v>45</v>
      </c>
      <c r="AW104">
        <v>45</v>
      </c>
      <c r="AX104">
        <v>45</v>
      </c>
      <c r="AY104">
        <v>45</v>
      </c>
      <c r="AZ104">
        <v>45</v>
      </c>
      <c r="BA104">
        <v>46</v>
      </c>
      <c r="BB104">
        <v>46</v>
      </c>
      <c r="BC104">
        <v>46</v>
      </c>
      <c r="BD104">
        <v>46</v>
      </c>
      <c r="BE104">
        <v>46</v>
      </c>
      <c r="BF104">
        <v>46</v>
      </c>
      <c r="BG104">
        <v>47</v>
      </c>
      <c r="BH104">
        <v>47</v>
      </c>
    </row>
    <row r="105" spans="1:60" x14ac:dyDescent="0.3">
      <c r="A105" t="s">
        <v>276</v>
      </c>
      <c r="B105" t="s">
        <v>65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21</v>
      </c>
      <c r="AY105">
        <v>21</v>
      </c>
      <c r="AZ105">
        <v>21</v>
      </c>
      <c r="BA105">
        <v>21</v>
      </c>
      <c r="BB105">
        <v>21</v>
      </c>
      <c r="BC105">
        <v>21</v>
      </c>
      <c r="BD105">
        <v>21</v>
      </c>
      <c r="BE105">
        <v>21</v>
      </c>
      <c r="BF105">
        <v>21</v>
      </c>
      <c r="BG105">
        <v>20</v>
      </c>
      <c r="BH105">
        <v>21</v>
      </c>
    </row>
    <row r="106" spans="1:60" x14ac:dyDescent="0.3">
      <c r="A106" t="s">
        <v>109</v>
      </c>
      <c r="B106" t="s">
        <v>65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17</v>
      </c>
      <c r="BB106">
        <v>23</v>
      </c>
      <c r="BC106">
        <v>31</v>
      </c>
      <c r="BD106">
        <v>42</v>
      </c>
      <c r="BE106">
        <v>66</v>
      </c>
      <c r="BF106">
        <v>99</v>
      </c>
      <c r="BG106">
        <v>121</v>
      </c>
      <c r="BH106">
        <v>146</v>
      </c>
    </row>
    <row r="107" spans="1:60" x14ac:dyDescent="0.3">
      <c r="A107" t="s">
        <v>277</v>
      </c>
      <c r="B107" t="s">
        <v>65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15</v>
      </c>
      <c r="BB107">
        <v>34</v>
      </c>
      <c r="BC107">
        <v>45</v>
      </c>
      <c r="BD107">
        <v>49</v>
      </c>
      <c r="BE107">
        <v>101</v>
      </c>
      <c r="BF107">
        <v>131</v>
      </c>
      <c r="BG107">
        <v>160</v>
      </c>
      <c r="BH107">
        <v>160</v>
      </c>
    </row>
    <row r="108" spans="1:60" x14ac:dyDescent="0.3">
      <c r="A108" t="s">
        <v>278</v>
      </c>
      <c r="B108" t="s">
        <v>65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15</v>
      </c>
      <c r="BB108">
        <v>28</v>
      </c>
      <c r="BC108">
        <v>35</v>
      </c>
      <c r="BD108">
        <v>50</v>
      </c>
      <c r="BE108">
        <v>76</v>
      </c>
      <c r="BF108">
        <v>115</v>
      </c>
      <c r="BG108">
        <v>155</v>
      </c>
      <c r="BH108">
        <v>216</v>
      </c>
    </row>
    <row r="109" spans="1:60" x14ac:dyDescent="0.3">
      <c r="A109" t="s">
        <v>279</v>
      </c>
      <c r="B109" t="s">
        <v>65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15</v>
      </c>
      <c r="BB109">
        <v>23</v>
      </c>
      <c r="BC109">
        <v>29</v>
      </c>
      <c r="BD109">
        <v>29</v>
      </c>
      <c r="BE109">
        <v>69</v>
      </c>
      <c r="BF109">
        <v>98</v>
      </c>
      <c r="BG109">
        <v>178</v>
      </c>
      <c r="BH109">
        <v>267</v>
      </c>
    </row>
    <row r="110" spans="1:60" x14ac:dyDescent="0.3">
      <c r="A110" t="s">
        <v>280</v>
      </c>
      <c r="B110" t="s">
        <v>65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15</v>
      </c>
      <c r="BB110">
        <v>19</v>
      </c>
      <c r="BC110">
        <v>24</v>
      </c>
      <c r="BD110">
        <v>30</v>
      </c>
      <c r="BE110">
        <v>32</v>
      </c>
      <c r="BF110">
        <v>36</v>
      </c>
      <c r="BG110">
        <v>39</v>
      </c>
      <c r="BH110">
        <v>66</v>
      </c>
    </row>
    <row r="111" spans="1:60" x14ac:dyDescent="0.3">
      <c r="A111" t="s">
        <v>281</v>
      </c>
      <c r="B111" t="s">
        <v>65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13</v>
      </c>
      <c r="BB111">
        <v>21</v>
      </c>
      <c r="BC111">
        <v>27</v>
      </c>
      <c r="BD111">
        <v>43</v>
      </c>
      <c r="BE111">
        <v>57</v>
      </c>
      <c r="BF111">
        <v>72</v>
      </c>
      <c r="BG111">
        <v>85</v>
      </c>
      <c r="BH111">
        <v>110</v>
      </c>
    </row>
    <row r="112" spans="1:60" x14ac:dyDescent="0.3">
      <c r="A112" t="s">
        <v>282</v>
      </c>
      <c r="B112" t="s">
        <v>65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12</v>
      </c>
      <c r="BB112">
        <v>25</v>
      </c>
      <c r="BC112">
        <v>32</v>
      </c>
      <c r="BD112">
        <v>46</v>
      </c>
      <c r="BE112">
        <v>64</v>
      </c>
      <c r="BF112">
        <v>93</v>
      </c>
      <c r="BG112">
        <v>105</v>
      </c>
      <c r="BH112">
        <v>161</v>
      </c>
    </row>
    <row r="113" spans="1:60" x14ac:dyDescent="0.3">
      <c r="A113" t="s">
        <v>283</v>
      </c>
      <c r="B113" t="s">
        <v>65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12</v>
      </c>
      <c r="BB113">
        <v>16</v>
      </c>
      <c r="BC113">
        <v>22</v>
      </c>
      <c r="BD113">
        <v>41</v>
      </c>
      <c r="BE113">
        <v>47</v>
      </c>
      <c r="BF113">
        <v>66</v>
      </c>
      <c r="BG113">
        <v>77</v>
      </c>
      <c r="BH113">
        <v>112</v>
      </c>
    </row>
    <row r="114" spans="1:60" x14ac:dyDescent="0.3">
      <c r="A114" t="s">
        <v>285</v>
      </c>
      <c r="B114" t="s">
        <v>65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8</v>
      </c>
      <c r="BB114">
        <v>13</v>
      </c>
      <c r="BC114">
        <v>16</v>
      </c>
      <c r="BD114">
        <v>17</v>
      </c>
      <c r="BE114">
        <v>17</v>
      </c>
      <c r="BF114">
        <v>18</v>
      </c>
      <c r="BG114">
        <v>23</v>
      </c>
      <c r="BH114">
        <v>23</v>
      </c>
    </row>
    <row r="115" spans="1:60" x14ac:dyDescent="0.3">
      <c r="A115" t="s">
        <v>286</v>
      </c>
      <c r="B115" t="s">
        <v>65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8</v>
      </c>
      <c r="BB115">
        <v>9</v>
      </c>
      <c r="BC115">
        <v>12</v>
      </c>
      <c r="BD115">
        <v>18</v>
      </c>
      <c r="BE115">
        <v>26</v>
      </c>
      <c r="BF115">
        <v>32</v>
      </c>
      <c r="BG115">
        <v>41</v>
      </c>
      <c r="BH115">
        <v>60</v>
      </c>
    </row>
    <row r="116" spans="1:60" x14ac:dyDescent="0.3">
      <c r="A116" t="s">
        <v>287</v>
      </c>
      <c r="B116" t="s">
        <v>65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7</v>
      </c>
      <c r="BB116">
        <v>7</v>
      </c>
      <c r="BC116">
        <v>15</v>
      </c>
      <c r="BD116">
        <v>17</v>
      </c>
      <c r="BE116">
        <v>24</v>
      </c>
      <c r="BF116">
        <v>33</v>
      </c>
      <c r="BG116">
        <v>38</v>
      </c>
      <c r="BH116">
        <v>64</v>
      </c>
    </row>
    <row r="117" spans="1:60" x14ac:dyDescent="0.3">
      <c r="A117" t="s">
        <v>288</v>
      </c>
      <c r="B117" t="s">
        <v>65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7</v>
      </c>
      <c r="BB117">
        <v>10</v>
      </c>
      <c r="BC117">
        <v>12</v>
      </c>
      <c r="BD117">
        <v>13</v>
      </c>
      <c r="BE117">
        <v>19</v>
      </c>
      <c r="BF117">
        <v>28</v>
      </c>
      <c r="BG117">
        <v>33</v>
      </c>
      <c r="BH117">
        <v>47</v>
      </c>
    </row>
    <row r="118" spans="1:60" x14ac:dyDescent="0.3">
      <c r="A118" t="s">
        <v>289</v>
      </c>
      <c r="B118" t="s">
        <v>65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7</v>
      </c>
      <c r="BB118">
        <v>9</v>
      </c>
      <c r="BC118">
        <v>18</v>
      </c>
      <c r="BD118">
        <v>26</v>
      </c>
      <c r="BE118">
        <v>32</v>
      </c>
      <c r="BF118">
        <v>39</v>
      </c>
      <c r="BG118">
        <v>52</v>
      </c>
      <c r="BH118">
        <v>74</v>
      </c>
    </row>
    <row r="119" spans="1:60" x14ac:dyDescent="0.3">
      <c r="A119" t="s">
        <v>290</v>
      </c>
      <c r="B119" t="s">
        <v>65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7</v>
      </c>
      <c r="BB119">
        <v>9</v>
      </c>
      <c r="BC119">
        <v>17</v>
      </c>
      <c r="BD119">
        <v>30</v>
      </c>
      <c r="BE119">
        <v>41</v>
      </c>
      <c r="BF119">
        <v>45</v>
      </c>
      <c r="BG119">
        <v>49</v>
      </c>
      <c r="BH119">
        <v>67</v>
      </c>
    </row>
    <row r="120" spans="1:60" x14ac:dyDescent="0.3">
      <c r="A120" t="s">
        <v>291</v>
      </c>
      <c r="B120" t="s">
        <v>65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6</v>
      </c>
      <c r="BB120">
        <v>9</v>
      </c>
      <c r="BC120">
        <v>9</v>
      </c>
      <c r="BD120">
        <v>9</v>
      </c>
      <c r="BE120">
        <v>12</v>
      </c>
      <c r="BF120">
        <v>13</v>
      </c>
      <c r="BG120">
        <v>18</v>
      </c>
      <c r="BH120">
        <v>20</v>
      </c>
    </row>
    <row r="121" spans="1:60" x14ac:dyDescent="0.3">
      <c r="A121" t="s">
        <v>292</v>
      </c>
      <c r="B121" t="s">
        <v>65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6</v>
      </c>
      <c r="BB121">
        <v>11</v>
      </c>
      <c r="BC121">
        <v>13</v>
      </c>
      <c r="BD121">
        <v>13</v>
      </c>
      <c r="BE121">
        <v>16</v>
      </c>
      <c r="BF121">
        <v>20</v>
      </c>
      <c r="BG121">
        <v>25</v>
      </c>
      <c r="BH121">
        <v>30</v>
      </c>
    </row>
    <row r="122" spans="1:60" x14ac:dyDescent="0.3">
      <c r="A122" t="s">
        <v>293</v>
      </c>
      <c r="B122" t="s">
        <v>65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6</v>
      </c>
      <c r="BB122">
        <v>8</v>
      </c>
      <c r="BC122">
        <v>10</v>
      </c>
      <c r="BD122">
        <v>14</v>
      </c>
      <c r="BE122">
        <v>14</v>
      </c>
      <c r="BF122">
        <v>20</v>
      </c>
      <c r="BG122">
        <v>21</v>
      </c>
      <c r="BH122">
        <v>26</v>
      </c>
    </row>
    <row r="123" spans="1:60" x14ac:dyDescent="0.3">
      <c r="A123" t="s">
        <v>294</v>
      </c>
      <c r="B123" t="s">
        <v>65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5</v>
      </c>
      <c r="BB123">
        <v>10</v>
      </c>
      <c r="BC123">
        <v>10</v>
      </c>
      <c r="BD123">
        <v>10</v>
      </c>
      <c r="BE123">
        <v>10</v>
      </c>
      <c r="BF123">
        <v>16</v>
      </c>
      <c r="BG123">
        <v>22</v>
      </c>
      <c r="BH123">
        <v>22</v>
      </c>
    </row>
    <row r="124" spans="1:60" x14ac:dyDescent="0.3">
      <c r="A124" t="s">
        <v>295</v>
      </c>
      <c r="B124" t="s">
        <v>65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4</v>
      </c>
      <c r="BB124">
        <v>7</v>
      </c>
      <c r="BC124">
        <v>14</v>
      </c>
      <c r="BD124">
        <v>17</v>
      </c>
      <c r="BE124">
        <v>21</v>
      </c>
      <c r="BF124">
        <v>24</v>
      </c>
      <c r="BG124">
        <v>45</v>
      </c>
      <c r="BH124">
        <v>56</v>
      </c>
    </row>
    <row r="125" spans="1:60" x14ac:dyDescent="0.3">
      <c r="A125" t="s">
        <v>296</v>
      </c>
      <c r="B125" t="s">
        <v>65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4</v>
      </c>
      <c r="BB125">
        <v>5</v>
      </c>
      <c r="BC125">
        <v>6</v>
      </c>
      <c r="BD125">
        <v>6</v>
      </c>
      <c r="BE125">
        <v>7</v>
      </c>
      <c r="BF125">
        <v>13</v>
      </c>
      <c r="BG125">
        <v>17</v>
      </c>
      <c r="BH125">
        <v>26</v>
      </c>
    </row>
    <row r="126" spans="1:60" x14ac:dyDescent="0.3">
      <c r="A126" t="s">
        <v>297</v>
      </c>
      <c r="B126" t="s">
        <v>65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3</v>
      </c>
      <c r="BB126">
        <v>5</v>
      </c>
      <c r="BC126">
        <v>9</v>
      </c>
      <c r="BD126">
        <v>14</v>
      </c>
      <c r="BE126">
        <v>21</v>
      </c>
      <c r="BF126">
        <v>35</v>
      </c>
      <c r="BG126">
        <v>54</v>
      </c>
      <c r="BH126">
        <v>60</v>
      </c>
    </row>
    <row r="127" spans="1:60" x14ac:dyDescent="0.3">
      <c r="A127" t="s">
        <v>298</v>
      </c>
      <c r="B127" t="s">
        <v>65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3</v>
      </c>
      <c r="BB127">
        <v>5</v>
      </c>
      <c r="BC127">
        <v>10</v>
      </c>
      <c r="BD127">
        <v>13</v>
      </c>
      <c r="BE127">
        <v>14</v>
      </c>
      <c r="BF127">
        <v>17</v>
      </c>
      <c r="BG127">
        <v>18</v>
      </c>
      <c r="BH127">
        <v>21</v>
      </c>
    </row>
    <row r="128" spans="1:60" x14ac:dyDescent="0.3">
      <c r="A128" t="s">
        <v>299</v>
      </c>
      <c r="B128" t="s">
        <v>65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3</v>
      </c>
      <c r="BB128">
        <v>4</v>
      </c>
      <c r="BC128">
        <v>5</v>
      </c>
      <c r="BD128">
        <v>13</v>
      </c>
      <c r="BE128">
        <v>26</v>
      </c>
      <c r="BF128">
        <v>37</v>
      </c>
      <c r="BG128">
        <v>50</v>
      </c>
      <c r="BH128">
        <v>67</v>
      </c>
    </row>
    <row r="129" spans="1:60" x14ac:dyDescent="0.3">
      <c r="A129" t="s">
        <v>300</v>
      </c>
      <c r="B129" t="s">
        <v>65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3</v>
      </c>
      <c r="BB129">
        <v>5</v>
      </c>
      <c r="BC129">
        <v>5</v>
      </c>
      <c r="BD129">
        <v>14</v>
      </c>
      <c r="BE129">
        <v>20</v>
      </c>
      <c r="BF129">
        <v>20</v>
      </c>
      <c r="BG129">
        <v>21</v>
      </c>
      <c r="BH129">
        <v>23</v>
      </c>
    </row>
    <row r="130" spans="1:60" x14ac:dyDescent="0.3">
      <c r="A130" t="s">
        <v>301</v>
      </c>
      <c r="B130" t="s">
        <v>65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3</v>
      </c>
      <c r="BB130">
        <v>6</v>
      </c>
      <c r="BC130">
        <v>8</v>
      </c>
      <c r="BD130">
        <v>19</v>
      </c>
      <c r="BE130">
        <v>27</v>
      </c>
      <c r="BF130">
        <v>32</v>
      </c>
      <c r="BG130">
        <v>47</v>
      </c>
      <c r="BH130">
        <v>72</v>
      </c>
    </row>
    <row r="131" spans="1:60" x14ac:dyDescent="0.3">
      <c r="A131" t="s">
        <v>302</v>
      </c>
      <c r="B131" t="s">
        <v>65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2</v>
      </c>
      <c r="BB131">
        <v>3</v>
      </c>
      <c r="BC131">
        <v>5</v>
      </c>
      <c r="BD131">
        <v>11</v>
      </c>
      <c r="BE131">
        <v>22</v>
      </c>
      <c r="BF131">
        <v>24</v>
      </c>
      <c r="BG131">
        <v>30</v>
      </c>
      <c r="BH131">
        <v>68</v>
      </c>
    </row>
    <row r="132" spans="1:60" x14ac:dyDescent="0.3">
      <c r="A132" t="s">
        <v>303</v>
      </c>
      <c r="B132" t="s">
        <v>65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2</v>
      </c>
      <c r="BB132">
        <v>2</v>
      </c>
      <c r="BC132">
        <v>2</v>
      </c>
      <c r="BD132">
        <v>2</v>
      </c>
      <c r="BE132">
        <v>4</v>
      </c>
      <c r="BF132">
        <v>6</v>
      </c>
      <c r="BG132">
        <v>7</v>
      </c>
      <c r="BH132">
        <v>10</v>
      </c>
    </row>
    <row r="133" spans="1:60" x14ac:dyDescent="0.3">
      <c r="A133" t="s">
        <v>304</v>
      </c>
      <c r="B133" t="s">
        <v>65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2</v>
      </c>
      <c r="BB133">
        <v>2</v>
      </c>
      <c r="BC133">
        <v>2</v>
      </c>
      <c r="BD133">
        <v>2</v>
      </c>
      <c r="BE133">
        <v>4</v>
      </c>
      <c r="BF133">
        <v>7</v>
      </c>
      <c r="BG133">
        <v>10</v>
      </c>
      <c r="BH133">
        <v>19</v>
      </c>
    </row>
    <row r="134" spans="1:60" x14ac:dyDescent="0.3">
      <c r="A134" t="s">
        <v>305</v>
      </c>
      <c r="B134" t="s">
        <v>65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2</v>
      </c>
      <c r="BB134">
        <v>3</v>
      </c>
      <c r="BC134">
        <v>5</v>
      </c>
      <c r="BD134">
        <v>9</v>
      </c>
      <c r="BE134">
        <v>10</v>
      </c>
      <c r="BF134">
        <v>28</v>
      </c>
      <c r="BG134">
        <v>39</v>
      </c>
      <c r="BH134">
        <v>51</v>
      </c>
    </row>
    <row r="135" spans="1:60" x14ac:dyDescent="0.3">
      <c r="B135" t="s">
        <v>306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1</v>
      </c>
      <c r="BB135">
        <v>2</v>
      </c>
      <c r="BC135">
        <v>2</v>
      </c>
      <c r="BD135">
        <v>2</v>
      </c>
      <c r="BE135">
        <v>2</v>
      </c>
      <c r="BF135">
        <v>3</v>
      </c>
      <c r="BG135">
        <v>15</v>
      </c>
      <c r="BH135">
        <v>15</v>
      </c>
    </row>
    <row r="136" spans="1:60" x14ac:dyDescent="0.3">
      <c r="B136" t="s">
        <v>308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1</v>
      </c>
      <c r="AX136">
        <v>1</v>
      </c>
      <c r="AY136">
        <v>1</v>
      </c>
      <c r="AZ136">
        <v>1</v>
      </c>
      <c r="BA136">
        <v>1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</row>
    <row r="137" spans="1:60" x14ac:dyDescent="0.3">
      <c r="B137" t="s">
        <v>309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1</v>
      </c>
      <c r="BB137">
        <v>1</v>
      </c>
      <c r="BC137">
        <v>1</v>
      </c>
      <c r="BD137">
        <v>1</v>
      </c>
      <c r="BE137">
        <v>1</v>
      </c>
      <c r="BF137">
        <v>1</v>
      </c>
      <c r="BG137">
        <v>1</v>
      </c>
      <c r="BH137">
        <v>5</v>
      </c>
    </row>
    <row r="138" spans="1:60" x14ac:dyDescent="0.3">
      <c r="B138" t="s">
        <v>310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1</v>
      </c>
      <c r="BB138">
        <v>8</v>
      </c>
      <c r="BC138">
        <v>11</v>
      </c>
      <c r="BD138">
        <v>27</v>
      </c>
      <c r="BE138">
        <v>36</v>
      </c>
      <c r="BF138">
        <v>43</v>
      </c>
      <c r="BG138">
        <v>55</v>
      </c>
      <c r="BH138">
        <v>69</v>
      </c>
    </row>
    <row r="139" spans="1:60" x14ac:dyDescent="0.3">
      <c r="A139" t="s">
        <v>311</v>
      </c>
      <c r="B139" t="s">
        <v>65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1</v>
      </c>
      <c r="BB139">
        <v>1</v>
      </c>
      <c r="BC139">
        <v>1</v>
      </c>
      <c r="BD139">
        <v>5</v>
      </c>
      <c r="BE139">
        <v>8</v>
      </c>
      <c r="BF139">
        <v>8</v>
      </c>
      <c r="BG139">
        <v>11</v>
      </c>
      <c r="BH139">
        <v>18</v>
      </c>
    </row>
    <row r="140" spans="1:60" x14ac:dyDescent="0.3">
      <c r="A140" t="s">
        <v>312</v>
      </c>
      <c r="B140" t="s">
        <v>65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1</v>
      </c>
      <c r="BB140">
        <v>6</v>
      </c>
      <c r="BC140">
        <v>19</v>
      </c>
      <c r="BD140">
        <v>36</v>
      </c>
      <c r="BE140">
        <v>77</v>
      </c>
      <c r="BF140">
        <v>91</v>
      </c>
      <c r="BG140">
        <v>136</v>
      </c>
      <c r="BH140">
        <v>196</v>
      </c>
    </row>
    <row r="141" spans="1:60" x14ac:dyDescent="0.3">
      <c r="A141" t="s">
        <v>313</v>
      </c>
      <c r="B141" t="s">
        <v>65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1</v>
      </c>
      <c r="BB141">
        <v>1</v>
      </c>
      <c r="BC141">
        <v>1</v>
      </c>
      <c r="BD141">
        <v>2</v>
      </c>
      <c r="BE141">
        <v>4</v>
      </c>
      <c r="BF141">
        <v>5</v>
      </c>
      <c r="BG141">
        <v>6</v>
      </c>
      <c r="BH141">
        <v>11</v>
      </c>
    </row>
    <row r="142" spans="1:60" x14ac:dyDescent="0.3">
      <c r="A142" t="s">
        <v>314</v>
      </c>
      <c r="B142" t="s">
        <v>65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1</v>
      </c>
      <c r="BB142">
        <v>1</v>
      </c>
      <c r="BC142">
        <v>2</v>
      </c>
      <c r="BD142">
        <v>2</v>
      </c>
      <c r="BE142">
        <v>5</v>
      </c>
      <c r="BF142">
        <v>8</v>
      </c>
      <c r="BG142">
        <v>12</v>
      </c>
      <c r="BH142">
        <v>12</v>
      </c>
    </row>
    <row r="143" spans="1:60" x14ac:dyDescent="0.3">
      <c r="A143" t="s">
        <v>315</v>
      </c>
      <c r="B143" t="s">
        <v>65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1</v>
      </c>
      <c r="BE143">
        <v>1</v>
      </c>
      <c r="BF143">
        <v>1</v>
      </c>
      <c r="BG143">
        <v>1</v>
      </c>
      <c r="BH143">
        <v>3</v>
      </c>
    </row>
    <row r="144" spans="1:60" x14ac:dyDescent="0.3">
      <c r="A144" t="s">
        <v>316</v>
      </c>
      <c r="B144" t="s">
        <v>65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</v>
      </c>
      <c r="BC144">
        <v>6</v>
      </c>
      <c r="BD144">
        <v>6</v>
      </c>
      <c r="BE144">
        <v>12</v>
      </c>
      <c r="BF144">
        <v>16</v>
      </c>
      <c r="BG144">
        <v>22</v>
      </c>
      <c r="BH144">
        <v>22</v>
      </c>
    </row>
    <row r="145" spans="1:60" x14ac:dyDescent="0.3">
      <c r="A145" t="s">
        <v>317</v>
      </c>
      <c r="B145" t="s">
        <v>65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1</v>
      </c>
      <c r="BC145">
        <v>1</v>
      </c>
      <c r="BD145">
        <v>4</v>
      </c>
      <c r="BE145">
        <v>6</v>
      </c>
      <c r="BF145">
        <v>7</v>
      </c>
      <c r="BG145">
        <v>8</v>
      </c>
      <c r="BH145">
        <v>16</v>
      </c>
    </row>
    <row r="146" spans="1:60" x14ac:dyDescent="0.3">
      <c r="A146" t="s">
        <v>318</v>
      </c>
      <c r="B146" t="s">
        <v>65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1</v>
      </c>
      <c r="BE146">
        <v>2</v>
      </c>
      <c r="BF146">
        <v>5</v>
      </c>
      <c r="BG146">
        <v>5</v>
      </c>
      <c r="BH146">
        <v>8</v>
      </c>
    </row>
    <row r="147" spans="1:60" x14ac:dyDescent="0.3">
      <c r="A147" t="s">
        <v>319</v>
      </c>
      <c r="B147" t="s">
        <v>65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1</v>
      </c>
      <c r="BE147">
        <v>3</v>
      </c>
      <c r="BF147">
        <v>12</v>
      </c>
      <c r="BG147">
        <v>17</v>
      </c>
      <c r="BH147">
        <v>32</v>
      </c>
    </row>
    <row r="148" spans="1:60" x14ac:dyDescent="0.3">
      <c r="A148" t="s">
        <v>320</v>
      </c>
      <c r="B148" t="s">
        <v>65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2</v>
      </c>
      <c r="BC148">
        <v>2</v>
      </c>
      <c r="BD148">
        <v>16</v>
      </c>
      <c r="BE148">
        <v>25</v>
      </c>
      <c r="BF148">
        <v>33</v>
      </c>
      <c r="BG148">
        <v>53</v>
      </c>
      <c r="BH148">
        <v>65</v>
      </c>
    </row>
    <row r="149" spans="1:60" x14ac:dyDescent="0.3">
      <c r="A149" t="s">
        <v>321</v>
      </c>
      <c r="B149" t="s">
        <v>65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1</v>
      </c>
      <c r="BD149">
        <v>1</v>
      </c>
      <c r="BE149">
        <v>6</v>
      </c>
      <c r="BF149">
        <v>10</v>
      </c>
      <c r="BG149">
        <v>13</v>
      </c>
      <c r="BH149">
        <v>21</v>
      </c>
    </row>
    <row r="150" spans="1:60" x14ac:dyDescent="0.3">
      <c r="A150" t="s">
        <v>322</v>
      </c>
      <c r="B150" t="s">
        <v>65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1</v>
      </c>
      <c r="BC150">
        <v>1</v>
      </c>
      <c r="BD150">
        <v>1</v>
      </c>
      <c r="BE150">
        <v>5</v>
      </c>
      <c r="BF150">
        <v>7</v>
      </c>
      <c r="BG150">
        <v>7</v>
      </c>
      <c r="BH150">
        <v>9</v>
      </c>
    </row>
    <row r="151" spans="1:60" x14ac:dyDescent="0.3">
      <c r="A151" t="s">
        <v>323</v>
      </c>
      <c r="B151" t="s">
        <v>65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3</v>
      </c>
      <c r="BC151">
        <v>5</v>
      </c>
      <c r="BD151">
        <v>10</v>
      </c>
      <c r="BE151">
        <v>10</v>
      </c>
      <c r="BF151">
        <v>13</v>
      </c>
      <c r="BG151">
        <v>17</v>
      </c>
      <c r="BH151">
        <v>23</v>
      </c>
    </row>
    <row r="152" spans="1:60" x14ac:dyDescent="0.3">
      <c r="A152" t="s">
        <v>324</v>
      </c>
      <c r="B152" t="s">
        <v>65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1</v>
      </c>
      <c r="BD152">
        <v>1</v>
      </c>
      <c r="BE152">
        <v>1</v>
      </c>
      <c r="BF152">
        <v>1</v>
      </c>
      <c r="BG152">
        <v>1</v>
      </c>
      <c r="BH152">
        <v>3</v>
      </c>
    </row>
    <row r="153" spans="1:60" x14ac:dyDescent="0.3">
      <c r="A153" t="s">
        <v>325</v>
      </c>
      <c r="B153" t="s">
        <v>65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8</v>
      </c>
      <c r="BC153">
        <v>8</v>
      </c>
      <c r="BD153">
        <v>8</v>
      </c>
      <c r="BE153">
        <v>9</v>
      </c>
      <c r="BF153">
        <v>9</v>
      </c>
      <c r="BG153">
        <v>10</v>
      </c>
      <c r="BH153">
        <v>11</v>
      </c>
    </row>
    <row r="154" spans="1:60" x14ac:dyDescent="0.3">
      <c r="A154" t="s">
        <v>326</v>
      </c>
      <c r="B154" t="s">
        <v>65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1</v>
      </c>
    </row>
    <row r="155" spans="1:60" x14ac:dyDescent="0.3">
      <c r="A155" t="s">
        <v>327</v>
      </c>
      <c r="B155" t="s">
        <v>65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1</v>
      </c>
      <c r="BD155">
        <v>1</v>
      </c>
      <c r="BE155">
        <v>2</v>
      </c>
      <c r="BF155">
        <v>3</v>
      </c>
      <c r="BG155">
        <v>3</v>
      </c>
      <c r="BH155">
        <v>11</v>
      </c>
    </row>
    <row r="156" spans="1:60" x14ac:dyDescent="0.3">
      <c r="A156" t="s">
        <v>43</v>
      </c>
      <c r="B156" t="s">
        <v>365</v>
      </c>
      <c r="C156">
        <v>30.9756</v>
      </c>
      <c r="D156">
        <v>112.27070000000001</v>
      </c>
      <c r="E156">
        <v>444</v>
      </c>
      <c r="F156">
        <v>444</v>
      </c>
      <c r="G156">
        <v>549</v>
      </c>
      <c r="H156">
        <v>761</v>
      </c>
      <c r="I156">
        <v>1058</v>
      </c>
      <c r="J156">
        <v>1423</v>
      </c>
      <c r="K156">
        <v>3554</v>
      </c>
      <c r="L156">
        <v>3554</v>
      </c>
      <c r="M156">
        <v>4903</v>
      </c>
      <c r="N156">
        <v>5806</v>
      </c>
      <c r="O156">
        <v>7153</v>
      </c>
      <c r="P156">
        <v>11177</v>
      </c>
      <c r="Q156">
        <v>13522</v>
      </c>
      <c r="R156">
        <v>16678</v>
      </c>
      <c r="S156">
        <v>19665</v>
      </c>
      <c r="T156">
        <v>22112</v>
      </c>
      <c r="U156">
        <v>24953</v>
      </c>
      <c r="V156">
        <v>27100</v>
      </c>
      <c r="W156">
        <v>29631</v>
      </c>
      <c r="X156">
        <v>31728</v>
      </c>
      <c r="Y156">
        <v>33366</v>
      </c>
      <c r="Z156">
        <v>33366</v>
      </c>
      <c r="AA156">
        <v>48206</v>
      </c>
      <c r="AB156">
        <v>54406</v>
      </c>
      <c r="AC156">
        <v>56249</v>
      </c>
      <c r="AD156">
        <v>58182</v>
      </c>
      <c r="AE156">
        <v>59989</v>
      </c>
      <c r="AF156">
        <v>61682</v>
      </c>
      <c r="AG156">
        <v>62031</v>
      </c>
      <c r="AH156">
        <v>62442</v>
      </c>
      <c r="AI156">
        <v>62662</v>
      </c>
      <c r="AJ156">
        <v>64084</v>
      </c>
      <c r="AK156">
        <v>64084</v>
      </c>
      <c r="AL156">
        <v>64287</v>
      </c>
      <c r="AM156">
        <v>64786</v>
      </c>
      <c r="AN156">
        <v>65187</v>
      </c>
      <c r="AO156">
        <v>65596</v>
      </c>
      <c r="AP156">
        <v>65914</v>
      </c>
      <c r="AQ156">
        <v>66337</v>
      </c>
      <c r="AR156">
        <v>66907</v>
      </c>
      <c r="AS156">
        <v>67103</v>
      </c>
      <c r="AT156">
        <v>67217</v>
      </c>
      <c r="AU156">
        <v>67332</v>
      </c>
      <c r="AV156">
        <v>67466</v>
      </c>
      <c r="AW156">
        <v>67592</v>
      </c>
      <c r="AX156">
        <v>67666</v>
      </c>
      <c r="AY156">
        <v>67707</v>
      </c>
      <c r="AZ156">
        <v>67743</v>
      </c>
      <c r="BA156">
        <v>67760</v>
      </c>
      <c r="BB156">
        <v>67773</v>
      </c>
      <c r="BC156">
        <v>67781</v>
      </c>
      <c r="BD156">
        <v>67786</v>
      </c>
      <c r="BE156">
        <v>67790</v>
      </c>
      <c r="BF156">
        <v>67794</v>
      </c>
      <c r="BG156">
        <v>67798</v>
      </c>
      <c r="BH156">
        <v>67799</v>
      </c>
    </row>
    <row r="157" spans="1:60" x14ac:dyDescent="0.3">
      <c r="B157" t="s">
        <v>366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2</v>
      </c>
      <c r="AH157">
        <v>5</v>
      </c>
      <c r="AI157">
        <v>18</v>
      </c>
      <c r="AJ157">
        <v>28</v>
      </c>
      <c r="AK157">
        <v>43</v>
      </c>
      <c r="AL157">
        <v>61</v>
      </c>
      <c r="AM157">
        <v>95</v>
      </c>
      <c r="AN157">
        <v>139</v>
      </c>
      <c r="AO157">
        <v>245</v>
      </c>
      <c r="AP157">
        <v>388</v>
      </c>
      <c r="AQ157">
        <v>593</v>
      </c>
      <c r="AR157">
        <v>978</v>
      </c>
      <c r="AS157">
        <v>1501</v>
      </c>
      <c r="AT157">
        <v>2336</v>
      </c>
      <c r="AU157">
        <v>2922</v>
      </c>
      <c r="AV157">
        <v>3513</v>
      </c>
      <c r="AW157">
        <v>4747</v>
      </c>
      <c r="AX157">
        <v>5823</v>
      </c>
      <c r="AY157">
        <v>6566</v>
      </c>
      <c r="AZ157">
        <v>7161</v>
      </c>
      <c r="BA157">
        <v>8042</v>
      </c>
      <c r="BB157">
        <v>9000</v>
      </c>
      <c r="BC157">
        <v>10075</v>
      </c>
      <c r="BD157">
        <v>11364</v>
      </c>
      <c r="BE157">
        <v>12729</v>
      </c>
      <c r="BF157">
        <v>13938</v>
      </c>
      <c r="BG157">
        <v>14991</v>
      </c>
      <c r="BH157">
        <v>16169</v>
      </c>
    </row>
    <row r="158" spans="1:60" x14ac:dyDescent="0.3">
      <c r="B158" t="s">
        <v>367</v>
      </c>
      <c r="C158">
        <v>36</v>
      </c>
      <c r="D158">
        <v>128</v>
      </c>
      <c r="E158">
        <v>1</v>
      </c>
      <c r="F158">
        <v>1</v>
      </c>
      <c r="G158">
        <v>2</v>
      </c>
      <c r="H158">
        <v>2</v>
      </c>
      <c r="I158">
        <v>3</v>
      </c>
      <c r="J158">
        <v>4</v>
      </c>
      <c r="K158">
        <v>4</v>
      </c>
      <c r="L158">
        <v>4</v>
      </c>
      <c r="M158">
        <v>4</v>
      </c>
      <c r="N158">
        <v>11</v>
      </c>
      <c r="O158">
        <v>12</v>
      </c>
      <c r="P158">
        <v>15</v>
      </c>
      <c r="Q158">
        <v>15</v>
      </c>
      <c r="R158">
        <v>16</v>
      </c>
      <c r="S158">
        <v>19</v>
      </c>
      <c r="T158">
        <v>23</v>
      </c>
      <c r="U158">
        <v>24</v>
      </c>
      <c r="V158">
        <v>24</v>
      </c>
      <c r="W158">
        <v>25</v>
      </c>
      <c r="X158">
        <v>27</v>
      </c>
      <c r="Y158">
        <v>28</v>
      </c>
      <c r="Z158">
        <v>28</v>
      </c>
      <c r="AA158">
        <v>28</v>
      </c>
      <c r="AB158">
        <v>28</v>
      </c>
      <c r="AC158">
        <v>28</v>
      </c>
      <c r="AD158">
        <v>29</v>
      </c>
      <c r="AE158">
        <v>30</v>
      </c>
      <c r="AF158">
        <v>31</v>
      </c>
      <c r="AG158">
        <v>31</v>
      </c>
      <c r="AH158">
        <v>104</v>
      </c>
      <c r="AI158">
        <v>204</v>
      </c>
      <c r="AJ158">
        <v>433</v>
      </c>
      <c r="AK158">
        <v>602</v>
      </c>
      <c r="AL158">
        <v>833</v>
      </c>
      <c r="AM158">
        <v>977</v>
      </c>
      <c r="AN158">
        <v>1261</v>
      </c>
      <c r="AO158">
        <v>1766</v>
      </c>
      <c r="AP158">
        <v>2337</v>
      </c>
      <c r="AQ158">
        <v>3150</v>
      </c>
      <c r="AR158">
        <v>3736</v>
      </c>
      <c r="AS158">
        <v>4335</v>
      </c>
      <c r="AT158">
        <v>5186</v>
      </c>
      <c r="AU158">
        <v>5621</v>
      </c>
      <c r="AV158">
        <v>6088</v>
      </c>
      <c r="AW158">
        <v>6593</v>
      </c>
      <c r="AX158">
        <v>7041</v>
      </c>
      <c r="AY158">
        <v>7314</v>
      </c>
      <c r="AZ158">
        <v>7478</v>
      </c>
      <c r="BA158">
        <v>7513</v>
      </c>
      <c r="BB158">
        <v>7755</v>
      </c>
      <c r="BC158">
        <v>7869</v>
      </c>
      <c r="BD158">
        <v>7979</v>
      </c>
      <c r="BE158">
        <v>8086</v>
      </c>
      <c r="BF158">
        <v>8162</v>
      </c>
      <c r="BG158">
        <v>8236</v>
      </c>
      <c r="BH158">
        <v>8320</v>
      </c>
    </row>
    <row r="159" spans="1:60" x14ac:dyDescent="0.3">
      <c r="A159" t="s">
        <v>68</v>
      </c>
      <c r="B159" t="s">
        <v>68</v>
      </c>
      <c r="C159">
        <v>46.227600000000002</v>
      </c>
      <c r="D159">
        <v>2.2136999999999998</v>
      </c>
      <c r="E159">
        <v>0</v>
      </c>
      <c r="F159">
        <v>0</v>
      </c>
      <c r="G159">
        <v>2</v>
      </c>
      <c r="H159">
        <v>3</v>
      </c>
      <c r="I159">
        <v>3</v>
      </c>
      <c r="J159">
        <v>3</v>
      </c>
      <c r="K159">
        <v>4</v>
      </c>
      <c r="L159">
        <v>5</v>
      </c>
      <c r="M159">
        <v>5</v>
      </c>
      <c r="N159">
        <v>5</v>
      </c>
      <c r="O159">
        <v>6</v>
      </c>
      <c r="P159">
        <v>6</v>
      </c>
      <c r="Q159">
        <v>6</v>
      </c>
      <c r="R159">
        <v>6</v>
      </c>
      <c r="S159">
        <v>6</v>
      </c>
      <c r="T159">
        <v>6</v>
      </c>
      <c r="U159">
        <v>6</v>
      </c>
      <c r="V159">
        <v>11</v>
      </c>
      <c r="W159">
        <v>11</v>
      </c>
      <c r="X159">
        <v>11</v>
      </c>
      <c r="Y159">
        <v>11</v>
      </c>
      <c r="Z159">
        <v>11</v>
      </c>
      <c r="AA159">
        <v>11</v>
      </c>
      <c r="AB159">
        <v>11</v>
      </c>
      <c r="AC159">
        <v>12</v>
      </c>
      <c r="AD159">
        <v>12</v>
      </c>
      <c r="AE159">
        <v>12</v>
      </c>
      <c r="AF159">
        <v>12</v>
      </c>
      <c r="AG159">
        <v>12</v>
      </c>
      <c r="AH159">
        <v>12</v>
      </c>
      <c r="AI159">
        <v>12</v>
      </c>
      <c r="AJ159">
        <v>12</v>
      </c>
      <c r="AK159">
        <v>12</v>
      </c>
      <c r="AL159">
        <v>12</v>
      </c>
      <c r="AM159">
        <v>14</v>
      </c>
      <c r="AN159">
        <v>18</v>
      </c>
      <c r="AO159">
        <v>38</v>
      </c>
      <c r="AP159">
        <v>57</v>
      </c>
      <c r="AQ159">
        <v>100</v>
      </c>
      <c r="AR159">
        <v>130</v>
      </c>
      <c r="AS159">
        <v>191</v>
      </c>
      <c r="AT159">
        <v>204</v>
      </c>
      <c r="AU159">
        <v>285</v>
      </c>
      <c r="AV159">
        <v>377</v>
      </c>
      <c r="AW159">
        <v>653</v>
      </c>
      <c r="AX159">
        <v>949</v>
      </c>
      <c r="AY159">
        <v>1126</v>
      </c>
      <c r="AZ159">
        <v>1209</v>
      </c>
      <c r="BA159">
        <v>1784</v>
      </c>
      <c r="BB159">
        <v>2281</v>
      </c>
      <c r="BC159">
        <v>2281</v>
      </c>
      <c r="BD159">
        <v>3661</v>
      </c>
      <c r="BE159">
        <v>4469</v>
      </c>
      <c r="BF159">
        <v>4499</v>
      </c>
      <c r="BG159">
        <v>6633</v>
      </c>
      <c r="BH159">
        <v>7652</v>
      </c>
    </row>
    <row r="160" spans="1:60" x14ac:dyDescent="0.3">
      <c r="A160" t="s">
        <v>36</v>
      </c>
      <c r="B160" t="s">
        <v>365</v>
      </c>
      <c r="C160">
        <v>23.341699999999999</v>
      </c>
      <c r="D160">
        <v>113.42440000000001</v>
      </c>
      <c r="E160">
        <v>26</v>
      </c>
      <c r="F160">
        <v>32</v>
      </c>
      <c r="G160">
        <v>53</v>
      </c>
      <c r="H160">
        <v>78</v>
      </c>
      <c r="I160">
        <v>111</v>
      </c>
      <c r="J160">
        <v>151</v>
      </c>
      <c r="K160">
        <v>207</v>
      </c>
      <c r="L160">
        <v>277</v>
      </c>
      <c r="M160">
        <v>354</v>
      </c>
      <c r="N160">
        <v>436</v>
      </c>
      <c r="O160">
        <v>535</v>
      </c>
      <c r="P160">
        <v>632</v>
      </c>
      <c r="Q160">
        <v>725</v>
      </c>
      <c r="R160">
        <v>813</v>
      </c>
      <c r="S160">
        <v>895</v>
      </c>
      <c r="T160">
        <v>970</v>
      </c>
      <c r="U160">
        <v>1034</v>
      </c>
      <c r="V160">
        <v>1095</v>
      </c>
      <c r="W160">
        <v>1131</v>
      </c>
      <c r="X160">
        <v>1159</v>
      </c>
      <c r="Y160">
        <v>1177</v>
      </c>
      <c r="Z160">
        <v>1219</v>
      </c>
      <c r="AA160">
        <v>1241</v>
      </c>
      <c r="AB160">
        <v>1261</v>
      </c>
      <c r="AC160">
        <v>1294</v>
      </c>
      <c r="AD160">
        <v>1316</v>
      </c>
      <c r="AE160">
        <v>1322</v>
      </c>
      <c r="AF160">
        <v>1328</v>
      </c>
      <c r="AG160">
        <v>1331</v>
      </c>
      <c r="AH160">
        <v>1332</v>
      </c>
      <c r="AI160">
        <v>1333</v>
      </c>
      <c r="AJ160">
        <v>1339</v>
      </c>
      <c r="AK160">
        <v>1342</v>
      </c>
      <c r="AL160">
        <v>1345</v>
      </c>
      <c r="AM160">
        <v>1347</v>
      </c>
      <c r="AN160">
        <v>1347</v>
      </c>
      <c r="AO160">
        <v>1347</v>
      </c>
      <c r="AP160">
        <v>1348</v>
      </c>
      <c r="AQ160">
        <v>1349</v>
      </c>
      <c r="AR160">
        <v>1349</v>
      </c>
      <c r="AS160">
        <v>1350</v>
      </c>
      <c r="AT160">
        <v>1350</v>
      </c>
      <c r="AU160">
        <v>1350</v>
      </c>
      <c r="AV160">
        <v>1351</v>
      </c>
      <c r="AW160">
        <v>1352</v>
      </c>
      <c r="AX160">
        <v>1352</v>
      </c>
      <c r="AY160">
        <v>1352</v>
      </c>
      <c r="AZ160">
        <v>1352</v>
      </c>
      <c r="BA160">
        <v>1353</v>
      </c>
      <c r="BB160">
        <v>1356</v>
      </c>
      <c r="BC160">
        <v>1356</v>
      </c>
      <c r="BD160">
        <v>1356</v>
      </c>
      <c r="BE160">
        <v>1356</v>
      </c>
      <c r="BF160">
        <v>1360</v>
      </c>
      <c r="BG160">
        <v>1361</v>
      </c>
      <c r="BH160">
        <v>1364</v>
      </c>
    </row>
    <row r="161" spans="1:60" x14ac:dyDescent="0.3">
      <c r="A161" t="s">
        <v>42</v>
      </c>
      <c r="B161" t="s">
        <v>365</v>
      </c>
      <c r="C161">
        <v>33.881999999999998</v>
      </c>
      <c r="D161">
        <v>113.614</v>
      </c>
      <c r="E161">
        <v>5</v>
      </c>
      <c r="F161">
        <v>5</v>
      </c>
      <c r="G161">
        <v>9</v>
      </c>
      <c r="H161">
        <v>32</v>
      </c>
      <c r="I161">
        <v>83</v>
      </c>
      <c r="J161">
        <v>128</v>
      </c>
      <c r="K161">
        <v>168</v>
      </c>
      <c r="L161">
        <v>206</v>
      </c>
      <c r="M161">
        <v>278</v>
      </c>
      <c r="N161">
        <v>352</v>
      </c>
      <c r="O161">
        <v>422</v>
      </c>
      <c r="P161">
        <v>493</v>
      </c>
      <c r="Q161">
        <v>566</v>
      </c>
      <c r="R161">
        <v>675</v>
      </c>
      <c r="S161">
        <v>764</v>
      </c>
      <c r="T161">
        <v>851</v>
      </c>
      <c r="U161">
        <v>914</v>
      </c>
      <c r="V161">
        <v>981</v>
      </c>
      <c r="W161">
        <v>1033</v>
      </c>
      <c r="X161">
        <v>1073</v>
      </c>
      <c r="Y161">
        <v>1105</v>
      </c>
      <c r="Z161">
        <v>1135</v>
      </c>
      <c r="AA161">
        <v>1169</v>
      </c>
      <c r="AB161">
        <v>1184</v>
      </c>
      <c r="AC161">
        <v>1212</v>
      </c>
      <c r="AD161">
        <v>1231</v>
      </c>
      <c r="AE161">
        <v>1246</v>
      </c>
      <c r="AF161">
        <v>1257</v>
      </c>
      <c r="AG161">
        <v>1262</v>
      </c>
      <c r="AH161">
        <v>1265</v>
      </c>
      <c r="AI161">
        <v>1267</v>
      </c>
      <c r="AJ161">
        <v>1270</v>
      </c>
      <c r="AK161">
        <v>1271</v>
      </c>
      <c r="AL161">
        <v>1271</v>
      </c>
      <c r="AM161">
        <v>1271</v>
      </c>
      <c r="AN161">
        <v>1271</v>
      </c>
      <c r="AO161">
        <v>1272</v>
      </c>
      <c r="AP161">
        <v>1272</v>
      </c>
      <c r="AQ161">
        <v>1272</v>
      </c>
      <c r="AR161">
        <v>1272</v>
      </c>
      <c r="AS161">
        <v>1272</v>
      </c>
      <c r="AT161">
        <v>1272</v>
      </c>
      <c r="AU161">
        <v>1272</v>
      </c>
      <c r="AV161">
        <v>1272</v>
      </c>
      <c r="AW161">
        <v>1272</v>
      </c>
      <c r="AX161">
        <v>1272</v>
      </c>
      <c r="AY161">
        <v>1272</v>
      </c>
      <c r="AZ161">
        <v>1272</v>
      </c>
      <c r="BA161">
        <v>1272</v>
      </c>
      <c r="BB161">
        <v>1273</v>
      </c>
      <c r="BC161">
        <v>1273</v>
      </c>
      <c r="BD161">
        <v>1273</v>
      </c>
      <c r="BE161">
        <v>1273</v>
      </c>
      <c r="BF161">
        <v>1273</v>
      </c>
      <c r="BG161">
        <v>1273</v>
      </c>
      <c r="BH161">
        <v>1273</v>
      </c>
    </row>
    <row r="162" spans="1:60" x14ac:dyDescent="0.3">
      <c r="A162" t="s">
        <v>61</v>
      </c>
      <c r="B162" t="s">
        <v>365</v>
      </c>
      <c r="C162">
        <v>29.183199999999999</v>
      </c>
      <c r="D162">
        <v>120.0934</v>
      </c>
      <c r="E162">
        <v>10</v>
      </c>
      <c r="F162">
        <v>27</v>
      </c>
      <c r="G162">
        <v>43</v>
      </c>
      <c r="H162">
        <v>62</v>
      </c>
      <c r="I162">
        <v>104</v>
      </c>
      <c r="J162">
        <v>128</v>
      </c>
      <c r="K162">
        <v>173</v>
      </c>
      <c r="L162">
        <v>296</v>
      </c>
      <c r="M162">
        <v>428</v>
      </c>
      <c r="N162">
        <v>538</v>
      </c>
      <c r="O162">
        <v>599</v>
      </c>
      <c r="P162">
        <v>661</v>
      </c>
      <c r="Q162">
        <v>724</v>
      </c>
      <c r="R162">
        <v>829</v>
      </c>
      <c r="S162">
        <v>895</v>
      </c>
      <c r="T162">
        <v>954</v>
      </c>
      <c r="U162">
        <v>1006</v>
      </c>
      <c r="V162">
        <v>1048</v>
      </c>
      <c r="W162">
        <v>1075</v>
      </c>
      <c r="X162">
        <v>1092</v>
      </c>
      <c r="Y162">
        <v>1117</v>
      </c>
      <c r="Z162">
        <v>1131</v>
      </c>
      <c r="AA162">
        <v>1145</v>
      </c>
      <c r="AB162">
        <v>1155</v>
      </c>
      <c r="AC162">
        <v>1162</v>
      </c>
      <c r="AD162">
        <v>1167</v>
      </c>
      <c r="AE162">
        <v>1171</v>
      </c>
      <c r="AF162">
        <v>1172</v>
      </c>
      <c r="AG162">
        <v>1174</v>
      </c>
      <c r="AH162">
        <v>1175</v>
      </c>
      <c r="AI162">
        <v>1203</v>
      </c>
      <c r="AJ162">
        <v>1205</v>
      </c>
      <c r="AK162">
        <v>1205</v>
      </c>
      <c r="AL162">
        <v>1205</v>
      </c>
      <c r="AM162">
        <v>1205</v>
      </c>
      <c r="AN162">
        <v>1205</v>
      </c>
      <c r="AO162">
        <v>1205</v>
      </c>
      <c r="AP162">
        <v>1205</v>
      </c>
      <c r="AQ162">
        <v>1205</v>
      </c>
      <c r="AR162">
        <v>1205</v>
      </c>
      <c r="AS162">
        <v>1206</v>
      </c>
      <c r="AT162">
        <v>1213</v>
      </c>
      <c r="AU162">
        <v>1213</v>
      </c>
      <c r="AV162">
        <v>1215</v>
      </c>
      <c r="AW162">
        <v>1215</v>
      </c>
      <c r="AX162">
        <v>1215</v>
      </c>
      <c r="AY162">
        <v>1215</v>
      </c>
      <c r="AZ162">
        <v>1215</v>
      </c>
      <c r="BA162">
        <v>1215</v>
      </c>
      <c r="BB162">
        <v>1215</v>
      </c>
      <c r="BC162">
        <v>1215</v>
      </c>
      <c r="BD162">
        <v>1215</v>
      </c>
      <c r="BE162">
        <v>1227</v>
      </c>
      <c r="BF162">
        <v>1231</v>
      </c>
      <c r="BG162">
        <v>1231</v>
      </c>
      <c r="BH162">
        <v>1232</v>
      </c>
    </row>
    <row r="163" spans="1:60" x14ac:dyDescent="0.3">
      <c r="A163" t="s">
        <v>44</v>
      </c>
      <c r="B163" t="s">
        <v>365</v>
      </c>
      <c r="C163">
        <v>27.610399999999998</v>
      </c>
      <c r="D163">
        <v>111.7088</v>
      </c>
      <c r="E163">
        <v>4</v>
      </c>
      <c r="F163">
        <v>9</v>
      </c>
      <c r="G163">
        <v>24</v>
      </c>
      <c r="H163">
        <v>43</v>
      </c>
      <c r="I163">
        <v>69</v>
      </c>
      <c r="J163">
        <v>100</v>
      </c>
      <c r="K163">
        <v>143</v>
      </c>
      <c r="L163">
        <v>221</v>
      </c>
      <c r="M163">
        <v>277</v>
      </c>
      <c r="N163">
        <v>332</v>
      </c>
      <c r="O163">
        <v>389</v>
      </c>
      <c r="P163">
        <v>463</v>
      </c>
      <c r="Q163">
        <v>521</v>
      </c>
      <c r="R163">
        <v>593</v>
      </c>
      <c r="S163">
        <v>661</v>
      </c>
      <c r="T163">
        <v>711</v>
      </c>
      <c r="U163">
        <v>772</v>
      </c>
      <c r="V163">
        <v>803</v>
      </c>
      <c r="W163">
        <v>838</v>
      </c>
      <c r="X163">
        <v>879</v>
      </c>
      <c r="Y163">
        <v>912</v>
      </c>
      <c r="Z163">
        <v>946</v>
      </c>
      <c r="AA163">
        <v>968</v>
      </c>
      <c r="AB163">
        <v>988</v>
      </c>
      <c r="AC163">
        <v>1001</v>
      </c>
      <c r="AD163">
        <v>1004</v>
      </c>
      <c r="AE163">
        <v>1006</v>
      </c>
      <c r="AF163">
        <v>1007</v>
      </c>
      <c r="AG163">
        <v>1008</v>
      </c>
      <c r="AH163">
        <v>1010</v>
      </c>
      <c r="AI163">
        <v>1011</v>
      </c>
      <c r="AJ163">
        <v>1013</v>
      </c>
      <c r="AK163">
        <v>1016</v>
      </c>
      <c r="AL163">
        <v>1016</v>
      </c>
      <c r="AM163">
        <v>1016</v>
      </c>
      <c r="AN163">
        <v>1016</v>
      </c>
      <c r="AO163">
        <v>1017</v>
      </c>
      <c r="AP163">
        <v>1017</v>
      </c>
      <c r="AQ163">
        <v>1018</v>
      </c>
      <c r="AR163">
        <v>1018</v>
      </c>
      <c r="AS163">
        <v>1018</v>
      </c>
      <c r="AT163">
        <v>1018</v>
      </c>
      <c r="AU163">
        <v>1018</v>
      </c>
      <c r="AV163">
        <v>1018</v>
      </c>
      <c r="AW163">
        <v>1018</v>
      </c>
      <c r="AX163">
        <v>1018</v>
      </c>
      <c r="AY163">
        <v>1018</v>
      </c>
      <c r="AZ163">
        <v>1018</v>
      </c>
      <c r="BA163">
        <v>1018</v>
      </c>
      <c r="BB163">
        <v>1018</v>
      </c>
      <c r="BC163">
        <v>1018</v>
      </c>
      <c r="BD163">
        <v>1018</v>
      </c>
      <c r="BE163">
        <v>1018</v>
      </c>
      <c r="BF163">
        <v>1018</v>
      </c>
      <c r="BG163">
        <v>1018</v>
      </c>
      <c r="BH163">
        <v>1018</v>
      </c>
    </row>
    <row r="164" spans="1:60" x14ac:dyDescent="0.3">
      <c r="A164" t="s">
        <v>31</v>
      </c>
      <c r="B164" t="s">
        <v>365</v>
      </c>
      <c r="C164">
        <v>31.825700000000001</v>
      </c>
      <c r="D164">
        <v>117.2264</v>
      </c>
      <c r="E164">
        <v>1</v>
      </c>
      <c r="F164">
        <v>9</v>
      </c>
      <c r="G164">
        <v>15</v>
      </c>
      <c r="H164">
        <v>39</v>
      </c>
      <c r="I164">
        <v>60</v>
      </c>
      <c r="J164">
        <v>70</v>
      </c>
      <c r="K164">
        <v>106</v>
      </c>
      <c r="L164">
        <v>152</v>
      </c>
      <c r="M164">
        <v>200</v>
      </c>
      <c r="N164">
        <v>237</v>
      </c>
      <c r="O164">
        <v>297</v>
      </c>
      <c r="P164">
        <v>340</v>
      </c>
      <c r="Q164">
        <v>408</v>
      </c>
      <c r="R164">
        <v>480</v>
      </c>
      <c r="S164">
        <v>530</v>
      </c>
      <c r="T164">
        <v>591</v>
      </c>
      <c r="U164">
        <v>665</v>
      </c>
      <c r="V164">
        <v>733</v>
      </c>
      <c r="W164">
        <v>779</v>
      </c>
      <c r="X164">
        <v>830</v>
      </c>
      <c r="Y164">
        <v>860</v>
      </c>
      <c r="Z164">
        <v>889</v>
      </c>
      <c r="AA164">
        <v>910</v>
      </c>
      <c r="AB164">
        <v>934</v>
      </c>
      <c r="AC164">
        <v>950</v>
      </c>
      <c r="AD164">
        <v>962</v>
      </c>
      <c r="AE164">
        <v>973</v>
      </c>
      <c r="AF164">
        <v>982</v>
      </c>
      <c r="AG164">
        <v>986</v>
      </c>
      <c r="AH164">
        <v>987</v>
      </c>
      <c r="AI164">
        <v>988</v>
      </c>
      <c r="AJ164">
        <v>989</v>
      </c>
      <c r="AK164">
        <v>989</v>
      </c>
      <c r="AL164">
        <v>989</v>
      </c>
      <c r="AM164">
        <v>989</v>
      </c>
      <c r="AN164">
        <v>989</v>
      </c>
      <c r="AO164">
        <v>989</v>
      </c>
      <c r="AP164">
        <v>990</v>
      </c>
      <c r="AQ164">
        <v>990</v>
      </c>
      <c r="AR164">
        <v>990</v>
      </c>
      <c r="AS164">
        <v>990</v>
      </c>
      <c r="AT164">
        <v>990</v>
      </c>
      <c r="AU164">
        <v>990</v>
      </c>
      <c r="AV164">
        <v>990</v>
      </c>
      <c r="AW164">
        <v>990</v>
      </c>
      <c r="AX164">
        <v>990</v>
      </c>
      <c r="AY164">
        <v>990</v>
      </c>
      <c r="AZ164">
        <v>990</v>
      </c>
      <c r="BA164">
        <v>990</v>
      </c>
      <c r="BB164">
        <v>990</v>
      </c>
      <c r="BC164">
        <v>990</v>
      </c>
      <c r="BD164">
        <v>990</v>
      </c>
      <c r="BE164">
        <v>990</v>
      </c>
      <c r="BF164">
        <v>990</v>
      </c>
      <c r="BG164">
        <v>990</v>
      </c>
      <c r="BH164">
        <v>990</v>
      </c>
    </row>
    <row r="165" spans="1:60" x14ac:dyDescent="0.3">
      <c r="A165" t="s">
        <v>47</v>
      </c>
      <c r="B165" t="s">
        <v>365</v>
      </c>
      <c r="C165">
        <v>27.614000000000001</v>
      </c>
      <c r="D165">
        <v>115.7221</v>
      </c>
      <c r="E165">
        <v>2</v>
      </c>
      <c r="F165">
        <v>7</v>
      </c>
      <c r="G165">
        <v>18</v>
      </c>
      <c r="H165">
        <v>18</v>
      </c>
      <c r="I165">
        <v>36</v>
      </c>
      <c r="J165">
        <v>72</v>
      </c>
      <c r="K165">
        <v>109</v>
      </c>
      <c r="L165">
        <v>109</v>
      </c>
      <c r="M165">
        <v>162</v>
      </c>
      <c r="N165">
        <v>240</v>
      </c>
      <c r="O165">
        <v>286</v>
      </c>
      <c r="P165">
        <v>333</v>
      </c>
      <c r="Q165">
        <v>391</v>
      </c>
      <c r="R165">
        <v>476</v>
      </c>
      <c r="S165">
        <v>548</v>
      </c>
      <c r="T165">
        <v>600</v>
      </c>
      <c r="U165">
        <v>661</v>
      </c>
      <c r="V165">
        <v>698</v>
      </c>
      <c r="W165">
        <v>740</v>
      </c>
      <c r="X165">
        <v>771</v>
      </c>
      <c r="Y165">
        <v>804</v>
      </c>
      <c r="Z165">
        <v>844</v>
      </c>
      <c r="AA165">
        <v>872</v>
      </c>
      <c r="AB165">
        <v>900</v>
      </c>
      <c r="AC165">
        <v>913</v>
      </c>
      <c r="AD165">
        <v>925</v>
      </c>
      <c r="AE165">
        <v>930</v>
      </c>
      <c r="AF165">
        <v>933</v>
      </c>
      <c r="AG165">
        <v>934</v>
      </c>
      <c r="AH165">
        <v>934</v>
      </c>
      <c r="AI165">
        <v>934</v>
      </c>
      <c r="AJ165">
        <v>934</v>
      </c>
      <c r="AK165">
        <v>934</v>
      </c>
      <c r="AL165">
        <v>934</v>
      </c>
      <c r="AM165">
        <v>934</v>
      </c>
      <c r="AN165">
        <v>934</v>
      </c>
      <c r="AO165">
        <v>934</v>
      </c>
      <c r="AP165">
        <v>935</v>
      </c>
      <c r="AQ165">
        <v>935</v>
      </c>
      <c r="AR165">
        <v>935</v>
      </c>
      <c r="AS165">
        <v>935</v>
      </c>
      <c r="AT165">
        <v>935</v>
      </c>
      <c r="AU165">
        <v>935</v>
      </c>
      <c r="AV165">
        <v>935</v>
      </c>
      <c r="AW165">
        <v>935</v>
      </c>
      <c r="AX165">
        <v>935</v>
      </c>
      <c r="AY165">
        <v>935</v>
      </c>
      <c r="AZ165">
        <v>935</v>
      </c>
      <c r="BA165">
        <v>935</v>
      </c>
      <c r="BB165">
        <v>935</v>
      </c>
      <c r="BC165">
        <v>935</v>
      </c>
      <c r="BD165">
        <v>935</v>
      </c>
      <c r="BE165">
        <v>935</v>
      </c>
      <c r="BF165">
        <v>935</v>
      </c>
      <c r="BG165">
        <v>935</v>
      </c>
      <c r="BH165">
        <v>935</v>
      </c>
    </row>
    <row r="166" spans="1:60" x14ac:dyDescent="0.3">
      <c r="A166" t="s">
        <v>53</v>
      </c>
      <c r="B166" t="s">
        <v>365</v>
      </c>
      <c r="C166">
        <v>36.342700000000001</v>
      </c>
      <c r="D166">
        <v>118.1498</v>
      </c>
      <c r="E166">
        <v>2</v>
      </c>
      <c r="F166">
        <v>6</v>
      </c>
      <c r="G166">
        <v>15</v>
      </c>
      <c r="H166">
        <v>27</v>
      </c>
      <c r="I166">
        <v>46</v>
      </c>
      <c r="J166">
        <v>75</v>
      </c>
      <c r="K166">
        <v>95</v>
      </c>
      <c r="L166">
        <v>130</v>
      </c>
      <c r="M166">
        <v>158</v>
      </c>
      <c r="N166">
        <v>184</v>
      </c>
      <c r="O166">
        <v>206</v>
      </c>
      <c r="P166">
        <v>230</v>
      </c>
      <c r="Q166">
        <v>259</v>
      </c>
      <c r="R166">
        <v>275</v>
      </c>
      <c r="S166">
        <v>307</v>
      </c>
      <c r="T166">
        <v>347</v>
      </c>
      <c r="U166">
        <v>386</v>
      </c>
      <c r="V166">
        <v>416</v>
      </c>
      <c r="W166">
        <v>444</v>
      </c>
      <c r="X166">
        <v>466</v>
      </c>
      <c r="Y166">
        <v>487</v>
      </c>
      <c r="Z166">
        <v>497</v>
      </c>
      <c r="AA166">
        <v>509</v>
      </c>
      <c r="AB166">
        <v>523</v>
      </c>
      <c r="AC166">
        <v>532</v>
      </c>
      <c r="AD166">
        <v>537</v>
      </c>
      <c r="AE166">
        <v>541</v>
      </c>
      <c r="AF166">
        <v>543</v>
      </c>
      <c r="AG166">
        <v>544</v>
      </c>
      <c r="AH166">
        <v>546</v>
      </c>
      <c r="AI166">
        <v>749</v>
      </c>
      <c r="AJ166">
        <v>750</v>
      </c>
      <c r="AK166">
        <v>754</v>
      </c>
      <c r="AL166">
        <v>755</v>
      </c>
      <c r="AM166">
        <v>756</v>
      </c>
      <c r="AN166">
        <v>756</v>
      </c>
      <c r="AO166">
        <v>756</v>
      </c>
      <c r="AP166">
        <v>756</v>
      </c>
      <c r="AQ166">
        <v>756</v>
      </c>
      <c r="AR166">
        <v>758</v>
      </c>
      <c r="AS166">
        <v>758</v>
      </c>
      <c r="AT166">
        <v>758</v>
      </c>
      <c r="AU166">
        <v>758</v>
      </c>
      <c r="AV166">
        <v>758</v>
      </c>
      <c r="AW166">
        <v>758</v>
      </c>
      <c r="AX166">
        <v>758</v>
      </c>
      <c r="AY166">
        <v>758</v>
      </c>
      <c r="AZ166">
        <v>758</v>
      </c>
      <c r="BA166">
        <v>758</v>
      </c>
      <c r="BB166">
        <v>760</v>
      </c>
      <c r="BC166">
        <v>760</v>
      </c>
      <c r="BD166">
        <v>760</v>
      </c>
      <c r="BE166">
        <v>760</v>
      </c>
      <c r="BF166">
        <v>760</v>
      </c>
      <c r="BG166">
        <v>760</v>
      </c>
      <c r="BH166">
        <v>761</v>
      </c>
    </row>
    <row r="167" spans="1:60" x14ac:dyDescent="0.3">
      <c r="A167" t="s">
        <v>275</v>
      </c>
      <c r="B167" t="s">
        <v>368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61</v>
      </c>
      <c r="V167">
        <v>61</v>
      </c>
      <c r="W167">
        <v>64</v>
      </c>
      <c r="X167">
        <v>135</v>
      </c>
      <c r="Y167">
        <v>135</v>
      </c>
      <c r="Z167">
        <v>175</v>
      </c>
      <c r="AA167">
        <v>175</v>
      </c>
      <c r="AB167">
        <v>218</v>
      </c>
      <c r="AC167">
        <v>285</v>
      </c>
      <c r="AD167">
        <v>355</v>
      </c>
      <c r="AE167">
        <v>454</v>
      </c>
      <c r="AF167">
        <v>542</v>
      </c>
      <c r="AG167">
        <v>621</v>
      </c>
      <c r="AH167">
        <v>634</v>
      </c>
      <c r="AI167">
        <v>634</v>
      </c>
      <c r="AJ167">
        <v>634</v>
      </c>
      <c r="AK167">
        <v>691</v>
      </c>
      <c r="AL167">
        <v>691</v>
      </c>
      <c r="AM167">
        <v>691</v>
      </c>
      <c r="AN167">
        <v>705</v>
      </c>
      <c r="AO167">
        <v>705</v>
      </c>
      <c r="AP167">
        <v>705</v>
      </c>
      <c r="AQ167">
        <v>705</v>
      </c>
      <c r="AR167">
        <v>705</v>
      </c>
      <c r="AS167">
        <v>705</v>
      </c>
      <c r="AT167">
        <v>706</v>
      </c>
      <c r="AU167">
        <v>706</v>
      </c>
      <c r="AV167">
        <v>706</v>
      </c>
      <c r="AW167">
        <v>696</v>
      </c>
      <c r="AX167">
        <v>696</v>
      </c>
      <c r="AY167">
        <v>696</v>
      </c>
      <c r="AZ167">
        <v>696</v>
      </c>
      <c r="BA167">
        <v>696</v>
      </c>
      <c r="BB167">
        <v>696</v>
      </c>
      <c r="BC167">
        <v>696</v>
      </c>
      <c r="BD167">
        <v>696</v>
      </c>
      <c r="BE167">
        <v>696</v>
      </c>
      <c r="BF167">
        <v>696</v>
      </c>
      <c r="BG167">
        <v>696</v>
      </c>
      <c r="BH167">
        <v>696</v>
      </c>
    </row>
    <row r="168" spans="1:60" x14ac:dyDescent="0.3">
      <c r="A168" t="s">
        <v>46</v>
      </c>
      <c r="B168" t="s">
        <v>365</v>
      </c>
      <c r="C168">
        <v>32.9711</v>
      </c>
      <c r="D168">
        <v>119.455</v>
      </c>
      <c r="E168">
        <v>1</v>
      </c>
      <c r="F168">
        <v>5</v>
      </c>
      <c r="G168">
        <v>9</v>
      </c>
      <c r="H168">
        <v>18</v>
      </c>
      <c r="I168">
        <v>33</v>
      </c>
      <c r="J168">
        <v>47</v>
      </c>
      <c r="K168">
        <v>70</v>
      </c>
      <c r="L168">
        <v>99</v>
      </c>
      <c r="M168">
        <v>129</v>
      </c>
      <c r="N168">
        <v>168</v>
      </c>
      <c r="O168">
        <v>202</v>
      </c>
      <c r="P168">
        <v>236</v>
      </c>
      <c r="Q168">
        <v>271</v>
      </c>
      <c r="R168">
        <v>308</v>
      </c>
      <c r="S168">
        <v>341</v>
      </c>
      <c r="T168">
        <v>373</v>
      </c>
      <c r="U168">
        <v>408</v>
      </c>
      <c r="V168">
        <v>439</v>
      </c>
      <c r="W168">
        <v>468</v>
      </c>
      <c r="X168">
        <v>492</v>
      </c>
      <c r="Y168">
        <v>515</v>
      </c>
      <c r="Z168">
        <v>543</v>
      </c>
      <c r="AA168">
        <v>570</v>
      </c>
      <c r="AB168">
        <v>593</v>
      </c>
      <c r="AC168">
        <v>604</v>
      </c>
      <c r="AD168">
        <v>617</v>
      </c>
      <c r="AE168">
        <v>626</v>
      </c>
      <c r="AF168">
        <v>629</v>
      </c>
      <c r="AG168">
        <v>631</v>
      </c>
      <c r="AH168">
        <v>631</v>
      </c>
      <c r="AI168">
        <v>631</v>
      </c>
      <c r="AJ168">
        <v>631</v>
      </c>
      <c r="AK168">
        <v>631</v>
      </c>
      <c r="AL168">
        <v>631</v>
      </c>
      <c r="AM168">
        <v>631</v>
      </c>
      <c r="AN168">
        <v>631</v>
      </c>
      <c r="AO168">
        <v>631</v>
      </c>
      <c r="AP168">
        <v>631</v>
      </c>
      <c r="AQ168">
        <v>631</v>
      </c>
      <c r="AR168">
        <v>631</v>
      </c>
      <c r="AS168">
        <v>631</v>
      </c>
      <c r="AT168">
        <v>631</v>
      </c>
      <c r="AU168">
        <v>631</v>
      </c>
      <c r="AV168">
        <v>631</v>
      </c>
      <c r="AW168">
        <v>631</v>
      </c>
      <c r="AX168">
        <v>631</v>
      </c>
      <c r="AY168">
        <v>631</v>
      </c>
      <c r="AZ168">
        <v>631</v>
      </c>
      <c r="BA168">
        <v>631</v>
      </c>
      <c r="BB168">
        <v>631</v>
      </c>
      <c r="BC168">
        <v>631</v>
      </c>
      <c r="BD168">
        <v>631</v>
      </c>
      <c r="BE168">
        <v>631</v>
      </c>
      <c r="BF168">
        <v>631</v>
      </c>
      <c r="BG168">
        <v>631</v>
      </c>
      <c r="BH168">
        <v>631</v>
      </c>
    </row>
    <row r="169" spans="1:60" x14ac:dyDescent="0.3">
      <c r="A169" t="s">
        <v>33</v>
      </c>
      <c r="B169" t="s">
        <v>365</v>
      </c>
      <c r="C169">
        <v>30.057200000000002</v>
      </c>
      <c r="D169">
        <v>107.874</v>
      </c>
      <c r="E169">
        <v>6</v>
      </c>
      <c r="F169">
        <v>9</v>
      </c>
      <c r="G169">
        <v>27</v>
      </c>
      <c r="H169">
        <v>57</v>
      </c>
      <c r="I169">
        <v>75</v>
      </c>
      <c r="J169">
        <v>110</v>
      </c>
      <c r="K169">
        <v>132</v>
      </c>
      <c r="L169">
        <v>147</v>
      </c>
      <c r="M169">
        <v>182</v>
      </c>
      <c r="N169">
        <v>211</v>
      </c>
      <c r="O169">
        <v>247</v>
      </c>
      <c r="P169">
        <v>300</v>
      </c>
      <c r="Q169">
        <v>337</v>
      </c>
      <c r="R169">
        <v>366</v>
      </c>
      <c r="S169">
        <v>389</v>
      </c>
      <c r="T169">
        <v>411</v>
      </c>
      <c r="U169">
        <v>426</v>
      </c>
      <c r="V169">
        <v>428</v>
      </c>
      <c r="W169">
        <v>468</v>
      </c>
      <c r="X169">
        <v>486</v>
      </c>
      <c r="Y169">
        <v>505</v>
      </c>
      <c r="Z169">
        <v>518</v>
      </c>
      <c r="AA169">
        <v>529</v>
      </c>
      <c r="AB169">
        <v>537</v>
      </c>
      <c r="AC169">
        <v>544</v>
      </c>
      <c r="AD169">
        <v>551</v>
      </c>
      <c r="AE169">
        <v>553</v>
      </c>
      <c r="AF169">
        <v>555</v>
      </c>
      <c r="AG169">
        <v>560</v>
      </c>
      <c r="AH169">
        <v>567</v>
      </c>
      <c r="AI169">
        <v>572</v>
      </c>
      <c r="AJ169">
        <v>573</v>
      </c>
      <c r="AK169">
        <v>575</v>
      </c>
      <c r="AL169">
        <v>576</v>
      </c>
      <c r="AM169">
        <v>576</v>
      </c>
      <c r="AN169">
        <v>576</v>
      </c>
      <c r="AO169">
        <v>576</v>
      </c>
      <c r="AP169">
        <v>576</v>
      </c>
      <c r="AQ169">
        <v>576</v>
      </c>
      <c r="AR169">
        <v>576</v>
      </c>
      <c r="AS169">
        <v>576</v>
      </c>
      <c r="AT169">
        <v>576</v>
      </c>
      <c r="AU169">
        <v>576</v>
      </c>
      <c r="AV169">
        <v>576</v>
      </c>
      <c r="AW169">
        <v>576</v>
      </c>
      <c r="AX169">
        <v>576</v>
      </c>
      <c r="AY169">
        <v>576</v>
      </c>
      <c r="AZ169">
        <v>576</v>
      </c>
      <c r="BA169">
        <v>576</v>
      </c>
      <c r="BB169">
        <v>576</v>
      </c>
      <c r="BC169">
        <v>576</v>
      </c>
      <c r="BD169">
        <v>576</v>
      </c>
      <c r="BE169">
        <v>576</v>
      </c>
      <c r="BF169">
        <v>576</v>
      </c>
      <c r="BG169">
        <v>576</v>
      </c>
      <c r="BH169">
        <v>576</v>
      </c>
    </row>
    <row r="170" spans="1:60" x14ac:dyDescent="0.3">
      <c r="A170" t="s">
        <v>56</v>
      </c>
      <c r="B170" t="s">
        <v>365</v>
      </c>
      <c r="C170">
        <v>30.617100000000001</v>
      </c>
      <c r="D170">
        <v>102.7103</v>
      </c>
      <c r="E170">
        <v>5</v>
      </c>
      <c r="F170">
        <v>8</v>
      </c>
      <c r="G170">
        <v>15</v>
      </c>
      <c r="H170">
        <v>28</v>
      </c>
      <c r="I170">
        <v>44</v>
      </c>
      <c r="J170">
        <v>69</v>
      </c>
      <c r="K170">
        <v>90</v>
      </c>
      <c r="L170">
        <v>108</v>
      </c>
      <c r="M170">
        <v>142</v>
      </c>
      <c r="N170">
        <v>177</v>
      </c>
      <c r="O170">
        <v>207</v>
      </c>
      <c r="P170">
        <v>231</v>
      </c>
      <c r="Q170">
        <v>254</v>
      </c>
      <c r="R170">
        <v>282</v>
      </c>
      <c r="S170">
        <v>301</v>
      </c>
      <c r="T170">
        <v>321</v>
      </c>
      <c r="U170">
        <v>344</v>
      </c>
      <c r="V170">
        <v>364</v>
      </c>
      <c r="W170">
        <v>386</v>
      </c>
      <c r="X170">
        <v>405</v>
      </c>
      <c r="Y170">
        <v>417</v>
      </c>
      <c r="Z170">
        <v>436</v>
      </c>
      <c r="AA170">
        <v>451</v>
      </c>
      <c r="AB170">
        <v>463</v>
      </c>
      <c r="AC170">
        <v>470</v>
      </c>
      <c r="AD170">
        <v>481</v>
      </c>
      <c r="AE170">
        <v>495</v>
      </c>
      <c r="AF170">
        <v>508</v>
      </c>
      <c r="AG170">
        <v>514</v>
      </c>
      <c r="AH170">
        <v>520</v>
      </c>
      <c r="AI170">
        <v>525</v>
      </c>
      <c r="AJ170">
        <v>526</v>
      </c>
      <c r="AK170">
        <v>526</v>
      </c>
      <c r="AL170">
        <v>527</v>
      </c>
      <c r="AM170">
        <v>529</v>
      </c>
      <c r="AN170">
        <v>531</v>
      </c>
      <c r="AO170">
        <v>534</v>
      </c>
      <c r="AP170">
        <v>538</v>
      </c>
      <c r="AQ170">
        <v>538</v>
      </c>
      <c r="AR170">
        <v>538</v>
      </c>
      <c r="AS170">
        <v>538</v>
      </c>
      <c r="AT170">
        <v>538</v>
      </c>
      <c r="AU170">
        <v>538</v>
      </c>
      <c r="AV170">
        <v>539</v>
      </c>
      <c r="AW170">
        <v>539</v>
      </c>
      <c r="AX170">
        <v>539</v>
      </c>
      <c r="AY170">
        <v>539</v>
      </c>
      <c r="AZ170">
        <v>539</v>
      </c>
      <c r="BA170">
        <v>539</v>
      </c>
      <c r="BB170">
        <v>539</v>
      </c>
      <c r="BC170">
        <v>539</v>
      </c>
      <c r="BD170">
        <v>539</v>
      </c>
      <c r="BE170">
        <v>539</v>
      </c>
      <c r="BF170">
        <v>539</v>
      </c>
      <c r="BG170">
        <v>539</v>
      </c>
      <c r="BH170">
        <v>540</v>
      </c>
    </row>
    <row r="171" spans="1:60" x14ac:dyDescent="0.3">
      <c r="A171" t="s">
        <v>41</v>
      </c>
      <c r="B171" t="s">
        <v>365</v>
      </c>
      <c r="C171">
        <v>47.862000000000002</v>
      </c>
      <c r="D171">
        <v>127.7615</v>
      </c>
      <c r="E171">
        <v>0</v>
      </c>
      <c r="F171">
        <v>2</v>
      </c>
      <c r="G171">
        <v>4</v>
      </c>
      <c r="H171">
        <v>9</v>
      </c>
      <c r="I171">
        <v>15</v>
      </c>
      <c r="J171">
        <v>21</v>
      </c>
      <c r="K171">
        <v>33</v>
      </c>
      <c r="L171">
        <v>38</v>
      </c>
      <c r="M171">
        <v>44</v>
      </c>
      <c r="N171">
        <v>59</v>
      </c>
      <c r="O171">
        <v>80</v>
      </c>
      <c r="P171">
        <v>95</v>
      </c>
      <c r="Q171">
        <v>121</v>
      </c>
      <c r="R171">
        <v>155</v>
      </c>
      <c r="S171">
        <v>190</v>
      </c>
      <c r="T171">
        <v>227</v>
      </c>
      <c r="U171">
        <v>277</v>
      </c>
      <c r="V171">
        <v>295</v>
      </c>
      <c r="W171">
        <v>307</v>
      </c>
      <c r="X171">
        <v>331</v>
      </c>
      <c r="Y171">
        <v>360</v>
      </c>
      <c r="Z171">
        <v>378</v>
      </c>
      <c r="AA171">
        <v>395</v>
      </c>
      <c r="AB171">
        <v>419</v>
      </c>
      <c r="AC171">
        <v>425</v>
      </c>
      <c r="AD171">
        <v>445</v>
      </c>
      <c r="AE171">
        <v>457</v>
      </c>
      <c r="AF171">
        <v>464</v>
      </c>
      <c r="AG171">
        <v>470</v>
      </c>
      <c r="AH171">
        <v>476</v>
      </c>
      <c r="AI171">
        <v>479</v>
      </c>
      <c r="AJ171">
        <v>479</v>
      </c>
      <c r="AK171">
        <v>480</v>
      </c>
      <c r="AL171">
        <v>480</v>
      </c>
      <c r="AM171">
        <v>480</v>
      </c>
      <c r="AN171">
        <v>480</v>
      </c>
      <c r="AO171">
        <v>480</v>
      </c>
      <c r="AP171">
        <v>480</v>
      </c>
      <c r="AQ171">
        <v>480</v>
      </c>
      <c r="AR171">
        <v>480</v>
      </c>
      <c r="AS171">
        <v>480</v>
      </c>
      <c r="AT171">
        <v>480</v>
      </c>
      <c r="AU171">
        <v>480</v>
      </c>
      <c r="AV171">
        <v>481</v>
      </c>
      <c r="AW171">
        <v>481</v>
      </c>
      <c r="AX171">
        <v>481</v>
      </c>
      <c r="AY171">
        <v>481</v>
      </c>
      <c r="AZ171">
        <v>481</v>
      </c>
      <c r="BA171">
        <v>481</v>
      </c>
      <c r="BB171">
        <v>482</v>
      </c>
      <c r="BC171">
        <v>482</v>
      </c>
      <c r="BD171">
        <v>482</v>
      </c>
      <c r="BE171">
        <v>482</v>
      </c>
      <c r="BF171">
        <v>482</v>
      </c>
      <c r="BG171">
        <v>482</v>
      </c>
      <c r="BH171">
        <v>482</v>
      </c>
    </row>
    <row r="172" spans="1:60" x14ac:dyDescent="0.3">
      <c r="A172" t="s">
        <v>114</v>
      </c>
      <c r="B172" t="s">
        <v>114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1</v>
      </c>
      <c r="AP172">
        <v>1</v>
      </c>
      <c r="AQ172">
        <v>3</v>
      </c>
      <c r="AR172">
        <v>4</v>
      </c>
      <c r="AS172">
        <v>4</v>
      </c>
      <c r="AT172">
        <v>6</v>
      </c>
      <c r="AU172">
        <v>10</v>
      </c>
      <c r="AV172">
        <v>10</v>
      </c>
      <c r="AW172">
        <v>23</v>
      </c>
      <c r="AX172">
        <v>23</v>
      </c>
      <c r="AY172">
        <v>35</v>
      </c>
      <c r="AZ172">
        <v>90</v>
      </c>
      <c r="BA172">
        <v>262</v>
      </c>
      <c r="BB172">
        <v>442</v>
      </c>
      <c r="BC172">
        <v>615</v>
      </c>
      <c r="BD172">
        <v>801</v>
      </c>
      <c r="BE172">
        <v>827</v>
      </c>
      <c r="BF172">
        <v>864</v>
      </c>
      <c r="BG172">
        <v>914</v>
      </c>
      <c r="BH172">
        <v>977</v>
      </c>
    </row>
    <row r="173" spans="1:60" x14ac:dyDescent="0.3">
      <c r="A173" t="s">
        <v>32</v>
      </c>
      <c r="B173" t="s">
        <v>365</v>
      </c>
      <c r="C173">
        <v>40.182400000000001</v>
      </c>
      <c r="D173">
        <v>116.41419999999999</v>
      </c>
      <c r="E173">
        <v>14</v>
      </c>
      <c r="F173">
        <v>22</v>
      </c>
      <c r="G173">
        <v>36</v>
      </c>
      <c r="H173">
        <v>41</v>
      </c>
      <c r="I173">
        <v>68</v>
      </c>
      <c r="J173">
        <v>80</v>
      </c>
      <c r="K173">
        <v>91</v>
      </c>
      <c r="L173">
        <v>111</v>
      </c>
      <c r="M173">
        <v>114</v>
      </c>
      <c r="N173">
        <v>139</v>
      </c>
      <c r="O173">
        <v>168</v>
      </c>
      <c r="P173">
        <v>191</v>
      </c>
      <c r="Q173">
        <v>212</v>
      </c>
      <c r="R173">
        <v>228</v>
      </c>
      <c r="S173">
        <v>253</v>
      </c>
      <c r="T173">
        <v>274</v>
      </c>
      <c r="U173">
        <v>297</v>
      </c>
      <c r="V173">
        <v>315</v>
      </c>
      <c r="W173">
        <v>326</v>
      </c>
      <c r="X173">
        <v>337</v>
      </c>
      <c r="Y173">
        <v>342</v>
      </c>
      <c r="Z173">
        <v>352</v>
      </c>
      <c r="AA173">
        <v>366</v>
      </c>
      <c r="AB173">
        <v>372</v>
      </c>
      <c r="AC173">
        <v>375</v>
      </c>
      <c r="AD173">
        <v>380</v>
      </c>
      <c r="AE173">
        <v>381</v>
      </c>
      <c r="AF173">
        <v>387</v>
      </c>
      <c r="AG173">
        <v>393</v>
      </c>
      <c r="AH173">
        <v>395</v>
      </c>
      <c r="AI173">
        <v>396</v>
      </c>
      <c r="AJ173">
        <v>399</v>
      </c>
      <c r="AK173">
        <v>399</v>
      </c>
      <c r="AL173">
        <v>399</v>
      </c>
      <c r="AM173">
        <v>400</v>
      </c>
      <c r="AN173">
        <v>400</v>
      </c>
      <c r="AO173">
        <v>410</v>
      </c>
      <c r="AP173">
        <v>410</v>
      </c>
      <c r="AQ173">
        <v>411</v>
      </c>
      <c r="AR173">
        <v>413</v>
      </c>
      <c r="AS173">
        <v>414</v>
      </c>
      <c r="AT173">
        <v>414</v>
      </c>
      <c r="AU173">
        <v>418</v>
      </c>
      <c r="AV173">
        <v>418</v>
      </c>
      <c r="AW173">
        <v>422</v>
      </c>
      <c r="AX173">
        <v>426</v>
      </c>
      <c r="AY173">
        <v>428</v>
      </c>
      <c r="AZ173">
        <v>428</v>
      </c>
      <c r="BA173">
        <v>429</v>
      </c>
      <c r="BB173">
        <v>435</v>
      </c>
      <c r="BC173">
        <v>435</v>
      </c>
      <c r="BD173">
        <v>436</v>
      </c>
      <c r="BE173">
        <v>437</v>
      </c>
      <c r="BF173">
        <v>442</v>
      </c>
      <c r="BG173">
        <v>452</v>
      </c>
      <c r="BH173">
        <v>456</v>
      </c>
    </row>
    <row r="174" spans="1:60" x14ac:dyDescent="0.3">
      <c r="A174" t="s">
        <v>54</v>
      </c>
      <c r="B174" t="s">
        <v>365</v>
      </c>
      <c r="C174">
        <v>31.202000000000002</v>
      </c>
      <c r="D174">
        <v>121.4491</v>
      </c>
      <c r="E174">
        <v>9</v>
      </c>
      <c r="F174">
        <v>16</v>
      </c>
      <c r="G174">
        <v>20</v>
      </c>
      <c r="H174">
        <v>33</v>
      </c>
      <c r="I174">
        <v>40</v>
      </c>
      <c r="J174">
        <v>53</v>
      </c>
      <c r="K174">
        <v>66</v>
      </c>
      <c r="L174">
        <v>96</v>
      </c>
      <c r="M174">
        <v>112</v>
      </c>
      <c r="N174">
        <v>135</v>
      </c>
      <c r="O174">
        <v>169</v>
      </c>
      <c r="P174">
        <v>182</v>
      </c>
      <c r="Q174">
        <v>203</v>
      </c>
      <c r="R174">
        <v>219</v>
      </c>
      <c r="S174">
        <v>243</v>
      </c>
      <c r="T174">
        <v>257</v>
      </c>
      <c r="U174">
        <v>277</v>
      </c>
      <c r="V174">
        <v>286</v>
      </c>
      <c r="W174">
        <v>293</v>
      </c>
      <c r="X174">
        <v>299</v>
      </c>
      <c r="Y174">
        <v>303</v>
      </c>
      <c r="Z174">
        <v>311</v>
      </c>
      <c r="AA174">
        <v>315</v>
      </c>
      <c r="AB174">
        <v>318</v>
      </c>
      <c r="AC174">
        <v>326</v>
      </c>
      <c r="AD174">
        <v>328</v>
      </c>
      <c r="AE174">
        <v>333</v>
      </c>
      <c r="AF174">
        <v>333</v>
      </c>
      <c r="AG174">
        <v>333</v>
      </c>
      <c r="AH174">
        <v>334</v>
      </c>
      <c r="AI174">
        <v>334</v>
      </c>
      <c r="AJ174">
        <v>335</v>
      </c>
      <c r="AK174">
        <v>335</v>
      </c>
      <c r="AL174">
        <v>335</v>
      </c>
      <c r="AM174">
        <v>336</v>
      </c>
      <c r="AN174">
        <v>337</v>
      </c>
      <c r="AO174">
        <v>337</v>
      </c>
      <c r="AP174">
        <v>337</v>
      </c>
      <c r="AQ174">
        <v>337</v>
      </c>
      <c r="AR174">
        <v>337</v>
      </c>
      <c r="AS174">
        <v>337</v>
      </c>
      <c r="AT174">
        <v>338</v>
      </c>
      <c r="AU174">
        <v>338</v>
      </c>
      <c r="AV174">
        <v>339</v>
      </c>
      <c r="AW174">
        <v>342</v>
      </c>
      <c r="AX174">
        <v>342</v>
      </c>
      <c r="AY174">
        <v>342</v>
      </c>
      <c r="AZ174">
        <v>342</v>
      </c>
      <c r="BA174">
        <v>344</v>
      </c>
      <c r="BB174">
        <v>344</v>
      </c>
      <c r="BC174">
        <v>344</v>
      </c>
      <c r="BD174">
        <v>346</v>
      </c>
      <c r="BE174">
        <v>353</v>
      </c>
      <c r="BF174">
        <v>353</v>
      </c>
      <c r="BG174">
        <v>355</v>
      </c>
      <c r="BH174">
        <v>358</v>
      </c>
    </row>
    <row r="175" spans="1:60" x14ac:dyDescent="0.3">
      <c r="A175" t="s">
        <v>40</v>
      </c>
      <c r="B175" t="s">
        <v>365</v>
      </c>
      <c r="C175">
        <v>39.548999999999999</v>
      </c>
      <c r="D175">
        <v>116.1306</v>
      </c>
      <c r="E175">
        <v>1</v>
      </c>
      <c r="F175">
        <v>1</v>
      </c>
      <c r="G175">
        <v>2</v>
      </c>
      <c r="H175">
        <v>8</v>
      </c>
      <c r="I175">
        <v>13</v>
      </c>
      <c r="J175">
        <v>18</v>
      </c>
      <c r="K175">
        <v>33</v>
      </c>
      <c r="L175">
        <v>48</v>
      </c>
      <c r="M175">
        <v>65</v>
      </c>
      <c r="N175">
        <v>82</v>
      </c>
      <c r="O175">
        <v>96</v>
      </c>
      <c r="P175">
        <v>104</v>
      </c>
      <c r="Q175">
        <v>113</v>
      </c>
      <c r="R175">
        <v>126</v>
      </c>
      <c r="S175">
        <v>135</v>
      </c>
      <c r="T175">
        <v>157</v>
      </c>
      <c r="U175">
        <v>172</v>
      </c>
      <c r="V175">
        <v>195</v>
      </c>
      <c r="W175">
        <v>206</v>
      </c>
      <c r="X175">
        <v>218</v>
      </c>
      <c r="Y175">
        <v>239</v>
      </c>
      <c r="Z175">
        <v>251</v>
      </c>
      <c r="AA175">
        <v>265</v>
      </c>
      <c r="AB175">
        <v>283</v>
      </c>
      <c r="AC175">
        <v>291</v>
      </c>
      <c r="AD175">
        <v>300</v>
      </c>
      <c r="AE175">
        <v>301</v>
      </c>
      <c r="AF175">
        <v>306</v>
      </c>
      <c r="AG175">
        <v>306</v>
      </c>
      <c r="AH175">
        <v>307</v>
      </c>
      <c r="AI175">
        <v>308</v>
      </c>
      <c r="AJ175">
        <v>309</v>
      </c>
      <c r="AK175">
        <v>311</v>
      </c>
      <c r="AL175">
        <v>311</v>
      </c>
      <c r="AM175">
        <v>311</v>
      </c>
      <c r="AN175">
        <v>312</v>
      </c>
      <c r="AO175">
        <v>317</v>
      </c>
      <c r="AP175">
        <v>318</v>
      </c>
      <c r="AQ175">
        <v>318</v>
      </c>
      <c r="AR175">
        <v>318</v>
      </c>
      <c r="AS175">
        <v>318</v>
      </c>
      <c r="AT175">
        <v>318</v>
      </c>
      <c r="AU175">
        <v>318</v>
      </c>
      <c r="AV175">
        <v>318</v>
      </c>
      <c r="AW175">
        <v>318</v>
      </c>
      <c r="AX175">
        <v>318</v>
      </c>
      <c r="AY175">
        <v>318</v>
      </c>
      <c r="AZ175">
        <v>318</v>
      </c>
      <c r="BA175">
        <v>318</v>
      </c>
      <c r="BB175">
        <v>318</v>
      </c>
      <c r="BC175">
        <v>318</v>
      </c>
      <c r="BD175">
        <v>318</v>
      </c>
      <c r="BE175">
        <v>318</v>
      </c>
      <c r="BF175">
        <v>318</v>
      </c>
      <c r="BG175">
        <v>318</v>
      </c>
      <c r="BH175">
        <v>318</v>
      </c>
    </row>
    <row r="176" spans="1:60" x14ac:dyDescent="0.3">
      <c r="A176" t="s">
        <v>34</v>
      </c>
      <c r="B176" t="s">
        <v>365</v>
      </c>
      <c r="C176">
        <v>26.078900000000001</v>
      </c>
      <c r="D176">
        <v>117.98739999999999</v>
      </c>
      <c r="E176">
        <v>1</v>
      </c>
      <c r="F176">
        <v>5</v>
      </c>
      <c r="G176">
        <v>10</v>
      </c>
      <c r="H176">
        <v>18</v>
      </c>
      <c r="I176">
        <v>35</v>
      </c>
      <c r="J176">
        <v>59</v>
      </c>
      <c r="K176">
        <v>80</v>
      </c>
      <c r="L176">
        <v>84</v>
      </c>
      <c r="M176">
        <v>101</v>
      </c>
      <c r="N176">
        <v>120</v>
      </c>
      <c r="O176">
        <v>144</v>
      </c>
      <c r="P176">
        <v>159</v>
      </c>
      <c r="Q176">
        <v>179</v>
      </c>
      <c r="R176">
        <v>194</v>
      </c>
      <c r="S176">
        <v>205</v>
      </c>
      <c r="T176">
        <v>215</v>
      </c>
      <c r="U176">
        <v>224</v>
      </c>
      <c r="V176">
        <v>239</v>
      </c>
      <c r="W176">
        <v>250</v>
      </c>
      <c r="X176">
        <v>261</v>
      </c>
      <c r="Y176">
        <v>267</v>
      </c>
      <c r="Z176">
        <v>272</v>
      </c>
      <c r="AA176">
        <v>279</v>
      </c>
      <c r="AB176">
        <v>281</v>
      </c>
      <c r="AC176">
        <v>285</v>
      </c>
      <c r="AD176">
        <v>287</v>
      </c>
      <c r="AE176">
        <v>290</v>
      </c>
      <c r="AF176">
        <v>292</v>
      </c>
      <c r="AG176">
        <v>293</v>
      </c>
      <c r="AH176">
        <v>293</v>
      </c>
      <c r="AI176">
        <v>293</v>
      </c>
      <c r="AJ176">
        <v>293</v>
      </c>
      <c r="AK176">
        <v>293</v>
      </c>
      <c r="AL176">
        <v>293</v>
      </c>
      <c r="AM176">
        <v>294</v>
      </c>
      <c r="AN176">
        <v>294</v>
      </c>
      <c r="AO176">
        <v>296</v>
      </c>
      <c r="AP176">
        <v>296</v>
      </c>
      <c r="AQ176">
        <v>296</v>
      </c>
      <c r="AR176">
        <v>296</v>
      </c>
      <c r="AS176">
        <v>296</v>
      </c>
      <c r="AT176">
        <v>296</v>
      </c>
      <c r="AU176">
        <v>296</v>
      </c>
      <c r="AV176">
        <v>296</v>
      </c>
      <c r="AW176">
        <v>296</v>
      </c>
      <c r="AX176">
        <v>296</v>
      </c>
      <c r="AY176">
        <v>296</v>
      </c>
      <c r="AZ176">
        <v>296</v>
      </c>
      <c r="BA176">
        <v>296</v>
      </c>
      <c r="BB176">
        <v>296</v>
      </c>
      <c r="BC176">
        <v>296</v>
      </c>
      <c r="BD176">
        <v>296</v>
      </c>
      <c r="BE176">
        <v>296</v>
      </c>
      <c r="BF176">
        <v>296</v>
      </c>
      <c r="BG176">
        <v>296</v>
      </c>
      <c r="BH176">
        <v>296</v>
      </c>
    </row>
    <row r="177" spans="1:60" x14ac:dyDescent="0.3">
      <c r="A177" t="s">
        <v>37</v>
      </c>
      <c r="B177" t="s">
        <v>365</v>
      </c>
      <c r="C177">
        <v>23.829799999999999</v>
      </c>
      <c r="D177">
        <v>108.7881</v>
      </c>
      <c r="E177">
        <v>2</v>
      </c>
      <c r="F177">
        <v>5</v>
      </c>
      <c r="G177">
        <v>23</v>
      </c>
      <c r="H177">
        <v>23</v>
      </c>
      <c r="I177">
        <v>36</v>
      </c>
      <c r="J177">
        <v>46</v>
      </c>
      <c r="K177">
        <v>51</v>
      </c>
      <c r="L177">
        <v>58</v>
      </c>
      <c r="M177">
        <v>78</v>
      </c>
      <c r="N177">
        <v>87</v>
      </c>
      <c r="O177">
        <v>100</v>
      </c>
      <c r="P177">
        <v>111</v>
      </c>
      <c r="Q177">
        <v>127</v>
      </c>
      <c r="R177">
        <v>139</v>
      </c>
      <c r="S177">
        <v>150</v>
      </c>
      <c r="T177">
        <v>168</v>
      </c>
      <c r="U177">
        <v>172</v>
      </c>
      <c r="V177">
        <v>183</v>
      </c>
      <c r="W177">
        <v>195</v>
      </c>
      <c r="X177">
        <v>210</v>
      </c>
      <c r="Y177">
        <v>215</v>
      </c>
      <c r="Z177">
        <v>222</v>
      </c>
      <c r="AA177">
        <v>222</v>
      </c>
      <c r="AB177">
        <v>226</v>
      </c>
      <c r="AC177">
        <v>235</v>
      </c>
      <c r="AD177">
        <v>237</v>
      </c>
      <c r="AE177">
        <v>238</v>
      </c>
      <c r="AF177">
        <v>242</v>
      </c>
      <c r="AG177">
        <v>244</v>
      </c>
      <c r="AH177">
        <v>245</v>
      </c>
      <c r="AI177">
        <v>246</v>
      </c>
      <c r="AJ177">
        <v>249</v>
      </c>
      <c r="AK177">
        <v>249</v>
      </c>
      <c r="AL177">
        <v>251</v>
      </c>
      <c r="AM177">
        <v>252</v>
      </c>
      <c r="AN177">
        <v>252</v>
      </c>
      <c r="AO177">
        <v>252</v>
      </c>
      <c r="AP177">
        <v>252</v>
      </c>
      <c r="AQ177">
        <v>252</v>
      </c>
      <c r="AR177">
        <v>252</v>
      </c>
      <c r="AS177">
        <v>252</v>
      </c>
      <c r="AT177">
        <v>252</v>
      </c>
      <c r="AU177">
        <v>252</v>
      </c>
      <c r="AV177">
        <v>252</v>
      </c>
      <c r="AW177">
        <v>252</v>
      </c>
      <c r="AX177">
        <v>252</v>
      </c>
      <c r="AY177">
        <v>252</v>
      </c>
      <c r="AZ177">
        <v>252</v>
      </c>
      <c r="BA177">
        <v>252</v>
      </c>
      <c r="BB177">
        <v>252</v>
      </c>
      <c r="BC177">
        <v>252</v>
      </c>
      <c r="BD177">
        <v>252</v>
      </c>
      <c r="BE177">
        <v>252</v>
      </c>
      <c r="BF177">
        <v>252</v>
      </c>
      <c r="BG177">
        <v>252</v>
      </c>
      <c r="BH177">
        <v>253</v>
      </c>
    </row>
    <row r="178" spans="1:60" x14ac:dyDescent="0.3">
      <c r="A178" t="s">
        <v>52</v>
      </c>
      <c r="B178" t="s">
        <v>365</v>
      </c>
      <c r="C178">
        <v>35.191699999999997</v>
      </c>
      <c r="D178">
        <v>108.87009999999999</v>
      </c>
      <c r="E178">
        <v>0</v>
      </c>
      <c r="F178">
        <v>3</v>
      </c>
      <c r="G178">
        <v>5</v>
      </c>
      <c r="H178">
        <v>15</v>
      </c>
      <c r="I178">
        <v>22</v>
      </c>
      <c r="J178">
        <v>35</v>
      </c>
      <c r="K178">
        <v>46</v>
      </c>
      <c r="L178">
        <v>56</v>
      </c>
      <c r="M178">
        <v>63</v>
      </c>
      <c r="N178">
        <v>87</v>
      </c>
      <c r="O178">
        <v>101</v>
      </c>
      <c r="P178">
        <v>116</v>
      </c>
      <c r="Q178">
        <v>128</v>
      </c>
      <c r="R178">
        <v>142</v>
      </c>
      <c r="S178">
        <v>165</v>
      </c>
      <c r="T178">
        <v>173</v>
      </c>
      <c r="U178">
        <v>184</v>
      </c>
      <c r="V178">
        <v>195</v>
      </c>
      <c r="W178">
        <v>208</v>
      </c>
      <c r="X178">
        <v>213</v>
      </c>
      <c r="Y178">
        <v>219</v>
      </c>
      <c r="Z178">
        <v>225</v>
      </c>
      <c r="AA178">
        <v>229</v>
      </c>
      <c r="AB178">
        <v>230</v>
      </c>
      <c r="AC178">
        <v>232</v>
      </c>
      <c r="AD178">
        <v>236</v>
      </c>
      <c r="AE178">
        <v>240</v>
      </c>
      <c r="AF178">
        <v>240</v>
      </c>
      <c r="AG178">
        <v>242</v>
      </c>
      <c r="AH178">
        <v>245</v>
      </c>
      <c r="AI178">
        <v>245</v>
      </c>
      <c r="AJ178">
        <v>245</v>
      </c>
      <c r="AK178">
        <v>245</v>
      </c>
      <c r="AL178">
        <v>245</v>
      </c>
      <c r="AM178">
        <v>245</v>
      </c>
      <c r="AN178">
        <v>245</v>
      </c>
      <c r="AO178">
        <v>245</v>
      </c>
      <c r="AP178">
        <v>245</v>
      </c>
      <c r="AQ178">
        <v>245</v>
      </c>
      <c r="AR178">
        <v>245</v>
      </c>
      <c r="AS178">
        <v>245</v>
      </c>
      <c r="AT178">
        <v>245</v>
      </c>
      <c r="AU178">
        <v>245</v>
      </c>
      <c r="AV178">
        <v>245</v>
      </c>
      <c r="AW178">
        <v>245</v>
      </c>
      <c r="AX178">
        <v>245</v>
      </c>
      <c r="AY178">
        <v>245</v>
      </c>
      <c r="AZ178">
        <v>245</v>
      </c>
      <c r="BA178">
        <v>245</v>
      </c>
      <c r="BB178">
        <v>245</v>
      </c>
      <c r="BC178">
        <v>245</v>
      </c>
      <c r="BD178">
        <v>245</v>
      </c>
      <c r="BE178">
        <v>245</v>
      </c>
      <c r="BF178">
        <v>245</v>
      </c>
      <c r="BG178">
        <v>245</v>
      </c>
      <c r="BH178">
        <v>246</v>
      </c>
    </row>
    <row r="179" spans="1:60" x14ac:dyDescent="0.3">
      <c r="A179" t="s">
        <v>60</v>
      </c>
      <c r="B179" t="s">
        <v>365</v>
      </c>
      <c r="C179">
        <v>24.974</v>
      </c>
      <c r="D179">
        <v>101.48699999999999</v>
      </c>
      <c r="E179">
        <v>1</v>
      </c>
      <c r="F179">
        <v>2</v>
      </c>
      <c r="G179">
        <v>5</v>
      </c>
      <c r="H179">
        <v>11</v>
      </c>
      <c r="I179">
        <v>16</v>
      </c>
      <c r="J179">
        <v>26</v>
      </c>
      <c r="K179">
        <v>44</v>
      </c>
      <c r="L179">
        <v>55</v>
      </c>
      <c r="M179">
        <v>70</v>
      </c>
      <c r="N179">
        <v>83</v>
      </c>
      <c r="O179">
        <v>93</v>
      </c>
      <c r="P179">
        <v>105</v>
      </c>
      <c r="Q179">
        <v>117</v>
      </c>
      <c r="R179">
        <v>122</v>
      </c>
      <c r="S179">
        <v>128</v>
      </c>
      <c r="T179">
        <v>133</v>
      </c>
      <c r="U179">
        <v>138</v>
      </c>
      <c r="V179">
        <v>138</v>
      </c>
      <c r="W179">
        <v>141</v>
      </c>
      <c r="X179">
        <v>149</v>
      </c>
      <c r="Y179">
        <v>153</v>
      </c>
      <c r="Z179">
        <v>154</v>
      </c>
      <c r="AA179">
        <v>156</v>
      </c>
      <c r="AB179">
        <v>162</v>
      </c>
      <c r="AC179">
        <v>168</v>
      </c>
      <c r="AD179">
        <v>171</v>
      </c>
      <c r="AE179">
        <v>171</v>
      </c>
      <c r="AF179">
        <v>172</v>
      </c>
      <c r="AG179">
        <v>172</v>
      </c>
      <c r="AH179">
        <v>174</v>
      </c>
      <c r="AI179">
        <v>174</v>
      </c>
      <c r="AJ179">
        <v>174</v>
      </c>
      <c r="AK179">
        <v>174</v>
      </c>
      <c r="AL179">
        <v>174</v>
      </c>
      <c r="AM179">
        <v>174</v>
      </c>
      <c r="AN179">
        <v>174</v>
      </c>
      <c r="AO179">
        <v>174</v>
      </c>
      <c r="AP179">
        <v>174</v>
      </c>
      <c r="AQ179">
        <v>174</v>
      </c>
      <c r="AR179">
        <v>174</v>
      </c>
      <c r="AS179">
        <v>174</v>
      </c>
      <c r="AT179">
        <v>174</v>
      </c>
      <c r="AU179">
        <v>174</v>
      </c>
      <c r="AV179">
        <v>174</v>
      </c>
      <c r="AW179">
        <v>174</v>
      </c>
      <c r="AX179">
        <v>174</v>
      </c>
      <c r="AY179">
        <v>174</v>
      </c>
      <c r="AZ179">
        <v>174</v>
      </c>
      <c r="BA179">
        <v>174</v>
      </c>
      <c r="BB179">
        <v>174</v>
      </c>
      <c r="BC179">
        <v>174</v>
      </c>
      <c r="BD179">
        <v>174</v>
      </c>
      <c r="BE179">
        <v>174</v>
      </c>
      <c r="BF179">
        <v>174</v>
      </c>
      <c r="BG179">
        <v>176</v>
      </c>
      <c r="BH179">
        <v>176</v>
      </c>
    </row>
    <row r="180" spans="1:60" x14ac:dyDescent="0.3">
      <c r="A180" t="s">
        <v>39</v>
      </c>
      <c r="B180" t="s">
        <v>365</v>
      </c>
      <c r="C180">
        <v>19.195900000000002</v>
      </c>
      <c r="D180">
        <v>109.7453</v>
      </c>
      <c r="E180">
        <v>4</v>
      </c>
      <c r="F180">
        <v>5</v>
      </c>
      <c r="G180">
        <v>8</v>
      </c>
      <c r="H180">
        <v>19</v>
      </c>
      <c r="I180">
        <v>22</v>
      </c>
      <c r="J180">
        <v>33</v>
      </c>
      <c r="K180">
        <v>40</v>
      </c>
      <c r="L180">
        <v>43</v>
      </c>
      <c r="M180">
        <v>46</v>
      </c>
      <c r="N180">
        <v>52</v>
      </c>
      <c r="O180">
        <v>62</v>
      </c>
      <c r="P180">
        <v>64</v>
      </c>
      <c r="Q180">
        <v>72</v>
      </c>
      <c r="R180">
        <v>80</v>
      </c>
      <c r="S180">
        <v>99</v>
      </c>
      <c r="T180">
        <v>106</v>
      </c>
      <c r="U180">
        <v>117</v>
      </c>
      <c r="V180">
        <v>124</v>
      </c>
      <c r="W180">
        <v>131</v>
      </c>
      <c r="X180">
        <v>138</v>
      </c>
      <c r="Y180">
        <v>144</v>
      </c>
      <c r="Z180">
        <v>157</v>
      </c>
      <c r="AA180">
        <v>157</v>
      </c>
      <c r="AB180">
        <v>159</v>
      </c>
      <c r="AC180">
        <v>162</v>
      </c>
      <c r="AD180">
        <v>162</v>
      </c>
      <c r="AE180">
        <v>163</v>
      </c>
      <c r="AF180">
        <v>163</v>
      </c>
      <c r="AG180">
        <v>168</v>
      </c>
      <c r="AH180">
        <v>168</v>
      </c>
      <c r="AI180">
        <v>168</v>
      </c>
      <c r="AJ180">
        <v>168</v>
      </c>
      <c r="AK180">
        <v>168</v>
      </c>
      <c r="AL180">
        <v>168</v>
      </c>
      <c r="AM180">
        <v>168</v>
      </c>
      <c r="AN180">
        <v>168</v>
      </c>
      <c r="AO180">
        <v>168</v>
      </c>
      <c r="AP180">
        <v>168</v>
      </c>
      <c r="AQ180">
        <v>168</v>
      </c>
      <c r="AR180">
        <v>168</v>
      </c>
      <c r="AS180">
        <v>168</v>
      </c>
      <c r="AT180">
        <v>168</v>
      </c>
      <c r="AU180">
        <v>168</v>
      </c>
      <c r="AV180">
        <v>168</v>
      </c>
      <c r="AW180">
        <v>168</v>
      </c>
      <c r="AX180">
        <v>168</v>
      </c>
      <c r="AY180">
        <v>168</v>
      </c>
      <c r="AZ180">
        <v>168</v>
      </c>
      <c r="BA180">
        <v>168</v>
      </c>
      <c r="BB180">
        <v>168</v>
      </c>
      <c r="BC180">
        <v>168</v>
      </c>
      <c r="BD180">
        <v>168</v>
      </c>
      <c r="BE180">
        <v>168</v>
      </c>
      <c r="BF180">
        <v>168</v>
      </c>
      <c r="BG180">
        <v>168</v>
      </c>
      <c r="BH180">
        <v>168</v>
      </c>
    </row>
    <row r="181" spans="1:60" x14ac:dyDescent="0.3">
      <c r="A181" t="s">
        <v>38</v>
      </c>
      <c r="B181" t="s">
        <v>365</v>
      </c>
      <c r="C181">
        <v>26.8154</v>
      </c>
      <c r="D181">
        <v>106.87479999999999</v>
      </c>
      <c r="E181">
        <v>1</v>
      </c>
      <c r="F181">
        <v>3</v>
      </c>
      <c r="G181">
        <v>3</v>
      </c>
      <c r="H181">
        <v>4</v>
      </c>
      <c r="I181">
        <v>5</v>
      </c>
      <c r="J181">
        <v>7</v>
      </c>
      <c r="K181">
        <v>9</v>
      </c>
      <c r="L181">
        <v>9</v>
      </c>
      <c r="M181">
        <v>12</v>
      </c>
      <c r="N181">
        <v>29</v>
      </c>
      <c r="O181">
        <v>29</v>
      </c>
      <c r="P181">
        <v>38</v>
      </c>
      <c r="Q181">
        <v>46</v>
      </c>
      <c r="R181">
        <v>58</v>
      </c>
      <c r="S181">
        <v>64</v>
      </c>
      <c r="T181">
        <v>71</v>
      </c>
      <c r="U181">
        <v>81</v>
      </c>
      <c r="V181">
        <v>89</v>
      </c>
      <c r="W181">
        <v>99</v>
      </c>
      <c r="X181">
        <v>109</v>
      </c>
      <c r="Y181">
        <v>127</v>
      </c>
      <c r="Z181">
        <v>133</v>
      </c>
      <c r="AA181">
        <v>135</v>
      </c>
      <c r="AB181">
        <v>140</v>
      </c>
      <c r="AC181">
        <v>143</v>
      </c>
      <c r="AD181">
        <v>144</v>
      </c>
      <c r="AE181">
        <v>146</v>
      </c>
      <c r="AF181">
        <v>146</v>
      </c>
      <c r="AG181">
        <v>146</v>
      </c>
      <c r="AH181">
        <v>146</v>
      </c>
      <c r="AI181">
        <v>146</v>
      </c>
      <c r="AJ181">
        <v>146</v>
      </c>
      <c r="AK181">
        <v>146</v>
      </c>
      <c r="AL181">
        <v>146</v>
      </c>
      <c r="AM181">
        <v>146</v>
      </c>
      <c r="AN181">
        <v>146</v>
      </c>
      <c r="AO181">
        <v>146</v>
      </c>
      <c r="AP181">
        <v>146</v>
      </c>
      <c r="AQ181">
        <v>146</v>
      </c>
      <c r="AR181">
        <v>146</v>
      </c>
      <c r="AS181">
        <v>146</v>
      </c>
      <c r="AT181">
        <v>146</v>
      </c>
      <c r="AU181">
        <v>146</v>
      </c>
      <c r="AV181">
        <v>146</v>
      </c>
      <c r="AW181">
        <v>146</v>
      </c>
      <c r="AX181">
        <v>146</v>
      </c>
      <c r="AY181">
        <v>146</v>
      </c>
      <c r="AZ181">
        <v>146</v>
      </c>
      <c r="BA181">
        <v>146</v>
      </c>
      <c r="BB181">
        <v>146</v>
      </c>
      <c r="BC181">
        <v>146</v>
      </c>
      <c r="BD181">
        <v>146</v>
      </c>
      <c r="BE181">
        <v>146</v>
      </c>
      <c r="BF181">
        <v>146</v>
      </c>
      <c r="BG181">
        <v>146</v>
      </c>
      <c r="BH181">
        <v>147</v>
      </c>
    </row>
    <row r="182" spans="1:60" x14ac:dyDescent="0.3">
      <c r="A182" t="s">
        <v>57</v>
      </c>
      <c r="B182" t="s">
        <v>365</v>
      </c>
      <c r="C182">
        <v>39.305399999999999</v>
      </c>
      <c r="D182">
        <v>117.32299999999999</v>
      </c>
      <c r="E182">
        <v>4</v>
      </c>
      <c r="F182">
        <v>4</v>
      </c>
      <c r="G182">
        <v>8</v>
      </c>
      <c r="H182">
        <v>10</v>
      </c>
      <c r="I182">
        <v>14</v>
      </c>
      <c r="J182">
        <v>23</v>
      </c>
      <c r="K182">
        <v>24</v>
      </c>
      <c r="L182">
        <v>27</v>
      </c>
      <c r="M182">
        <v>31</v>
      </c>
      <c r="N182">
        <v>32</v>
      </c>
      <c r="O182">
        <v>41</v>
      </c>
      <c r="P182">
        <v>48</v>
      </c>
      <c r="Q182">
        <v>60</v>
      </c>
      <c r="R182">
        <v>67</v>
      </c>
      <c r="S182">
        <v>69</v>
      </c>
      <c r="T182">
        <v>79</v>
      </c>
      <c r="U182">
        <v>81</v>
      </c>
      <c r="V182">
        <v>88</v>
      </c>
      <c r="W182">
        <v>91</v>
      </c>
      <c r="X182">
        <v>95</v>
      </c>
      <c r="Y182">
        <v>106</v>
      </c>
      <c r="Z182">
        <v>112</v>
      </c>
      <c r="AA182">
        <v>119</v>
      </c>
      <c r="AB182">
        <v>120</v>
      </c>
      <c r="AC182">
        <v>122</v>
      </c>
      <c r="AD182">
        <v>124</v>
      </c>
      <c r="AE182">
        <v>125</v>
      </c>
      <c r="AF182">
        <v>128</v>
      </c>
      <c r="AG182">
        <v>130</v>
      </c>
      <c r="AH182">
        <v>131</v>
      </c>
      <c r="AI182">
        <v>132</v>
      </c>
      <c r="AJ182">
        <v>135</v>
      </c>
      <c r="AK182">
        <v>135</v>
      </c>
      <c r="AL182">
        <v>135</v>
      </c>
      <c r="AM182">
        <v>135</v>
      </c>
      <c r="AN182">
        <v>135</v>
      </c>
      <c r="AO182">
        <v>136</v>
      </c>
      <c r="AP182">
        <v>136</v>
      </c>
      <c r="AQ182">
        <v>136</v>
      </c>
      <c r="AR182">
        <v>136</v>
      </c>
      <c r="AS182">
        <v>136</v>
      </c>
      <c r="AT182">
        <v>136</v>
      </c>
      <c r="AU182">
        <v>136</v>
      </c>
      <c r="AV182">
        <v>136</v>
      </c>
      <c r="AW182">
        <v>136</v>
      </c>
      <c r="AX182">
        <v>136</v>
      </c>
      <c r="AY182">
        <v>136</v>
      </c>
      <c r="AZ182">
        <v>136</v>
      </c>
      <c r="BA182">
        <v>136</v>
      </c>
      <c r="BB182">
        <v>136</v>
      </c>
      <c r="BC182">
        <v>136</v>
      </c>
      <c r="BD182">
        <v>136</v>
      </c>
      <c r="BE182">
        <v>136</v>
      </c>
      <c r="BF182">
        <v>136</v>
      </c>
      <c r="BG182">
        <v>136</v>
      </c>
      <c r="BH182">
        <v>136</v>
      </c>
    </row>
    <row r="183" spans="1:60" x14ac:dyDescent="0.3">
      <c r="A183" t="s">
        <v>55</v>
      </c>
      <c r="B183" t="s">
        <v>365</v>
      </c>
      <c r="C183">
        <v>37.5777</v>
      </c>
      <c r="D183">
        <v>112.29219999999999</v>
      </c>
      <c r="E183">
        <v>1</v>
      </c>
      <c r="F183">
        <v>1</v>
      </c>
      <c r="G183">
        <v>1</v>
      </c>
      <c r="H183">
        <v>6</v>
      </c>
      <c r="I183">
        <v>9</v>
      </c>
      <c r="J183">
        <v>13</v>
      </c>
      <c r="K183">
        <v>27</v>
      </c>
      <c r="L183">
        <v>27</v>
      </c>
      <c r="M183">
        <v>35</v>
      </c>
      <c r="N183">
        <v>39</v>
      </c>
      <c r="O183">
        <v>47</v>
      </c>
      <c r="P183">
        <v>66</v>
      </c>
      <c r="Q183">
        <v>74</v>
      </c>
      <c r="R183">
        <v>81</v>
      </c>
      <c r="S183">
        <v>81</v>
      </c>
      <c r="T183">
        <v>96</v>
      </c>
      <c r="U183">
        <v>104</v>
      </c>
      <c r="V183">
        <v>115</v>
      </c>
      <c r="W183">
        <v>119</v>
      </c>
      <c r="X183">
        <v>119</v>
      </c>
      <c r="Y183">
        <v>124</v>
      </c>
      <c r="Z183">
        <v>126</v>
      </c>
      <c r="AA183">
        <v>126</v>
      </c>
      <c r="AB183">
        <v>127</v>
      </c>
      <c r="AC183">
        <v>128</v>
      </c>
      <c r="AD183">
        <v>129</v>
      </c>
      <c r="AE183">
        <v>130</v>
      </c>
      <c r="AF183">
        <v>131</v>
      </c>
      <c r="AG183">
        <v>131</v>
      </c>
      <c r="AH183">
        <v>132</v>
      </c>
      <c r="AI183">
        <v>132</v>
      </c>
      <c r="AJ183">
        <v>132</v>
      </c>
      <c r="AK183">
        <v>132</v>
      </c>
      <c r="AL183">
        <v>133</v>
      </c>
      <c r="AM183">
        <v>133</v>
      </c>
      <c r="AN183">
        <v>133</v>
      </c>
      <c r="AO183">
        <v>133</v>
      </c>
      <c r="AP183">
        <v>133</v>
      </c>
      <c r="AQ183">
        <v>133</v>
      </c>
      <c r="AR183">
        <v>133</v>
      </c>
      <c r="AS183">
        <v>133</v>
      </c>
      <c r="AT183">
        <v>133</v>
      </c>
      <c r="AU183">
        <v>133</v>
      </c>
      <c r="AV183">
        <v>133</v>
      </c>
      <c r="AW183">
        <v>133</v>
      </c>
      <c r="AX183">
        <v>133</v>
      </c>
      <c r="AY183">
        <v>133</v>
      </c>
      <c r="AZ183">
        <v>133</v>
      </c>
      <c r="BA183">
        <v>133</v>
      </c>
      <c r="BB183">
        <v>133</v>
      </c>
      <c r="BC183">
        <v>133</v>
      </c>
      <c r="BD183">
        <v>133</v>
      </c>
      <c r="BE183">
        <v>133</v>
      </c>
      <c r="BF183">
        <v>133</v>
      </c>
      <c r="BG183">
        <v>133</v>
      </c>
      <c r="BH183">
        <v>133</v>
      </c>
    </row>
    <row r="184" spans="1:60" x14ac:dyDescent="0.3">
      <c r="A184" t="s">
        <v>35</v>
      </c>
      <c r="B184" t="s">
        <v>365</v>
      </c>
      <c r="C184">
        <v>37.809899999999999</v>
      </c>
      <c r="D184">
        <v>101.0583</v>
      </c>
      <c r="E184">
        <v>0</v>
      </c>
      <c r="F184">
        <v>2</v>
      </c>
      <c r="G184">
        <v>2</v>
      </c>
      <c r="H184">
        <v>4</v>
      </c>
      <c r="I184">
        <v>7</v>
      </c>
      <c r="J184">
        <v>14</v>
      </c>
      <c r="K184">
        <v>19</v>
      </c>
      <c r="L184">
        <v>24</v>
      </c>
      <c r="M184">
        <v>26</v>
      </c>
      <c r="N184">
        <v>29</v>
      </c>
      <c r="O184">
        <v>40</v>
      </c>
      <c r="P184">
        <v>51</v>
      </c>
      <c r="Q184">
        <v>55</v>
      </c>
      <c r="R184">
        <v>57</v>
      </c>
      <c r="S184">
        <v>62</v>
      </c>
      <c r="T184">
        <v>62</v>
      </c>
      <c r="U184">
        <v>67</v>
      </c>
      <c r="V184">
        <v>79</v>
      </c>
      <c r="W184">
        <v>83</v>
      </c>
      <c r="X184">
        <v>83</v>
      </c>
      <c r="Y184">
        <v>86</v>
      </c>
      <c r="Z184">
        <v>87</v>
      </c>
      <c r="AA184">
        <v>90</v>
      </c>
      <c r="AB184">
        <v>90</v>
      </c>
      <c r="AC184">
        <v>90</v>
      </c>
      <c r="AD184">
        <v>90</v>
      </c>
      <c r="AE184">
        <v>91</v>
      </c>
      <c r="AF184">
        <v>91</v>
      </c>
      <c r="AG184">
        <v>91</v>
      </c>
      <c r="AH184">
        <v>91</v>
      </c>
      <c r="AI184">
        <v>91</v>
      </c>
      <c r="AJ184">
        <v>91</v>
      </c>
      <c r="AK184">
        <v>91</v>
      </c>
      <c r="AL184">
        <v>91</v>
      </c>
      <c r="AM184">
        <v>91</v>
      </c>
      <c r="AN184">
        <v>91</v>
      </c>
      <c r="AO184">
        <v>91</v>
      </c>
      <c r="AP184">
        <v>91</v>
      </c>
      <c r="AQ184">
        <v>91</v>
      </c>
      <c r="AR184">
        <v>91</v>
      </c>
      <c r="AS184">
        <v>91</v>
      </c>
      <c r="AT184">
        <v>91</v>
      </c>
      <c r="AU184">
        <v>91</v>
      </c>
      <c r="AV184">
        <v>102</v>
      </c>
      <c r="AW184">
        <v>119</v>
      </c>
      <c r="AX184">
        <v>120</v>
      </c>
      <c r="AY184">
        <v>124</v>
      </c>
      <c r="AZ184">
        <v>124</v>
      </c>
      <c r="BA184">
        <v>125</v>
      </c>
      <c r="BB184">
        <v>127</v>
      </c>
      <c r="BC184">
        <v>127</v>
      </c>
      <c r="BD184">
        <v>127</v>
      </c>
      <c r="BE184">
        <v>129</v>
      </c>
      <c r="BF184">
        <v>133</v>
      </c>
      <c r="BG184">
        <v>133</v>
      </c>
      <c r="BH184">
        <v>133</v>
      </c>
    </row>
    <row r="185" spans="1:60" x14ac:dyDescent="0.3">
      <c r="A185" t="s">
        <v>273</v>
      </c>
      <c r="B185" t="s">
        <v>365</v>
      </c>
      <c r="C185">
        <v>22.3</v>
      </c>
      <c r="D185">
        <v>114.2</v>
      </c>
      <c r="E185">
        <v>0</v>
      </c>
      <c r="F185">
        <v>2</v>
      </c>
      <c r="G185">
        <v>2</v>
      </c>
      <c r="H185">
        <v>5</v>
      </c>
      <c r="I185">
        <v>8</v>
      </c>
      <c r="J185">
        <v>8</v>
      </c>
      <c r="K185">
        <v>8</v>
      </c>
      <c r="L185">
        <v>10</v>
      </c>
      <c r="M185">
        <v>10</v>
      </c>
      <c r="N185">
        <v>12</v>
      </c>
      <c r="O185">
        <v>13</v>
      </c>
      <c r="P185">
        <v>15</v>
      </c>
      <c r="Q185">
        <v>15</v>
      </c>
      <c r="R185">
        <v>17</v>
      </c>
      <c r="S185">
        <v>21</v>
      </c>
      <c r="T185">
        <v>24</v>
      </c>
      <c r="U185">
        <v>25</v>
      </c>
      <c r="V185">
        <v>26</v>
      </c>
      <c r="W185">
        <v>29</v>
      </c>
      <c r="X185">
        <v>38</v>
      </c>
      <c r="Y185">
        <v>49</v>
      </c>
      <c r="Z185">
        <v>50</v>
      </c>
      <c r="AA185">
        <v>53</v>
      </c>
      <c r="AB185">
        <v>56</v>
      </c>
      <c r="AC185">
        <v>56</v>
      </c>
      <c r="AD185">
        <v>57</v>
      </c>
      <c r="AE185">
        <v>60</v>
      </c>
      <c r="AF185">
        <v>62</v>
      </c>
      <c r="AG185">
        <v>63</v>
      </c>
      <c r="AH185">
        <v>68</v>
      </c>
      <c r="AI185">
        <v>68</v>
      </c>
      <c r="AJ185">
        <v>69</v>
      </c>
      <c r="AK185">
        <v>74</v>
      </c>
      <c r="AL185">
        <v>79</v>
      </c>
      <c r="AM185">
        <v>84</v>
      </c>
      <c r="AN185">
        <v>91</v>
      </c>
      <c r="AO185">
        <v>92</v>
      </c>
      <c r="AP185">
        <v>94</v>
      </c>
      <c r="AQ185">
        <v>95</v>
      </c>
      <c r="AR185">
        <v>96</v>
      </c>
      <c r="AS185">
        <v>100</v>
      </c>
      <c r="AT185">
        <v>100</v>
      </c>
      <c r="AU185">
        <v>105</v>
      </c>
      <c r="AV185">
        <v>105</v>
      </c>
      <c r="AW185">
        <v>107</v>
      </c>
      <c r="AX185">
        <v>108</v>
      </c>
      <c r="AY185">
        <v>114</v>
      </c>
      <c r="AZ185">
        <v>115</v>
      </c>
      <c r="BA185">
        <v>120</v>
      </c>
      <c r="BB185">
        <v>126</v>
      </c>
      <c r="BC185">
        <v>129</v>
      </c>
      <c r="BD185">
        <v>134</v>
      </c>
      <c r="BE185">
        <v>140</v>
      </c>
      <c r="BF185">
        <v>145</v>
      </c>
      <c r="BG185">
        <v>155</v>
      </c>
      <c r="BH185">
        <v>162</v>
      </c>
    </row>
    <row r="186" spans="1:60" x14ac:dyDescent="0.3">
      <c r="A186" t="s">
        <v>49</v>
      </c>
      <c r="B186" t="s">
        <v>365</v>
      </c>
      <c r="C186">
        <v>41.2956</v>
      </c>
      <c r="D186">
        <v>122.60850000000001</v>
      </c>
      <c r="E186">
        <v>2</v>
      </c>
      <c r="F186">
        <v>3</v>
      </c>
      <c r="G186">
        <v>4</v>
      </c>
      <c r="H186">
        <v>17</v>
      </c>
      <c r="I186">
        <v>21</v>
      </c>
      <c r="J186">
        <v>27</v>
      </c>
      <c r="K186">
        <v>34</v>
      </c>
      <c r="L186">
        <v>39</v>
      </c>
      <c r="M186">
        <v>41</v>
      </c>
      <c r="N186">
        <v>48</v>
      </c>
      <c r="O186">
        <v>64</v>
      </c>
      <c r="P186">
        <v>70</v>
      </c>
      <c r="Q186">
        <v>74</v>
      </c>
      <c r="R186">
        <v>81</v>
      </c>
      <c r="S186">
        <v>89</v>
      </c>
      <c r="T186">
        <v>94</v>
      </c>
      <c r="U186">
        <v>99</v>
      </c>
      <c r="V186">
        <v>105</v>
      </c>
      <c r="W186">
        <v>107</v>
      </c>
      <c r="X186">
        <v>108</v>
      </c>
      <c r="Y186">
        <v>111</v>
      </c>
      <c r="Z186">
        <v>116</v>
      </c>
      <c r="AA186">
        <v>117</v>
      </c>
      <c r="AB186">
        <v>119</v>
      </c>
      <c r="AC186">
        <v>119</v>
      </c>
      <c r="AD186">
        <v>121</v>
      </c>
      <c r="AE186">
        <v>121</v>
      </c>
      <c r="AF186">
        <v>121</v>
      </c>
      <c r="AG186">
        <v>121</v>
      </c>
      <c r="AH186">
        <v>121</v>
      </c>
      <c r="AI186">
        <v>121</v>
      </c>
      <c r="AJ186">
        <v>121</v>
      </c>
      <c r="AK186">
        <v>121</v>
      </c>
      <c r="AL186">
        <v>121</v>
      </c>
      <c r="AM186">
        <v>121</v>
      </c>
      <c r="AN186">
        <v>121</v>
      </c>
      <c r="AO186">
        <v>121</v>
      </c>
      <c r="AP186">
        <v>121</v>
      </c>
      <c r="AQ186">
        <v>121</v>
      </c>
      <c r="AR186">
        <v>122</v>
      </c>
      <c r="AS186">
        <v>122</v>
      </c>
      <c r="AT186">
        <v>125</v>
      </c>
      <c r="AU186">
        <v>125</v>
      </c>
      <c r="AV186">
        <v>125</v>
      </c>
      <c r="AW186">
        <v>125</v>
      </c>
      <c r="AX186">
        <v>125</v>
      </c>
      <c r="AY186">
        <v>125</v>
      </c>
      <c r="AZ186">
        <v>125</v>
      </c>
      <c r="BA186">
        <v>125</v>
      </c>
      <c r="BB186">
        <v>125</v>
      </c>
      <c r="BC186">
        <v>125</v>
      </c>
      <c r="BD186">
        <v>125</v>
      </c>
      <c r="BE186">
        <v>125</v>
      </c>
      <c r="BF186">
        <v>125</v>
      </c>
      <c r="BG186">
        <v>125</v>
      </c>
      <c r="BH186">
        <v>125</v>
      </c>
    </row>
    <row r="187" spans="1:60" x14ac:dyDescent="0.3">
      <c r="A187" t="s">
        <v>48</v>
      </c>
      <c r="B187" t="s">
        <v>365</v>
      </c>
      <c r="C187">
        <v>43.6661</v>
      </c>
      <c r="D187">
        <v>126.1923</v>
      </c>
      <c r="E187">
        <v>0</v>
      </c>
      <c r="F187">
        <v>1</v>
      </c>
      <c r="G187">
        <v>3</v>
      </c>
      <c r="H187">
        <v>4</v>
      </c>
      <c r="I187">
        <v>4</v>
      </c>
      <c r="J187">
        <v>6</v>
      </c>
      <c r="K187">
        <v>8</v>
      </c>
      <c r="L187">
        <v>9</v>
      </c>
      <c r="M187">
        <v>14</v>
      </c>
      <c r="N187">
        <v>14</v>
      </c>
      <c r="O187">
        <v>17</v>
      </c>
      <c r="P187">
        <v>23</v>
      </c>
      <c r="Q187">
        <v>31</v>
      </c>
      <c r="R187">
        <v>42</v>
      </c>
      <c r="S187">
        <v>54</v>
      </c>
      <c r="T187">
        <v>59</v>
      </c>
      <c r="U187">
        <v>65</v>
      </c>
      <c r="V187">
        <v>69</v>
      </c>
      <c r="W187">
        <v>78</v>
      </c>
      <c r="X187">
        <v>80</v>
      </c>
      <c r="Y187">
        <v>81</v>
      </c>
      <c r="Z187">
        <v>83</v>
      </c>
      <c r="AA187">
        <v>84</v>
      </c>
      <c r="AB187">
        <v>86</v>
      </c>
      <c r="AC187">
        <v>88</v>
      </c>
      <c r="AD187">
        <v>89</v>
      </c>
      <c r="AE187">
        <v>89</v>
      </c>
      <c r="AF187">
        <v>89</v>
      </c>
      <c r="AG187">
        <v>90</v>
      </c>
      <c r="AH187">
        <v>91</v>
      </c>
      <c r="AI187">
        <v>91</v>
      </c>
      <c r="AJ187">
        <v>91</v>
      </c>
      <c r="AK187">
        <v>91</v>
      </c>
      <c r="AL187">
        <v>93</v>
      </c>
      <c r="AM187">
        <v>93</v>
      </c>
      <c r="AN187">
        <v>93</v>
      </c>
      <c r="AO187">
        <v>93</v>
      </c>
      <c r="AP187">
        <v>93</v>
      </c>
      <c r="AQ187">
        <v>93</v>
      </c>
      <c r="AR187">
        <v>93</v>
      </c>
      <c r="AS187">
        <v>93</v>
      </c>
      <c r="AT187">
        <v>93</v>
      </c>
      <c r="AU187">
        <v>93</v>
      </c>
      <c r="AV187">
        <v>93</v>
      </c>
      <c r="AW187">
        <v>93</v>
      </c>
      <c r="AX187">
        <v>93</v>
      </c>
      <c r="AY187">
        <v>93</v>
      </c>
      <c r="AZ187">
        <v>93</v>
      </c>
      <c r="BA187">
        <v>93</v>
      </c>
      <c r="BB187">
        <v>93</v>
      </c>
      <c r="BC187">
        <v>93</v>
      </c>
      <c r="BD187">
        <v>93</v>
      </c>
      <c r="BE187">
        <v>93</v>
      </c>
      <c r="BF187">
        <v>93</v>
      </c>
      <c r="BG187">
        <v>93</v>
      </c>
      <c r="BH187">
        <v>93</v>
      </c>
    </row>
    <row r="188" spans="1:60" x14ac:dyDescent="0.3">
      <c r="B188" t="s">
        <v>369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3</v>
      </c>
      <c r="AS188">
        <v>3</v>
      </c>
      <c r="AT188">
        <v>5</v>
      </c>
      <c r="AU188">
        <v>8</v>
      </c>
      <c r="AV188">
        <v>12</v>
      </c>
      <c r="AW188">
        <v>18</v>
      </c>
      <c r="AX188">
        <v>19</v>
      </c>
      <c r="AY188">
        <v>31</v>
      </c>
      <c r="AZ188">
        <v>31</v>
      </c>
      <c r="BA188">
        <v>41</v>
      </c>
      <c r="BB188">
        <v>91</v>
      </c>
      <c r="BC188">
        <v>94</v>
      </c>
      <c r="BD188">
        <v>141</v>
      </c>
      <c r="BE188">
        <v>189</v>
      </c>
      <c r="BF188">
        <v>253</v>
      </c>
      <c r="BG188">
        <v>298</v>
      </c>
      <c r="BH188">
        <v>396</v>
      </c>
    </row>
    <row r="189" spans="1:60" x14ac:dyDescent="0.3">
      <c r="A189" t="s">
        <v>59</v>
      </c>
      <c r="B189" t="s">
        <v>365</v>
      </c>
      <c r="C189">
        <v>41.112900000000003</v>
      </c>
      <c r="D189">
        <v>85.240099999999998</v>
      </c>
      <c r="E189">
        <v>0</v>
      </c>
      <c r="F189">
        <v>2</v>
      </c>
      <c r="G189">
        <v>2</v>
      </c>
      <c r="H189">
        <v>3</v>
      </c>
      <c r="I189">
        <v>4</v>
      </c>
      <c r="J189">
        <v>5</v>
      </c>
      <c r="K189">
        <v>10</v>
      </c>
      <c r="L189">
        <v>13</v>
      </c>
      <c r="M189">
        <v>14</v>
      </c>
      <c r="N189">
        <v>17</v>
      </c>
      <c r="O189">
        <v>18</v>
      </c>
      <c r="P189">
        <v>21</v>
      </c>
      <c r="Q189">
        <v>24</v>
      </c>
      <c r="R189">
        <v>29</v>
      </c>
      <c r="S189">
        <v>32</v>
      </c>
      <c r="T189">
        <v>36</v>
      </c>
      <c r="U189">
        <v>39</v>
      </c>
      <c r="V189">
        <v>42</v>
      </c>
      <c r="W189">
        <v>45</v>
      </c>
      <c r="X189">
        <v>49</v>
      </c>
      <c r="Y189">
        <v>55</v>
      </c>
      <c r="Z189">
        <v>59</v>
      </c>
      <c r="AA189">
        <v>63</v>
      </c>
      <c r="AB189">
        <v>65</v>
      </c>
      <c r="AC189">
        <v>70</v>
      </c>
      <c r="AD189">
        <v>71</v>
      </c>
      <c r="AE189">
        <v>75</v>
      </c>
      <c r="AF189">
        <v>76</v>
      </c>
      <c r="AG189">
        <v>76</v>
      </c>
      <c r="AH189">
        <v>76</v>
      </c>
      <c r="AI189">
        <v>76</v>
      </c>
      <c r="AJ189">
        <v>76</v>
      </c>
      <c r="AK189">
        <v>76</v>
      </c>
      <c r="AL189">
        <v>76</v>
      </c>
      <c r="AM189">
        <v>76</v>
      </c>
      <c r="AN189">
        <v>76</v>
      </c>
      <c r="AO189">
        <v>76</v>
      </c>
      <c r="AP189">
        <v>76</v>
      </c>
      <c r="AQ189">
        <v>76</v>
      </c>
      <c r="AR189">
        <v>76</v>
      </c>
      <c r="AS189">
        <v>76</v>
      </c>
      <c r="AT189">
        <v>76</v>
      </c>
      <c r="AU189">
        <v>76</v>
      </c>
      <c r="AV189">
        <v>76</v>
      </c>
      <c r="AW189">
        <v>76</v>
      </c>
      <c r="AX189">
        <v>76</v>
      </c>
      <c r="AY189">
        <v>76</v>
      </c>
      <c r="AZ189">
        <v>76</v>
      </c>
      <c r="BA189">
        <v>76</v>
      </c>
      <c r="BB189">
        <v>76</v>
      </c>
      <c r="BC189">
        <v>76</v>
      </c>
      <c r="BD189">
        <v>76</v>
      </c>
      <c r="BE189">
        <v>76</v>
      </c>
      <c r="BF189">
        <v>76</v>
      </c>
      <c r="BG189">
        <v>76</v>
      </c>
      <c r="BH189">
        <v>76</v>
      </c>
    </row>
    <row r="190" spans="1:60" x14ac:dyDescent="0.3">
      <c r="A190" t="s">
        <v>45</v>
      </c>
      <c r="B190" t="s">
        <v>365</v>
      </c>
      <c r="C190">
        <v>44.093499999999999</v>
      </c>
      <c r="D190">
        <v>113.9448</v>
      </c>
      <c r="E190">
        <v>0</v>
      </c>
      <c r="F190">
        <v>0</v>
      </c>
      <c r="G190">
        <v>1</v>
      </c>
      <c r="H190">
        <v>7</v>
      </c>
      <c r="I190">
        <v>7</v>
      </c>
      <c r="J190">
        <v>11</v>
      </c>
      <c r="K190">
        <v>15</v>
      </c>
      <c r="L190">
        <v>16</v>
      </c>
      <c r="M190">
        <v>19</v>
      </c>
      <c r="N190">
        <v>20</v>
      </c>
      <c r="O190">
        <v>23</v>
      </c>
      <c r="P190">
        <v>27</v>
      </c>
      <c r="Q190">
        <v>34</v>
      </c>
      <c r="R190">
        <v>35</v>
      </c>
      <c r="S190">
        <v>42</v>
      </c>
      <c r="T190">
        <v>46</v>
      </c>
      <c r="U190">
        <v>50</v>
      </c>
      <c r="V190">
        <v>52</v>
      </c>
      <c r="W190">
        <v>54</v>
      </c>
      <c r="X190">
        <v>58</v>
      </c>
      <c r="Y190">
        <v>58</v>
      </c>
      <c r="Z190">
        <v>60</v>
      </c>
      <c r="AA190">
        <v>61</v>
      </c>
      <c r="AB190">
        <v>65</v>
      </c>
      <c r="AC190">
        <v>68</v>
      </c>
      <c r="AD190">
        <v>70</v>
      </c>
      <c r="AE190">
        <v>72</v>
      </c>
      <c r="AF190">
        <v>73</v>
      </c>
      <c r="AG190">
        <v>75</v>
      </c>
      <c r="AH190">
        <v>75</v>
      </c>
      <c r="AI190">
        <v>75</v>
      </c>
      <c r="AJ190">
        <v>75</v>
      </c>
      <c r="AK190">
        <v>75</v>
      </c>
      <c r="AL190">
        <v>75</v>
      </c>
      <c r="AM190">
        <v>75</v>
      </c>
      <c r="AN190">
        <v>75</v>
      </c>
      <c r="AO190">
        <v>75</v>
      </c>
      <c r="AP190">
        <v>75</v>
      </c>
      <c r="AQ190">
        <v>75</v>
      </c>
      <c r="AR190">
        <v>75</v>
      </c>
      <c r="AS190">
        <v>75</v>
      </c>
      <c r="AT190">
        <v>75</v>
      </c>
      <c r="AU190">
        <v>75</v>
      </c>
      <c r="AV190">
        <v>75</v>
      </c>
      <c r="AW190">
        <v>75</v>
      </c>
      <c r="AX190">
        <v>75</v>
      </c>
      <c r="AY190">
        <v>75</v>
      </c>
      <c r="AZ190">
        <v>75</v>
      </c>
      <c r="BA190">
        <v>75</v>
      </c>
      <c r="BB190">
        <v>75</v>
      </c>
      <c r="BC190">
        <v>75</v>
      </c>
      <c r="BD190">
        <v>75</v>
      </c>
      <c r="BE190">
        <v>75</v>
      </c>
      <c r="BF190">
        <v>75</v>
      </c>
      <c r="BG190">
        <v>75</v>
      </c>
      <c r="BH190">
        <v>75</v>
      </c>
    </row>
    <row r="191" spans="1:60" x14ac:dyDescent="0.3">
      <c r="A191" t="s">
        <v>50</v>
      </c>
      <c r="B191" t="s">
        <v>365</v>
      </c>
      <c r="C191">
        <v>37.269199999999998</v>
      </c>
      <c r="D191">
        <v>106.16549999999999</v>
      </c>
      <c r="E191">
        <v>1</v>
      </c>
      <c r="F191">
        <v>1</v>
      </c>
      <c r="G191">
        <v>2</v>
      </c>
      <c r="H191">
        <v>3</v>
      </c>
      <c r="I191">
        <v>4</v>
      </c>
      <c r="J191">
        <v>7</v>
      </c>
      <c r="K191">
        <v>11</v>
      </c>
      <c r="L191">
        <v>12</v>
      </c>
      <c r="M191">
        <v>17</v>
      </c>
      <c r="N191">
        <v>21</v>
      </c>
      <c r="O191">
        <v>26</v>
      </c>
      <c r="P191">
        <v>28</v>
      </c>
      <c r="Q191">
        <v>31</v>
      </c>
      <c r="R191">
        <v>34</v>
      </c>
      <c r="S191">
        <v>34</v>
      </c>
      <c r="T191">
        <v>40</v>
      </c>
      <c r="U191">
        <v>43</v>
      </c>
      <c r="V191">
        <v>45</v>
      </c>
      <c r="W191">
        <v>45</v>
      </c>
      <c r="X191">
        <v>49</v>
      </c>
      <c r="Y191">
        <v>53</v>
      </c>
      <c r="Z191">
        <v>58</v>
      </c>
      <c r="AA191">
        <v>64</v>
      </c>
      <c r="AB191">
        <v>67</v>
      </c>
      <c r="AC191">
        <v>70</v>
      </c>
      <c r="AD191">
        <v>70</v>
      </c>
      <c r="AE191">
        <v>70</v>
      </c>
      <c r="AF191">
        <v>70</v>
      </c>
      <c r="AG191">
        <v>71</v>
      </c>
      <c r="AH191">
        <v>71</v>
      </c>
      <c r="AI191">
        <v>71</v>
      </c>
      <c r="AJ191">
        <v>71</v>
      </c>
      <c r="AK191">
        <v>71</v>
      </c>
      <c r="AL191">
        <v>71</v>
      </c>
      <c r="AM191">
        <v>71</v>
      </c>
      <c r="AN191">
        <v>71</v>
      </c>
      <c r="AO191">
        <v>72</v>
      </c>
      <c r="AP191">
        <v>72</v>
      </c>
      <c r="AQ191">
        <v>73</v>
      </c>
      <c r="AR191">
        <v>73</v>
      </c>
      <c r="AS191">
        <v>74</v>
      </c>
      <c r="AT191">
        <v>74</v>
      </c>
      <c r="AU191">
        <v>75</v>
      </c>
      <c r="AV191">
        <v>75</v>
      </c>
      <c r="AW191">
        <v>75</v>
      </c>
      <c r="AX191">
        <v>75</v>
      </c>
      <c r="AY191">
        <v>75</v>
      </c>
      <c r="AZ191">
        <v>75</v>
      </c>
      <c r="BA191">
        <v>75</v>
      </c>
      <c r="BB191">
        <v>75</v>
      </c>
      <c r="BC191">
        <v>75</v>
      </c>
      <c r="BD191">
        <v>75</v>
      </c>
      <c r="BE191">
        <v>75</v>
      </c>
      <c r="BF191">
        <v>75</v>
      </c>
      <c r="BG191">
        <v>75</v>
      </c>
      <c r="BH191">
        <v>75</v>
      </c>
    </row>
    <row r="192" spans="1:60" x14ac:dyDescent="0.3">
      <c r="B192" t="s">
        <v>370</v>
      </c>
      <c r="C192">
        <v>23.7</v>
      </c>
      <c r="D192">
        <v>121</v>
      </c>
      <c r="E192">
        <v>1</v>
      </c>
      <c r="F192">
        <v>1</v>
      </c>
      <c r="G192">
        <v>3</v>
      </c>
      <c r="H192">
        <v>3</v>
      </c>
      <c r="I192">
        <v>4</v>
      </c>
      <c r="J192">
        <v>5</v>
      </c>
      <c r="K192">
        <v>8</v>
      </c>
      <c r="L192">
        <v>8</v>
      </c>
      <c r="M192">
        <v>9</v>
      </c>
      <c r="N192">
        <v>10</v>
      </c>
      <c r="O192">
        <v>10</v>
      </c>
      <c r="P192">
        <v>10</v>
      </c>
      <c r="Q192">
        <v>10</v>
      </c>
      <c r="R192">
        <v>11</v>
      </c>
      <c r="S192">
        <v>11</v>
      </c>
      <c r="T192">
        <v>16</v>
      </c>
      <c r="U192">
        <v>16</v>
      </c>
      <c r="V192">
        <v>17</v>
      </c>
      <c r="W192">
        <v>18</v>
      </c>
      <c r="X192">
        <v>18</v>
      </c>
      <c r="Y192">
        <v>18</v>
      </c>
      <c r="Z192">
        <v>18</v>
      </c>
      <c r="AA192">
        <v>18</v>
      </c>
      <c r="AB192">
        <v>18</v>
      </c>
      <c r="AC192">
        <v>18</v>
      </c>
      <c r="AD192">
        <v>20</v>
      </c>
      <c r="AE192">
        <v>22</v>
      </c>
      <c r="AF192">
        <v>22</v>
      </c>
      <c r="AG192">
        <v>23</v>
      </c>
      <c r="AH192">
        <v>24</v>
      </c>
      <c r="AI192">
        <v>26</v>
      </c>
      <c r="AJ192">
        <v>26</v>
      </c>
      <c r="AK192">
        <v>28</v>
      </c>
      <c r="AL192">
        <v>30</v>
      </c>
      <c r="AM192">
        <v>31</v>
      </c>
      <c r="AN192">
        <v>32</v>
      </c>
      <c r="AO192">
        <v>32</v>
      </c>
      <c r="AP192">
        <v>34</v>
      </c>
      <c r="AQ192">
        <v>39</v>
      </c>
      <c r="AR192">
        <v>40</v>
      </c>
      <c r="AS192">
        <v>41</v>
      </c>
      <c r="AT192">
        <v>42</v>
      </c>
      <c r="AU192">
        <v>42</v>
      </c>
      <c r="AV192">
        <v>44</v>
      </c>
      <c r="AW192">
        <v>45</v>
      </c>
      <c r="AX192">
        <v>45</v>
      </c>
      <c r="AY192">
        <v>45</v>
      </c>
      <c r="AZ192">
        <v>45</v>
      </c>
      <c r="BA192">
        <v>47</v>
      </c>
      <c r="BB192">
        <v>48</v>
      </c>
      <c r="BC192">
        <v>49</v>
      </c>
      <c r="BD192">
        <v>50</v>
      </c>
      <c r="BE192">
        <v>53</v>
      </c>
      <c r="BF192">
        <v>59</v>
      </c>
      <c r="BG192">
        <v>67</v>
      </c>
      <c r="BH192">
        <v>77</v>
      </c>
    </row>
    <row r="193" spans="1:60" x14ac:dyDescent="0.3">
      <c r="B193" t="s">
        <v>371</v>
      </c>
      <c r="C193">
        <v>16</v>
      </c>
      <c r="D193">
        <v>108</v>
      </c>
      <c r="E193">
        <v>0</v>
      </c>
      <c r="F193">
        <v>2</v>
      </c>
      <c r="G193">
        <v>2</v>
      </c>
      <c r="H193">
        <v>2</v>
      </c>
      <c r="I193">
        <v>2</v>
      </c>
      <c r="J193">
        <v>2</v>
      </c>
      <c r="K193">
        <v>2</v>
      </c>
      <c r="L193">
        <v>2</v>
      </c>
      <c r="M193">
        <v>2</v>
      </c>
      <c r="N193">
        <v>2</v>
      </c>
      <c r="O193">
        <v>6</v>
      </c>
      <c r="P193">
        <v>6</v>
      </c>
      <c r="Q193">
        <v>8</v>
      </c>
      <c r="R193">
        <v>8</v>
      </c>
      <c r="S193">
        <v>8</v>
      </c>
      <c r="T193">
        <v>10</v>
      </c>
      <c r="U193">
        <v>10</v>
      </c>
      <c r="V193">
        <v>13</v>
      </c>
      <c r="W193">
        <v>13</v>
      </c>
      <c r="X193">
        <v>14</v>
      </c>
      <c r="Y193">
        <v>15</v>
      </c>
      <c r="Z193">
        <v>15</v>
      </c>
      <c r="AA193">
        <v>16</v>
      </c>
      <c r="AB193">
        <v>16</v>
      </c>
      <c r="AC193">
        <v>16</v>
      </c>
      <c r="AD193">
        <v>16</v>
      </c>
      <c r="AE193">
        <v>16</v>
      </c>
      <c r="AF193">
        <v>16</v>
      </c>
      <c r="AG193">
        <v>16</v>
      </c>
      <c r="AH193">
        <v>16</v>
      </c>
      <c r="AI193">
        <v>16</v>
      </c>
      <c r="AJ193">
        <v>16</v>
      </c>
      <c r="AK193">
        <v>16</v>
      </c>
      <c r="AL193">
        <v>16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18</v>
      </c>
      <c r="AY193">
        <v>30</v>
      </c>
      <c r="AZ193">
        <v>30</v>
      </c>
      <c r="BA193">
        <v>31</v>
      </c>
      <c r="BB193">
        <v>38</v>
      </c>
      <c r="BC193">
        <v>39</v>
      </c>
      <c r="BD193">
        <v>47</v>
      </c>
      <c r="BE193">
        <v>53</v>
      </c>
      <c r="BF193">
        <v>56</v>
      </c>
      <c r="BG193">
        <v>61</v>
      </c>
      <c r="BH193">
        <v>66</v>
      </c>
    </row>
    <row r="194" spans="1:60" x14ac:dyDescent="0.3">
      <c r="B194" t="s">
        <v>372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2</v>
      </c>
      <c r="O194">
        <v>2</v>
      </c>
      <c r="P194">
        <v>2</v>
      </c>
      <c r="Q194">
        <v>2</v>
      </c>
      <c r="R194">
        <v>2</v>
      </c>
      <c r="S194">
        <v>2</v>
      </c>
      <c r="T194">
        <v>2</v>
      </c>
      <c r="U194">
        <v>2</v>
      </c>
      <c r="V194">
        <v>2</v>
      </c>
      <c r="W194">
        <v>2</v>
      </c>
      <c r="X194">
        <v>2</v>
      </c>
      <c r="Y194">
        <v>2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3</v>
      </c>
      <c r="AT194">
        <v>3</v>
      </c>
      <c r="AU194">
        <v>3</v>
      </c>
      <c r="AV194">
        <v>4</v>
      </c>
      <c r="AW194">
        <v>13</v>
      </c>
      <c r="AX194">
        <v>13</v>
      </c>
      <c r="AY194">
        <v>17</v>
      </c>
      <c r="AZ194">
        <v>17</v>
      </c>
      <c r="BA194">
        <v>20</v>
      </c>
      <c r="BB194">
        <v>20</v>
      </c>
      <c r="BC194">
        <v>28</v>
      </c>
      <c r="BD194">
        <v>45</v>
      </c>
      <c r="BE194">
        <v>59</v>
      </c>
      <c r="BF194">
        <v>63</v>
      </c>
      <c r="BG194">
        <v>90</v>
      </c>
      <c r="BH194">
        <v>114</v>
      </c>
    </row>
    <row r="195" spans="1:60" x14ac:dyDescent="0.3">
      <c r="A195" t="s">
        <v>51</v>
      </c>
      <c r="B195" t="s">
        <v>365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1</v>
      </c>
      <c r="I195">
        <v>1</v>
      </c>
      <c r="J195">
        <v>6</v>
      </c>
      <c r="K195">
        <v>6</v>
      </c>
      <c r="L195">
        <v>6</v>
      </c>
      <c r="M195">
        <v>8</v>
      </c>
      <c r="N195">
        <v>8</v>
      </c>
      <c r="O195">
        <v>9</v>
      </c>
      <c r="P195">
        <v>11</v>
      </c>
      <c r="Q195">
        <v>13</v>
      </c>
      <c r="R195">
        <v>15</v>
      </c>
      <c r="S195">
        <v>17</v>
      </c>
      <c r="T195">
        <v>18</v>
      </c>
      <c r="U195">
        <v>18</v>
      </c>
      <c r="V195">
        <v>18</v>
      </c>
      <c r="W195">
        <v>18</v>
      </c>
      <c r="X195">
        <v>18</v>
      </c>
      <c r="Y195">
        <v>18</v>
      </c>
      <c r="Z195">
        <v>18</v>
      </c>
      <c r="AA195">
        <v>18</v>
      </c>
      <c r="AB195">
        <v>18</v>
      </c>
      <c r="AC195">
        <v>18</v>
      </c>
      <c r="AD195">
        <v>18</v>
      </c>
      <c r="AE195">
        <v>18</v>
      </c>
      <c r="AF195">
        <v>18</v>
      </c>
      <c r="AG195">
        <v>18</v>
      </c>
      <c r="AH195">
        <v>18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</row>
    <row r="196" spans="1:60" x14ac:dyDescent="0.3">
      <c r="A196" t="s">
        <v>284</v>
      </c>
      <c r="B196" t="s">
        <v>365</v>
      </c>
      <c r="C196">
        <v>22.166699999999999</v>
      </c>
      <c r="D196">
        <v>113.55</v>
      </c>
      <c r="E196">
        <v>1</v>
      </c>
      <c r="F196">
        <v>2</v>
      </c>
      <c r="G196">
        <v>2</v>
      </c>
      <c r="H196">
        <v>2</v>
      </c>
      <c r="I196">
        <v>5</v>
      </c>
      <c r="J196">
        <v>6</v>
      </c>
      <c r="K196">
        <v>7</v>
      </c>
      <c r="L196">
        <v>7</v>
      </c>
      <c r="M196">
        <v>7</v>
      </c>
      <c r="N196">
        <v>7</v>
      </c>
      <c r="O196">
        <v>7</v>
      </c>
      <c r="P196">
        <v>8</v>
      </c>
      <c r="Q196">
        <v>8</v>
      </c>
      <c r="R196">
        <v>10</v>
      </c>
      <c r="S196">
        <v>10</v>
      </c>
      <c r="T196">
        <v>10</v>
      </c>
      <c r="U196">
        <v>10</v>
      </c>
      <c r="V196">
        <v>10</v>
      </c>
      <c r="W196">
        <v>10</v>
      </c>
      <c r="X196">
        <v>10</v>
      </c>
      <c r="Y196">
        <v>10</v>
      </c>
      <c r="Z196">
        <v>10</v>
      </c>
      <c r="AA196">
        <v>10</v>
      </c>
      <c r="AB196">
        <v>10</v>
      </c>
      <c r="AC196">
        <v>10</v>
      </c>
      <c r="AD196">
        <v>10</v>
      </c>
      <c r="AE196">
        <v>10</v>
      </c>
      <c r="AF196">
        <v>10</v>
      </c>
      <c r="AG196">
        <v>10</v>
      </c>
      <c r="AH196">
        <v>10</v>
      </c>
      <c r="AI196">
        <v>10</v>
      </c>
      <c r="AJ196">
        <v>10</v>
      </c>
      <c r="AK196">
        <v>10</v>
      </c>
      <c r="AL196">
        <v>10</v>
      </c>
      <c r="AM196">
        <v>10</v>
      </c>
      <c r="AN196">
        <v>10</v>
      </c>
      <c r="AO196">
        <v>10</v>
      </c>
      <c r="AP196">
        <v>10</v>
      </c>
      <c r="AQ196">
        <v>10</v>
      </c>
      <c r="AR196">
        <v>10</v>
      </c>
      <c r="AS196">
        <v>10</v>
      </c>
      <c r="AT196">
        <v>10</v>
      </c>
      <c r="AU196">
        <v>10</v>
      </c>
      <c r="AV196">
        <v>10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11</v>
      </c>
      <c r="BH196">
        <v>12</v>
      </c>
    </row>
    <row r="197" spans="1:60" x14ac:dyDescent="0.3">
      <c r="B197" t="s">
        <v>373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1</v>
      </c>
      <c r="AZ197">
        <v>1</v>
      </c>
      <c r="BA197">
        <v>3</v>
      </c>
      <c r="BB197">
        <v>3</v>
      </c>
      <c r="BC197">
        <v>3</v>
      </c>
      <c r="BD197">
        <v>6</v>
      </c>
      <c r="BE197">
        <v>12</v>
      </c>
      <c r="BF197">
        <v>23</v>
      </c>
      <c r="BG197">
        <v>23</v>
      </c>
      <c r="BH197">
        <v>30</v>
      </c>
    </row>
    <row r="198" spans="1:60" x14ac:dyDescent="0.3">
      <c r="B198" t="s">
        <v>374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2</v>
      </c>
      <c r="BC198">
        <v>2</v>
      </c>
      <c r="BD198">
        <v>3</v>
      </c>
      <c r="BE198">
        <v>10</v>
      </c>
      <c r="BF198">
        <v>10</v>
      </c>
      <c r="BG198">
        <v>11</v>
      </c>
      <c r="BH198">
        <v>11</v>
      </c>
    </row>
    <row r="199" spans="1:60" x14ac:dyDescent="0.3">
      <c r="A199" t="s">
        <v>161</v>
      </c>
      <c r="B199" t="s">
        <v>114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1</v>
      </c>
      <c r="AV199">
        <v>1</v>
      </c>
      <c r="AW199">
        <v>1</v>
      </c>
      <c r="AX199">
        <v>1</v>
      </c>
      <c r="AY199">
        <v>2</v>
      </c>
      <c r="AZ199">
        <v>2</v>
      </c>
      <c r="BA199">
        <v>2</v>
      </c>
      <c r="BB199">
        <v>2</v>
      </c>
      <c r="BC199">
        <v>2</v>
      </c>
      <c r="BD199">
        <v>3</v>
      </c>
      <c r="BE199">
        <v>9</v>
      </c>
      <c r="BF199">
        <v>11</v>
      </c>
      <c r="BG199">
        <v>18</v>
      </c>
      <c r="BH199">
        <v>47</v>
      </c>
    </row>
    <row r="200" spans="1:60" x14ac:dyDescent="0.3">
      <c r="A200" t="s">
        <v>375</v>
      </c>
      <c r="B200" t="s">
        <v>68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2</v>
      </c>
      <c r="BA200">
        <v>2</v>
      </c>
      <c r="BB200">
        <v>2</v>
      </c>
      <c r="BC200">
        <v>2</v>
      </c>
      <c r="BD200">
        <v>2</v>
      </c>
      <c r="BE200">
        <v>2</v>
      </c>
      <c r="BF200">
        <v>2</v>
      </c>
      <c r="BG200">
        <v>2</v>
      </c>
      <c r="BH200">
        <v>2</v>
      </c>
    </row>
    <row r="201" spans="1:60" x14ac:dyDescent="0.3">
      <c r="B201" t="s">
        <v>376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2</v>
      </c>
      <c r="BC201">
        <v>2</v>
      </c>
      <c r="BD201">
        <v>2</v>
      </c>
      <c r="BE201">
        <v>2</v>
      </c>
      <c r="BF201">
        <v>3</v>
      </c>
      <c r="BG201">
        <v>6</v>
      </c>
      <c r="BH201">
        <v>8</v>
      </c>
    </row>
    <row r="202" spans="1:60" x14ac:dyDescent="0.3">
      <c r="A202" t="s">
        <v>307</v>
      </c>
      <c r="B202" t="s">
        <v>377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1</v>
      </c>
      <c r="BB202">
        <v>2</v>
      </c>
      <c r="BC202">
        <v>2</v>
      </c>
      <c r="BD202">
        <v>2</v>
      </c>
      <c r="BE202">
        <v>2</v>
      </c>
      <c r="BF202">
        <v>3</v>
      </c>
      <c r="BG202">
        <v>6</v>
      </c>
      <c r="BH202">
        <v>6</v>
      </c>
    </row>
    <row r="203" spans="1:60" x14ac:dyDescent="0.3">
      <c r="A203" t="s">
        <v>378</v>
      </c>
      <c r="B203" t="s">
        <v>72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1</v>
      </c>
      <c r="BC203">
        <v>1</v>
      </c>
      <c r="BD203">
        <v>1</v>
      </c>
      <c r="BE203">
        <v>1</v>
      </c>
      <c r="BF203">
        <v>2</v>
      </c>
      <c r="BG203">
        <v>6</v>
      </c>
      <c r="BH203">
        <v>8</v>
      </c>
    </row>
    <row r="204" spans="1:60" x14ac:dyDescent="0.3">
      <c r="A204" t="s">
        <v>58</v>
      </c>
      <c r="B204" t="s">
        <v>365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</row>
    <row r="205" spans="1:60" x14ac:dyDescent="0.3">
      <c r="B205" t="s">
        <v>379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2</v>
      </c>
      <c r="BE205">
        <v>2</v>
      </c>
      <c r="BF205">
        <v>2</v>
      </c>
      <c r="BG205">
        <v>2</v>
      </c>
      <c r="BH205">
        <v>3</v>
      </c>
    </row>
    <row r="206" spans="1:60" x14ac:dyDescent="0.3">
      <c r="B206" t="s">
        <v>380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1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5</v>
      </c>
    </row>
    <row r="207" spans="1:60" x14ac:dyDescent="0.3">
      <c r="A207" t="s">
        <v>157</v>
      </c>
      <c r="B207" t="s">
        <v>68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3</v>
      </c>
      <c r="AV207">
        <v>3</v>
      </c>
      <c r="AW207">
        <v>3</v>
      </c>
      <c r="AX207">
        <v>3</v>
      </c>
      <c r="AY207">
        <v>3</v>
      </c>
      <c r="AZ207">
        <v>1</v>
      </c>
      <c r="BA207">
        <v>1</v>
      </c>
      <c r="BB207">
        <v>1</v>
      </c>
      <c r="BC207">
        <v>1</v>
      </c>
      <c r="BD207">
        <v>1</v>
      </c>
      <c r="BE207">
        <v>1</v>
      </c>
      <c r="BF207">
        <v>1</v>
      </c>
      <c r="BG207">
        <v>3</v>
      </c>
      <c r="BH207">
        <v>3</v>
      </c>
    </row>
    <row r="208" spans="1:60" x14ac:dyDescent="0.3">
      <c r="B208" t="s">
        <v>381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1</v>
      </c>
      <c r="BC208">
        <v>2</v>
      </c>
      <c r="BD208">
        <v>8</v>
      </c>
      <c r="BE208">
        <v>8</v>
      </c>
      <c r="BF208">
        <v>10</v>
      </c>
      <c r="BG208">
        <v>10</v>
      </c>
      <c r="BH208">
        <v>12</v>
      </c>
    </row>
    <row r="209" spans="1:60" x14ac:dyDescent="0.3">
      <c r="B209" t="s">
        <v>383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1</v>
      </c>
      <c r="BC209">
        <v>1</v>
      </c>
      <c r="BD209">
        <v>5</v>
      </c>
      <c r="BE209">
        <v>5</v>
      </c>
      <c r="BF209">
        <v>6</v>
      </c>
      <c r="BG209">
        <v>18</v>
      </c>
      <c r="BH209">
        <v>47</v>
      </c>
    </row>
    <row r="210" spans="1:60" x14ac:dyDescent="0.3">
      <c r="A210" t="s">
        <v>162</v>
      </c>
      <c r="B210" t="s">
        <v>377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1</v>
      </c>
      <c r="AV210">
        <v>1</v>
      </c>
      <c r="AW210">
        <v>1</v>
      </c>
      <c r="AX210">
        <v>1</v>
      </c>
      <c r="AY210">
        <v>1</v>
      </c>
      <c r="AZ210">
        <v>1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3</v>
      </c>
    </row>
    <row r="211" spans="1:60" x14ac:dyDescent="0.3">
      <c r="A211" t="s">
        <v>328</v>
      </c>
      <c r="B211" t="s">
        <v>65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</row>
    <row r="212" spans="1:60" x14ac:dyDescent="0.3">
      <c r="A212" t="s">
        <v>329</v>
      </c>
      <c r="B212" t="s">
        <v>65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</row>
    <row r="213" spans="1:60" x14ac:dyDescent="0.3">
      <c r="A213" t="s">
        <v>330</v>
      </c>
      <c r="B213" t="s">
        <v>65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</row>
    <row r="214" spans="1:60" x14ac:dyDescent="0.3">
      <c r="A214" t="s">
        <v>331</v>
      </c>
      <c r="B214" t="s">
        <v>65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</row>
    <row r="215" spans="1:60" x14ac:dyDescent="0.3">
      <c r="A215" t="s">
        <v>332</v>
      </c>
      <c r="B215" t="s">
        <v>65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</row>
    <row r="216" spans="1:60" x14ac:dyDescent="0.3">
      <c r="A216" t="s">
        <v>333</v>
      </c>
      <c r="B216" t="s">
        <v>65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</row>
    <row r="217" spans="1:60" x14ac:dyDescent="0.3">
      <c r="A217" t="s">
        <v>334</v>
      </c>
      <c r="B217" t="s">
        <v>65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</row>
    <row r="218" spans="1:60" x14ac:dyDescent="0.3">
      <c r="A218" t="s">
        <v>335</v>
      </c>
      <c r="B218" t="s">
        <v>65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</row>
    <row r="219" spans="1:60" x14ac:dyDescent="0.3">
      <c r="A219" t="s">
        <v>336</v>
      </c>
      <c r="B219" t="s">
        <v>65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</row>
    <row r="220" spans="1:60" x14ac:dyDescent="0.3">
      <c r="A220" t="s">
        <v>337</v>
      </c>
      <c r="B220" t="s">
        <v>65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</row>
    <row r="221" spans="1:60" x14ac:dyDescent="0.3">
      <c r="A221" t="s">
        <v>338</v>
      </c>
      <c r="B221" t="s">
        <v>65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</row>
    <row r="222" spans="1:60" x14ac:dyDescent="0.3">
      <c r="A222" t="s">
        <v>339</v>
      </c>
      <c r="B222" t="s">
        <v>65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</row>
    <row r="223" spans="1:60" x14ac:dyDescent="0.3">
      <c r="A223" t="s">
        <v>340</v>
      </c>
      <c r="B223" t="s">
        <v>65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</row>
    <row r="224" spans="1:60" x14ac:dyDescent="0.3">
      <c r="A224" t="s">
        <v>341</v>
      </c>
      <c r="B224" t="s">
        <v>65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</row>
    <row r="225" spans="1:60" x14ac:dyDescent="0.3">
      <c r="A225" t="s">
        <v>342</v>
      </c>
      <c r="B225" t="s">
        <v>65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</row>
    <row r="226" spans="1:60" x14ac:dyDescent="0.3">
      <c r="A226" t="s">
        <v>343</v>
      </c>
      <c r="B226" t="s">
        <v>65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</row>
    <row r="227" spans="1:60" x14ac:dyDescent="0.3">
      <c r="A227" t="s">
        <v>344</v>
      </c>
      <c r="B227" t="s">
        <v>65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</row>
    <row r="228" spans="1:60" x14ac:dyDescent="0.3">
      <c r="A228" t="s">
        <v>345</v>
      </c>
      <c r="B228" t="s">
        <v>65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</row>
    <row r="229" spans="1:60" x14ac:dyDescent="0.3">
      <c r="A229" t="s">
        <v>346</v>
      </c>
      <c r="B229" t="s">
        <v>65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</row>
    <row r="230" spans="1:60" x14ac:dyDescent="0.3">
      <c r="A230" t="s">
        <v>347</v>
      </c>
      <c r="B230" t="s">
        <v>65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</row>
    <row r="231" spans="1:60" x14ac:dyDescent="0.3">
      <c r="A231" t="s">
        <v>348</v>
      </c>
      <c r="B231" t="s">
        <v>65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</row>
    <row r="232" spans="1:60" x14ac:dyDescent="0.3">
      <c r="A232" t="s">
        <v>349</v>
      </c>
      <c r="B232" t="s">
        <v>65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</row>
    <row r="233" spans="1:60" x14ac:dyDescent="0.3">
      <c r="A233" t="s">
        <v>350</v>
      </c>
      <c r="B233" t="s">
        <v>65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</row>
    <row r="234" spans="1:60" x14ac:dyDescent="0.3">
      <c r="A234" t="s">
        <v>351</v>
      </c>
      <c r="B234" t="s">
        <v>65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</row>
    <row r="235" spans="1:60" x14ac:dyDescent="0.3">
      <c r="A235" t="s">
        <v>352</v>
      </c>
      <c r="B235" t="s">
        <v>65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</row>
    <row r="236" spans="1:60" x14ac:dyDescent="0.3">
      <c r="A236" t="s">
        <v>353</v>
      </c>
      <c r="B236" t="s">
        <v>65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</row>
    <row r="237" spans="1:60" x14ac:dyDescent="0.3">
      <c r="A237" t="s">
        <v>354</v>
      </c>
      <c r="B237" t="s">
        <v>65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</row>
    <row r="238" spans="1:60" x14ac:dyDescent="0.3">
      <c r="A238" t="s">
        <v>384</v>
      </c>
      <c r="B238" t="s">
        <v>65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</row>
    <row r="239" spans="1:60" x14ac:dyDescent="0.3">
      <c r="A239" t="s">
        <v>355</v>
      </c>
      <c r="B239" t="s">
        <v>65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</row>
    <row r="240" spans="1:60" x14ac:dyDescent="0.3">
      <c r="A240" t="s">
        <v>385</v>
      </c>
      <c r="B240" t="s">
        <v>65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</row>
    <row r="241" spans="1:60" x14ac:dyDescent="0.3">
      <c r="A241" t="s">
        <v>356</v>
      </c>
      <c r="B241" t="s">
        <v>65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</row>
    <row r="242" spans="1:60" x14ac:dyDescent="0.3">
      <c r="A242" t="s">
        <v>357</v>
      </c>
      <c r="B242" t="s">
        <v>65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</row>
    <row r="243" spans="1:60" x14ac:dyDescent="0.3">
      <c r="A243" t="s">
        <v>358</v>
      </c>
      <c r="B243" t="s">
        <v>65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</row>
    <row r="244" spans="1:60" x14ac:dyDescent="0.3">
      <c r="A244" t="s">
        <v>359</v>
      </c>
      <c r="B244" t="s">
        <v>65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</row>
    <row r="245" spans="1:60" x14ac:dyDescent="0.3">
      <c r="A245" t="s">
        <v>360</v>
      </c>
      <c r="B245" t="s">
        <v>65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</row>
    <row r="246" spans="1:60" x14ac:dyDescent="0.3">
      <c r="A246" t="s">
        <v>361</v>
      </c>
      <c r="B246" t="s">
        <v>65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</row>
    <row r="247" spans="1:60" x14ac:dyDescent="0.3">
      <c r="A247" t="s">
        <v>362</v>
      </c>
      <c r="B247" t="s">
        <v>65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</row>
    <row r="248" spans="1:60" x14ac:dyDescent="0.3">
      <c r="A248" t="s">
        <v>363</v>
      </c>
      <c r="B248" t="s">
        <v>65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</row>
    <row r="249" spans="1:60" x14ac:dyDescent="0.3">
      <c r="A249" t="s">
        <v>261</v>
      </c>
      <c r="B249" t="s">
        <v>65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1</v>
      </c>
      <c r="AZ249">
        <v>1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</row>
    <row r="250" spans="1:60" x14ac:dyDescent="0.3">
      <c r="A250" t="s">
        <v>262</v>
      </c>
      <c r="B250" t="s">
        <v>65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1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</row>
    <row r="251" spans="1:60" x14ac:dyDescent="0.3">
      <c r="A251" t="s">
        <v>263</v>
      </c>
      <c r="B251" t="s">
        <v>65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1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</row>
    <row r="252" spans="1:60" x14ac:dyDescent="0.3">
      <c r="A252" t="s">
        <v>264</v>
      </c>
      <c r="B252" t="s">
        <v>65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1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</row>
    <row r="253" spans="1:60" x14ac:dyDescent="0.3">
      <c r="A253" t="s">
        <v>265</v>
      </c>
      <c r="B253" t="s">
        <v>65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1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</row>
    <row r="254" spans="1:60" x14ac:dyDescent="0.3">
      <c r="A254" t="s">
        <v>266</v>
      </c>
      <c r="B254" t="s">
        <v>65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1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</row>
    <row r="255" spans="1:60" x14ac:dyDescent="0.3">
      <c r="A255" t="s">
        <v>267</v>
      </c>
      <c r="B255" t="s">
        <v>65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1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</row>
    <row r="256" spans="1:60" x14ac:dyDescent="0.3">
      <c r="A256" t="s">
        <v>268</v>
      </c>
      <c r="B256" t="s">
        <v>65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1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</row>
    <row r="257" spans="1:60" x14ac:dyDescent="0.3">
      <c r="A257" t="s">
        <v>269</v>
      </c>
      <c r="B257" t="s">
        <v>65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1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</row>
    <row r="258" spans="1:60" x14ac:dyDescent="0.3">
      <c r="A258" t="s">
        <v>259</v>
      </c>
      <c r="B258" t="s">
        <v>65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2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</row>
    <row r="259" spans="1:60" x14ac:dyDescent="0.3">
      <c r="A259" t="s">
        <v>256</v>
      </c>
      <c r="B259" t="s">
        <v>65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3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</row>
    <row r="260" spans="1:60" x14ac:dyDescent="0.3">
      <c r="A260" t="s">
        <v>234</v>
      </c>
      <c r="B260" t="s">
        <v>65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1</v>
      </c>
      <c r="AZ260">
        <v>1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</row>
    <row r="261" spans="1:60" x14ac:dyDescent="0.3">
      <c r="A261" t="s">
        <v>235</v>
      </c>
      <c r="B261" t="s">
        <v>65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1</v>
      </c>
      <c r="AZ261">
        <v>1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</row>
    <row r="262" spans="1:60" x14ac:dyDescent="0.3">
      <c r="A262" t="s">
        <v>236</v>
      </c>
      <c r="B262" t="s">
        <v>65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1</v>
      </c>
      <c r="AZ262">
        <v>1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</row>
    <row r="263" spans="1:60" x14ac:dyDescent="0.3">
      <c r="A263" t="s">
        <v>237</v>
      </c>
      <c r="B263" t="s">
        <v>65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1</v>
      </c>
      <c r="AZ263">
        <v>1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</row>
    <row r="264" spans="1:60" x14ac:dyDescent="0.3">
      <c r="A264" t="s">
        <v>238</v>
      </c>
      <c r="B264" t="s">
        <v>65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1</v>
      </c>
      <c r="AZ264">
        <v>1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</row>
    <row r="265" spans="1:60" x14ac:dyDescent="0.3">
      <c r="A265" t="s">
        <v>239</v>
      </c>
      <c r="B265" t="s">
        <v>65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1</v>
      </c>
      <c r="AZ265">
        <v>2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</row>
    <row r="266" spans="1:60" x14ac:dyDescent="0.3">
      <c r="A266" t="s">
        <v>240</v>
      </c>
      <c r="B266" t="s">
        <v>65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1</v>
      </c>
      <c r="AZ266">
        <v>1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</row>
    <row r="267" spans="1:60" x14ac:dyDescent="0.3">
      <c r="A267" t="s">
        <v>241</v>
      </c>
      <c r="B267" t="s">
        <v>65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1</v>
      </c>
      <c r="AZ267">
        <v>1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</row>
    <row r="268" spans="1:60" x14ac:dyDescent="0.3">
      <c r="A268" t="s">
        <v>242</v>
      </c>
      <c r="B268" t="s">
        <v>65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1</v>
      </c>
      <c r="AZ268">
        <v>1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</row>
    <row r="269" spans="1:60" x14ac:dyDescent="0.3">
      <c r="A269" t="s">
        <v>243</v>
      </c>
      <c r="B269" t="s">
        <v>65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1</v>
      </c>
      <c r="AZ269">
        <v>2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</row>
    <row r="270" spans="1:60" x14ac:dyDescent="0.3">
      <c r="A270" t="s">
        <v>244</v>
      </c>
      <c r="B270" t="s">
        <v>65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1</v>
      </c>
      <c r="AZ270">
        <v>1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</row>
    <row r="271" spans="1:60" x14ac:dyDescent="0.3">
      <c r="A271" t="s">
        <v>245</v>
      </c>
      <c r="B271" t="s">
        <v>65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1</v>
      </c>
      <c r="AZ271">
        <v>1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</row>
    <row r="272" spans="1:60" x14ac:dyDescent="0.3">
      <c r="A272" t="s">
        <v>246</v>
      </c>
      <c r="B272" t="s">
        <v>65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1</v>
      </c>
      <c r="AX272">
        <v>1</v>
      </c>
      <c r="AY272">
        <v>1</v>
      </c>
      <c r="AZ272">
        <v>1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</row>
    <row r="273" spans="1:60" x14ac:dyDescent="0.3">
      <c r="A273" t="s">
        <v>247</v>
      </c>
      <c r="B273" t="s">
        <v>65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1</v>
      </c>
      <c r="AZ273">
        <v>1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</row>
    <row r="274" spans="1:60" x14ac:dyDescent="0.3">
      <c r="A274" t="s">
        <v>248</v>
      </c>
      <c r="B274" t="s">
        <v>65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1</v>
      </c>
      <c r="AZ274">
        <v>1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</row>
    <row r="275" spans="1:60" x14ac:dyDescent="0.3">
      <c r="A275" t="s">
        <v>249</v>
      </c>
      <c r="B275" t="s">
        <v>65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1</v>
      </c>
      <c r="AZ275">
        <v>1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</row>
    <row r="276" spans="1:60" x14ac:dyDescent="0.3">
      <c r="A276" t="s">
        <v>250</v>
      </c>
      <c r="B276" t="s">
        <v>65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1</v>
      </c>
      <c r="AZ276">
        <v>1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</row>
    <row r="277" spans="1:60" x14ac:dyDescent="0.3">
      <c r="A277" t="s">
        <v>251</v>
      </c>
      <c r="B277" t="s">
        <v>65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1</v>
      </c>
      <c r="AZ277">
        <v>1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</row>
    <row r="278" spans="1:60" x14ac:dyDescent="0.3">
      <c r="A278" t="s">
        <v>252</v>
      </c>
      <c r="B278" t="s">
        <v>65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1</v>
      </c>
      <c r="AZ278">
        <v>1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</row>
    <row r="279" spans="1:60" x14ac:dyDescent="0.3">
      <c r="A279" t="s">
        <v>230</v>
      </c>
      <c r="B279" t="s">
        <v>65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2</v>
      </c>
      <c r="AZ279">
        <v>2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</row>
    <row r="280" spans="1:60" x14ac:dyDescent="0.3">
      <c r="A280" t="s">
        <v>231</v>
      </c>
      <c r="B280" t="s">
        <v>65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1</v>
      </c>
      <c r="AZ280">
        <v>1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</row>
    <row r="281" spans="1:60" x14ac:dyDescent="0.3">
      <c r="A281" t="s">
        <v>232</v>
      </c>
      <c r="B281" t="s">
        <v>65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2</v>
      </c>
      <c r="AZ281">
        <v>2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</row>
    <row r="282" spans="1:60" x14ac:dyDescent="0.3">
      <c r="A282" t="s">
        <v>228</v>
      </c>
      <c r="B282" t="s">
        <v>65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4</v>
      </c>
      <c r="AZ282">
        <v>5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</row>
    <row r="283" spans="1:60" x14ac:dyDescent="0.3">
      <c r="A283" t="s">
        <v>208</v>
      </c>
      <c r="B283" t="s">
        <v>65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1</v>
      </c>
      <c r="AU283">
        <v>1</v>
      </c>
      <c r="AV283">
        <v>1</v>
      </c>
      <c r="AW283">
        <v>1</v>
      </c>
      <c r="AX283">
        <v>2</v>
      </c>
      <c r="AY283">
        <v>2</v>
      </c>
      <c r="AZ283">
        <v>2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</row>
    <row r="284" spans="1:60" x14ac:dyDescent="0.3">
      <c r="A284" t="s">
        <v>209</v>
      </c>
      <c r="B284" t="s">
        <v>65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2</v>
      </c>
      <c r="AY284">
        <v>2</v>
      </c>
      <c r="AZ284">
        <v>3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</row>
    <row r="285" spans="1:60" x14ac:dyDescent="0.3">
      <c r="A285" t="s">
        <v>210</v>
      </c>
      <c r="B285" t="s">
        <v>65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2</v>
      </c>
      <c r="AY285">
        <v>2</v>
      </c>
      <c r="AZ285">
        <v>2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</row>
    <row r="286" spans="1:60" x14ac:dyDescent="0.3">
      <c r="A286" t="s">
        <v>211</v>
      </c>
      <c r="B286" t="s">
        <v>65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2</v>
      </c>
      <c r="AY286">
        <v>2</v>
      </c>
      <c r="AZ286">
        <v>2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</row>
    <row r="287" spans="1:60" x14ac:dyDescent="0.3">
      <c r="A287" t="s">
        <v>212</v>
      </c>
      <c r="B287" t="s">
        <v>65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2</v>
      </c>
      <c r="AY287">
        <v>2</v>
      </c>
      <c r="AZ287">
        <v>4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</row>
    <row r="288" spans="1:60" x14ac:dyDescent="0.3">
      <c r="A288" t="s">
        <v>213</v>
      </c>
      <c r="B288" t="s">
        <v>65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2</v>
      </c>
      <c r="AY288">
        <v>2</v>
      </c>
      <c r="AZ288">
        <v>2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</row>
    <row r="289" spans="1:60" x14ac:dyDescent="0.3">
      <c r="A289" t="s">
        <v>214</v>
      </c>
      <c r="B289" t="s">
        <v>65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1</v>
      </c>
      <c r="AY289">
        <v>1</v>
      </c>
      <c r="AZ289">
        <v>1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</row>
    <row r="290" spans="1:60" x14ac:dyDescent="0.3">
      <c r="A290" t="s">
        <v>215</v>
      </c>
      <c r="B290" t="s">
        <v>65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1</v>
      </c>
      <c r="AY290">
        <v>1</v>
      </c>
      <c r="AZ290">
        <v>1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</row>
    <row r="291" spans="1:60" x14ac:dyDescent="0.3">
      <c r="A291" t="s">
        <v>216</v>
      </c>
      <c r="B291" t="s">
        <v>65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1</v>
      </c>
      <c r="AY291">
        <v>1</v>
      </c>
      <c r="AZ291">
        <v>3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</row>
    <row r="292" spans="1:60" x14ac:dyDescent="0.3">
      <c r="A292" t="s">
        <v>217</v>
      </c>
      <c r="B292" t="s">
        <v>65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1</v>
      </c>
      <c r="AY292">
        <v>1</v>
      </c>
      <c r="AZ292">
        <v>1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</row>
    <row r="293" spans="1:60" x14ac:dyDescent="0.3">
      <c r="A293" t="s">
        <v>218</v>
      </c>
      <c r="B293" t="s">
        <v>65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1</v>
      </c>
      <c r="AY293">
        <v>1</v>
      </c>
      <c r="AZ293">
        <v>1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</row>
    <row r="294" spans="1:60" x14ac:dyDescent="0.3">
      <c r="A294" t="s">
        <v>219</v>
      </c>
      <c r="B294" t="s">
        <v>65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1</v>
      </c>
      <c r="AY294">
        <v>1</v>
      </c>
      <c r="AZ294">
        <v>1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</row>
    <row r="295" spans="1:60" x14ac:dyDescent="0.3">
      <c r="A295" t="s">
        <v>462</v>
      </c>
      <c r="B295" t="s">
        <v>65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1</v>
      </c>
      <c r="AY295">
        <v>2</v>
      </c>
      <c r="AZ295">
        <v>2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</row>
    <row r="296" spans="1:60" x14ac:dyDescent="0.3">
      <c r="A296" t="s">
        <v>220</v>
      </c>
      <c r="B296" t="s">
        <v>65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1</v>
      </c>
      <c r="AY296">
        <v>1</v>
      </c>
      <c r="AZ296">
        <v>1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</row>
    <row r="297" spans="1:60" x14ac:dyDescent="0.3">
      <c r="A297" t="s">
        <v>221</v>
      </c>
      <c r="B297" t="s">
        <v>65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1</v>
      </c>
      <c r="AY297">
        <v>1</v>
      </c>
      <c r="AZ297">
        <v>1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</row>
    <row r="298" spans="1:60" x14ac:dyDescent="0.3">
      <c r="A298" t="s">
        <v>222</v>
      </c>
      <c r="B298" t="s">
        <v>65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1</v>
      </c>
      <c r="AY298">
        <v>1</v>
      </c>
      <c r="AZ298">
        <v>1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</row>
    <row r="299" spans="1:60" x14ac:dyDescent="0.3">
      <c r="A299" t="s">
        <v>223</v>
      </c>
      <c r="B299" t="s">
        <v>65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1</v>
      </c>
      <c r="AY299">
        <v>1</v>
      </c>
      <c r="AZ299">
        <v>1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</row>
    <row r="300" spans="1:60" x14ac:dyDescent="0.3">
      <c r="A300" t="s">
        <v>224</v>
      </c>
      <c r="B300" t="s">
        <v>65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1</v>
      </c>
      <c r="AY300">
        <v>4</v>
      </c>
      <c r="AZ300">
        <v>4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</row>
    <row r="301" spans="1:60" x14ac:dyDescent="0.3">
      <c r="A301" t="s">
        <v>225</v>
      </c>
      <c r="B301" t="s">
        <v>65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1</v>
      </c>
      <c r="AY301">
        <v>1</v>
      </c>
      <c r="AZ301">
        <v>1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</row>
    <row r="302" spans="1:60" x14ac:dyDescent="0.3">
      <c r="A302" t="s">
        <v>205</v>
      </c>
      <c r="B302" t="s">
        <v>65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3</v>
      </c>
      <c r="AY302">
        <v>3</v>
      </c>
      <c r="AZ302">
        <v>3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</row>
    <row r="303" spans="1:60" x14ac:dyDescent="0.3">
      <c r="A303" t="s">
        <v>206</v>
      </c>
      <c r="B303" t="s">
        <v>65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1</v>
      </c>
      <c r="AS303">
        <v>2</v>
      </c>
      <c r="AT303">
        <v>2</v>
      </c>
      <c r="AU303">
        <v>2</v>
      </c>
      <c r="AV303">
        <v>2</v>
      </c>
      <c r="AW303">
        <v>2</v>
      </c>
      <c r="AX303">
        <v>3</v>
      </c>
      <c r="AY303">
        <v>3</v>
      </c>
      <c r="AZ303">
        <v>3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</row>
    <row r="304" spans="1:60" x14ac:dyDescent="0.3">
      <c r="A304" t="s">
        <v>191</v>
      </c>
      <c r="B304" t="s">
        <v>65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1</v>
      </c>
      <c r="AX304">
        <v>1</v>
      </c>
      <c r="AY304">
        <v>1</v>
      </c>
      <c r="AZ304">
        <v>1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</row>
    <row r="305" spans="1:60" x14ac:dyDescent="0.3">
      <c r="A305" t="s">
        <v>192</v>
      </c>
      <c r="B305" t="s">
        <v>65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1</v>
      </c>
      <c r="AX305">
        <v>1</v>
      </c>
      <c r="AY305">
        <v>1</v>
      </c>
      <c r="AZ305">
        <v>1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</row>
    <row r="306" spans="1:60" x14ac:dyDescent="0.3">
      <c r="A306" t="s">
        <v>193</v>
      </c>
      <c r="B306" t="s">
        <v>65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1</v>
      </c>
      <c r="AX306">
        <v>1</v>
      </c>
      <c r="AY306">
        <v>1</v>
      </c>
      <c r="AZ306">
        <v>3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</row>
    <row r="307" spans="1:60" x14ac:dyDescent="0.3">
      <c r="A307" t="s">
        <v>194</v>
      </c>
      <c r="B307" t="s">
        <v>65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1</v>
      </c>
      <c r="AX307">
        <v>1</v>
      </c>
      <c r="AY307">
        <v>1</v>
      </c>
      <c r="AZ307">
        <v>1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</row>
    <row r="308" spans="1:60" x14ac:dyDescent="0.3">
      <c r="A308" t="s">
        <v>195</v>
      </c>
      <c r="B308" t="s">
        <v>65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1</v>
      </c>
      <c r="AX308">
        <v>1</v>
      </c>
      <c r="AY308">
        <v>1</v>
      </c>
      <c r="AZ308">
        <v>1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</row>
    <row r="309" spans="1:60" x14ac:dyDescent="0.3">
      <c r="A309" t="s">
        <v>196</v>
      </c>
      <c r="B309" t="s">
        <v>65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1</v>
      </c>
      <c r="AX309">
        <v>1</v>
      </c>
      <c r="AY309">
        <v>7</v>
      </c>
      <c r="AZ309">
        <v>7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</row>
    <row r="310" spans="1:60" x14ac:dyDescent="0.3">
      <c r="A310" t="s">
        <v>197</v>
      </c>
      <c r="B310" t="s">
        <v>65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1</v>
      </c>
      <c r="AW310">
        <v>1</v>
      </c>
      <c r="AX310">
        <v>4</v>
      </c>
      <c r="AY310">
        <v>5</v>
      </c>
      <c r="AZ310">
        <v>17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</row>
    <row r="311" spans="1:60" x14ac:dyDescent="0.3">
      <c r="A311" t="s">
        <v>198</v>
      </c>
      <c r="B311" t="s">
        <v>65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1</v>
      </c>
      <c r="AX311">
        <v>1</v>
      </c>
      <c r="AY311">
        <v>1</v>
      </c>
      <c r="AZ311">
        <v>1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</row>
    <row r="312" spans="1:60" x14ac:dyDescent="0.3">
      <c r="A312" t="s">
        <v>199</v>
      </c>
      <c r="B312" t="s">
        <v>65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1</v>
      </c>
      <c r="AX312">
        <v>1</v>
      </c>
      <c r="AY312">
        <v>2</v>
      </c>
      <c r="AZ312">
        <v>2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</row>
    <row r="313" spans="1:60" x14ac:dyDescent="0.3">
      <c r="A313" t="s">
        <v>200</v>
      </c>
      <c r="B313" t="s">
        <v>65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1</v>
      </c>
      <c r="AX313">
        <v>1</v>
      </c>
      <c r="AY313">
        <v>1</v>
      </c>
      <c r="AZ313">
        <v>1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</row>
    <row r="314" spans="1:60" x14ac:dyDescent="0.3">
      <c r="A314" t="s">
        <v>201</v>
      </c>
      <c r="B314" t="s">
        <v>65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1</v>
      </c>
      <c r="AX314">
        <v>1</v>
      </c>
      <c r="AY314">
        <v>1</v>
      </c>
      <c r="AZ314">
        <v>1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</row>
    <row r="315" spans="1:60" x14ac:dyDescent="0.3">
      <c r="A315" t="s">
        <v>202</v>
      </c>
      <c r="B315" t="s">
        <v>65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1</v>
      </c>
      <c r="O315">
        <v>1</v>
      </c>
      <c r="P315">
        <v>1</v>
      </c>
      <c r="Q315">
        <v>2</v>
      </c>
      <c r="R315">
        <v>2</v>
      </c>
      <c r="S315">
        <v>2</v>
      </c>
      <c r="T315">
        <v>2</v>
      </c>
      <c r="U315">
        <v>2</v>
      </c>
      <c r="V315">
        <v>2</v>
      </c>
      <c r="W315">
        <v>2</v>
      </c>
      <c r="X315">
        <v>2</v>
      </c>
      <c r="Y315">
        <v>2</v>
      </c>
      <c r="Z315">
        <v>2</v>
      </c>
      <c r="AA315">
        <v>2</v>
      </c>
      <c r="AB315">
        <v>2</v>
      </c>
      <c r="AC315">
        <v>2</v>
      </c>
      <c r="AD315">
        <v>2</v>
      </c>
      <c r="AE315">
        <v>2</v>
      </c>
      <c r="AF315">
        <v>2</v>
      </c>
      <c r="AG315">
        <v>2</v>
      </c>
      <c r="AH315">
        <v>2</v>
      </c>
      <c r="AI315">
        <v>2</v>
      </c>
      <c r="AJ315">
        <v>2</v>
      </c>
      <c r="AK315">
        <v>2</v>
      </c>
      <c r="AL315">
        <v>2</v>
      </c>
      <c r="AM315">
        <v>2</v>
      </c>
      <c r="AN315">
        <v>2</v>
      </c>
      <c r="AO315">
        <v>2</v>
      </c>
      <c r="AP315">
        <v>2</v>
      </c>
      <c r="AQ315">
        <v>3</v>
      </c>
      <c r="AR315">
        <v>3</v>
      </c>
      <c r="AS315">
        <v>9</v>
      </c>
      <c r="AT315">
        <v>11</v>
      </c>
      <c r="AU315">
        <v>11</v>
      </c>
      <c r="AV315">
        <v>20</v>
      </c>
      <c r="AW315">
        <v>20</v>
      </c>
      <c r="AX315">
        <v>32</v>
      </c>
      <c r="AY315">
        <v>38</v>
      </c>
      <c r="AZ315">
        <v>38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</row>
    <row r="316" spans="1:60" x14ac:dyDescent="0.3">
      <c r="A316" t="s">
        <v>173</v>
      </c>
      <c r="B316" t="s">
        <v>65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1</v>
      </c>
      <c r="AW316">
        <v>1</v>
      </c>
      <c r="AX316">
        <v>1</v>
      </c>
      <c r="AY316">
        <v>2</v>
      </c>
      <c r="AZ316">
        <v>2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</row>
    <row r="317" spans="1:60" x14ac:dyDescent="0.3">
      <c r="A317" t="s">
        <v>174</v>
      </c>
      <c r="B317" t="s">
        <v>65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1</v>
      </c>
      <c r="AW317">
        <v>1</v>
      </c>
      <c r="AX317">
        <v>3</v>
      </c>
      <c r="AY317">
        <v>6</v>
      </c>
      <c r="AZ317">
        <v>6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</row>
    <row r="318" spans="1:60" x14ac:dyDescent="0.3">
      <c r="A318" t="s">
        <v>175</v>
      </c>
      <c r="B318" t="s">
        <v>65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1</v>
      </c>
      <c r="AW318">
        <v>1</v>
      </c>
      <c r="AX318">
        <v>1</v>
      </c>
      <c r="AY318">
        <v>1</v>
      </c>
      <c r="AZ318">
        <v>1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</row>
    <row r="319" spans="1:60" x14ac:dyDescent="0.3">
      <c r="A319" t="s">
        <v>176</v>
      </c>
      <c r="B319" t="s">
        <v>65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1</v>
      </c>
      <c r="AW319">
        <v>1</v>
      </c>
      <c r="AX319">
        <v>1</v>
      </c>
      <c r="AY319">
        <v>1</v>
      </c>
      <c r="AZ319">
        <v>1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</row>
    <row r="320" spans="1:60" x14ac:dyDescent="0.3">
      <c r="A320" t="s">
        <v>177</v>
      </c>
      <c r="B320" t="s">
        <v>65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1</v>
      </c>
      <c r="AW320">
        <v>1</v>
      </c>
      <c r="AX320">
        <v>1</v>
      </c>
      <c r="AY320">
        <v>1</v>
      </c>
      <c r="AZ320">
        <v>1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</row>
    <row r="321" spans="1:60" x14ac:dyDescent="0.3">
      <c r="A321" t="s">
        <v>178</v>
      </c>
      <c r="B321" t="s">
        <v>65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1</v>
      </c>
      <c r="AT321">
        <v>1</v>
      </c>
      <c r="AU321">
        <v>1</v>
      </c>
      <c r="AV321">
        <v>4</v>
      </c>
      <c r="AW321">
        <v>11</v>
      </c>
      <c r="AX321">
        <v>11</v>
      </c>
      <c r="AY321">
        <v>12</v>
      </c>
      <c r="AZ321">
        <v>19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</row>
    <row r="322" spans="1:60" x14ac:dyDescent="0.3">
      <c r="A322" t="s">
        <v>179</v>
      </c>
      <c r="B322" t="s">
        <v>65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3</v>
      </c>
      <c r="AX322">
        <v>3</v>
      </c>
      <c r="AY322">
        <v>4</v>
      </c>
      <c r="AZ322">
        <v>4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</row>
    <row r="323" spans="1:60" x14ac:dyDescent="0.3">
      <c r="A323" t="s">
        <v>180</v>
      </c>
      <c r="B323" t="s">
        <v>65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1</v>
      </c>
      <c r="P323">
        <v>1</v>
      </c>
      <c r="Q323">
        <v>1</v>
      </c>
      <c r="R323">
        <v>1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>
        <v>1</v>
      </c>
      <c r="AH323">
        <v>1</v>
      </c>
      <c r="AI323">
        <v>1</v>
      </c>
      <c r="AJ323">
        <v>1</v>
      </c>
      <c r="AK323">
        <v>1</v>
      </c>
      <c r="AL323">
        <v>1</v>
      </c>
      <c r="AM323">
        <v>1</v>
      </c>
      <c r="AN323">
        <v>1</v>
      </c>
      <c r="AO323">
        <v>1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3</v>
      </c>
      <c r="AX323">
        <v>3</v>
      </c>
      <c r="AY323">
        <v>8</v>
      </c>
      <c r="AZ323">
        <v>8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</row>
    <row r="324" spans="1:60" x14ac:dyDescent="0.3">
      <c r="A324" t="s">
        <v>181</v>
      </c>
      <c r="B324" t="s">
        <v>65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2</v>
      </c>
      <c r="AX324">
        <v>2</v>
      </c>
      <c r="AY324">
        <v>2</v>
      </c>
      <c r="AZ324">
        <v>2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</row>
    <row r="325" spans="1:60" x14ac:dyDescent="0.3">
      <c r="A325" t="s">
        <v>182</v>
      </c>
      <c r="B325" t="s">
        <v>65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1</v>
      </c>
      <c r="AX325">
        <v>1</v>
      </c>
      <c r="AY325">
        <v>1</v>
      </c>
      <c r="AZ325">
        <v>1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</row>
    <row r="326" spans="1:60" x14ac:dyDescent="0.3">
      <c r="A326" t="s">
        <v>169</v>
      </c>
      <c r="B326" t="s">
        <v>65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2</v>
      </c>
      <c r="AW326">
        <v>2</v>
      </c>
      <c r="AX326">
        <v>4</v>
      </c>
      <c r="AY326">
        <v>4</v>
      </c>
      <c r="AZ326">
        <v>4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</row>
    <row r="327" spans="1:60" x14ac:dyDescent="0.3">
      <c r="A327" t="s">
        <v>170</v>
      </c>
      <c r="B327" t="s">
        <v>65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2</v>
      </c>
      <c r="AW327">
        <v>3</v>
      </c>
      <c r="AX327">
        <v>5</v>
      </c>
      <c r="AY327">
        <v>5</v>
      </c>
      <c r="AZ327">
        <v>6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</row>
    <row r="328" spans="1:60" x14ac:dyDescent="0.3">
      <c r="A328" t="s">
        <v>171</v>
      </c>
      <c r="B328" t="s">
        <v>65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2</v>
      </c>
      <c r="AW328">
        <v>2</v>
      </c>
      <c r="AX328">
        <v>9</v>
      </c>
      <c r="AY328">
        <v>9</v>
      </c>
      <c r="AZ328">
        <v>9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</row>
    <row r="329" spans="1:60" x14ac:dyDescent="0.3">
      <c r="A329" t="s">
        <v>166</v>
      </c>
      <c r="B329" t="s">
        <v>65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1</v>
      </c>
      <c r="AV329">
        <v>1</v>
      </c>
      <c r="AW329">
        <v>3</v>
      </c>
      <c r="AX329">
        <v>3</v>
      </c>
      <c r="AY329">
        <v>9</v>
      </c>
      <c r="AZ329">
        <v>9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</row>
    <row r="330" spans="1:60" x14ac:dyDescent="0.3">
      <c r="A330" t="s">
        <v>158</v>
      </c>
      <c r="B330" t="s">
        <v>65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1</v>
      </c>
      <c r="J330">
        <v>1</v>
      </c>
      <c r="K330">
        <v>1</v>
      </c>
      <c r="L330">
        <v>1</v>
      </c>
      <c r="M330">
        <v>1</v>
      </c>
      <c r="N330">
        <v>1</v>
      </c>
      <c r="O330">
        <v>1</v>
      </c>
      <c r="P330">
        <v>1</v>
      </c>
      <c r="Q330">
        <v>1</v>
      </c>
      <c r="R330">
        <v>1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>
        <v>1</v>
      </c>
      <c r="AH330">
        <v>1</v>
      </c>
      <c r="AI330">
        <v>1</v>
      </c>
      <c r="AJ330">
        <v>1</v>
      </c>
      <c r="AK330">
        <v>1</v>
      </c>
      <c r="AL330">
        <v>1</v>
      </c>
      <c r="AM330">
        <v>1</v>
      </c>
      <c r="AN330">
        <v>1</v>
      </c>
      <c r="AO330">
        <v>1</v>
      </c>
      <c r="AP330">
        <v>1</v>
      </c>
      <c r="AQ330">
        <v>1</v>
      </c>
      <c r="AR330">
        <v>1</v>
      </c>
      <c r="AS330">
        <v>1</v>
      </c>
      <c r="AT330">
        <v>1</v>
      </c>
      <c r="AU330">
        <v>3</v>
      </c>
      <c r="AV330">
        <v>3</v>
      </c>
      <c r="AW330">
        <v>3</v>
      </c>
      <c r="AX330">
        <v>3</v>
      </c>
      <c r="AY330">
        <v>3</v>
      </c>
      <c r="AZ330">
        <v>4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</row>
    <row r="331" spans="1:60" x14ac:dyDescent="0.3">
      <c r="A331" t="s">
        <v>153</v>
      </c>
      <c r="B331" t="s">
        <v>65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1</v>
      </c>
      <c r="AU331">
        <v>1</v>
      </c>
      <c r="AV331">
        <v>1</v>
      </c>
      <c r="AW331">
        <v>2</v>
      </c>
      <c r="AX331">
        <v>2</v>
      </c>
      <c r="AY331">
        <v>6</v>
      </c>
      <c r="AZ331">
        <v>6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</row>
    <row r="332" spans="1:60" x14ac:dyDescent="0.3">
      <c r="A332" t="s">
        <v>154</v>
      </c>
      <c r="B332" t="s">
        <v>65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1</v>
      </c>
      <c r="J332">
        <v>1</v>
      </c>
      <c r="K332">
        <v>1</v>
      </c>
      <c r="L332">
        <v>1</v>
      </c>
      <c r="M332">
        <v>1</v>
      </c>
      <c r="N332">
        <v>1</v>
      </c>
      <c r="O332">
        <v>1</v>
      </c>
      <c r="P332">
        <v>1</v>
      </c>
      <c r="Q332">
        <v>1</v>
      </c>
      <c r="R332">
        <v>1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>
        <v>1</v>
      </c>
      <c r="AH332">
        <v>1</v>
      </c>
      <c r="AI332">
        <v>1</v>
      </c>
      <c r="AJ332">
        <v>1</v>
      </c>
      <c r="AK332">
        <v>1</v>
      </c>
      <c r="AL332">
        <v>1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2</v>
      </c>
      <c r="AX332">
        <v>2</v>
      </c>
      <c r="AY332">
        <v>2</v>
      </c>
      <c r="AZ332">
        <v>2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</row>
    <row r="333" spans="1:60" x14ac:dyDescent="0.3">
      <c r="A333" t="s">
        <v>155</v>
      </c>
      <c r="B333" t="s">
        <v>65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1</v>
      </c>
      <c r="AU333">
        <v>1</v>
      </c>
      <c r="AV333">
        <v>1</v>
      </c>
      <c r="AW333">
        <v>1</v>
      </c>
      <c r="AX333">
        <v>1</v>
      </c>
      <c r="AY333">
        <v>1</v>
      </c>
      <c r="AZ333">
        <v>1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</row>
    <row r="334" spans="1:60" x14ac:dyDescent="0.3">
      <c r="A334" t="s">
        <v>386</v>
      </c>
      <c r="B334" t="s">
        <v>65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1</v>
      </c>
      <c r="AU334">
        <v>10</v>
      </c>
      <c r="AV334">
        <v>18</v>
      </c>
      <c r="AW334">
        <v>19</v>
      </c>
      <c r="AX334">
        <v>57</v>
      </c>
      <c r="AY334">
        <v>83</v>
      </c>
      <c r="AZ334">
        <v>98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</row>
    <row r="335" spans="1:60" x14ac:dyDescent="0.3">
      <c r="A335" t="s">
        <v>142</v>
      </c>
      <c r="B335" t="s">
        <v>65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1</v>
      </c>
      <c r="AT335">
        <v>2</v>
      </c>
      <c r="AU335">
        <v>2</v>
      </c>
      <c r="AV335">
        <v>2</v>
      </c>
      <c r="AW335">
        <v>2</v>
      </c>
      <c r="AX335">
        <v>2</v>
      </c>
      <c r="AY335">
        <v>3</v>
      </c>
      <c r="AZ335">
        <v>3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</row>
    <row r="336" spans="1:60" x14ac:dyDescent="0.3">
      <c r="A336" t="s">
        <v>143</v>
      </c>
      <c r="B336" t="s">
        <v>65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1</v>
      </c>
      <c r="AT336">
        <v>2</v>
      </c>
      <c r="AU336">
        <v>2</v>
      </c>
      <c r="AV336">
        <v>2</v>
      </c>
      <c r="AW336">
        <v>2</v>
      </c>
      <c r="AX336">
        <v>2</v>
      </c>
      <c r="AY336">
        <v>2</v>
      </c>
      <c r="AZ336">
        <v>2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</row>
    <row r="337" spans="1:60" x14ac:dyDescent="0.3">
      <c r="A337" t="s">
        <v>144</v>
      </c>
      <c r="B337" t="s">
        <v>65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1</v>
      </c>
      <c r="AT337">
        <v>1</v>
      </c>
      <c r="AU337">
        <v>2</v>
      </c>
      <c r="AV337">
        <v>2</v>
      </c>
      <c r="AW337">
        <v>5</v>
      </c>
      <c r="AX337">
        <v>5</v>
      </c>
      <c r="AY337">
        <v>5</v>
      </c>
      <c r="AZ337">
        <v>7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</row>
    <row r="338" spans="1:60" x14ac:dyDescent="0.3">
      <c r="A338" t="s">
        <v>145</v>
      </c>
      <c r="B338" t="s">
        <v>65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1</v>
      </c>
      <c r="AT338">
        <v>2</v>
      </c>
      <c r="AU338">
        <v>2</v>
      </c>
      <c r="AV338">
        <v>2</v>
      </c>
      <c r="AW338">
        <v>2</v>
      </c>
      <c r="AX338">
        <v>2</v>
      </c>
      <c r="AY338">
        <v>2</v>
      </c>
      <c r="AZ338">
        <v>2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</row>
    <row r="339" spans="1:60" x14ac:dyDescent="0.3">
      <c r="A339" t="s">
        <v>146</v>
      </c>
      <c r="B339" t="s">
        <v>65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1</v>
      </c>
      <c r="AT339">
        <v>1</v>
      </c>
      <c r="AU339">
        <v>1</v>
      </c>
      <c r="AV339">
        <v>1</v>
      </c>
      <c r="AW339">
        <v>1</v>
      </c>
      <c r="AX339">
        <v>1</v>
      </c>
      <c r="AY339">
        <v>1</v>
      </c>
      <c r="AZ339">
        <v>3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</row>
    <row r="340" spans="1:60" x14ac:dyDescent="0.3">
      <c r="A340" t="s">
        <v>147</v>
      </c>
      <c r="B340" t="s">
        <v>65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1</v>
      </c>
      <c r="AT340">
        <v>1</v>
      </c>
      <c r="AU340">
        <v>1</v>
      </c>
      <c r="AV340">
        <v>1</v>
      </c>
      <c r="AW340">
        <v>1</v>
      </c>
      <c r="AX340">
        <v>1</v>
      </c>
      <c r="AY340">
        <v>1</v>
      </c>
      <c r="AZ340">
        <v>1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</row>
    <row r="341" spans="1:60" x14ac:dyDescent="0.3">
      <c r="A341" t="s">
        <v>148</v>
      </c>
      <c r="B341" t="s">
        <v>65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2</v>
      </c>
      <c r="AU341">
        <v>2</v>
      </c>
      <c r="AV341">
        <v>2</v>
      </c>
      <c r="AW341">
        <v>2</v>
      </c>
      <c r="AX341">
        <v>3</v>
      </c>
      <c r="AY341">
        <v>3</v>
      </c>
      <c r="AZ341">
        <v>5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</row>
    <row r="342" spans="1:60" x14ac:dyDescent="0.3">
      <c r="A342" t="s">
        <v>149</v>
      </c>
      <c r="B342" t="s">
        <v>65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1</v>
      </c>
      <c r="AR342">
        <v>1</v>
      </c>
      <c r="AS342">
        <v>2</v>
      </c>
      <c r="AT342">
        <v>2</v>
      </c>
      <c r="AU342">
        <v>2</v>
      </c>
      <c r="AV342">
        <v>2</v>
      </c>
      <c r="AW342">
        <v>2</v>
      </c>
      <c r="AX342">
        <v>3</v>
      </c>
      <c r="AY342">
        <v>8</v>
      </c>
      <c r="AZ342">
        <v>8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</row>
    <row r="343" spans="1:60" x14ac:dyDescent="0.3">
      <c r="A343" t="s">
        <v>129</v>
      </c>
      <c r="B343" t="s">
        <v>65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1</v>
      </c>
      <c r="AR343">
        <v>2</v>
      </c>
      <c r="AS343">
        <v>4</v>
      </c>
      <c r="AT343">
        <v>6</v>
      </c>
      <c r="AU343">
        <v>8</v>
      </c>
      <c r="AV343">
        <v>18</v>
      </c>
      <c r="AW343">
        <v>19</v>
      </c>
      <c r="AX343">
        <v>27</v>
      </c>
      <c r="AY343">
        <v>31</v>
      </c>
      <c r="AZ343">
        <v>31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</row>
    <row r="344" spans="1:60" x14ac:dyDescent="0.3">
      <c r="A344" t="s">
        <v>95</v>
      </c>
      <c r="B344" t="s">
        <v>65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1</v>
      </c>
      <c r="AJ344">
        <v>1</v>
      </c>
      <c r="AK344">
        <v>1</v>
      </c>
      <c r="AL344">
        <v>1</v>
      </c>
      <c r="AM344">
        <v>1</v>
      </c>
      <c r="AN344">
        <v>1</v>
      </c>
      <c r="AO344">
        <v>1</v>
      </c>
      <c r="AP344">
        <v>1</v>
      </c>
      <c r="AQ344">
        <v>1</v>
      </c>
      <c r="AR344">
        <v>1</v>
      </c>
      <c r="AS344">
        <v>1</v>
      </c>
      <c r="AT344">
        <v>1</v>
      </c>
      <c r="AU344">
        <v>1</v>
      </c>
      <c r="AV344">
        <v>1</v>
      </c>
      <c r="AW344">
        <v>1</v>
      </c>
      <c r="AX344">
        <v>1</v>
      </c>
      <c r="AY344">
        <v>1</v>
      </c>
      <c r="AZ344">
        <v>1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</row>
    <row r="345" spans="1:60" x14ac:dyDescent="0.3">
      <c r="A345" t="s">
        <v>96</v>
      </c>
      <c r="B345" t="s">
        <v>65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1</v>
      </c>
      <c r="AJ345">
        <v>1</v>
      </c>
      <c r="AK345">
        <v>1</v>
      </c>
      <c r="AL345">
        <v>1</v>
      </c>
      <c r="AM345">
        <v>1</v>
      </c>
      <c r="AN345">
        <v>1</v>
      </c>
      <c r="AO345">
        <v>2</v>
      </c>
      <c r="AP345">
        <v>2</v>
      </c>
      <c r="AQ345">
        <v>2</v>
      </c>
      <c r="AR345">
        <v>2</v>
      </c>
      <c r="AS345">
        <v>2</v>
      </c>
      <c r="AT345">
        <v>2</v>
      </c>
      <c r="AU345">
        <v>2</v>
      </c>
      <c r="AV345">
        <v>2</v>
      </c>
      <c r="AW345">
        <v>2</v>
      </c>
      <c r="AX345">
        <v>2</v>
      </c>
      <c r="AY345">
        <v>2</v>
      </c>
      <c r="AZ345">
        <v>2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</row>
    <row r="346" spans="1:60" x14ac:dyDescent="0.3">
      <c r="A346" t="s">
        <v>91</v>
      </c>
      <c r="B346" t="s">
        <v>65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1</v>
      </c>
      <c r="Z346">
        <v>1</v>
      </c>
      <c r="AA346">
        <v>2</v>
      </c>
      <c r="AB346">
        <v>2</v>
      </c>
      <c r="AC346">
        <v>2</v>
      </c>
      <c r="AD346">
        <v>2</v>
      </c>
      <c r="AE346">
        <v>2</v>
      </c>
      <c r="AF346">
        <v>2</v>
      </c>
      <c r="AG346">
        <v>2</v>
      </c>
      <c r="AH346">
        <v>2</v>
      </c>
      <c r="AI346">
        <v>2</v>
      </c>
      <c r="AJ346">
        <v>2</v>
      </c>
      <c r="AK346">
        <v>2</v>
      </c>
      <c r="AL346">
        <v>2</v>
      </c>
      <c r="AM346">
        <v>2</v>
      </c>
      <c r="AN346">
        <v>2</v>
      </c>
      <c r="AO346">
        <v>2</v>
      </c>
      <c r="AP346">
        <v>2</v>
      </c>
      <c r="AQ346">
        <v>2</v>
      </c>
      <c r="AR346">
        <v>2</v>
      </c>
      <c r="AS346">
        <v>2</v>
      </c>
      <c r="AT346">
        <v>2</v>
      </c>
      <c r="AU346">
        <v>2</v>
      </c>
      <c r="AV346">
        <v>3</v>
      </c>
      <c r="AW346">
        <v>3</v>
      </c>
      <c r="AX346">
        <v>3</v>
      </c>
      <c r="AY346">
        <v>3</v>
      </c>
      <c r="AZ346">
        <v>3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</row>
    <row r="347" spans="1:60" x14ac:dyDescent="0.3">
      <c r="A347" t="s">
        <v>89</v>
      </c>
      <c r="B347" t="s">
        <v>65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2</v>
      </c>
      <c r="R347">
        <v>2</v>
      </c>
      <c r="S347">
        <v>2</v>
      </c>
      <c r="T347">
        <v>2</v>
      </c>
      <c r="U347">
        <v>2</v>
      </c>
      <c r="V347">
        <v>2</v>
      </c>
      <c r="W347">
        <v>2</v>
      </c>
      <c r="X347">
        <v>2</v>
      </c>
      <c r="Y347">
        <v>2</v>
      </c>
      <c r="Z347">
        <v>2</v>
      </c>
      <c r="AA347">
        <v>2</v>
      </c>
      <c r="AB347">
        <v>2</v>
      </c>
      <c r="AC347">
        <v>2</v>
      </c>
      <c r="AD347">
        <v>2</v>
      </c>
      <c r="AE347">
        <v>2</v>
      </c>
      <c r="AF347">
        <v>2</v>
      </c>
      <c r="AG347">
        <v>2</v>
      </c>
      <c r="AH347">
        <v>2</v>
      </c>
      <c r="AI347">
        <v>2</v>
      </c>
      <c r="AJ347">
        <v>2</v>
      </c>
      <c r="AK347">
        <v>2</v>
      </c>
      <c r="AL347">
        <v>2</v>
      </c>
      <c r="AM347">
        <v>2</v>
      </c>
      <c r="AN347">
        <v>2</v>
      </c>
      <c r="AO347">
        <v>2</v>
      </c>
      <c r="AP347">
        <v>2</v>
      </c>
      <c r="AQ347">
        <v>2</v>
      </c>
      <c r="AR347">
        <v>2</v>
      </c>
      <c r="AS347">
        <v>2</v>
      </c>
      <c r="AT347">
        <v>2</v>
      </c>
      <c r="AU347">
        <v>2</v>
      </c>
      <c r="AV347">
        <v>2</v>
      </c>
      <c r="AW347">
        <v>2</v>
      </c>
      <c r="AX347">
        <v>2</v>
      </c>
      <c r="AY347">
        <v>2</v>
      </c>
      <c r="AZ347">
        <v>2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</row>
    <row r="348" spans="1:60" x14ac:dyDescent="0.3">
      <c r="A348" t="s">
        <v>73</v>
      </c>
      <c r="B348" t="s">
        <v>65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1</v>
      </c>
      <c r="J348">
        <v>1</v>
      </c>
      <c r="K348">
        <v>1</v>
      </c>
      <c r="L348">
        <v>1</v>
      </c>
      <c r="M348">
        <v>1</v>
      </c>
      <c r="N348">
        <v>1</v>
      </c>
      <c r="O348">
        <v>1</v>
      </c>
      <c r="P348">
        <v>1</v>
      </c>
      <c r="Q348">
        <v>1</v>
      </c>
      <c r="R348">
        <v>1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>
        <v>1</v>
      </c>
      <c r="AH348">
        <v>1</v>
      </c>
      <c r="AI348">
        <v>1</v>
      </c>
      <c r="AJ348">
        <v>1</v>
      </c>
      <c r="AK348">
        <v>1</v>
      </c>
      <c r="AL348">
        <v>1</v>
      </c>
      <c r="AM348">
        <v>1</v>
      </c>
      <c r="AN348">
        <v>1</v>
      </c>
      <c r="AO348">
        <v>1</v>
      </c>
      <c r="AP348">
        <v>1</v>
      </c>
      <c r="AQ348">
        <v>1</v>
      </c>
      <c r="AR348">
        <v>1</v>
      </c>
      <c r="AS348">
        <v>1</v>
      </c>
      <c r="AT348">
        <v>1</v>
      </c>
      <c r="AU348">
        <v>7</v>
      </c>
      <c r="AV348">
        <v>11</v>
      </c>
      <c r="AW348">
        <v>13</v>
      </c>
      <c r="AX348">
        <v>14</v>
      </c>
      <c r="AY348">
        <v>14</v>
      </c>
      <c r="AZ348">
        <v>14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</row>
    <row r="349" spans="1:60" x14ac:dyDescent="0.3">
      <c r="A349" t="s">
        <v>64</v>
      </c>
      <c r="B349" t="s">
        <v>65</v>
      </c>
      <c r="C349">
        <v>47.606200000000001</v>
      </c>
      <c r="D349">
        <v>-122.3321</v>
      </c>
      <c r="E349">
        <v>1</v>
      </c>
      <c r="F349">
        <v>1</v>
      </c>
      <c r="G349">
        <v>1</v>
      </c>
      <c r="H349">
        <v>1</v>
      </c>
      <c r="I349">
        <v>1</v>
      </c>
      <c r="J349">
        <v>1</v>
      </c>
      <c r="K349">
        <v>1</v>
      </c>
      <c r="L349">
        <v>1</v>
      </c>
      <c r="M349">
        <v>1</v>
      </c>
      <c r="N349">
        <v>1</v>
      </c>
      <c r="O349">
        <v>1</v>
      </c>
      <c r="P349">
        <v>1</v>
      </c>
      <c r="Q349">
        <v>1</v>
      </c>
      <c r="R349">
        <v>1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6</v>
      </c>
      <c r="AR349">
        <v>9</v>
      </c>
      <c r="AS349">
        <v>14</v>
      </c>
      <c r="AT349">
        <v>21</v>
      </c>
      <c r="AU349">
        <v>31</v>
      </c>
      <c r="AV349">
        <v>51</v>
      </c>
      <c r="AW349">
        <v>58</v>
      </c>
      <c r="AX349">
        <v>71</v>
      </c>
      <c r="AY349">
        <v>83</v>
      </c>
      <c r="AZ349">
        <v>83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</row>
    <row r="350" spans="1:60" x14ac:dyDescent="0.3">
      <c r="A350" t="s">
        <v>66</v>
      </c>
      <c r="B350" t="s">
        <v>65</v>
      </c>
      <c r="C350">
        <v>41.737699999999997</v>
      </c>
      <c r="D350">
        <v>-87.697599999999994</v>
      </c>
      <c r="E350">
        <v>0</v>
      </c>
      <c r="F350">
        <v>0</v>
      </c>
      <c r="G350">
        <v>1</v>
      </c>
      <c r="H350">
        <v>1</v>
      </c>
      <c r="I350">
        <v>1</v>
      </c>
      <c r="J350">
        <v>1</v>
      </c>
      <c r="K350">
        <v>1</v>
      </c>
      <c r="L350">
        <v>1</v>
      </c>
      <c r="M350">
        <v>1</v>
      </c>
      <c r="N350">
        <v>2</v>
      </c>
      <c r="O350">
        <v>2</v>
      </c>
      <c r="P350">
        <v>2</v>
      </c>
      <c r="Q350">
        <v>2</v>
      </c>
      <c r="R350">
        <v>2</v>
      </c>
      <c r="S350">
        <v>2</v>
      </c>
      <c r="T350">
        <v>2</v>
      </c>
      <c r="U350">
        <v>2</v>
      </c>
      <c r="V350">
        <v>2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3</v>
      </c>
      <c r="AS350">
        <v>4</v>
      </c>
      <c r="AT350">
        <v>4</v>
      </c>
      <c r="AU350">
        <v>4</v>
      </c>
      <c r="AV350">
        <v>5</v>
      </c>
      <c r="AW350">
        <v>5</v>
      </c>
      <c r="AX350">
        <v>6</v>
      </c>
      <c r="AY350">
        <v>7</v>
      </c>
      <c r="AZ350">
        <v>7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</row>
    <row r="351" spans="1:60" x14ac:dyDescent="0.3">
      <c r="A351" t="s">
        <v>387</v>
      </c>
      <c r="B351" t="s">
        <v>65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</row>
    <row r="352" spans="1:60" x14ac:dyDescent="0.3">
      <c r="A352" t="s">
        <v>388</v>
      </c>
      <c r="B352" t="s">
        <v>65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</row>
    <row r="353" spans="1:60" x14ac:dyDescent="0.3">
      <c r="A353" t="s">
        <v>389</v>
      </c>
      <c r="B353" t="s">
        <v>65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</row>
    <row r="354" spans="1:60" x14ac:dyDescent="0.3">
      <c r="A354" t="s">
        <v>390</v>
      </c>
      <c r="B354" t="s">
        <v>65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</row>
    <row r="355" spans="1:60" x14ac:dyDescent="0.3">
      <c r="A355" t="s">
        <v>391</v>
      </c>
      <c r="B355" t="s">
        <v>65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</row>
    <row r="356" spans="1:60" x14ac:dyDescent="0.3">
      <c r="A356" t="s">
        <v>392</v>
      </c>
      <c r="B356" t="s">
        <v>65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</row>
    <row r="357" spans="1:60" x14ac:dyDescent="0.3">
      <c r="A357" t="s">
        <v>393</v>
      </c>
      <c r="B357" t="s">
        <v>65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</row>
    <row r="358" spans="1:60" x14ac:dyDescent="0.3">
      <c r="A358" t="s">
        <v>394</v>
      </c>
      <c r="B358" t="s">
        <v>65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</row>
    <row r="359" spans="1:60" x14ac:dyDescent="0.3">
      <c r="A359" t="s">
        <v>395</v>
      </c>
      <c r="B359" t="s">
        <v>65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</row>
    <row r="360" spans="1:60" x14ac:dyDescent="0.3">
      <c r="A360" t="s">
        <v>396</v>
      </c>
      <c r="B360" t="s">
        <v>65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</row>
    <row r="361" spans="1:60" x14ac:dyDescent="0.3">
      <c r="A361" t="s">
        <v>397</v>
      </c>
      <c r="B361" t="s">
        <v>65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</row>
    <row r="362" spans="1:60" x14ac:dyDescent="0.3">
      <c r="A362" t="s">
        <v>398</v>
      </c>
      <c r="B362" t="s">
        <v>65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</row>
    <row r="363" spans="1:60" x14ac:dyDescent="0.3">
      <c r="A363" t="s">
        <v>399</v>
      </c>
      <c r="B363" t="s">
        <v>65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</row>
    <row r="364" spans="1:60" x14ac:dyDescent="0.3">
      <c r="A364" t="s">
        <v>400</v>
      </c>
      <c r="B364" t="s">
        <v>65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</row>
    <row r="365" spans="1:60" x14ac:dyDescent="0.3">
      <c r="A365" t="s">
        <v>401</v>
      </c>
      <c r="B365" t="s">
        <v>65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</row>
    <row r="366" spans="1:60" x14ac:dyDescent="0.3">
      <c r="A366" t="s">
        <v>402</v>
      </c>
      <c r="B366" t="s">
        <v>65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</row>
    <row r="367" spans="1:60" x14ac:dyDescent="0.3">
      <c r="A367" t="s">
        <v>403</v>
      </c>
      <c r="B367" t="s">
        <v>65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</row>
    <row r="368" spans="1:60" x14ac:dyDescent="0.3">
      <c r="A368" t="s">
        <v>404</v>
      </c>
      <c r="B368" t="s">
        <v>65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</row>
    <row r="369" spans="1:60" x14ac:dyDescent="0.3">
      <c r="A369" t="s">
        <v>405</v>
      </c>
      <c r="B369" t="s">
        <v>65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</row>
    <row r="370" spans="1:60" x14ac:dyDescent="0.3">
      <c r="A370" t="s">
        <v>406</v>
      </c>
      <c r="B370" t="s">
        <v>65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</row>
    <row r="371" spans="1:60" x14ac:dyDescent="0.3">
      <c r="A371" t="s">
        <v>407</v>
      </c>
      <c r="B371" t="s">
        <v>65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</row>
    <row r="372" spans="1:60" x14ac:dyDescent="0.3">
      <c r="A372" t="s">
        <v>408</v>
      </c>
      <c r="B372" t="s">
        <v>65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</row>
    <row r="373" spans="1:60" x14ac:dyDescent="0.3">
      <c r="A373" t="s">
        <v>409</v>
      </c>
      <c r="B373" t="s">
        <v>65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</row>
    <row r="374" spans="1:60" x14ac:dyDescent="0.3">
      <c r="A374" t="s">
        <v>410</v>
      </c>
      <c r="B374" t="s">
        <v>65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</row>
    <row r="375" spans="1:60" x14ac:dyDescent="0.3">
      <c r="A375" t="s">
        <v>411</v>
      </c>
      <c r="B375" t="s">
        <v>65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</row>
    <row r="376" spans="1:60" x14ac:dyDescent="0.3">
      <c r="A376" t="s">
        <v>412</v>
      </c>
      <c r="B376" t="s">
        <v>65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</row>
    <row r="377" spans="1:60" x14ac:dyDescent="0.3">
      <c r="A377" t="s">
        <v>413</v>
      </c>
      <c r="B377" t="s">
        <v>65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</row>
    <row r="378" spans="1:60" x14ac:dyDescent="0.3">
      <c r="A378" t="s">
        <v>414</v>
      </c>
      <c r="B378" t="s">
        <v>65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</row>
    <row r="379" spans="1:60" x14ac:dyDescent="0.3">
      <c r="A379" t="s">
        <v>415</v>
      </c>
      <c r="B379" t="s">
        <v>65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</row>
    <row r="380" spans="1:60" x14ac:dyDescent="0.3">
      <c r="A380" t="s">
        <v>416</v>
      </c>
      <c r="B380" t="s">
        <v>65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</row>
    <row r="381" spans="1:60" x14ac:dyDescent="0.3">
      <c r="A381" t="s">
        <v>417</v>
      </c>
      <c r="B381" t="s">
        <v>65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</row>
    <row r="382" spans="1:60" x14ac:dyDescent="0.3">
      <c r="A382" t="s">
        <v>418</v>
      </c>
      <c r="B382" t="s">
        <v>65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</row>
    <row r="383" spans="1:60" x14ac:dyDescent="0.3">
      <c r="A383" t="s">
        <v>419</v>
      </c>
      <c r="B383" t="s">
        <v>65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</row>
    <row r="384" spans="1:60" x14ac:dyDescent="0.3">
      <c r="A384" t="s">
        <v>420</v>
      </c>
      <c r="B384" t="s">
        <v>65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</row>
    <row r="385" spans="1:60" x14ac:dyDescent="0.3">
      <c r="A385" t="s">
        <v>421</v>
      </c>
      <c r="B385" t="s">
        <v>65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</row>
    <row r="386" spans="1:60" x14ac:dyDescent="0.3">
      <c r="A386" t="s">
        <v>422</v>
      </c>
      <c r="B386" t="s">
        <v>65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</row>
    <row r="387" spans="1:60" x14ac:dyDescent="0.3">
      <c r="A387" t="s">
        <v>423</v>
      </c>
      <c r="B387" t="s">
        <v>65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</row>
    <row r="388" spans="1:60" x14ac:dyDescent="0.3">
      <c r="A388" t="s">
        <v>424</v>
      </c>
      <c r="B388" t="s">
        <v>65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</row>
    <row r="389" spans="1:60" x14ac:dyDescent="0.3">
      <c r="A389" t="s">
        <v>425</v>
      </c>
      <c r="B389" t="s">
        <v>65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</row>
    <row r="390" spans="1:60" x14ac:dyDescent="0.3">
      <c r="A390" t="s">
        <v>426</v>
      </c>
      <c r="B390" t="s">
        <v>65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</row>
    <row r="391" spans="1:60" x14ac:dyDescent="0.3">
      <c r="A391" t="s">
        <v>427</v>
      </c>
      <c r="B391" t="s">
        <v>65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</row>
    <row r="392" spans="1:60" x14ac:dyDescent="0.3">
      <c r="A392" t="s">
        <v>428</v>
      </c>
      <c r="B392" t="s">
        <v>65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</row>
    <row r="393" spans="1:60" x14ac:dyDescent="0.3">
      <c r="A393" t="s">
        <v>429</v>
      </c>
      <c r="B393" t="s">
        <v>65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</row>
    <row r="394" spans="1:60" x14ac:dyDescent="0.3">
      <c r="A394" t="s">
        <v>430</v>
      </c>
      <c r="B394" t="s">
        <v>65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</row>
    <row r="395" spans="1:60" x14ac:dyDescent="0.3">
      <c r="A395" t="s">
        <v>431</v>
      </c>
      <c r="B395" t="s">
        <v>65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</row>
    <row r="396" spans="1:60" x14ac:dyDescent="0.3">
      <c r="A396" t="s">
        <v>432</v>
      </c>
      <c r="B396" t="s">
        <v>65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</row>
    <row r="397" spans="1:60" x14ac:dyDescent="0.3">
      <c r="A397" t="s">
        <v>433</v>
      </c>
      <c r="B397" t="s">
        <v>65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</row>
    <row r="398" spans="1:60" x14ac:dyDescent="0.3">
      <c r="A398" t="s">
        <v>434</v>
      </c>
      <c r="B398" t="s">
        <v>65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</row>
    <row r="399" spans="1:60" x14ac:dyDescent="0.3">
      <c r="A399" t="s">
        <v>435</v>
      </c>
      <c r="B399" t="s">
        <v>65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</row>
    <row r="400" spans="1:60" x14ac:dyDescent="0.3">
      <c r="A400" t="s">
        <v>436</v>
      </c>
      <c r="B400" t="s">
        <v>65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</row>
    <row r="401" spans="1:61" x14ac:dyDescent="0.3">
      <c r="A401" t="s">
        <v>437</v>
      </c>
      <c r="B401" t="s">
        <v>65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</row>
    <row r="402" spans="1:61" x14ac:dyDescent="0.3">
      <c r="B402" t="s">
        <v>438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3</v>
      </c>
      <c r="BD402">
        <v>4</v>
      </c>
      <c r="BE402">
        <v>4</v>
      </c>
      <c r="BF402">
        <v>4</v>
      </c>
      <c r="BG402">
        <v>4</v>
      </c>
      <c r="BH402">
        <v>5</v>
      </c>
    </row>
    <row r="403" spans="1:61" x14ac:dyDescent="0.3">
      <c r="B403" t="s">
        <v>439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1</v>
      </c>
      <c r="BD403">
        <v>1</v>
      </c>
      <c r="BE403">
        <v>1</v>
      </c>
      <c r="BF403">
        <v>4</v>
      </c>
      <c r="BG403">
        <v>4</v>
      </c>
      <c r="BH403">
        <v>7</v>
      </c>
    </row>
    <row r="404" spans="1:61" x14ac:dyDescent="0.3">
      <c r="A404" t="s">
        <v>440</v>
      </c>
      <c r="B404" t="s">
        <v>75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1</v>
      </c>
      <c r="BE404">
        <v>1</v>
      </c>
      <c r="BF404">
        <v>1</v>
      </c>
      <c r="BG404">
        <v>2</v>
      </c>
      <c r="BH404">
        <v>2</v>
      </c>
    </row>
    <row r="405" spans="1:61" x14ac:dyDescent="0.3">
      <c r="A405" t="s">
        <v>377</v>
      </c>
      <c r="B405" t="s">
        <v>377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2</v>
      </c>
      <c r="O405">
        <v>2</v>
      </c>
      <c r="P405">
        <v>2</v>
      </c>
      <c r="Q405">
        <v>2</v>
      </c>
      <c r="R405">
        <v>2</v>
      </c>
      <c r="S405">
        <v>2</v>
      </c>
      <c r="T405">
        <v>2</v>
      </c>
      <c r="U405">
        <v>3</v>
      </c>
      <c r="V405">
        <v>3</v>
      </c>
      <c r="W405">
        <v>3</v>
      </c>
      <c r="X405">
        <v>8</v>
      </c>
      <c r="Y405">
        <v>8</v>
      </c>
      <c r="Z405">
        <v>9</v>
      </c>
      <c r="AA405">
        <v>9</v>
      </c>
      <c r="AB405">
        <v>9</v>
      </c>
      <c r="AC405">
        <v>9</v>
      </c>
      <c r="AD405">
        <v>9</v>
      </c>
      <c r="AE405">
        <v>9</v>
      </c>
      <c r="AF405">
        <v>9</v>
      </c>
      <c r="AG405">
        <v>9</v>
      </c>
      <c r="AH405">
        <v>9</v>
      </c>
      <c r="AI405">
        <v>9</v>
      </c>
      <c r="AJ405">
        <v>9</v>
      </c>
      <c r="AK405">
        <v>9</v>
      </c>
      <c r="AL405">
        <v>13</v>
      </c>
      <c r="AM405">
        <v>13</v>
      </c>
      <c r="AN405">
        <v>13</v>
      </c>
      <c r="AO405">
        <v>15</v>
      </c>
      <c r="AP405">
        <v>20</v>
      </c>
      <c r="AQ405">
        <v>23</v>
      </c>
      <c r="AR405">
        <v>36</v>
      </c>
      <c r="AS405">
        <v>40</v>
      </c>
      <c r="AT405">
        <v>51</v>
      </c>
      <c r="AU405">
        <v>85</v>
      </c>
      <c r="AV405">
        <v>115</v>
      </c>
      <c r="AW405">
        <v>163</v>
      </c>
      <c r="AX405">
        <v>206</v>
      </c>
      <c r="AY405">
        <v>273</v>
      </c>
      <c r="AZ405">
        <v>321</v>
      </c>
      <c r="BA405">
        <v>382</v>
      </c>
      <c r="BB405">
        <v>456</v>
      </c>
      <c r="BC405">
        <v>456</v>
      </c>
      <c r="BD405">
        <v>798</v>
      </c>
      <c r="BE405">
        <v>1140</v>
      </c>
      <c r="BF405">
        <v>1140</v>
      </c>
      <c r="BG405">
        <v>1543</v>
      </c>
      <c r="BH405">
        <v>1950</v>
      </c>
      <c r="BI405">
        <v>2626</v>
      </c>
    </row>
    <row r="406" spans="1:61" x14ac:dyDescent="0.3">
      <c r="B406" t="s">
        <v>441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4</v>
      </c>
      <c r="BE406">
        <v>6</v>
      </c>
      <c r="BF406">
        <v>9</v>
      </c>
      <c r="BG406">
        <v>10</v>
      </c>
      <c r="BH406">
        <v>33</v>
      </c>
    </row>
    <row r="407" spans="1:61" x14ac:dyDescent="0.3">
      <c r="A407" t="s">
        <v>442</v>
      </c>
      <c r="B407" t="s">
        <v>68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3</v>
      </c>
      <c r="BE407">
        <v>3</v>
      </c>
      <c r="BF407">
        <v>3</v>
      </c>
      <c r="BG407">
        <v>3</v>
      </c>
      <c r="BH407">
        <v>3</v>
      </c>
    </row>
    <row r="408" spans="1:61" x14ac:dyDescent="0.3">
      <c r="A408" t="s">
        <v>445</v>
      </c>
      <c r="B408" t="s">
        <v>72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4</v>
      </c>
      <c r="BE408">
        <v>4</v>
      </c>
      <c r="BF408">
        <v>4</v>
      </c>
      <c r="BG408">
        <v>7</v>
      </c>
      <c r="BH408">
        <v>8</v>
      </c>
    </row>
    <row r="409" spans="1:61" x14ac:dyDescent="0.3">
      <c r="A409" t="s">
        <v>446</v>
      </c>
      <c r="B409" t="s">
        <v>72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2</v>
      </c>
      <c r="BE409">
        <v>2</v>
      </c>
      <c r="BF409">
        <v>2</v>
      </c>
      <c r="BG409">
        <v>7</v>
      </c>
      <c r="BH409">
        <v>7</v>
      </c>
    </row>
    <row r="410" spans="1:61" x14ac:dyDescent="0.3">
      <c r="B410" t="s">
        <v>447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1</v>
      </c>
      <c r="BE410">
        <v>1</v>
      </c>
      <c r="BF410">
        <v>1</v>
      </c>
      <c r="BG410">
        <v>5</v>
      </c>
      <c r="BH410">
        <v>5</v>
      </c>
    </row>
    <row r="411" spans="1:61" x14ac:dyDescent="0.3">
      <c r="B411" t="s">
        <v>448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1</v>
      </c>
      <c r="BE411">
        <v>1</v>
      </c>
      <c r="BF411">
        <v>1</v>
      </c>
      <c r="BG411">
        <v>1</v>
      </c>
      <c r="BH411">
        <v>1</v>
      </c>
    </row>
    <row r="412" spans="1:61" x14ac:dyDescent="0.3">
      <c r="B412" t="s">
        <v>449</v>
      </c>
      <c r="C412">
        <v>9.9456000000000007</v>
      </c>
      <c r="D412">
        <v>-9.6966000000000001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1</v>
      </c>
      <c r="BE412">
        <v>1</v>
      </c>
      <c r="BF412">
        <v>1</v>
      </c>
      <c r="BG412">
        <v>1</v>
      </c>
      <c r="BH412">
        <v>1</v>
      </c>
    </row>
    <row r="413" spans="1:61" x14ac:dyDescent="0.3">
      <c r="B413" t="s">
        <v>450</v>
      </c>
      <c r="C413">
        <v>12.521100000000001</v>
      </c>
      <c r="D413">
        <v>-69.968299999999999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2</v>
      </c>
      <c r="BE413">
        <v>2</v>
      </c>
      <c r="BF413">
        <v>2</v>
      </c>
      <c r="BG413">
        <v>2</v>
      </c>
      <c r="BH413">
        <v>3</v>
      </c>
    </row>
    <row r="414" spans="1:61" x14ac:dyDescent="0.3">
      <c r="A414" t="s">
        <v>276</v>
      </c>
      <c r="B414" t="s">
        <v>72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2</v>
      </c>
      <c r="BE414">
        <v>2</v>
      </c>
      <c r="BF414">
        <v>2</v>
      </c>
      <c r="BG414">
        <v>2</v>
      </c>
      <c r="BH414">
        <v>8</v>
      </c>
    </row>
    <row r="415" spans="1:61" x14ac:dyDescent="0.3">
      <c r="B415" t="s">
        <v>451</v>
      </c>
      <c r="C415">
        <v>-2.3599999999999999E-2</v>
      </c>
      <c r="D415">
        <v>37.906199999999998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1</v>
      </c>
      <c r="BE415">
        <v>1</v>
      </c>
      <c r="BF415">
        <v>3</v>
      </c>
      <c r="BG415">
        <v>3</v>
      </c>
      <c r="BH415">
        <v>3</v>
      </c>
    </row>
    <row r="416" spans="1:61" x14ac:dyDescent="0.3">
      <c r="B416" t="s">
        <v>452</v>
      </c>
      <c r="C416">
        <v>17.0608</v>
      </c>
      <c r="D416">
        <v>-61.796399999999998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1</v>
      </c>
      <c r="BE416">
        <v>1</v>
      </c>
      <c r="BF416">
        <v>1</v>
      </c>
      <c r="BG416">
        <v>1</v>
      </c>
      <c r="BH416">
        <v>1</v>
      </c>
    </row>
    <row r="417" spans="1:60" x14ac:dyDescent="0.3">
      <c r="A417" t="s">
        <v>453</v>
      </c>
      <c r="B417" t="s">
        <v>65</v>
      </c>
      <c r="C417">
        <v>32.318199999999997</v>
      </c>
      <c r="D417">
        <v>-86.902299999999997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5</v>
      </c>
      <c r="BE417">
        <v>6</v>
      </c>
      <c r="BF417">
        <v>12</v>
      </c>
      <c r="BG417">
        <v>29</v>
      </c>
      <c r="BH417">
        <v>39</v>
      </c>
    </row>
    <row r="418" spans="1:60" x14ac:dyDescent="0.3">
      <c r="B418" t="s">
        <v>463</v>
      </c>
      <c r="C418">
        <v>-32.522799999999997</v>
      </c>
      <c r="D418">
        <v>-55.765799999999999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4</v>
      </c>
      <c r="BF418">
        <v>4</v>
      </c>
      <c r="BG418">
        <v>8</v>
      </c>
      <c r="BH418">
        <v>29</v>
      </c>
    </row>
    <row r="419" spans="1:60" x14ac:dyDescent="0.3">
      <c r="B419" t="s">
        <v>464</v>
      </c>
      <c r="C419">
        <v>7.9465000000000003</v>
      </c>
      <c r="D419">
        <v>-1.0232000000000001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3</v>
      </c>
      <c r="BF419">
        <v>6</v>
      </c>
      <c r="BG419">
        <v>6</v>
      </c>
      <c r="BH419">
        <v>7</v>
      </c>
    </row>
    <row r="420" spans="1:60" x14ac:dyDescent="0.3">
      <c r="A420" t="s">
        <v>465</v>
      </c>
      <c r="B420" t="s">
        <v>65</v>
      </c>
      <c r="C420">
        <v>18.220800000000001</v>
      </c>
      <c r="D420">
        <v>-66.590100000000007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3</v>
      </c>
      <c r="BF420">
        <v>5</v>
      </c>
      <c r="BG420">
        <v>5</v>
      </c>
      <c r="BH420">
        <v>5</v>
      </c>
    </row>
    <row r="421" spans="1:60" x14ac:dyDescent="0.3">
      <c r="B421" t="s">
        <v>466</v>
      </c>
      <c r="C421">
        <v>49.19</v>
      </c>
      <c r="D421">
        <v>-2.11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2</v>
      </c>
      <c r="BF421">
        <v>2</v>
      </c>
      <c r="BG421">
        <v>2</v>
      </c>
      <c r="BH421">
        <v>2</v>
      </c>
    </row>
    <row r="422" spans="1:60" x14ac:dyDescent="0.3">
      <c r="B422" t="s">
        <v>467</v>
      </c>
      <c r="C422">
        <v>-22.957599999999999</v>
      </c>
      <c r="D422">
        <v>18.490400000000001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2</v>
      </c>
      <c r="BF422">
        <v>2</v>
      </c>
      <c r="BG422">
        <v>2</v>
      </c>
      <c r="BH422">
        <v>2</v>
      </c>
    </row>
    <row r="423" spans="1:60" x14ac:dyDescent="0.3">
      <c r="B423" t="s">
        <v>468</v>
      </c>
      <c r="C423">
        <v>-4.6795999999999998</v>
      </c>
      <c r="D423">
        <v>55.491999999999997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2</v>
      </c>
      <c r="BF423">
        <v>2</v>
      </c>
      <c r="BG423">
        <v>3</v>
      </c>
      <c r="BH423">
        <v>4</v>
      </c>
    </row>
    <row r="424" spans="1:60" x14ac:dyDescent="0.3">
      <c r="B424" t="s">
        <v>469</v>
      </c>
      <c r="C424">
        <v>10.691800000000001</v>
      </c>
      <c r="D424">
        <v>-61.222499999999997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2</v>
      </c>
      <c r="BF424">
        <v>2</v>
      </c>
      <c r="BG424">
        <v>4</v>
      </c>
      <c r="BH424">
        <v>5</v>
      </c>
    </row>
    <row r="425" spans="1:60" x14ac:dyDescent="0.3">
      <c r="B425" t="s">
        <v>470</v>
      </c>
      <c r="C425">
        <v>6.4238</v>
      </c>
      <c r="D425">
        <v>-66.589699999999993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2</v>
      </c>
      <c r="BF425">
        <v>10</v>
      </c>
      <c r="BG425">
        <v>17</v>
      </c>
      <c r="BH425">
        <v>33</v>
      </c>
    </row>
    <row r="426" spans="1:60" x14ac:dyDescent="0.3">
      <c r="B426" t="s">
        <v>472</v>
      </c>
      <c r="C426">
        <v>-26.522500000000001</v>
      </c>
      <c r="D426">
        <v>31.465900000000001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1</v>
      </c>
      <c r="BF426">
        <v>1</v>
      </c>
      <c r="BG426">
        <v>1</v>
      </c>
      <c r="BH426">
        <v>1</v>
      </c>
    </row>
    <row r="427" spans="1:60" x14ac:dyDescent="0.3">
      <c r="B427" t="s">
        <v>473</v>
      </c>
      <c r="C427">
        <v>-0.80369999999999997</v>
      </c>
      <c r="D427">
        <v>11.609400000000001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1</v>
      </c>
      <c r="BF427">
        <v>1</v>
      </c>
      <c r="BG427">
        <v>1</v>
      </c>
      <c r="BH427">
        <v>1</v>
      </c>
    </row>
    <row r="428" spans="1:60" x14ac:dyDescent="0.3">
      <c r="B428" t="s">
        <v>474</v>
      </c>
      <c r="C428">
        <v>15.7835</v>
      </c>
      <c r="D428">
        <v>-90.230800000000002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1</v>
      </c>
      <c r="BF428">
        <v>1</v>
      </c>
      <c r="BG428">
        <v>2</v>
      </c>
      <c r="BH428">
        <v>6</v>
      </c>
    </row>
    <row r="429" spans="1:60" x14ac:dyDescent="0.3">
      <c r="B429" t="s">
        <v>475</v>
      </c>
      <c r="C429">
        <v>49.45</v>
      </c>
      <c r="D429">
        <v>-2.58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1</v>
      </c>
      <c r="BF429">
        <v>1</v>
      </c>
      <c r="BG429">
        <v>1</v>
      </c>
      <c r="BH429">
        <v>1</v>
      </c>
    </row>
    <row r="430" spans="1:60" x14ac:dyDescent="0.3">
      <c r="B430" t="s">
        <v>476</v>
      </c>
      <c r="C430">
        <v>21.007899999999999</v>
      </c>
      <c r="D430">
        <v>10.940799999999999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1</v>
      </c>
      <c r="BF430">
        <v>1</v>
      </c>
      <c r="BG430">
        <v>1</v>
      </c>
      <c r="BH430">
        <v>1</v>
      </c>
    </row>
    <row r="431" spans="1:60" x14ac:dyDescent="0.3">
      <c r="B431" t="s">
        <v>477</v>
      </c>
      <c r="C431">
        <v>-1.9402999999999999</v>
      </c>
      <c r="D431">
        <v>29.873899999999999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1</v>
      </c>
      <c r="BF431">
        <v>1</v>
      </c>
      <c r="BG431">
        <v>5</v>
      </c>
      <c r="BH431">
        <v>7</v>
      </c>
    </row>
    <row r="432" spans="1:60" x14ac:dyDescent="0.3">
      <c r="B432" t="s">
        <v>478</v>
      </c>
      <c r="C432">
        <v>13.9094</v>
      </c>
      <c r="D432">
        <v>-60.978900000000003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1</v>
      </c>
      <c r="BF432">
        <v>2</v>
      </c>
      <c r="BG432">
        <v>2</v>
      </c>
      <c r="BH432">
        <v>2</v>
      </c>
    </row>
    <row r="433" spans="1:60" x14ac:dyDescent="0.3">
      <c r="B433" t="s">
        <v>479</v>
      </c>
      <c r="C433">
        <v>12.984299999999999</v>
      </c>
      <c r="D433">
        <v>-61.287199999999999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1</v>
      </c>
      <c r="BF433">
        <v>1</v>
      </c>
      <c r="BG433">
        <v>1</v>
      </c>
      <c r="BH433">
        <v>1</v>
      </c>
    </row>
    <row r="434" spans="1:60" x14ac:dyDescent="0.3">
      <c r="B434" t="s">
        <v>480</v>
      </c>
      <c r="C434">
        <v>3.9192999999999998</v>
      </c>
      <c r="D434">
        <v>-56.027799999999999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1</v>
      </c>
      <c r="BF434">
        <v>1</v>
      </c>
      <c r="BG434">
        <v>1</v>
      </c>
      <c r="BH434">
        <v>1</v>
      </c>
    </row>
    <row r="435" spans="1:60" x14ac:dyDescent="0.3">
      <c r="A435" t="s">
        <v>203</v>
      </c>
      <c r="B435" t="s">
        <v>68</v>
      </c>
      <c r="C435">
        <v>3.9339</v>
      </c>
      <c r="D435">
        <v>-53.125799999999998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5</v>
      </c>
      <c r="AY435">
        <v>5</v>
      </c>
      <c r="AZ435">
        <v>5</v>
      </c>
      <c r="BA435">
        <v>5</v>
      </c>
      <c r="BB435">
        <v>5</v>
      </c>
      <c r="BC435">
        <v>5</v>
      </c>
      <c r="BD435">
        <v>5</v>
      </c>
      <c r="BE435">
        <v>5</v>
      </c>
      <c r="BF435">
        <v>7</v>
      </c>
      <c r="BG435">
        <v>11</v>
      </c>
      <c r="BH435">
        <v>11</v>
      </c>
    </row>
    <row r="436" spans="1:60" x14ac:dyDescent="0.3">
      <c r="A436" t="s">
        <v>491</v>
      </c>
      <c r="B436" t="s">
        <v>65</v>
      </c>
      <c r="C436">
        <v>13.4443</v>
      </c>
      <c r="D436">
        <v>144.7937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3</v>
      </c>
      <c r="BG436">
        <v>3</v>
      </c>
      <c r="BH436">
        <v>3</v>
      </c>
    </row>
    <row r="437" spans="1:60" x14ac:dyDescent="0.3">
      <c r="B437" t="s">
        <v>492</v>
      </c>
      <c r="C437">
        <v>42.602600000000002</v>
      </c>
      <c r="D437">
        <v>20.902999999999999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2</v>
      </c>
      <c r="BG437">
        <v>2</v>
      </c>
      <c r="BH437">
        <v>2</v>
      </c>
    </row>
    <row r="438" spans="1:60" x14ac:dyDescent="0.3">
      <c r="A438" t="s">
        <v>493</v>
      </c>
      <c r="B438" t="s">
        <v>72</v>
      </c>
      <c r="C438">
        <v>53.1355</v>
      </c>
      <c r="D438">
        <v>-57.660400000000003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1</v>
      </c>
      <c r="BG438">
        <v>1</v>
      </c>
      <c r="BH438">
        <v>3</v>
      </c>
    </row>
    <row r="439" spans="1:60" x14ac:dyDescent="0.3">
      <c r="A439" t="s">
        <v>494</v>
      </c>
      <c r="B439" t="s">
        <v>72</v>
      </c>
      <c r="C439">
        <v>46.5107</v>
      </c>
      <c r="D439">
        <v>-63.416800000000002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1</v>
      </c>
      <c r="BG439">
        <v>1</v>
      </c>
      <c r="BH439">
        <v>1</v>
      </c>
    </row>
    <row r="440" spans="1:60" x14ac:dyDescent="0.3">
      <c r="B440" t="s">
        <v>495</v>
      </c>
      <c r="C440">
        <v>6.6111000000000004</v>
      </c>
      <c r="D440">
        <v>20.939399999999999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1</v>
      </c>
      <c r="BG440">
        <v>1</v>
      </c>
      <c r="BH440">
        <v>1</v>
      </c>
    </row>
    <row r="441" spans="1:60" x14ac:dyDescent="0.3">
      <c r="B441" t="s">
        <v>496</v>
      </c>
      <c r="C441">
        <v>-4.0382999999999996</v>
      </c>
      <c r="D441">
        <v>21.758700000000001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1</v>
      </c>
      <c r="BG441">
        <v>1</v>
      </c>
      <c r="BH441">
        <v>1</v>
      </c>
    </row>
    <row r="442" spans="1:60" x14ac:dyDescent="0.3">
      <c r="B442" t="s">
        <v>497</v>
      </c>
      <c r="C442">
        <v>1.5</v>
      </c>
      <c r="D442">
        <v>10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1</v>
      </c>
      <c r="BG442">
        <v>1</v>
      </c>
      <c r="BH442">
        <v>1</v>
      </c>
    </row>
    <row r="443" spans="1:60" x14ac:dyDescent="0.3">
      <c r="A443" t="s">
        <v>498</v>
      </c>
      <c r="B443" t="s">
        <v>68</v>
      </c>
      <c r="C443">
        <v>-12.827500000000001</v>
      </c>
      <c r="D443">
        <v>45.166200000000003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1</v>
      </c>
      <c r="BG443">
        <v>1</v>
      </c>
      <c r="BH443">
        <v>1</v>
      </c>
    </row>
    <row r="444" spans="1:60" x14ac:dyDescent="0.3">
      <c r="B444" t="s">
        <v>499</v>
      </c>
      <c r="C444">
        <v>41.377499999999998</v>
      </c>
      <c r="D444">
        <v>64.585300000000004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1</v>
      </c>
      <c r="BG444">
        <v>6</v>
      </c>
      <c r="BH444">
        <v>10</v>
      </c>
    </row>
    <row r="445" spans="1:60" x14ac:dyDescent="0.3">
      <c r="A445" t="s">
        <v>116</v>
      </c>
      <c r="B445" t="s">
        <v>116</v>
      </c>
      <c r="C445">
        <v>52.132599999999996</v>
      </c>
      <c r="D445">
        <v>5.2912999999999997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1</v>
      </c>
      <c r="AP445">
        <v>1</v>
      </c>
      <c r="AQ445">
        <v>6</v>
      </c>
      <c r="AR445">
        <v>10</v>
      </c>
      <c r="AS445">
        <v>18</v>
      </c>
      <c r="AT445">
        <v>24</v>
      </c>
      <c r="AU445">
        <v>38</v>
      </c>
      <c r="AV445">
        <v>82</v>
      </c>
      <c r="AW445">
        <v>128</v>
      </c>
      <c r="AX445">
        <v>188</v>
      </c>
      <c r="AY445">
        <v>265</v>
      </c>
      <c r="AZ445">
        <v>321</v>
      </c>
      <c r="BA445">
        <v>382</v>
      </c>
      <c r="BB445">
        <v>503</v>
      </c>
      <c r="BC445">
        <v>503</v>
      </c>
      <c r="BD445">
        <v>804</v>
      </c>
      <c r="BE445">
        <v>959</v>
      </c>
      <c r="BF445">
        <v>1135</v>
      </c>
      <c r="BG445">
        <v>1413</v>
      </c>
      <c r="BH445">
        <v>1705</v>
      </c>
    </row>
    <row r="446" spans="1:60" x14ac:dyDescent="0.3">
      <c r="A446" t="s">
        <v>503</v>
      </c>
      <c r="B446" t="s">
        <v>72</v>
      </c>
      <c r="C446">
        <v>44.682000000000002</v>
      </c>
      <c r="D446">
        <v>-63.744300000000003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5</v>
      </c>
      <c r="BH446">
        <v>7</v>
      </c>
    </row>
    <row r="447" spans="1:60" x14ac:dyDescent="0.3">
      <c r="A447" t="s">
        <v>444</v>
      </c>
      <c r="B447" t="s">
        <v>68</v>
      </c>
      <c r="C447">
        <v>16.25</v>
      </c>
      <c r="D447">
        <v>-61.583300000000001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1</v>
      </c>
      <c r="BE447">
        <v>1</v>
      </c>
      <c r="BF447">
        <v>3</v>
      </c>
      <c r="BG447">
        <v>6</v>
      </c>
      <c r="BH447">
        <v>18</v>
      </c>
    </row>
    <row r="448" spans="1:60" x14ac:dyDescent="0.3">
      <c r="B448" t="s">
        <v>504</v>
      </c>
      <c r="C448">
        <v>9.3077000000000005</v>
      </c>
      <c r="D448">
        <v>2.3157999999999999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1</v>
      </c>
      <c r="BH448">
        <v>1</v>
      </c>
    </row>
    <row r="449" spans="1:60" x14ac:dyDescent="0.3">
      <c r="B449" t="s">
        <v>505</v>
      </c>
      <c r="C449">
        <v>71.706900000000005</v>
      </c>
      <c r="D449">
        <v>-42.604300000000002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1</v>
      </c>
      <c r="BH449">
        <v>1</v>
      </c>
    </row>
    <row r="450" spans="1:60" x14ac:dyDescent="0.3">
      <c r="B450" t="s">
        <v>506</v>
      </c>
      <c r="C450">
        <v>6.4280999999999997</v>
      </c>
      <c r="D450">
        <v>-9.4295000000000009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1</v>
      </c>
      <c r="BH450">
        <v>1</v>
      </c>
    </row>
    <row r="451" spans="1:60" x14ac:dyDescent="0.3">
      <c r="A451" t="s">
        <v>471</v>
      </c>
      <c r="B451" t="s">
        <v>116</v>
      </c>
      <c r="C451">
        <v>12.169600000000001</v>
      </c>
      <c r="D451">
        <v>-68.989999999999995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1</v>
      </c>
      <c r="BF451">
        <v>1</v>
      </c>
      <c r="BG451">
        <v>1</v>
      </c>
      <c r="BH451">
        <v>3</v>
      </c>
    </row>
    <row r="452" spans="1:60" x14ac:dyDescent="0.3">
      <c r="B452" t="s">
        <v>507</v>
      </c>
      <c r="C452">
        <v>-1.44</v>
      </c>
      <c r="D452">
        <v>15.555999999999999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1</v>
      </c>
      <c r="BH452">
        <v>1</v>
      </c>
    </row>
    <row r="453" spans="1:60" x14ac:dyDescent="0.3">
      <c r="B453" t="s">
        <v>508</v>
      </c>
      <c r="C453">
        <v>5.1520999999999999</v>
      </c>
      <c r="D453">
        <v>46.199599999999997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1</v>
      </c>
      <c r="BH453">
        <v>1</v>
      </c>
    </row>
    <row r="454" spans="1:60" x14ac:dyDescent="0.3">
      <c r="B454" t="s">
        <v>509</v>
      </c>
      <c r="C454">
        <v>-6.3689999999999998</v>
      </c>
      <c r="D454">
        <v>34.888800000000003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1</v>
      </c>
      <c r="BH454">
        <v>1</v>
      </c>
    </row>
    <row r="455" spans="1:60" x14ac:dyDescent="0.3">
      <c r="B455" t="s">
        <v>510</v>
      </c>
      <c r="C455">
        <v>24.25</v>
      </c>
      <c r="D455">
        <v>-76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1</v>
      </c>
      <c r="BH455">
        <v>1</v>
      </c>
    </row>
    <row r="456" spans="1:60" x14ac:dyDescent="0.3">
      <c r="A456" t="s">
        <v>511</v>
      </c>
      <c r="B456" t="s">
        <v>65</v>
      </c>
      <c r="C456">
        <v>18.335799999999999</v>
      </c>
      <c r="D456">
        <v>-64.896299999999997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1</v>
      </c>
      <c r="BF456">
        <v>1</v>
      </c>
      <c r="BG456">
        <v>1</v>
      </c>
      <c r="BH456">
        <v>2</v>
      </c>
    </row>
    <row r="457" spans="1:60" x14ac:dyDescent="0.3">
      <c r="A457" t="s">
        <v>443</v>
      </c>
      <c r="B457" t="s">
        <v>377</v>
      </c>
      <c r="C457">
        <v>19.313300000000002</v>
      </c>
      <c r="D457">
        <v>-81.254599999999996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1</v>
      </c>
      <c r="BE457">
        <v>1</v>
      </c>
      <c r="BF457">
        <v>1</v>
      </c>
      <c r="BG457">
        <v>1</v>
      </c>
      <c r="BH457">
        <v>1</v>
      </c>
    </row>
    <row r="458" spans="1:60" x14ac:dyDescent="0.3">
      <c r="A458" t="s">
        <v>382</v>
      </c>
      <c r="B458" t="s">
        <v>68</v>
      </c>
      <c r="C458">
        <v>-21.135100000000001</v>
      </c>
      <c r="D458">
        <v>55.247100000000003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1</v>
      </c>
      <c r="BC458">
        <v>1</v>
      </c>
      <c r="BD458">
        <v>5</v>
      </c>
      <c r="BE458">
        <v>6</v>
      </c>
      <c r="BF458">
        <v>7</v>
      </c>
      <c r="BG458">
        <v>9</v>
      </c>
      <c r="BH458">
        <v>9</v>
      </c>
    </row>
    <row r="459" spans="1:60" x14ac:dyDescent="0.3">
      <c r="B459" t="s">
        <v>570</v>
      </c>
      <c r="C459">
        <v>13.193899999999999</v>
      </c>
      <c r="D459">
        <v>-59.543199999999999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2</v>
      </c>
    </row>
    <row r="460" spans="1:60" x14ac:dyDescent="0.3">
      <c r="B460" t="s">
        <v>564</v>
      </c>
      <c r="C460">
        <v>42.5</v>
      </c>
      <c r="D460">
        <v>19.3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2</v>
      </c>
    </row>
    <row r="461" spans="1:60" x14ac:dyDescent="0.3">
      <c r="B461" t="s">
        <v>625</v>
      </c>
      <c r="C461">
        <v>13.466699999999999</v>
      </c>
      <c r="D461">
        <v>-16.600000000000001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1</v>
      </c>
    </row>
    <row r="462" spans="1:60" x14ac:dyDescent="0.3">
      <c r="B462" t="s">
        <v>510</v>
      </c>
      <c r="C462">
        <v>24.25</v>
      </c>
      <c r="D462">
        <v>-76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1</v>
      </c>
    </row>
    <row r="463" spans="1:60" x14ac:dyDescent="0.3">
      <c r="A463" t="s">
        <v>511</v>
      </c>
      <c r="B463" t="s">
        <v>65</v>
      </c>
      <c r="C463">
        <v>18.335799999999999</v>
      </c>
      <c r="D463">
        <v>-64.896299999999997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1</v>
      </c>
      <c r="BF463">
        <v>1</v>
      </c>
      <c r="BG463">
        <v>1</v>
      </c>
    </row>
    <row r="464" spans="1:60" x14ac:dyDescent="0.3">
      <c r="A464" t="s">
        <v>443</v>
      </c>
      <c r="B464" t="s">
        <v>377</v>
      </c>
      <c r="C464">
        <v>19.313300000000002</v>
      </c>
      <c r="D464">
        <v>-81.254599999999996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1</v>
      </c>
      <c r="BE464">
        <v>1</v>
      </c>
      <c r="BF464">
        <v>1</v>
      </c>
      <c r="BG464">
        <v>1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dimension ref="A1:BI461"/>
  <sheetViews>
    <sheetView topLeftCell="AM388" workbookViewId="0">
      <selection activeCell="BI406" sqref="BI406"/>
    </sheetView>
  </sheetViews>
  <sheetFormatPr defaultRowHeight="14.4" x14ac:dyDescent="0.3"/>
  <sheetData>
    <row r="1" spans="1:6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s="16">
        <v>43832</v>
      </c>
      <c r="P1" s="16">
        <v>43863</v>
      </c>
      <c r="Q1" s="16">
        <v>43892</v>
      </c>
      <c r="R1" s="16">
        <v>43923</v>
      </c>
      <c r="S1" s="16">
        <v>43953</v>
      </c>
      <c r="T1" s="16">
        <v>43984</v>
      </c>
      <c r="U1" s="16">
        <v>44014</v>
      </c>
      <c r="V1" s="16">
        <v>44045</v>
      </c>
      <c r="W1" s="16">
        <v>44076</v>
      </c>
      <c r="X1" s="16">
        <v>44106</v>
      </c>
      <c r="Y1" s="16">
        <v>44137</v>
      </c>
      <c r="Z1" s="16">
        <v>44167</v>
      </c>
      <c r="AA1" t="s">
        <v>14</v>
      </c>
      <c r="AB1" t="s">
        <v>15</v>
      </c>
      <c r="AC1" t="s">
        <v>16</v>
      </c>
      <c r="AD1" t="s">
        <v>17</v>
      </c>
      <c r="AE1" t="s">
        <v>18</v>
      </c>
      <c r="AF1" t="s">
        <v>19</v>
      </c>
      <c r="AG1" t="s">
        <v>20</v>
      </c>
      <c r="AH1" t="s">
        <v>21</v>
      </c>
      <c r="AI1" t="s">
        <v>22</v>
      </c>
      <c r="AJ1" t="s">
        <v>23</v>
      </c>
      <c r="AK1" t="s">
        <v>24</v>
      </c>
      <c r="AL1" t="s">
        <v>25</v>
      </c>
      <c r="AM1" t="s">
        <v>26</v>
      </c>
      <c r="AN1" t="s">
        <v>27</v>
      </c>
      <c r="AO1" t="s">
        <v>28</v>
      </c>
      <c r="AP1" t="s">
        <v>29</v>
      </c>
      <c r="AQ1" t="s">
        <v>30</v>
      </c>
      <c r="AR1" s="16">
        <v>43833</v>
      </c>
      <c r="AS1" s="16">
        <v>43864</v>
      </c>
      <c r="AT1" s="16">
        <v>43893</v>
      </c>
      <c r="AU1" s="16">
        <v>43924</v>
      </c>
      <c r="AV1" s="16">
        <v>43954</v>
      </c>
      <c r="AW1" s="16">
        <v>43985</v>
      </c>
      <c r="AX1" s="16">
        <v>44015</v>
      </c>
      <c r="AY1" s="16">
        <v>44046</v>
      </c>
      <c r="AZ1" s="16">
        <v>44077</v>
      </c>
      <c r="BA1" s="16">
        <v>44107</v>
      </c>
      <c r="BB1" s="16">
        <v>44138</v>
      </c>
      <c r="BC1" s="16">
        <v>44168</v>
      </c>
      <c r="BD1" t="s">
        <v>364</v>
      </c>
      <c r="BE1" t="s">
        <v>461</v>
      </c>
      <c r="BF1" t="s">
        <v>490</v>
      </c>
      <c r="BG1" t="s">
        <v>502</v>
      </c>
      <c r="BH1" t="s">
        <v>624</v>
      </c>
    </row>
    <row r="2" spans="1:60" x14ac:dyDescent="0.3">
      <c r="B2" t="s">
        <v>62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</row>
    <row r="3" spans="1:60" x14ac:dyDescent="0.3">
      <c r="B3" t="s">
        <v>63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</row>
    <row r="4" spans="1:60" x14ac:dyDescent="0.3">
      <c r="B4" t="s">
        <v>67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</row>
    <row r="5" spans="1:60" x14ac:dyDescent="0.3">
      <c r="B5" t="s">
        <v>69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</row>
    <row r="6" spans="1:60" x14ac:dyDescent="0.3">
      <c r="B6" t="s">
        <v>70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</row>
    <row r="7" spans="1:60" x14ac:dyDescent="0.3">
      <c r="A7" t="s">
        <v>71</v>
      </c>
      <c r="B7" t="s">
        <v>72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</row>
    <row r="8" spans="1:60" x14ac:dyDescent="0.3">
      <c r="A8" t="s">
        <v>74</v>
      </c>
      <c r="B8" t="s">
        <v>75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</row>
    <row r="9" spans="1:60" x14ac:dyDescent="0.3">
      <c r="A9" t="s">
        <v>76</v>
      </c>
      <c r="B9" t="s">
        <v>75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</row>
    <row r="10" spans="1:60" x14ac:dyDescent="0.3">
      <c r="A10" t="s">
        <v>77</v>
      </c>
      <c r="B10" t="s">
        <v>75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</row>
    <row r="11" spans="1:60" x14ac:dyDescent="0.3">
      <c r="B11" t="s">
        <v>78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</row>
    <row r="12" spans="1:60" x14ac:dyDescent="0.3">
      <c r="B12" t="s">
        <v>79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</row>
    <row r="13" spans="1:60" x14ac:dyDescent="0.3">
      <c r="B13" t="s">
        <v>80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</row>
    <row r="14" spans="1:60" x14ac:dyDescent="0.3">
      <c r="B14" t="s">
        <v>81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</row>
    <row r="15" spans="1:60" x14ac:dyDescent="0.3">
      <c r="B15" t="s">
        <v>82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</row>
    <row r="16" spans="1:60" x14ac:dyDescent="0.3">
      <c r="B16" t="s">
        <v>83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</row>
    <row r="17" spans="1:60" x14ac:dyDescent="0.3">
      <c r="B17" t="s">
        <v>84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</row>
    <row r="18" spans="1:60" x14ac:dyDescent="0.3">
      <c r="B18" t="s">
        <v>85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</row>
    <row r="19" spans="1:60" x14ac:dyDescent="0.3">
      <c r="B19" t="s">
        <v>86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</row>
    <row r="20" spans="1:60" x14ac:dyDescent="0.3">
      <c r="B20" t="s">
        <v>87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</row>
    <row r="21" spans="1:60" x14ac:dyDescent="0.3">
      <c r="A21" t="s">
        <v>88</v>
      </c>
      <c r="B21" t="s">
        <v>75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</row>
    <row r="22" spans="1:60" x14ac:dyDescent="0.3">
      <c r="B22" t="s">
        <v>90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</row>
    <row r="23" spans="1:60" x14ac:dyDescent="0.3">
      <c r="B23" t="s">
        <v>92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</row>
    <row r="24" spans="1:60" x14ac:dyDescent="0.3">
      <c r="A24" t="s">
        <v>93</v>
      </c>
      <c r="B24" t="s">
        <v>75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</row>
    <row r="25" spans="1:60" x14ac:dyDescent="0.3">
      <c r="B25" t="s">
        <v>94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</row>
    <row r="26" spans="1:60" x14ac:dyDescent="0.3">
      <c r="B26" t="s">
        <v>97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</row>
    <row r="27" spans="1:60" x14ac:dyDescent="0.3">
      <c r="B27" t="s">
        <v>98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</row>
    <row r="28" spans="1:60" x14ac:dyDescent="0.3">
      <c r="B28" t="s">
        <v>99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</row>
    <row r="29" spans="1:60" x14ac:dyDescent="0.3">
      <c r="B29" t="s">
        <v>100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</row>
    <row r="30" spans="1:60" x14ac:dyDescent="0.3">
      <c r="B30" t="s">
        <v>101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</row>
    <row r="31" spans="1:60" x14ac:dyDescent="0.3">
      <c r="B31" t="s">
        <v>102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</row>
    <row r="32" spans="1:60" x14ac:dyDescent="0.3">
      <c r="B32" t="s">
        <v>103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</row>
    <row r="33" spans="2:60" x14ac:dyDescent="0.3">
      <c r="B33" t="s">
        <v>104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</row>
    <row r="34" spans="2:60" x14ac:dyDescent="0.3">
      <c r="B34" t="s">
        <v>105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</row>
    <row r="35" spans="2:60" x14ac:dyDescent="0.3">
      <c r="B35" t="s">
        <v>106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</row>
    <row r="36" spans="2:60" x14ac:dyDescent="0.3">
      <c r="B36" t="s">
        <v>107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</row>
    <row r="37" spans="2:60" x14ac:dyDescent="0.3">
      <c r="B37" t="s">
        <v>108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</row>
    <row r="38" spans="2:60" x14ac:dyDescent="0.3">
      <c r="B38" t="s">
        <v>109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</row>
    <row r="39" spans="2:60" x14ac:dyDescent="0.3">
      <c r="B39" t="s">
        <v>110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</row>
    <row r="40" spans="2:60" x14ac:dyDescent="0.3">
      <c r="B40" t="s">
        <v>111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</row>
    <row r="41" spans="2:60" x14ac:dyDescent="0.3">
      <c r="B41" t="s">
        <v>112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</row>
    <row r="42" spans="2:60" x14ac:dyDescent="0.3">
      <c r="B42" t="s">
        <v>113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</row>
    <row r="43" spans="2:60" x14ac:dyDescent="0.3">
      <c r="B43" t="s">
        <v>115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</row>
    <row r="44" spans="2:60" x14ac:dyDescent="0.3">
      <c r="B44" t="s">
        <v>117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</row>
    <row r="45" spans="2:60" x14ac:dyDescent="0.3">
      <c r="B45" t="s">
        <v>118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</row>
    <row r="46" spans="2:60" x14ac:dyDescent="0.3">
      <c r="B46" t="s">
        <v>119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</row>
    <row r="47" spans="2:60" x14ac:dyDescent="0.3">
      <c r="B47" t="s">
        <v>120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</row>
    <row r="48" spans="2:60" x14ac:dyDescent="0.3">
      <c r="B48" t="s">
        <v>121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</row>
    <row r="49" spans="1:60" x14ac:dyDescent="0.3">
      <c r="B49" t="s">
        <v>122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</row>
    <row r="50" spans="1:60" x14ac:dyDescent="0.3">
      <c r="B50" t="s">
        <v>123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</row>
    <row r="51" spans="1:60" x14ac:dyDescent="0.3">
      <c r="A51" t="s">
        <v>124</v>
      </c>
      <c r="B51" t="s">
        <v>75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</row>
    <row r="52" spans="1:60" x14ac:dyDescent="0.3">
      <c r="B52" t="s">
        <v>125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</row>
    <row r="53" spans="1:60" x14ac:dyDescent="0.3">
      <c r="B53" t="s">
        <v>126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</row>
    <row r="54" spans="1:60" x14ac:dyDescent="0.3">
      <c r="B54" t="s">
        <v>127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</row>
    <row r="55" spans="1:60" x14ac:dyDescent="0.3">
      <c r="B55" t="s">
        <v>128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</row>
    <row r="56" spans="1:60" x14ac:dyDescent="0.3">
      <c r="B56" t="s">
        <v>130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</row>
    <row r="57" spans="1:60" x14ac:dyDescent="0.3">
      <c r="B57" t="s">
        <v>131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</row>
    <row r="58" spans="1:60" x14ac:dyDescent="0.3">
      <c r="B58" t="s">
        <v>132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</row>
    <row r="59" spans="1:60" x14ac:dyDescent="0.3">
      <c r="B59" t="s">
        <v>133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</row>
    <row r="60" spans="1:60" x14ac:dyDescent="0.3">
      <c r="B60" t="s">
        <v>134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</row>
    <row r="61" spans="1:60" x14ac:dyDescent="0.3">
      <c r="B61" t="s">
        <v>135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</row>
    <row r="62" spans="1:60" x14ac:dyDescent="0.3">
      <c r="B62" t="s">
        <v>136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</row>
    <row r="63" spans="1:60" x14ac:dyDescent="0.3">
      <c r="A63" t="s">
        <v>137</v>
      </c>
      <c r="B63" t="s">
        <v>75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</row>
    <row r="64" spans="1:60" x14ac:dyDescent="0.3">
      <c r="B64" t="s">
        <v>138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</row>
    <row r="65" spans="1:60" x14ac:dyDescent="0.3">
      <c r="B65" t="s">
        <v>139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</row>
    <row r="66" spans="1:60" x14ac:dyDescent="0.3">
      <c r="B66" t="s">
        <v>140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</row>
    <row r="67" spans="1:60" x14ac:dyDescent="0.3">
      <c r="B67" t="s">
        <v>141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</row>
    <row r="68" spans="1:60" x14ac:dyDescent="0.3">
      <c r="B68" t="s">
        <v>150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</row>
    <row r="69" spans="1:60" x14ac:dyDescent="0.3">
      <c r="B69" t="s">
        <v>151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</row>
    <row r="70" spans="1:60" x14ac:dyDescent="0.3">
      <c r="B70" t="s">
        <v>152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</row>
    <row r="71" spans="1:60" x14ac:dyDescent="0.3">
      <c r="B71" t="s">
        <v>156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</row>
    <row r="72" spans="1:60" x14ac:dyDescent="0.3">
      <c r="B72" t="s">
        <v>159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</row>
    <row r="73" spans="1:60" x14ac:dyDescent="0.3">
      <c r="A73" t="s">
        <v>160</v>
      </c>
      <c r="B73" t="s">
        <v>75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</row>
    <row r="74" spans="1:60" x14ac:dyDescent="0.3">
      <c r="B74" t="s">
        <v>163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</row>
    <row r="75" spans="1:60" x14ac:dyDescent="0.3">
      <c r="B75" t="s">
        <v>164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</row>
    <row r="76" spans="1:60" x14ac:dyDescent="0.3">
      <c r="B76" t="s">
        <v>165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</row>
    <row r="77" spans="1:60" x14ac:dyDescent="0.3">
      <c r="B77" t="s">
        <v>167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</row>
    <row r="78" spans="1:60" x14ac:dyDescent="0.3">
      <c r="B78" t="s">
        <v>168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</row>
    <row r="79" spans="1:60" x14ac:dyDescent="0.3">
      <c r="B79" t="s">
        <v>172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</row>
    <row r="80" spans="1:60" x14ac:dyDescent="0.3">
      <c r="B80" t="s">
        <v>183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</row>
    <row r="81" spans="1:60" x14ac:dyDescent="0.3">
      <c r="B81" t="s">
        <v>184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</row>
    <row r="82" spans="1:60" x14ac:dyDescent="0.3">
      <c r="B82" t="s">
        <v>185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</row>
    <row r="83" spans="1:60" x14ac:dyDescent="0.3">
      <c r="B83" t="s">
        <v>186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</row>
    <row r="84" spans="1:60" x14ac:dyDescent="0.3">
      <c r="B84" t="s">
        <v>187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</row>
    <row r="85" spans="1:60" x14ac:dyDescent="0.3">
      <c r="B85" t="s">
        <v>188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</row>
    <row r="86" spans="1:60" x14ac:dyDescent="0.3">
      <c r="B86" t="s">
        <v>189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</row>
    <row r="87" spans="1:60" x14ac:dyDescent="0.3">
      <c r="B87" t="s">
        <v>190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</row>
    <row r="88" spans="1:60" x14ac:dyDescent="0.3">
      <c r="B88" t="s">
        <v>204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</row>
    <row r="89" spans="1:60" x14ac:dyDescent="0.3">
      <c r="B89" t="s">
        <v>207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</row>
    <row r="90" spans="1:60" x14ac:dyDescent="0.3">
      <c r="B90" t="s">
        <v>226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</row>
    <row r="91" spans="1:60" x14ac:dyDescent="0.3">
      <c r="B91" t="s">
        <v>227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</row>
    <row r="92" spans="1:60" x14ac:dyDescent="0.3">
      <c r="B92" t="s">
        <v>229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</row>
    <row r="93" spans="1:60" x14ac:dyDescent="0.3">
      <c r="B93" t="s">
        <v>233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</row>
    <row r="94" spans="1:60" x14ac:dyDescent="0.3">
      <c r="A94" t="s">
        <v>253</v>
      </c>
      <c r="B94" t="s">
        <v>72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</row>
    <row r="95" spans="1:60" x14ac:dyDescent="0.3">
      <c r="A95" t="s">
        <v>254</v>
      </c>
      <c r="B95" t="s">
        <v>72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</row>
    <row r="96" spans="1:60" x14ac:dyDescent="0.3">
      <c r="A96" t="s">
        <v>255</v>
      </c>
      <c r="B96" t="s">
        <v>72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</row>
    <row r="97" spans="1:60" x14ac:dyDescent="0.3">
      <c r="B97" t="s">
        <v>257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</row>
    <row r="98" spans="1:60" x14ac:dyDescent="0.3">
      <c r="B98" t="s">
        <v>258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</row>
    <row r="99" spans="1:60" x14ac:dyDescent="0.3">
      <c r="B99" t="s">
        <v>260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</row>
    <row r="100" spans="1:60" x14ac:dyDescent="0.3">
      <c r="A100" t="s">
        <v>270</v>
      </c>
      <c r="B100" t="s">
        <v>65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</row>
    <row r="101" spans="1:60" x14ac:dyDescent="0.3">
      <c r="A101" t="s">
        <v>271</v>
      </c>
      <c r="B101" t="s">
        <v>65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</row>
    <row r="102" spans="1:60" x14ac:dyDescent="0.3">
      <c r="A102" t="s">
        <v>272</v>
      </c>
      <c r="B102" t="s">
        <v>65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</row>
    <row r="103" spans="1:60" x14ac:dyDescent="0.3">
      <c r="A103" t="s">
        <v>274</v>
      </c>
      <c r="B103" t="s">
        <v>65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</row>
    <row r="104" spans="1:60" x14ac:dyDescent="0.3">
      <c r="A104" t="s">
        <v>275</v>
      </c>
      <c r="B104" t="s">
        <v>65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</row>
    <row r="105" spans="1:60" x14ac:dyDescent="0.3">
      <c r="A105" t="s">
        <v>276</v>
      </c>
      <c r="B105" t="s">
        <v>65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</row>
    <row r="106" spans="1:60" x14ac:dyDescent="0.3">
      <c r="A106" t="s">
        <v>109</v>
      </c>
      <c r="B106" t="s">
        <v>65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</row>
    <row r="107" spans="1:60" x14ac:dyDescent="0.3">
      <c r="A107" t="s">
        <v>277</v>
      </c>
      <c r="B107" t="s">
        <v>65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</row>
    <row r="108" spans="1:60" x14ac:dyDescent="0.3">
      <c r="A108" t="s">
        <v>278</v>
      </c>
      <c r="B108" t="s">
        <v>65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</row>
    <row r="109" spans="1:60" x14ac:dyDescent="0.3">
      <c r="A109" t="s">
        <v>279</v>
      </c>
      <c r="B109" t="s">
        <v>65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</row>
    <row r="110" spans="1:60" x14ac:dyDescent="0.3">
      <c r="A110" t="s">
        <v>280</v>
      </c>
      <c r="B110" t="s">
        <v>65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</row>
    <row r="111" spans="1:60" x14ac:dyDescent="0.3">
      <c r="A111" t="s">
        <v>281</v>
      </c>
      <c r="B111" t="s">
        <v>65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</row>
    <row r="112" spans="1:60" x14ac:dyDescent="0.3">
      <c r="A112" t="s">
        <v>282</v>
      </c>
      <c r="B112" t="s">
        <v>65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</row>
    <row r="113" spans="1:60" x14ac:dyDescent="0.3">
      <c r="A113" t="s">
        <v>283</v>
      </c>
      <c r="B113" t="s">
        <v>65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</row>
    <row r="114" spans="1:60" x14ac:dyDescent="0.3">
      <c r="A114" t="s">
        <v>285</v>
      </c>
      <c r="B114" t="s">
        <v>65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</row>
    <row r="115" spans="1:60" x14ac:dyDescent="0.3">
      <c r="A115" t="s">
        <v>286</v>
      </c>
      <c r="B115" t="s">
        <v>65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</row>
    <row r="116" spans="1:60" x14ac:dyDescent="0.3">
      <c r="A116" t="s">
        <v>287</v>
      </c>
      <c r="B116" t="s">
        <v>65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</row>
    <row r="117" spans="1:60" x14ac:dyDescent="0.3">
      <c r="A117" t="s">
        <v>288</v>
      </c>
      <c r="B117" t="s">
        <v>65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</row>
    <row r="118" spans="1:60" x14ac:dyDescent="0.3">
      <c r="A118" t="s">
        <v>289</v>
      </c>
      <c r="B118" t="s">
        <v>65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</row>
    <row r="119" spans="1:60" x14ac:dyDescent="0.3">
      <c r="A119" t="s">
        <v>290</v>
      </c>
      <c r="B119" t="s">
        <v>65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</row>
    <row r="120" spans="1:60" x14ac:dyDescent="0.3">
      <c r="A120" t="s">
        <v>291</v>
      </c>
      <c r="B120" t="s">
        <v>65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</row>
    <row r="121" spans="1:60" x14ac:dyDescent="0.3">
      <c r="A121" t="s">
        <v>292</v>
      </c>
      <c r="B121" t="s">
        <v>65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</row>
    <row r="122" spans="1:60" x14ac:dyDescent="0.3">
      <c r="A122" t="s">
        <v>293</v>
      </c>
      <c r="B122" t="s">
        <v>65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</row>
    <row r="123" spans="1:60" x14ac:dyDescent="0.3">
      <c r="A123" t="s">
        <v>294</v>
      </c>
      <c r="B123" t="s">
        <v>65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</row>
    <row r="124" spans="1:60" x14ac:dyDescent="0.3">
      <c r="A124" t="s">
        <v>295</v>
      </c>
      <c r="B124" t="s">
        <v>65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</row>
    <row r="125" spans="1:60" x14ac:dyDescent="0.3">
      <c r="A125" t="s">
        <v>296</v>
      </c>
      <c r="B125" t="s">
        <v>65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</row>
    <row r="126" spans="1:60" x14ac:dyDescent="0.3">
      <c r="A126" t="s">
        <v>297</v>
      </c>
      <c r="B126" t="s">
        <v>65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</row>
    <row r="127" spans="1:60" x14ac:dyDescent="0.3">
      <c r="A127" t="s">
        <v>298</v>
      </c>
      <c r="B127" t="s">
        <v>65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</row>
    <row r="128" spans="1:60" x14ac:dyDescent="0.3">
      <c r="A128" t="s">
        <v>299</v>
      </c>
      <c r="B128" t="s">
        <v>65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</row>
    <row r="129" spans="1:60" x14ac:dyDescent="0.3">
      <c r="A129" t="s">
        <v>300</v>
      </c>
      <c r="B129" t="s">
        <v>65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</row>
    <row r="130" spans="1:60" x14ac:dyDescent="0.3">
      <c r="A130" t="s">
        <v>301</v>
      </c>
      <c r="B130" t="s">
        <v>65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</row>
    <row r="131" spans="1:60" x14ac:dyDescent="0.3">
      <c r="A131" t="s">
        <v>302</v>
      </c>
      <c r="B131" t="s">
        <v>65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</row>
    <row r="132" spans="1:60" x14ac:dyDescent="0.3">
      <c r="A132" t="s">
        <v>303</v>
      </c>
      <c r="B132" t="s">
        <v>65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</row>
    <row r="133" spans="1:60" x14ac:dyDescent="0.3">
      <c r="A133" t="s">
        <v>304</v>
      </c>
      <c r="B133" t="s">
        <v>65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</row>
    <row r="134" spans="1:60" x14ac:dyDescent="0.3">
      <c r="A134" t="s">
        <v>305</v>
      </c>
      <c r="B134" t="s">
        <v>65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</row>
    <row r="135" spans="1:60" x14ac:dyDescent="0.3">
      <c r="B135" t="s">
        <v>306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</row>
    <row r="136" spans="1:60" x14ac:dyDescent="0.3">
      <c r="B136" t="s">
        <v>308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</row>
    <row r="137" spans="1:60" x14ac:dyDescent="0.3">
      <c r="B137" t="s">
        <v>309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</row>
    <row r="138" spans="1:60" x14ac:dyDescent="0.3">
      <c r="B138" t="s">
        <v>310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</row>
    <row r="139" spans="1:60" x14ac:dyDescent="0.3">
      <c r="A139" t="s">
        <v>311</v>
      </c>
      <c r="B139" t="s">
        <v>65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</row>
    <row r="140" spans="1:60" x14ac:dyDescent="0.3">
      <c r="A140" t="s">
        <v>312</v>
      </c>
      <c r="B140" t="s">
        <v>65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</row>
    <row r="141" spans="1:60" x14ac:dyDescent="0.3">
      <c r="A141" t="s">
        <v>313</v>
      </c>
      <c r="B141" t="s">
        <v>65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</row>
    <row r="142" spans="1:60" x14ac:dyDescent="0.3">
      <c r="A142" t="s">
        <v>314</v>
      </c>
      <c r="B142" t="s">
        <v>65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</row>
    <row r="143" spans="1:60" x14ac:dyDescent="0.3">
      <c r="A143" t="s">
        <v>315</v>
      </c>
      <c r="B143" t="s">
        <v>65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</row>
    <row r="144" spans="1:60" x14ac:dyDescent="0.3">
      <c r="A144" t="s">
        <v>316</v>
      </c>
      <c r="B144" t="s">
        <v>65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</row>
    <row r="145" spans="1:60" x14ac:dyDescent="0.3">
      <c r="A145" t="s">
        <v>317</v>
      </c>
      <c r="B145" t="s">
        <v>65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</row>
    <row r="146" spans="1:60" x14ac:dyDescent="0.3">
      <c r="A146" t="s">
        <v>318</v>
      </c>
      <c r="B146" t="s">
        <v>65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</row>
    <row r="147" spans="1:60" x14ac:dyDescent="0.3">
      <c r="A147" t="s">
        <v>319</v>
      </c>
      <c r="B147" t="s">
        <v>65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</row>
    <row r="148" spans="1:60" x14ac:dyDescent="0.3">
      <c r="A148" t="s">
        <v>320</v>
      </c>
      <c r="B148" t="s">
        <v>65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</row>
    <row r="149" spans="1:60" x14ac:dyDescent="0.3">
      <c r="A149" t="s">
        <v>321</v>
      </c>
      <c r="B149" t="s">
        <v>65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</row>
    <row r="150" spans="1:60" x14ac:dyDescent="0.3">
      <c r="A150" t="s">
        <v>322</v>
      </c>
      <c r="B150" t="s">
        <v>65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</row>
    <row r="151" spans="1:60" x14ac:dyDescent="0.3">
      <c r="A151" t="s">
        <v>323</v>
      </c>
      <c r="B151" t="s">
        <v>65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</row>
    <row r="152" spans="1:60" x14ac:dyDescent="0.3">
      <c r="A152" t="s">
        <v>324</v>
      </c>
      <c r="B152" t="s">
        <v>65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</row>
    <row r="153" spans="1:60" x14ac:dyDescent="0.3">
      <c r="A153" t="s">
        <v>325</v>
      </c>
      <c r="B153" t="s">
        <v>65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</row>
    <row r="154" spans="1:60" x14ac:dyDescent="0.3">
      <c r="A154" t="s">
        <v>326</v>
      </c>
      <c r="B154" t="s">
        <v>65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</row>
    <row r="155" spans="1:60" x14ac:dyDescent="0.3">
      <c r="A155" t="s">
        <v>327</v>
      </c>
      <c r="B155" t="s">
        <v>65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</row>
    <row r="156" spans="1:60" x14ac:dyDescent="0.3">
      <c r="A156" t="s">
        <v>43</v>
      </c>
      <c r="B156" t="s">
        <v>365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</row>
    <row r="157" spans="1:60" x14ac:dyDescent="0.3">
      <c r="B157" t="s">
        <v>366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</row>
    <row r="158" spans="1:60" x14ac:dyDescent="0.3">
      <c r="B158" t="s">
        <v>367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</row>
    <row r="159" spans="1:60" x14ac:dyDescent="0.3">
      <c r="A159" t="s">
        <v>68</v>
      </c>
      <c r="B159" t="s">
        <v>68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</row>
    <row r="160" spans="1:60" x14ac:dyDescent="0.3">
      <c r="A160" t="s">
        <v>36</v>
      </c>
      <c r="B160" t="s">
        <v>365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</row>
    <row r="161" spans="1:60" x14ac:dyDescent="0.3">
      <c r="A161" t="s">
        <v>42</v>
      </c>
      <c r="B161" t="s">
        <v>365</v>
      </c>
      <c r="C161">
        <v>33.881999999999998</v>
      </c>
      <c r="D161">
        <v>113.614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</row>
    <row r="162" spans="1:60" x14ac:dyDescent="0.3">
      <c r="A162" t="s">
        <v>61</v>
      </c>
      <c r="B162" t="s">
        <v>365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</row>
    <row r="163" spans="1:60" x14ac:dyDescent="0.3">
      <c r="A163" t="s">
        <v>44</v>
      </c>
      <c r="B163" t="s">
        <v>365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</row>
    <row r="164" spans="1:60" x14ac:dyDescent="0.3">
      <c r="A164" t="s">
        <v>31</v>
      </c>
      <c r="B164" t="s">
        <v>365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</row>
    <row r="165" spans="1:60" x14ac:dyDescent="0.3">
      <c r="A165" t="s">
        <v>47</v>
      </c>
      <c r="B165" t="s">
        <v>365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</row>
    <row r="166" spans="1:60" x14ac:dyDescent="0.3">
      <c r="A166" t="s">
        <v>53</v>
      </c>
      <c r="B166" t="s">
        <v>365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</row>
    <row r="167" spans="1:60" x14ac:dyDescent="0.3">
      <c r="A167" t="s">
        <v>275</v>
      </c>
      <c r="B167" t="s">
        <v>368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</row>
    <row r="168" spans="1:60" x14ac:dyDescent="0.3">
      <c r="A168" t="s">
        <v>46</v>
      </c>
      <c r="B168" t="s">
        <v>365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</row>
    <row r="169" spans="1:60" x14ac:dyDescent="0.3">
      <c r="A169" t="s">
        <v>33</v>
      </c>
      <c r="B169" t="s">
        <v>365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</row>
    <row r="170" spans="1:60" x14ac:dyDescent="0.3">
      <c r="A170" t="s">
        <v>56</v>
      </c>
      <c r="B170" t="s">
        <v>365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</row>
    <row r="171" spans="1:60" x14ac:dyDescent="0.3">
      <c r="A171" t="s">
        <v>41</v>
      </c>
      <c r="B171" t="s">
        <v>365</v>
      </c>
      <c r="C171">
        <v>47.862000000000002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</row>
    <row r="172" spans="1:60" x14ac:dyDescent="0.3">
      <c r="A172" t="s">
        <v>114</v>
      </c>
      <c r="B172" t="s">
        <v>114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</row>
    <row r="173" spans="1:60" x14ac:dyDescent="0.3">
      <c r="A173" t="s">
        <v>32</v>
      </c>
      <c r="B173" t="s">
        <v>365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</row>
    <row r="174" spans="1:60" x14ac:dyDescent="0.3">
      <c r="A174" t="s">
        <v>54</v>
      </c>
      <c r="B174" t="s">
        <v>365</v>
      </c>
      <c r="C174">
        <v>31.202000000000002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</row>
    <row r="175" spans="1:60" x14ac:dyDescent="0.3">
      <c r="A175" t="s">
        <v>40</v>
      </c>
      <c r="B175" t="s">
        <v>365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</row>
    <row r="176" spans="1:60" x14ac:dyDescent="0.3">
      <c r="A176" t="s">
        <v>34</v>
      </c>
      <c r="B176" t="s">
        <v>365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</row>
    <row r="177" spans="1:60" x14ac:dyDescent="0.3">
      <c r="A177" t="s">
        <v>37</v>
      </c>
      <c r="B177" t="s">
        <v>365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</row>
    <row r="178" spans="1:60" x14ac:dyDescent="0.3">
      <c r="A178" t="s">
        <v>52</v>
      </c>
      <c r="B178" t="s">
        <v>365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</row>
    <row r="179" spans="1:60" x14ac:dyDescent="0.3">
      <c r="A179" t="s">
        <v>60</v>
      </c>
      <c r="B179" t="s">
        <v>365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</row>
    <row r="180" spans="1:60" x14ac:dyDescent="0.3">
      <c r="A180" t="s">
        <v>39</v>
      </c>
      <c r="B180" t="s">
        <v>365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</row>
    <row r="181" spans="1:60" x14ac:dyDescent="0.3">
      <c r="A181" t="s">
        <v>38</v>
      </c>
      <c r="B181" t="s">
        <v>365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</row>
    <row r="182" spans="1:60" x14ac:dyDescent="0.3">
      <c r="A182" t="s">
        <v>57</v>
      </c>
      <c r="B182" t="s">
        <v>365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</row>
    <row r="183" spans="1:60" x14ac:dyDescent="0.3">
      <c r="A183" t="s">
        <v>55</v>
      </c>
      <c r="B183" t="s">
        <v>365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</row>
    <row r="184" spans="1:60" x14ac:dyDescent="0.3">
      <c r="A184" t="s">
        <v>35</v>
      </c>
      <c r="B184" t="s">
        <v>365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</row>
    <row r="185" spans="1:60" x14ac:dyDescent="0.3">
      <c r="A185" t="s">
        <v>273</v>
      </c>
      <c r="B185" t="s">
        <v>365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</row>
    <row r="186" spans="1:60" x14ac:dyDescent="0.3">
      <c r="A186" t="s">
        <v>49</v>
      </c>
      <c r="B186" t="s">
        <v>365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</row>
    <row r="187" spans="1:60" x14ac:dyDescent="0.3">
      <c r="A187" t="s">
        <v>48</v>
      </c>
      <c r="B187" t="s">
        <v>365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</row>
    <row r="188" spans="1:60" x14ac:dyDescent="0.3">
      <c r="B188" t="s">
        <v>369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</row>
    <row r="189" spans="1:60" x14ac:dyDescent="0.3">
      <c r="A189" t="s">
        <v>59</v>
      </c>
      <c r="B189" t="s">
        <v>365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</row>
    <row r="190" spans="1:60" x14ac:dyDescent="0.3">
      <c r="A190" t="s">
        <v>45</v>
      </c>
      <c r="B190" t="s">
        <v>365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</row>
    <row r="191" spans="1:60" x14ac:dyDescent="0.3">
      <c r="A191" t="s">
        <v>50</v>
      </c>
      <c r="B191" t="s">
        <v>365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</row>
    <row r="192" spans="1:60" x14ac:dyDescent="0.3">
      <c r="B192" t="s">
        <v>370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</row>
    <row r="193" spans="1:60" x14ac:dyDescent="0.3">
      <c r="B193" t="s">
        <v>371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</row>
    <row r="194" spans="1:60" x14ac:dyDescent="0.3">
      <c r="B194" t="s">
        <v>372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</row>
    <row r="195" spans="1:60" x14ac:dyDescent="0.3">
      <c r="A195" t="s">
        <v>51</v>
      </c>
      <c r="B195" t="s">
        <v>365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</row>
    <row r="196" spans="1:60" x14ac:dyDescent="0.3">
      <c r="A196" t="s">
        <v>284</v>
      </c>
      <c r="B196" t="s">
        <v>365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</row>
    <row r="197" spans="1:60" x14ac:dyDescent="0.3">
      <c r="B197" t="s">
        <v>373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</row>
    <row r="198" spans="1:60" x14ac:dyDescent="0.3">
      <c r="B198" t="s">
        <v>374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</row>
    <row r="199" spans="1:60" x14ac:dyDescent="0.3">
      <c r="A199" t="s">
        <v>161</v>
      </c>
      <c r="B199" t="s">
        <v>114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</row>
    <row r="200" spans="1:60" x14ac:dyDescent="0.3">
      <c r="A200" t="s">
        <v>375</v>
      </c>
      <c r="B200" t="s">
        <v>68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</row>
    <row r="201" spans="1:60" x14ac:dyDescent="0.3">
      <c r="B201" t="s">
        <v>376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</row>
    <row r="202" spans="1:60" x14ac:dyDescent="0.3">
      <c r="A202" t="s">
        <v>307</v>
      </c>
      <c r="B202" t="s">
        <v>377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</row>
    <row r="203" spans="1:60" x14ac:dyDescent="0.3">
      <c r="A203" t="s">
        <v>378</v>
      </c>
      <c r="B203" t="s">
        <v>72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</row>
    <row r="204" spans="1:60" x14ac:dyDescent="0.3">
      <c r="A204" t="s">
        <v>58</v>
      </c>
      <c r="B204" t="s">
        <v>365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</row>
    <row r="205" spans="1:60" x14ac:dyDescent="0.3">
      <c r="B205" t="s">
        <v>379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</row>
    <row r="206" spans="1:60" x14ac:dyDescent="0.3">
      <c r="B206" t="s">
        <v>380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</row>
    <row r="207" spans="1:60" x14ac:dyDescent="0.3">
      <c r="A207" t="s">
        <v>157</v>
      </c>
      <c r="B207" t="s">
        <v>68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</row>
    <row r="208" spans="1:60" x14ac:dyDescent="0.3">
      <c r="B208" t="s">
        <v>381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</row>
    <row r="209" spans="1:60" x14ac:dyDescent="0.3">
      <c r="B209" t="s">
        <v>383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</row>
    <row r="210" spans="1:60" x14ac:dyDescent="0.3">
      <c r="A210" t="s">
        <v>162</v>
      </c>
      <c r="B210" t="s">
        <v>377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</row>
    <row r="211" spans="1:60" x14ac:dyDescent="0.3">
      <c r="A211" t="s">
        <v>328</v>
      </c>
      <c r="B211" t="s">
        <v>65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</row>
    <row r="212" spans="1:60" x14ac:dyDescent="0.3">
      <c r="A212" t="s">
        <v>329</v>
      </c>
      <c r="B212" t="s">
        <v>65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</row>
    <row r="213" spans="1:60" x14ac:dyDescent="0.3">
      <c r="A213" t="s">
        <v>330</v>
      </c>
      <c r="B213" t="s">
        <v>65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</row>
    <row r="214" spans="1:60" x14ac:dyDescent="0.3">
      <c r="A214" t="s">
        <v>331</v>
      </c>
      <c r="B214" t="s">
        <v>65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</row>
    <row r="215" spans="1:60" x14ac:dyDescent="0.3">
      <c r="A215" t="s">
        <v>332</v>
      </c>
      <c r="B215" t="s">
        <v>65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</row>
    <row r="216" spans="1:60" x14ac:dyDescent="0.3">
      <c r="A216" t="s">
        <v>333</v>
      </c>
      <c r="B216" t="s">
        <v>65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</row>
    <row r="217" spans="1:60" x14ac:dyDescent="0.3">
      <c r="A217" t="s">
        <v>334</v>
      </c>
      <c r="B217" t="s">
        <v>65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</row>
    <row r="218" spans="1:60" x14ac:dyDescent="0.3">
      <c r="A218" t="s">
        <v>335</v>
      </c>
      <c r="B218" t="s">
        <v>65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</row>
    <row r="219" spans="1:60" x14ac:dyDescent="0.3">
      <c r="A219" t="s">
        <v>336</v>
      </c>
      <c r="B219" t="s">
        <v>65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</row>
    <row r="220" spans="1:60" x14ac:dyDescent="0.3">
      <c r="A220" t="s">
        <v>337</v>
      </c>
      <c r="B220" t="s">
        <v>65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</row>
    <row r="221" spans="1:60" x14ac:dyDescent="0.3">
      <c r="A221" t="s">
        <v>338</v>
      </c>
      <c r="B221" t="s">
        <v>65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</row>
    <row r="222" spans="1:60" x14ac:dyDescent="0.3">
      <c r="A222" t="s">
        <v>339</v>
      </c>
      <c r="B222" t="s">
        <v>65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</row>
    <row r="223" spans="1:60" x14ac:dyDescent="0.3">
      <c r="A223" t="s">
        <v>340</v>
      </c>
      <c r="B223" t="s">
        <v>65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</row>
    <row r="224" spans="1:60" x14ac:dyDescent="0.3">
      <c r="A224" t="s">
        <v>341</v>
      </c>
      <c r="B224" t="s">
        <v>65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</row>
    <row r="225" spans="1:60" x14ac:dyDescent="0.3">
      <c r="A225" t="s">
        <v>342</v>
      </c>
      <c r="B225" t="s">
        <v>65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</row>
    <row r="226" spans="1:60" x14ac:dyDescent="0.3">
      <c r="A226" t="s">
        <v>343</v>
      </c>
      <c r="B226" t="s">
        <v>65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</row>
    <row r="227" spans="1:60" x14ac:dyDescent="0.3">
      <c r="A227" t="s">
        <v>344</v>
      </c>
      <c r="B227" t="s">
        <v>65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</row>
    <row r="228" spans="1:60" x14ac:dyDescent="0.3">
      <c r="A228" t="s">
        <v>345</v>
      </c>
      <c r="B228" t="s">
        <v>65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</row>
    <row r="229" spans="1:60" x14ac:dyDescent="0.3">
      <c r="A229" t="s">
        <v>346</v>
      </c>
      <c r="B229" t="s">
        <v>65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</row>
    <row r="230" spans="1:60" x14ac:dyDescent="0.3">
      <c r="A230" t="s">
        <v>347</v>
      </c>
      <c r="B230" t="s">
        <v>65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</row>
    <row r="231" spans="1:60" x14ac:dyDescent="0.3">
      <c r="A231" t="s">
        <v>348</v>
      </c>
      <c r="B231" t="s">
        <v>65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</row>
    <row r="232" spans="1:60" x14ac:dyDescent="0.3">
      <c r="A232" t="s">
        <v>349</v>
      </c>
      <c r="B232" t="s">
        <v>65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</row>
    <row r="233" spans="1:60" x14ac:dyDescent="0.3">
      <c r="A233" t="s">
        <v>350</v>
      </c>
      <c r="B233" t="s">
        <v>65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</row>
    <row r="234" spans="1:60" x14ac:dyDescent="0.3">
      <c r="A234" t="s">
        <v>351</v>
      </c>
      <c r="B234" t="s">
        <v>65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</row>
    <row r="235" spans="1:60" x14ac:dyDescent="0.3">
      <c r="A235" t="s">
        <v>352</v>
      </c>
      <c r="B235" t="s">
        <v>65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</row>
    <row r="236" spans="1:60" x14ac:dyDescent="0.3">
      <c r="A236" t="s">
        <v>353</v>
      </c>
      <c r="B236" t="s">
        <v>65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</row>
    <row r="237" spans="1:60" x14ac:dyDescent="0.3">
      <c r="A237" t="s">
        <v>354</v>
      </c>
      <c r="B237" t="s">
        <v>65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</row>
    <row r="238" spans="1:60" x14ac:dyDescent="0.3">
      <c r="A238" t="s">
        <v>384</v>
      </c>
      <c r="B238" t="s">
        <v>65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</row>
    <row r="239" spans="1:60" x14ac:dyDescent="0.3">
      <c r="A239" t="s">
        <v>355</v>
      </c>
      <c r="B239" t="s">
        <v>65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</row>
    <row r="240" spans="1:60" x14ac:dyDescent="0.3">
      <c r="A240" t="s">
        <v>385</v>
      </c>
      <c r="B240" t="s">
        <v>65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</row>
    <row r="241" spans="1:60" x14ac:dyDescent="0.3">
      <c r="A241" t="s">
        <v>356</v>
      </c>
      <c r="B241" t="s">
        <v>65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</row>
    <row r="242" spans="1:60" x14ac:dyDescent="0.3">
      <c r="A242" t="s">
        <v>357</v>
      </c>
      <c r="B242" t="s">
        <v>65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</row>
    <row r="243" spans="1:60" x14ac:dyDescent="0.3">
      <c r="A243" t="s">
        <v>358</v>
      </c>
      <c r="B243" t="s">
        <v>65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</row>
    <row r="244" spans="1:60" x14ac:dyDescent="0.3">
      <c r="A244" t="s">
        <v>359</v>
      </c>
      <c r="B244" t="s">
        <v>65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</row>
    <row r="245" spans="1:60" x14ac:dyDescent="0.3">
      <c r="A245" t="s">
        <v>360</v>
      </c>
      <c r="B245" t="s">
        <v>65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</row>
    <row r="246" spans="1:60" x14ac:dyDescent="0.3">
      <c r="A246" t="s">
        <v>361</v>
      </c>
      <c r="B246" t="s">
        <v>65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</row>
    <row r="247" spans="1:60" x14ac:dyDescent="0.3">
      <c r="A247" t="s">
        <v>362</v>
      </c>
      <c r="B247" t="s">
        <v>65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</row>
    <row r="248" spans="1:60" x14ac:dyDescent="0.3">
      <c r="A248" t="s">
        <v>363</v>
      </c>
      <c r="B248" t="s">
        <v>65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</row>
    <row r="249" spans="1:60" x14ac:dyDescent="0.3">
      <c r="A249" t="s">
        <v>261</v>
      </c>
      <c r="B249" t="s">
        <v>65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</row>
    <row r="250" spans="1:60" x14ac:dyDescent="0.3">
      <c r="A250" t="s">
        <v>262</v>
      </c>
      <c r="B250" t="s">
        <v>65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</row>
    <row r="251" spans="1:60" x14ac:dyDescent="0.3">
      <c r="A251" t="s">
        <v>263</v>
      </c>
      <c r="B251" t="s">
        <v>65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</row>
    <row r="252" spans="1:60" x14ac:dyDescent="0.3">
      <c r="A252" t="s">
        <v>264</v>
      </c>
      <c r="B252" t="s">
        <v>65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</row>
    <row r="253" spans="1:60" x14ac:dyDescent="0.3">
      <c r="A253" t="s">
        <v>265</v>
      </c>
      <c r="B253" t="s">
        <v>65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</row>
    <row r="254" spans="1:60" x14ac:dyDescent="0.3">
      <c r="A254" t="s">
        <v>266</v>
      </c>
      <c r="B254" t="s">
        <v>65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</row>
    <row r="255" spans="1:60" x14ac:dyDescent="0.3">
      <c r="A255" t="s">
        <v>267</v>
      </c>
      <c r="B255" t="s">
        <v>65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</row>
    <row r="256" spans="1:60" x14ac:dyDescent="0.3">
      <c r="A256" t="s">
        <v>268</v>
      </c>
      <c r="B256" t="s">
        <v>65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</row>
    <row r="257" spans="1:60" x14ac:dyDescent="0.3">
      <c r="A257" t="s">
        <v>269</v>
      </c>
      <c r="B257" t="s">
        <v>65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</row>
    <row r="258" spans="1:60" x14ac:dyDescent="0.3">
      <c r="A258" t="s">
        <v>259</v>
      </c>
      <c r="B258" t="s">
        <v>65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</row>
    <row r="259" spans="1:60" x14ac:dyDescent="0.3">
      <c r="A259" t="s">
        <v>256</v>
      </c>
      <c r="B259" t="s">
        <v>65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</row>
    <row r="260" spans="1:60" x14ac:dyDescent="0.3">
      <c r="A260" t="s">
        <v>234</v>
      </c>
      <c r="B260" t="s">
        <v>65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</row>
    <row r="261" spans="1:60" x14ac:dyDescent="0.3">
      <c r="A261" t="s">
        <v>235</v>
      </c>
      <c r="B261" t="s">
        <v>65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</row>
    <row r="262" spans="1:60" x14ac:dyDescent="0.3">
      <c r="A262" t="s">
        <v>236</v>
      </c>
      <c r="B262" t="s">
        <v>65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</row>
    <row r="263" spans="1:60" x14ac:dyDescent="0.3">
      <c r="A263" t="s">
        <v>237</v>
      </c>
      <c r="B263" t="s">
        <v>65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</row>
    <row r="264" spans="1:60" x14ac:dyDescent="0.3">
      <c r="A264" t="s">
        <v>238</v>
      </c>
      <c r="B264" t="s">
        <v>65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</row>
    <row r="265" spans="1:60" x14ac:dyDescent="0.3">
      <c r="A265" t="s">
        <v>239</v>
      </c>
      <c r="B265" t="s">
        <v>65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</row>
    <row r="266" spans="1:60" x14ac:dyDescent="0.3">
      <c r="A266" t="s">
        <v>240</v>
      </c>
      <c r="B266" t="s">
        <v>65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</row>
    <row r="267" spans="1:60" x14ac:dyDescent="0.3">
      <c r="A267" t="s">
        <v>241</v>
      </c>
      <c r="B267" t="s">
        <v>65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</row>
    <row r="268" spans="1:60" x14ac:dyDescent="0.3">
      <c r="A268" t="s">
        <v>242</v>
      </c>
      <c r="B268" t="s">
        <v>65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</row>
    <row r="269" spans="1:60" x14ac:dyDescent="0.3">
      <c r="A269" t="s">
        <v>243</v>
      </c>
      <c r="B269" t="s">
        <v>65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</row>
    <row r="270" spans="1:60" x14ac:dyDescent="0.3">
      <c r="A270" t="s">
        <v>244</v>
      </c>
      <c r="B270" t="s">
        <v>65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</row>
    <row r="271" spans="1:60" x14ac:dyDescent="0.3">
      <c r="A271" t="s">
        <v>245</v>
      </c>
      <c r="B271" t="s">
        <v>65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</row>
    <row r="272" spans="1:60" x14ac:dyDescent="0.3">
      <c r="A272" t="s">
        <v>246</v>
      </c>
      <c r="B272" t="s">
        <v>65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</row>
    <row r="273" spans="1:60" x14ac:dyDescent="0.3">
      <c r="A273" t="s">
        <v>247</v>
      </c>
      <c r="B273" t="s">
        <v>65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</row>
    <row r="274" spans="1:60" x14ac:dyDescent="0.3">
      <c r="A274" t="s">
        <v>248</v>
      </c>
      <c r="B274" t="s">
        <v>65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</row>
    <row r="275" spans="1:60" x14ac:dyDescent="0.3">
      <c r="A275" t="s">
        <v>249</v>
      </c>
      <c r="B275" t="s">
        <v>65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</row>
    <row r="276" spans="1:60" x14ac:dyDescent="0.3">
      <c r="A276" t="s">
        <v>250</v>
      </c>
      <c r="B276" t="s">
        <v>65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</row>
    <row r="277" spans="1:60" x14ac:dyDescent="0.3">
      <c r="A277" t="s">
        <v>251</v>
      </c>
      <c r="B277" t="s">
        <v>65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</row>
    <row r="278" spans="1:60" x14ac:dyDescent="0.3">
      <c r="A278" t="s">
        <v>252</v>
      </c>
      <c r="B278" t="s">
        <v>65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</row>
    <row r="279" spans="1:60" x14ac:dyDescent="0.3">
      <c r="A279" t="s">
        <v>230</v>
      </c>
      <c r="B279" t="s">
        <v>65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</row>
    <row r="280" spans="1:60" x14ac:dyDescent="0.3">
      <c r="A280" t="s">
        <v>231</v>
      </c>
      <c r="B280" t="s">
        <v>65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</row>
    <row r="281" spans="1:60" x14ac:dyDescent="0.3">
      <c r="A281" t="s">
        <v>232</v>
      </c>
      <c r="B281" t="s">
        <v>65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</row>
    <row r="282" spans="1:60" x14ac:dyDescent="0.3">
      <c r="A282" t="s">
        <v>228</v>
      </c>
      <c r="B282" t="s">
        <v>65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</row>
    <row r="283" spans="1:60" x14ac:dyDescent="0.3">
      <c r="A283" t="s">
        <v>208</v>
      </c>
      <c r="B283" t="s">
        <v>65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</row>
    <row r="284" spans="1:60" x14ac:dyDescent="0.3">
      <c r="A284" t="s">
        <v>209</v>
      </c>
      <c r="B284" t="s">
        <v>65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</row>
    <row r="285" spans="1:60" x14ac:dyDescent="0.3">
      <c r="A285" t="s">
        <v>210</v>
      </c>
      <c r="B285" t="s">
        <v>65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</row>
    <row r="286" spans="1:60" x14ac:dyDescent="0.3">
      <c r="A286" t="s">
        <v>211</v>
      </c>
      <c r="B286" t="s">
        <v>65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</row>
    <row r="287" spans="1:60" x14ac:dyDescent="0.3">
      <c r="A287" t="s">
        <v>212</v>
      </c>
      <c r="B287" t="s">
        <v>65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</row>
    <row r="288" spans="1:60" x14ac:dyDescent="0.3">
      <c r="A288" t="s">
        <v>213</v>
      </c>
      <c r="B288" t="s">
        <v>65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</row>
    <row r="289" spans="1:60" x14ac:dyDescent="0.3">
      <c r="A289" t="s">
        <v>214</v>
      </c>
      <c r="B289" t="s">
        <v>65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</row>
    <row r="290" spans="1:60" x14ac:dyDescent="0.3">
      <c r="A290" t="s">
        <v>215</v>
      </c>
      <c r="B290" t="s">
        <v>65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</row>
    <row r="291" spans="1:60" x14ac:dyDescent="0.3">
      <c r="A291" t="s">
        <v>216</v>
      </c>
      <c r="B291" t="s">
        <v>65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</row>
    <row r="292" spans="1:60" x14ac:dyDescent="0.3">
      <c r="A292" t="s">
        <v>217</v>
      </c>
      <c r="B292" t="s">
        <v>65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</row>
    <row r="293" spans="1:60" x14ac:dyDescent="0.3">
      <c r="A293" t="s">
        <v>218</v>
      </c>
      <c r="B293" t="s">
        <v>65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</row>
    <row r="294" spans="1:60" x14ac:dyDescent="0.3">
      <c r="A294" t="s">
        <v>219</v>
      </c>
      <c r="B294" t="s">
        <v>65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</row>
    <row r="295" spans="1:60" x14ac:dyDescent="0.3">
      <c r="A295" t="s">
        <v>462</v>
      </c>
      <c r="B295" t="s">
        <v>65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</row>
    <row r="296" spans="1:60" x14ac:dyDescent="0.3">
      <c r="A296" t="s">
        <v>220</v>
      </c>
      <c r="B296" t="s">
        <v>65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</row>
    <row r="297" spans="1:60" x14ac:dyDescent="0.3">
      <c r="A297" t="s">
        <v>221</v>
      </c>
      <c r="B297" t="s">
        <v>65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</row>
    <row r="298" spans="1:60" x14ac:dyDescent="0.3">
      <c r="A298" t="s">
        <v>222</v>
      </c>
      <c r="B298" t="s">
        <v>65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</row>
    <row r="299" spans="1:60" x14ac:dyDescent="0.3">
      <c r="A299" t="s">
        <v>223</v>
      </c>
      <c r="B299" t="s">
        <v>65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</row>
    <row r="300" spans="1:60" x14ac:dyDescent="0.3">
      <c r="A300" t="s">
        <v>224</v>
      </c>
      <c r="B300" t="s">
        <v>65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</row>
    <row r="301" spans="1:60" x14ac:dyDescent="0.3">
      <c r="A301" t="s">
        <v>225</v>
      </c>
      <c r="B301" t="s">
        <v>65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</row>
    <row r="302" spans="1:60" x14ac:dyDescent="0.3">
      <c r="A302" t="s">
        <v>205</v>
      </c>
      <c r="B302" t="s">
        <v>65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</row>
    <row r="303" spans="1:60" x14ac:dyDescent="0.3">
      <c r="A303" t="s">
        <v>206</v>
      </c>
      <c r="B303" t="s">
        <v>65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</row>
    <row r="304" spans="1:60" x14ac:dyDescent="0.3">
      <c r="A304" t="s">
        <v>191</v>
      </c>
      <c r="B304" t="s">
        <v>65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</row>
    <row r="305" spans="1:60" x14ac:dyDescent="0.3">
      <c r="A305" t="s">
        <v>192</v>
      </c>
      <c r="B305" t="s">
        <v>65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</row>
    <row r="306" spans="1:60" x14ac:dyDescent="0.3">
      <c r="A306" t="s">
        <v>193</v>
      </c>
      <c r="B306" t="s">
        <v>65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</row>
    <row r="307" spans="1:60" x14ac:dyDescent="0.3">
      <c r="A307" t="s">
        <v>194</v>
      </c>
      <c r="B307" t="s">
        <v>65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</row>
    <row r="308" spans="1:60" x14ac:dyDescent="0.3">
      <c r="A308" t="s">
        <v>195</v>
      </c>
      <c r="B308" t="s">
        <v>65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</row>
    <row r="309" spans="1:60" x14ac:dyDescent="0.3">
      <c r="A309" t="s">
        <v>196</v>
      </c>
      <c r="B309" t="s">
        <v>65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</row>
    <row r="310" spans="1:60" x14ac:dyDescent="0.3">
      <c r="A310" t="s">
        <v>197</v>
      </c>
      <c r="B310" t="s">
        <v>65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</row>
    <row r="311" spans="1:60" x14ac:dyDescent="0.3">
      <c r="A311" t="s">
        <v>198</v>
      </c>
      <c r="B311" t="s">
        <v>65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</row>
    <row r="312" spans="1:60" x14ac:dyDescent="0.3">
      <c r="A312" t="s">
        <v>199</v>
      </c>
      <c r="B312" t="s">
        <v>65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</row>
    <row r="313" spans="1:60" x14ac:dyDescent="0.3">
      <c r="A313" t="s">
        <v>200</v>
      </c>
      <c r="B313" t="s">
        <v>65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</row>
    <row r="314" spans="1:60" x14ac:dyDescent="0.3">
      <c r="A314" t="s">
        <v>201</v>
      </c>
      <c r="B314" t="s">
        <v>65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</row>
    <row r="315" spans="1:60" x14ac:dyDescent="0.3">
      <c r="A315" t="s">
        <v>202</v>
      </c>
      <c r="B315" t="s">
        <v>65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</row>
    <row r="316" spans="1:60" x14ac:dyDescent="0.3">
      <c r="A316" t="s">
        <v>173</v>
      </c>
      <c r="B316" t="s">
        <v>65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</row>
    <row r="317" spans="1:60" x14ac:dyDescent="0.3">
      <c r="A317" t="s">
        <v>174</v>
      </c>
      <c r="B317" t="s">
        <v>65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</row>
    <row r="318" spans="1:60" x14ac:dyDescent="0.3">
      <c r="A318" t="s">
        <v>175</v>
      </c>
      <c r="B318" t="s">
        <v>65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</row>
    <row r="319" spans="1:60" x14ac:dyDescent="0.3">
      <c r="A319" t="s">
        <v>176</v>
      </c>
      <c r="B319" t="s">
        <v>65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</row>
    <row r="320" spans="1:60" x14ac:dyDescent="0.3">
      <c r="A320" t="s">
        <v>177</v>
      </c>
      <c r="B320" t="s">
        <v>65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</row>
    <row r="321" spans="1:60" x14ac:dyDescent="0.3">
      <c r="A321" t="s">
        <v>178</v>
      </c>
      <c r="B321" t="s">
        <v>65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</row>
    <row r="322" spans="1:60" x14ac:dyDescent="0.3">
      <c r="A322" t="s">
        <v>179</v>
      </c>
      <c r="B322" t="s">
        <v>65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</row>
    <row r="323" spans="1:60" x14ac:dyDescent="0.3">
      <c r="A323" t="s">
        <v>180</v>
      </c>
      <c r="B323" t="s">
        <v>65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</row>
    <row r="324" spans="1:60" x14ac:dyDescent="0.3">
      <c r="A324" t="s">
        <v>181</v>
      </c>
      <c r="B324" t="s">
        <v>65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</row>
    <row r="325" spans="1:60" x14ac:dyDescent="0.3">
      <c r="A325" t="s">
        <v>182</v>
      </c>
      <c r="B325" t="s">
        <v>65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</row>
    <row r="326" spans="1:60" x14ac:dyDescent="0.3">
      <c r="A326" t="s">
        <v>169</v>
      </c>
      <c r="B326" t="s">
        <v>65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</row>
    <row r="327" spans="1:60" x14ac:dyDescent="0.3">
      <c r="A327" t="s">
        <v>170</v>
      </c>
      <c r="B327" t="s">
        <v>65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</row>
    <row r="328" spans="1:60" x14ac:dyDescent="0.3">
      <c r="A328" t="s">
        <v>171</v>
      </c>
      <c r="B328" t="s">
        <v>65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</row>
    <row r="329" spans="1:60" x14ac:dyDescent="0.3">
      <c r="A329" t="s">
        <v>166</v>
      </c>
      <c r="B329" t="s">
        <v>65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</row>
    <row r="330" spans="1:60" x14ac:dyDescent="0.3">
      <c r="A330" t="s">
        <v>158</v>
      </c>
      <c r="B330" t="s">
        <v>65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</row>
    <row r="331" spans="1:60" x14ac:dyDescent="0.3">
      <c r="A331" t="s">
        <v>153</v>
      </c>
      <c r="B331" t="s">
        <v>65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</row>
    <row r="332" spans="1:60" x14ac:dyDescent="0.3">
      <c r="A332" t="s">
        <v>154</v>
      </c>
      <c r="B332" t="s">
        <v>65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</row>
    <row r="333" spans="1:60" x14ac:dyDescent="0.3">
      <c r="A333" t="s">
        <v>155</v>
      </c>
      <c r="B333" t="s">
        <v>65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</row>
    <row r="334" spans="1:60" x14ac:dyDescent="0.3">
      <c r="A334" t="s">
        <v>386</v>
      </c>
      <c r="B334" t="s">
        <v>65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</row>
    <row r="335" spans="1:60" x14ac:dyDescent="0.3">
      <c r="A335" t="s">
        <v>142</v>
      </c>
      <c r="B335" t="s">
        <v>65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</row>
    <row r="336" spans="1:60" x14ac:dyDescent="0.3">
      <c r="A336" t="s">
        <v>143</v>
      </c>
      <c r="B336" t="s">
        <v>65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</row>
    <row r="337" spans="1:60" x14ac:dyDescent="0.3">
      <c r="A337" t="s">
        <v>144</v>
      </c>
      <c r="B337" t="s">
        <v>65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</row>
    <row r="338" spans="1:60" x14ac:dyDescent="0.3">
      <c r="A338" t="s">
        <v>145</v>
      </c>
      <c r="B338" t="s">
        <v>65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</row>
    <row r="339" spans="1:60" x14ac:dyDescent="0.3">
      <c r="A339" t="s">
        <v>146</v>
      </c>
      <c r="B339" t="s">
        <v>65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</row>
    <row r="340" spans="1:60" x14ac:dyDescent="0.3">
      <c r="A340" t="s">
        <v>147</v>
      </c>
      <c r="B340" t="s">
        <v>65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</row>
    <row r="341" spans="1:60" x14ac:dyDescent="0.3">
      <c r="A341" t="s">
        <v>148</v>
      </c>
      <c r="B341" t="s">
        <v>65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</row>
    <row r="342" spans="1:60" x14ac:dyDescent="0.3">
      <c r="A342" t="s">
        <v>149</v>
      </c>
      <c r="B342" t="s">
        <v>65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</row>
    <row r="343" spans="1:60" x14ac:dyDescent="0.3">
      <c r="A343" t="s">
        <v>129</v>
      </c>
      <c r="B343" t="s">
        <v>65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</row>
    <row r="344" spans="1:60" x14ac:dyDescent="0.3">
      <c r="A344" t="s">
        <v>95</v>
      </c>
      <c r="B344" t="s">
        <v>65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</row>
    <row r="345" spans="1:60" x14ac:dyDescent="0.3">
      <c r="A345" t="s">
        <v>96</v>
      </c>
      <c r="B345" t="s">
        <v>65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</row>
    <row r="346" spans="1:60" x14ac:dyDescent="0.3">
      <c r="A346" t="s">
        <v>91</v>
      </c>
      <c r="B346" t="s">
        <v>65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</row>
    <row r="347" spans="1:60" x14ac:dyDescent="0.3">
      <c r="A347" t="s">
        <v>89</v>
      </c>
      <c r="B347" t="s">
        <v>65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</row>
    <row r="348" spans="1:60" x14ac:dyDescent="0.3">
      <c r="A348" t="s">
        <v>73</v>
      </c>
      <c r="B348" t="s">
        <v>65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</row>
    <row r="349" spans="1:60" x14ac:dyDescent="0.3">
      <c r="A349" t="s">
        <v>64</v>
      </c>
      <c r="B349" t="s">
        <v>65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</row>
    <row r="350" spans="1:60" x14ac:dyDescent="0.3">
      <c r="A350" t="s">
        <v>66</v>
      </c>
      <c r="B350" t="s">
        <v>65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</row>
    <row r="351" spans="1:60" x14ac:dyDescent="0.3">
      <c r="A351" t="s">
        <v>387</v>
      </c>
      <c r="B351" t="s">
        <v>65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</row>
    <row r="352" spans="1:60" x14ac:dyDescent="0.3">
      <c r="A352" t="s">
        <v>388</v>
      </c>
      <c r="B352" t="s">
        <v>65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</row>
    <row r="353" spans="1:60" x14ac:dyDescent="0.3">
      <c r="A353" t="s">
        <v>389</v>
      </c>
      <c r="B353" t="s">
        <v>65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</row>
    <row r="354" spans="1:60" x14ac:dyDescent="0.3">
      <c r="A354" t="s">
        <v>390</v>
      </c>
      <c r="B354" t="s">
        <v>65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</row>
    <row r="355" spans="1:60" x14ac:dyDescent="0.3">
      <c r="A355" t="s">
        <v>391</v>
      </c>
      <c r="B355" t="s">
        <v>65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</row>
    <row r="356" spans="1:60" x14ac:dyDescent="0.3">
      <c r="A356" t="s">
        <v>392</v>
      </c>
      <c r="B356" t="s">
        <v>65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</row>
    <row r="357" spans="1:60" x14ac:dyDescent="0.3">
      <c r="A357" t="s">
        <v>393</v>
      </c>
      <c r="B357" t="s">
        <v>65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</row>
    <row r="358" spans="1:60" x14ac:dyDescent="0.3">
      <c r="A358" t="s">
        <v>394</v>
      </c>
      <c r="B358" t="s">
        <v>65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</row>
    <row r="359" spans="1:60" x14ac:dyDescent="0.3">
      <c r="A359" t="s">
        <v>395</v>
      </c>
      <c r="B359" t="s">
        <v>65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</row>
    <row r="360" spans="1:60" x14ac:dyDescent="0.3">
      <c r="A360" t="s">
        <v>396</v>
      </c>
      <c r="B360" t="s">
        <v>65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</row>
    <row r="361" spans="1:60" x14ac:dyDescent="0.3">
      <c r="A361" t="s">
        <v>397</v>
      </c>
      <c r="B361" t="s">
        <v>65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</row>
    <row r="362" spans="1:60" x14ac:dyDescent="0.3">
      <c r="A362" t="s">
        <v>398</v>
      </c>
      <c r="B362" t="s">
        <v>65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</row>
    <row r="363" spans="1:60" x14ac:dyDescent="0.3">
      <c r="A363" t="s">
        <v>399</v>
      </c>
      <c r="B363" t="s">
        <v>65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</row>
    <row r="364" spans="1:60" x14ac:dyDescent="0.3">
      <c r="A364" t="s">
        <v>400</v>
      </c>
      <c r="B364" t="s">
        <v>65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</row>
    <row r="365" spans="1:60" x14ac:dyDescent="0.3">
      <c r="A365" t="s">
        <v>401</v>
      </c>
      <c r="B365" t="s">
        <v>65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</row>
    <row r="366" spans="1:60" x14ac:dyDescent="0.3">
      <c r="A366" t="s">
        <v>402</v>
      </c>
      <c r="B366" t="s">
        <v>65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</row>
    <row r="367" spans="1:60" x14ac:dyDescent="0.3">
      <c r="A367" t="s">
        <v>403</v>
      </c>
      <c r="B367" t="s">
        <v>65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</row>
    <row r="368" spans="1:60" x14ac:dyDescent="0.3">
      <c r="A368" t="s">
        <v>404</v>
      </c>
      <c r="B368" t="s">
        <v>65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</row>
    <row r="369" spans="1:60" x14ac:dyDescent="0.3">
      <c r="A369" t="s">
        <v>405</v>
      </c>
      <c r="B369" t="s">
        <v>65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</row>
    <row r="370" spans="1:60" x14ac:dyDescent="0.3">
      <c r="A370" t="s">
        <v>406</v>
      </c>
      <c r="B370" t="s">
        <v>65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</row>
    <row r="371" spans="1:60" x14ac:dyDescent="0.3">
      <c r="A371" t="s">
        <v>407</v>
      </c>
      <c r="B371" t="s">
        <v>65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</row>
    <row r="372" spans="1:60" x14ac:dyDescent="0.3">
      <c r="A372" t="s">
        <v>408</v>
      </c>
      <c r="B372" t="s">
        <v>65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</row>
    <row r="373" spans="1:60" x14ac:dyDescent="0.3">
      <c r="A373" t="s">
        <v>409</v>
      </c>
      <c r="B373" t="s">
        <v>65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</row>
    <row r="374" spans="1:60" x14ac:dyDescent="0.3">
      <c r="A374" t="s">
        <v>410</v>
      </c>
      <c r="B374" t="s">
        <v>65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</row>
    <row r="375" spans="1:60" x14ac:dyDescent="0.3">
      <c r="A375" t="s">
        <v>411</v>
      </c>
      <c r="B375" t="s">
        <v>65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</row>
    <row r="376" spans="1:60" x14ac:dyDescent="0.3">
      <c r="A376" t="s">
        <v>412</v>
      </c>
      <c r="B376" t="s">
        <v>65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</row>
    <row r="377" spans="1:60" x14ac:dyDescent="0.3">
      <c r="A377" t="s">
        <v>413</v>
      </c>
      <c r="B377" t="s">
        <v>65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</row>
    <row r="378" spans="1:60" x14ac:dyDescent="0.3">
      <c r="A378" t="s">
        <v>414</v>
      </c>
      <c r="B378" t="s">
        <v>65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</row>
    <row r="379" spans="1:60" x14ac:dyDescent="0.3">
      <c r="A379" t="s">
        <v>415</v>
      </c>
      <c r="B379" t="s">
        <v>65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</row>
    <row r="380" spans="1:60" x14ac:dyDescent="0.3">
      <c r="A380" t="s">
        <v>416</v>
      </c>
      <c r="B380" t="s">
        <v>65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</row>
    <row r="381" spans="1:60" x14ac:dyDescent="0.3">
      <c r="A381" t="s">
        <v>417</v>
      </c>
      <c r="B381" t="s">
        <v>65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</row>
    <row r="382" spans="1:60" x14ac:dyDescent="0.3">
      <c r="A382" t="s">
        <v>418</v>
      </c>
      <c r="B382" t="s">
        <v>65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</row>
    <row r="383" spans="1:60" x14ac:dyDescent="0.3">
      <c r="A383" t="s">
        <v>419</v>
      </c>
      <c r="B383" t="s">
        <v>65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</row>
    <row r="384" spans="1:60" x14ac:dyDescent="0.3">
      <c r="A384" t="s">
        <v>420</v>
      </c>
      <c r="B384" t="s">
        <v>65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</row>
    <row r="385" spans="1:60" x14ac:dyDescent="0.3">
      <c r="A385" t="s">
        <v>421</v>
      </c>
      <c r="B385" t="s">
        <v>65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</row>
    <row r="386" spans="1:60" x14ac:dyDescent="0.3">
      <c r="A386" t="s">
        <v>422</v>
      </c>
      <c r="B386" t="s">
        <v>65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</row>
    <row r="387" spans="1:60" x14ac:dyDescent="0.3">
      <c r="A387" t="s">
        <v>423</v>
      </c>
      <c r="B387" t="s">
        <v>65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</row>
    <row r="388" spans="1:60" x14ac:dyDescent="0.3">
      <c r="A388" t="s">
        <v>424</v>
      </c>
      <c r="B388" t="s">
        <v>65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</row>
    <row r="389" spans="1:60" x14ac:dyDescent="0.3">
      <c r="A389" t="s">
        <v>425</v>
      </c>
      <c r="B389" t="s">
        <v>65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</row>
    <row r="390" spans="1:60" x14ac:dyDescent="0.3">
      <c r="A390" t="s">
        <v>426</v>
      </c>
      <c r="B390" t="s">
        <v>65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</row>
    <row r="391" spans="1:60" x14ac:dyDescent="0.3">
      <c r="A391" t="s">
        <v>427</v>
      </c>
      <c r="B391" t="s">
        <v>65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</row>
    <row r="392" spans="1:60" x14ac:dyDescent="0.3">
      <c r="A392" t="s">
        <v>428</v>
      </c>
      <c r="B392" t="s">
        <v>65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</row>
    <row r="393" spans="1:60" x14ac:dyDescent="0.3">
      <c r="A393" t="s">
        <v>429</v>
      </c>
      <c r="B393" t="s">
        <v>65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</row>
    <row r="394" spans="1:60" x14ac:dyDescent="0.3">
      <c r="A394" t="s">
        <v>430</v>
      </c>
      <c r="B394" t="s">
        <v>65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</row>
    <row r="395" spans="1:60" x14ac:dyDescent="0.3">
      <c r="A395" t="s">
        <v>431</v>
      </c>
      <c r="B395" t="s">
        <v>65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</row>
    <row r="396" spans="1:60" x14ac:dyDescent="0.3">
      <c r="A396" t="s">
        <v>432</v>
      </c>
      <c r="B396" t="s">
        <v>65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</row>
    <row r="397" spans="1:60" x14ac:dyDescent="0.3">
      <c r="A397" t="s">
        <v>433</v>
      </c>
      <c r="B397" t="s">
        <v>65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</row>
    <row r="398" spans="1:60" x14ac:dyDescent="0.3">
      <c r="A398" t="s">
        <v>434</v>
      </c>
      <c r="B398" t="s">
        <v>65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</row>
    <row r="399" spans="1:60" x14ac:dyDescent="0.3">
      <c r="A399" t="s">
        <v>435</v>
      </c>
      <c r="B399" t="s">
        <v>65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</row>
    <row r="400" spans="1:60" x14ac:dyDescent="0.3">
      <c r="A400" t="s">
        <v>436</v>
      </c>
      <c r="B400" t="s">
        <v>65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</row>
    <row r="401" spans="1:61" x14ac:dyDescent="0.3">
      <c r="A401" t="s">
        <v>437</v>
      </c>
      <c r="B401" t="s">
        <v>65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</row>
    <row r="402" spans="1:61" x14ac:dyDescent="0.3">
      <c r="B402" t="s">
        <v>438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</row>
    <row r="403" spans="1:61" x14ac:dyDescent="0.3">
      <c r="B403" t="s">
        <v>439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</row>
    <row r="404" spans="1:61" x14ac:dyDescent="0.3">
      <c r="A404" t="s">
        <v>440</v>
      </c>
      <c r="B404" t="s">
        <v>75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</row>
    <row r="405" spans="1:61" x14ac:dyDescent="0.3">
      <c r="A405" t="s">
        <v>377</v>
      </c>
      <c r="B405" t="s">
        <v>377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</row>
    <row r="406" spans="1:61" x14ac:dyDescent="0.3">
      <c r="B406" t="s">
        <v>441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</row>
    <row r="407" spans="1:61" x14ac:dyDescent="0.3">
      <c r="A407" t="s">
        <v>442</v>
      </c>
      <c r="B407" t="s">
        <v>68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</row>
    <row r="408" spans="1:61" x14ac:dyDescent="0.3">
      <c r="A408" t="s">
        <v>445</v>
      </c>
      <c r="B408" t="s">
        <v>72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</row>
    <row r="409" spans="1:61" x14ac:dyDescent="0.3">
      <c r="A409" t="s">
        <v>446</v>
      </c>
      <c r="B409" t="s">
        <v>72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</row>
    <row r="410" spans="1:61" x14ac:dyDescent="0.3">
      <c r="B410" t="s">
        <v>447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</row>
    <row r="411" spans="1:61" x14ac:dyDescent="0.3">
      <c r="B411" t="s">
        <v>448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</row>
    <row r="412" spans="1:61" x14ac:dyDescent="0.3">
      <c r="B412" t="s">
        <v>451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</row>
    <row r="413" spans="1:61" x14ac:dyDescent="0.3">
      <c r="B413" t="s">
        <v>449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</row>
    <row r="414" spans="1:61" x14ac:dyDescent="0.3">
      <c r="B414" t="s">
        <v>450</v>
      </c>
      <c r="C414">
        <v>12.521100000000001</v>
      </c>
      <c r="D414">
        <v>-69.968299999999999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</row>
    <row r="415" spans="1:61" x14ac:dyDescent="0.3">
      <c r="A415" t="s">
        <v>276</v>
      </c>
      <c r="B415" t="s">
        <v>72</v>
      </c>
      <c r="C415">
        <v>37.648899999999998</v>
      </c>
      <c r="D415">
        <v>-122.66549999999999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</row>
    <row r="416" spans="1:61" x14ac:dyDescent="0.3">
      <c r="B416" t="s">
        <v>452</v>
      </c>
      <c r="C416">
        <v>17.0608</v>
      </c>
      <c r="D416">
        <v>-61.796399999999998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</row>
    <row r="417" spans="1:60" x14ac:dyDescent="0.3">
      <c r="A417" t="s">
        <v>453</v>
      </c>
      <c r="B417" t="s">
        <v>65</v>
      </c>
      <c r="C417">
        <v>32.318199999999997</v>
      </c>
      <c r="D417">
        <v>-86.902299999999997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</row>
    <row r="418" spans="1:60" x14ac:dyDescent="0.3">
      <c r="B418" t="s">
        <v>463</v>
      </c>
      <c r="C418">
        <v>-32.522799999999997</v>
      </c>
      <c r="D418">
        <v>-55.765799999999999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</row>
    <row r="419" spans="1:60" x14ac:dyDescent="0.3">
      <c r="B419" t="s">
        <v>464</v>
      </c>
      <c r="C419">
        <v>7.9465000000000003</v>
      </c>
      <c r="D419">
        <v>-1.0232000000000001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</row>
    <row r="420" spans="1:60" x14ac:dyDescent="0.3">
      <c r="A420" t="s">
        <v>465</v>
      </c>
      <c r="B420" t="s">
        <v>65</v>
      </c>
      <c r="C420">
        <v>18.220800000000001</v>
      </c>
      <c r="D420">
        <v>-66.590100000000007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</row>
    <row r="421" spans="1:60" x14ac:dyDescent="0.3">
      <c r="B421" t="s">
        <v>466</v>
      </c>
      <c r="C421">
        <v>49.19</v>
      </c>
      <c r="D421">
        <v>-2.11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</row>
    <row r="422" spans="1:60" x14ac:dyDescent="0.3">
      <c r="B422" t="s">
        <v>467</v>
      </c>
      <c r="C422">
        <v>-22.957599999999999</v>
      </c>
      <c r="D422">
        <v>18.490400000000001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</row>
    <row r="423" spans="1:60" x14ac:dyDescent="0.3">
      <c r="B423" t="s">
        <v>468</v>
      </c>
      <c r="C423">
        <v>-4.6795999999999998</v>
      </c>
      <c r="D423">
        <v>55.491999999999997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</row>
    <row r="424" spans="1:60" x14ac:dyDescent="0.3">
      <c r="B424" t="s">
        <v>469</v>
      </c>
      <c r="C424">
        <v>10.691800000000001</v>
      </c>
      <c r="D424">
        <v>-61.222499999999997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</row>
    <row r="425" spans="1:60" x14ac:dyDescent="0.3">
      <c r="B425" t="s">
        <v>470</v>
      </c>
      <c r="C425">
        <v>6.4238</v>
      </c>
      <c r="D425">
        <v>-66.589699999999993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</row>
    <row r="426" spans="1:60" x14ac:dyDescent="0.3">
      <c r="B426" t="s">
        <v>472</v>
      </c>
      <c r="C426">
        <v>-26.522500000000001</v>
      </c>
      <c r="D426">
        <v>31.465900000000001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</row>
    <row r="427" spans="1:60" x14ac:dyDescent="0.3">
      <c r="B427" t="s">
        <v>473</v>
      </c>
      <c r="C427">
        <v>-0.80369999999999997</v>
      </c>
      <c r="D427">
        <v>11.609400000000001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</row>
    <row r="428" spans="1:60" x14ac:dyDescent="0.3">
      <c r="B428" t="s">
        <v>474</v>
      </c>
      <c r="C428">
        <v>15.7835</v>
      </c>
      <c r="D428">
        <v>-90.230800000000002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</row>
    <row r="429" spans="1:60" x14ac:dyDescent="0.3">
      <c r="B429" t="s">
        <v>475</v>
      </c>
      <c r="C429">
        <v>49.45</v>
      </c>
      <c r="D429">
        <v>-2.58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</row>
    <row r="430" spans="1:60" x14ac:dyDescent="0.3">
      <c r="B430" t="s">
        <v>476</v>
      </c>
      <c r="C430">
        <v>21.007899999999999</v>
      </c>
      <c r="D430">
        <v>10.940799999999999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</row>
    <row r="431" spans="1:60" x14ac:dyDescent="0.3">
      <c r="B431" t="s">
        <v>477</v>
      </c>
      <c r="C431">
        <v>-1.9402999999999999</v>
      </c>
      <c r="D431">
        <v>29.873899999999999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</row>
    <row r="432" spans="1:60" x14ac:dyDescent="0.3">
      <c r="B432" t="s">
        <v>478</v>
      </c>
      <c r="C432">
        <v>13.9094</v>
      </c>
      <c r="D432">
        <v>-60.978900000000003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</row>
    <row r="433" spans="1:60" x14ac:dyDescent="0.3">
      <c r="B433" t="s">
        <v>479</v>
      </c>
      <c r="C433">
        <v>12.984299999999999</v>
      </c>
      <c r="D433">
        <v>-61.287199999999999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</row>
    <row r="434" spans="1:60" x14ac:dyDescent="0.3">
      <c r="B434" t="s">
        <v>480</v>
      </c>
      <c r="C434">
        <v>3.9192999999999998</v>
      </c>
      <c r="D434">
        <v>-56.027799999999999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</row>
    <row r="435" spans="1:60" x14ac:dyDescent="0.3">
      <c r="A435" t="s">
        <v>203</v>
      </c>
      <c r="B435" t="s">
        <v>68</v>
      </c>
      <c r="C435">
        <v>3.9339</v>
      </c>
      <c r="D435">
        <v>-53.125799999999998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</row>
    <row r="436" spans="1:60" x14ac:dyDescent="0.3">
      <c r="A436" t="s">
        <v>491</v>
      </c>
      <c r="B436" t="s">
        <v>65</v>
      </c>
      <c r="C436">
        <v>13.4443</v>
      </c>
      <c r="D436">
        <v>144.7937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</row>
    <row r="437" spans="1:60" x14ac:dyDescent="0.3">
      <c r="B437" t="s">
        <v>492</v>
      </c>
      <c r="C437">
        <v>42.602600000000002</v>
      </c>
      <c r="D437">
        <v>20.902999999999999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</row>
    <row r="438" spans="1:60" x14ac:dyDescent="0.3">
      <c r="A438" t="s">
        <v>493</v>
      </c>
      <c r="B438" t="s">
        <v>72</v>
      </c>
      <c r="C438">
        <v>53.1355</v>
      </c>
      <c r="D438">
        <v>-57.660400000000003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</row>
    <row r="439" spans="1:60" x14ac:dyDescent="0.3">
      <c r="A439" t="s">
        <v>494</v>
      </c>
      <c r="B439" t="s">
        <v>72</v>
      </c>
      <c r="C439">
        <v>46.5107</v>
      </c>
      <c r="D439">
        <v>-63.416800000000002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</row>
    <row r="440" spans="1:60" x14ac:dyDescent="0.3">
      <c r="B440" t="s">
        <v>495</v>
      </c>
      <c r="C440">
        <v>6.6111000000000004</v>
      </c>
      <c r="D440">
        <v>20.939399999999999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</row>
    <row r="441" spans="1:60" x14ac:dyDescent="0.3">
      <c r="B441" t="s">
        <v>496</v>
      </c>
      <c r="C441">
        <v>-4.0382999999999996</v>
      </c>
      <c r="D441">
        <v>21.758700000000001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</row>
    <row r="442" spans="1:60" x14ac:dyDescent="0.3">
      <c r="B442" t="s">
        <v>497</v>
      </c>
      <c r="C442">
        <v>1.5</v>
      </c>
      <c r="D442">
        <v>10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</row>
    <row r="443" spans="1:60" x14ac:dyDescent="0.3">
      <c r="A443" t="s">
        <v>498</v>
      </c>
      <c r="B443" t="s">
        <v>68</v>
      </c>
      <c r="C443">
        <v>-12.827500000000001</v>
      </c>
      <c r="D443">
        <v>45.166200000000003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</row>
    <row r="444" spans="1:60" x14ac:dyDescent="0.3">
      <c r="B444" t="s">
        <v>499</v>
      </c>
      <c r="C444">
        <v>41.377499999999998</v>
      </c>
      <c r="D444">
        <v>64.585300000000004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</row>
    <row r="445" spans="1:60" x14ac:dyDescent="0.3">
      <c r="A445" t="s">
        <v>116</v>
      </c>
      <c r="B445" t="s">
        <v>116</v>
      </c>
      <c r="C445">
        <v>52.132599999999996</v>
      </c>
      <c r="D445">
        <v>5.2912999999999997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2</v>
      </c>
      <c r="BF445">
        <v>2</v>
      </c>
      <c r="BG445">
        <v>2</v>
      </c>
      <c r="BH445">
        <v>2</v>
      </c>
    </row>
    <row r="446" spans="1:60" x14ac:dyDescent="0.3">
      <c r="A446" t="s">
        <v>503</v>
      </c>
      <c r="B446" t="s">
        <v>72</v>
      </c>
      <c r="C446">
        <v>44.682000000000002</v>
      </c>
      <c r="D446">
        <v>-63.744300000000003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</row>
    <row r="447" spans="1:60" x14ac:dyDescent="0.3">
      <c r="A447" t="s">
        <v>444</v>
      </c>
      <c r="B447" t="s">
        <v>68</v>
      </c>
      <c r="C447">
        <v>16.25</v>
      </c>
      <c r="D447">
        <v>-61.583300000000001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</row>
    <row r="448" spans="1:60" x14ac:dyDescent="0.3">
      <c r="B448" t="s">
        <v>504</v>
      </c>
      <c r="C448">
        <v>9.3077000000000005</v>
      </c>
      <c r="D448">
        <v>2.3157999999999999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</row>
    <row r="449" spans="1:60" x14ac:dyDescent="0.3">
      <c r="B449" t="s">
        <v>505</v>
      </c>
      <c r="C449">
        <v>71.706900000000005</v>
      </c>
      <c r="D449">
        <v>-42.604300000000002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</row>
    <row r="450" spans="1:60" x14ac:dyDescent="0.3">
      <c r="B450" t="s">
        <v>506</v>
      </c>
      <c r="C450">
        <v>6.4280999999999997</v>
      </c>
      <c r="D450">
        <v>-9.4295000000000009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</row>
    <row r="451" spans="1:60" x14ac:dyDescent="0.3">
      <c r="A451" t="s">
        <v>471</v>
      </c>
      <c r="B451" t="s">
        <v>116</v>
      </c>
      <c r="C451">
        <v>12.169600000000001</v>
      </c>
      <c r="D451">
        <v>-68.989999999999995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</row>
    <row r="452" spans="1:60" x14ac:dyDescent="0.3">
      <c r="B452" t="s">
        <v>507</v>
      </c>
      <c r="C452">
        <v>-1.44</v>
      </c>
      <c r="D452">
        <v>15.555999999999999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</row>
    <row r="453" spans="1:60" x14ac:dyDescent="0.3">
      <c r="B453" t="s">
        <v>508</v>
      </c>
      <c r="C453">
        <v>5.1520999999999999</v>
      </c>
      <c r="D453">
        <v>46.199599999999997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</row>
    <row r="454" spans="1:60" x14ac:dyDescent="0.3">
      <c r="B454" t="s">
        <v>509</v>
      </c>
      <c r="C454">
        <v>-6.3689999999999998</v>
      </c>
      <c r="D454">
        <v>34.888800000000003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</row>
    <row r="455" spans="1:60" x14ac:dyDescent="0.3">
      <c r="B455" t="s">
        <v>510</v>
      </c>
      <c r="C455">
        <v>24.25</v>
      </c>
      <c r="D455">
        <v>-76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</row>
    <row r="456" spans="1:60" x14ac:dyDescent="0.3">
      <c r="A456" t="s">
        <v>511</v>
      </c>
      <c r="B456" t="s">
        <v>65</v>
      </c>
      <c r="C456">
        <v>18.335799999999999</v>
      </c>
      <c r="D456">
        <v>-64.896299999999997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</row>
    <row r="457" spans="1:60" x14ac:dyDescent="0.3">
      <c r="A457" t="s">
        <v>443</v>
      </c>
      <c r="B457" t="s">
        <v>377</v>
      </c>
      <c r="C457">
        <v>19.313300000000002</v>
      </c>
      <c r="D457">
        <v>-81.254599999999996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</row>
    <row r="458" spans="1:60" x14ac:dyDescent="0.3">
      <c r="A458" t="s">
        <v>382</v>
      </c>
      <c r="B458" t="s">
        <v>68</v>
      </c>
      <c r="C458">
        <v>-21.135100000000001</v>
      </c>
      <c r="D458">
        <v>55.247100000000003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</row>
    <row r="459" spans="1:60" x14ac:dyDescent="0.3">
      <c r="B459" t="s">
        <v>570</v>
      </c>
      <c r="C459">
        <v>13.193899999999999</v>
      </c>
      <c r="D459">
        <v>-59.543199999999999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</row>
    <row r="460" spans="1:60" x14ac:dyDescent="0.3">
      <c r="B460" t="s">
        <v>564</v>
      </c>
      <c r="C460">
        <v>42.5</v>
      </c>
      <c r="D460">
        <v>19.3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</row>
    <row r="461" spans="1:60" x14ac:dyDescent="0.3">
      <c r="B461" t="s">
        <v>625</v>
      </c>
      <c r="C461">
        <v>13.466699999999999</v>
      </c>
      <c r="D461">
        <v>-16.600000000000001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dimension ref="A1:BI461"/>
  <sheetViews>
    <sheetView topLeftCell="AM400" workbookViewId="0">
      <selection activeCell="BI406" sqref="BI406"/>
    </sheetView>
  </sheetViews>
  <sheetFormatPr defaultRowHeight="14.4" x14ac:dyDescent="0.3"/>
  <sheetData>
    <row r="1" spans="1:60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s="16">
        <v>43832</v>
      </c>
      <c r="P1" s="16">
        <v>43863</v>
      </c>
      <c r="Q1" s="16">
        <v>43892</v>
      </c>
      <c r="R1" s="16">
        <v>43923</v>
      </c>
      <c r="S1" s="16">
        <v>43953</v>
      </c>
      <c r="T1" s="16">
        <v>43984</v>
      </c>
      <c r="U1" s="16">
        <v>44014</v>
      </c>
      <c r="V1" s="16">
        <v>44045</v>
      </c>
      <c r="W1" s="16">
        <v>44076</v>
      </c>
      <c r="X1" s="16">
        <v>44106</v>
      </c>
      <c r="Y1" s="16">
        <v>44137</v>
      </c>
      <c r="Z1" s="16">
        <v>44167</v>
      </c>
      <c r="AA1" t="s">
        <v>14</v>
      </c>
      <c r="AB1" t="s">
        <v>15</v>
      </c>
      <c r="AC1" t="s">
        <v>16</v>
      </c>
      <c r="AD1" t="s">
        <v>17</v>
      </c>
      <c r="AE1" t="s">
        <v>18</v>
      </c>
      <c r="AF1" t="s">
        <v>19</v>
      </c>
      <c r="AG1" t="s">
        <v>20</v>
      </c>
      <c r="AH1" t="s">
        <v>21</v>
      </c>
      <c r="AI1" t="s">
        <v>22</v>
      </c>
      <c r="AJ1" t="s">
        <v>23</v>
      </c>
      <c r="AK1" t="s">
        <v>24</v>
      </c>
      <c r="AL1" t="s">
        <v>25</v>
      </c>
      <c r="AM1" t="s">
        <v>26</v>
      </c>
      <c r="AN1" t="s">
        <v>27</v>
      </c>
      <c r="AO1" t="s">
        <v>28</v>
      </c>
      <c r="AP1" t="s">
        <v>29</v>
      </c>
      <c r="AQ1" t="s">
        <v>30</v>
      </c>
      <c r="AR1" s="16">
        <v>43833</v>
      </c>
      <c r="AS1" s="16">
        <v>43864</v>
      </c>
      <c r="AT1" s="16">
        <v>43893</v>
      </c>
      <c r="AU1" s="16">
        <v>43924</v>
      </c>
      <c r="AV1" s="16">
        <v>43954</v>
      </c>
      <c r="AW1" s="16">
        <v>43985</v>
      </c>
      <c r="AX1" s="16">
        <v>44015</v>
      </c>
      <c r="AY1" s="16">
        <v>44046</v>
      </c>
      <c r="AZ1" s="16">
        <v>44077</v>
      </c>
      <c r="BA1" s="16">
        <v>44107</v>
      </c>
      <c r="BB1" s="16">
        <v>44138</v>
      </c>
      <c r="BC1" s="16">
        <v>44168</v>
      </c>
      <c r="BD1" t="s">
        <v>364</v>
      </c>
      <c r="BE1" t="s">
        <v>461</v>
      </c>
      <c r="BF1" t="s">
        <v>490</v>
      </c>
      <c r="BG1" t="s">
        <v>502</v>
      </c>
      <c r="BH1" t="s">
        <v>624</v>
      </c>
    </row>
    <row r="2" spans="1:60" x14ac:dyDescent="0.3">
      <c r="B2" t="s">
        <v>62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1</v>
      </c>
      <c r="AZ2">
        <v>1</v>
      </c>
      <c r="BA2">
        <v>1</v>
      </c>
      <c r="BB2">
        <v>1</v>
      </c>
      <c r="BC2">
        <v>1</v>
      </c>
      <c r="BD2">
        <v>1</v>
      </c>
      <c r="BE2">
        <v>1</v>
      </c>
      <c r="BF2">
        <v>1</v>
      </c>
      <c r="BG2">
        <v>1</v>
      </c>
      <c r="BH2">
        <v>1</v>
      </c>
    </row>
    <row r="3" spans="1:60" x14ac:dyDescent="0.3">
      <c r="B3" t="s">
        <v>63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2</v>
      </c>
      <c r="AO3">
        <v>4</v>
      </c>
      <c r="AP3">
        <v>4</v>
      </c>
      <c r="AQ3">
        <v>5</v>
      </c>
      <c r="AR3">
        <v>6</v>
      </c>
      <c r="AS3">
        <v>6</v>
      </c>
      <c r="AT3">
        <v>6</v>
      </c>
      <c r="AU3">
        <v>6</v>
      </c>
      <c r="AV3">
        <v>6</v>
      </c>
      <c r="AW3">
        <v>6</v>
      </c>
      <c r="AX3">
        <v>6</v>
      </c>
      <c r="AY3">
        <v>6</v>
      </c>
      <c r="AZ3">
        <v>10</v>
      </c>
      <c r="BA3">
        <v>10</v>
      </c>
      <c r="BB3">
        <v>15</v>
      </c>
      <c r="BC3">
        <v>16</v>
      </c>
      <c r="BD3">
        <v>19</v>
      </c>
      <c r="BE3">
        <v>22</v>
      </c>
      <c r="BF3">
        <v>22</v>
      </c>
      <c r="BG3">
        <v>27</v>
      </c>
      <c r="BH3">
        <v>29</v>
      </c>
    </row>
    <row r="4" spans="1:60" x14ac:dyDescent="0.3">
      <c r="B4" t="s">
        <v>67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</row>
    <row r="5" spans="1:60" x14ac:dyDescent="0.3">
      <c r="B5" t="s">
        <v>69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</row>
    <row r="6" spans="1:60" x14ac:dyDescent="0.3">
      <c r="B6" t="s">
        <v>70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2</v>
      </c>
    </row>
    <row r="7" spans="1:60" x14ac:dyDescent="0.3">
      <c r="A7" t="s">
        <v>71</v>
      </c>
      <c r="B7" t="s">
        <v>72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1</v>
      </c>
      <c r="BA7">
        <v>1</v>
      </c>
      <c r="BB7">
        <v>1</v>
      </c>
      <c r="BC7">
        <v>1</v>
      </c>
      <c r="BD7">
        <v>1</v>
      </c>
      <c r="BE7">
        <v>1</v>
      </c>
      <c r="BF7">
        <v>1</v>
      </c>
      <c r="BG7">
        <v>4</v>
      </c>
      <c r="BH7">
        <v>4</v>
      </c>
    </row>
    <row r="8" spans="1:60" x14ac:dyDescent="0.3">
      <c r="A8" t="s">
        <v>74</v>
      </c>
      <c r="B8" t="s">
        <v>75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1</v>
      </c>
      <c r="AV8">
        <v>1</v>
      </c>
      <c r="AW8">
        <v>1</v>
      </c>
      <c r="AX8">
        <v>1</v>
      </c>
      <c r="AY8">
        <v>2</v>
      </c>
      <c r="AZ8">
        <v>2</v>
      </c>
      <c r="BA8">
        <v>2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4</v>
      </c>
    </row>
    <row r="9" spans="1:60" x14ac:dyDescent="0.3">
      <c r="A9" t="s">
        <v>76</v>
      </c>
      <c r="B9" t="s">
        <v>75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</row>
    <row r="10" spans="1:60" x14ac:dyDescent="0.3">
      <c r="A10" t="s">
        <v>77</v>
      </c>
      <c r="B10" t="s">
        <v>75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</row>
    <row r="11" spans="1:60" x14ac:dyDescent="0.3">
      <c r="B11" t="s">
        <v>78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</row>
    <row r="12" spans="1:60" x14ac:dyDescent="0.3">
      <c r="B12" t="s">
        <v>79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</row>
    <row r="13" spans="1:60" x14ac:dyDescent="0.3">
      <c r="B13" t="s">
        <v>80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2</v>
      </c>
      <c r="BA13">
        <v>2</v>
      </c>
      <c r="BB13">
        <v>3</v>
      </c>
      <c r="BC13">
        <v>3</v>
      </c>
      <c r="BD13">
        <v>7</v>
      </c>
      <c r="BE13">
        <v>9</v>
      </c>
      <c r="BF13">
        <v>11</v>
      </c>
      <c r="BG13">
        <v>17</v>
      </c>
      <c r="BH13">
        <v>24</v>
      </c>
    </row>
    <row r="14" spans="1:60" x14ac:dyDescent="0.3">
      <c r="B14" t="s">
        <v>81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</row>
    <row r="15" spans="1:60" x14ac:dyDescent="0.3">
      <c r="B15" t="s">
        <v>82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</row>
    <row r="16" spans="1:60" x14ac:dyDescent="0.3">
      <c r="B16" t="s">
        <v>83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1</v>
      </c>
      <c r="BB16">
        <v>1</v>
      </c>
      <c r="BC16">
        <v>2</v>
      </c>
      <c r="BD16">
        <v>5</v>
      </c>
      <c r="BE16">
        <v>8</v>
      </c>
      <c r="BF16">
        <v>11</v>
      </c>
      <c r="BG16">
        <v>12</v>
      </c>
      <c r="BH16">
        <v>12</v>
      </c>
    </row>
    <row r="17" spans="1:60" x14ac:dyDescent="0.3">
      <c r="B17" t="s">
        <v>84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1</v>
      </c>
      <c r="BC17">
        <v>1</v>
      </c>
      <c r="BD17">
        <v>2</v>
      </c>
      <c r="BE17">
        <v>2</v>
      </c>
      <c r="BF17">
        <v>2</v>
      </c>
      <c r="BG17">
        <v>2</v>
      </c>
      <c r="BH17">
        <v>3</v>
      </c>
    </row>
    <row r="18" spans="1:60" x14ac:dyDescent="0.3">
      <c r="B18" t="s">
        <v>85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1</v>
      </c>
      <c r="AJ18">
        <v>2</v>
      </c>
      <c r="AK18">
        <v>3</v>
      </c>
      <c r="AL18">
        <v>7</v>
      </c>
      <c r="AM18">
        <v>10</v>
      </c>
      <c r="AN18">
        <v>12</v>
      </c>
      <c r="AO18">
        <v>17</v>
      </c>
      <c r="AP18">
        <v>21</v>
      </c>
      <c r="AQ18">
        <v>29</v>
      </c>
      <c r="AR18">
        <v>34</v>
      </c>
      <c r="AS18">
        <v>52</v>
      </c>
      <c r="AT18">
        <v>79</v>
      </c>
      <c r="AU18">
        <v>107</v>
      </c>
      <c r="AV18">
        <v>148</v>
      </c>
      <c r="AW18">
        <v>197</v>
      </c>
      <c r="AX18">
        <v>233</v>
      </c>
      <c r="AY18">
        <v>366</v>
      </c>
      <c r="AZ18">
        <v>463</v>
      </c>
      <c r="BA18">
        <v>631</v>
      </c>
      <c r="BB18">
        <v>827</v>
      </c>
      <c r="BC18">
        <v>827</v>
      </c>
      <c r="BD18">
        <v>1266</v>
      </c>
      <c r="BE18">
        <v>1441</v>
      </c>
      <c r="BF18">
        <v>1809</v>
      </c>
      <c r="BG18">
        <v>2158</v>
      </c>
      <c r="BH18">
        <v>2503</v>
      </c>
    </row>
    <row r="19" spans="1:60" x14ac:dyDescent="0.3">
      <c r="B19" t="s">
        <v>86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2</v>
      </c>
      <c r="BF19">
        <v>3</v>
      </c>
      <c r="BG19">
        <v>6</v>
      </c>
      <c r="BH19">
        <v>7</v>
      </c>
    </row>
    <row r="20" spans="1:60" x14ac:dyDescent="0.3">
      <c r="B20" t="s">
        <v>87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1</v>
      </c>
      <c r="AU20">
        <v>2</v>
      </c>
      <c r="AV20">
        <v>3</v>
      </c>
      <c r="AW20">
        <v>5</v>
      </c>
      <c r="AX20">
        <v>10</v>
      </c>
      <c r="AY20">
        <v>17</v>
      </c>
      <c r="AZ20">
        <v>28</v>
      </c>
      <c r="BA20">
        <v>35</v>
      </c>
      <c r="BB20">
        <v>54</v>
      </c>
      <c r="BC20">
        <v>55</v>
      </c>
      <c r="BD20">
        <v>133</v>
      </c>
      <c r="BE20">
        <v>195</v>
      </c>
      <c r="BF20">
        <v>289</v>
      </c>
      <c r="BG20">
        <v>342</v>
      </c>
      <c r="BH20">
        <v>533</v>
      </c>
    </row>
    <row r="21" spans="1:60" x14ac:dyDescent="0.3">
      <c r="A21" t="s">
        <v>88</v>
      </c>
      <c r="B21" t="s">
        <v>75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</row>
    <row r="22" spans="1:60" x14ac:dyDescent="0.3">
      <c r="B22" t="s">
        <v>90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3</v>
      </c>
      <c r="BC22">
        <v>3</v>
      </c>
      <c r="BD22">
        <v>3</v>
      </c>
      <c r="BE22">
        <v>4</v>
      </c>
      <c r="BF22">
        <v>4</v>
      </c>
      <c r="BG22">
        <v>5</v>
      </c>
      <c r="BH22">
        <v>10</v>
      </c>
    </row>
    <row r="23" spans="1:60" x14ac:dyDescent="0.3">
      <c r="B23" t="s">
        <v>92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2</v>
      </c>
      <c r="BE23">
        <v>2</v>
      </c>
      <c r="BF23">
        <v>2</v>
      </c>
      <c r="BG23">
        <v>2</v>
      </c>
      <c r="BH23">
        <v>4</v>
      </c>
    </row>
    <row r="24" spans="1:60" x14ac:dyDescent="0.3">
      <c r="A24" t="s">
        <v>93</v>
      </c>
      <c r="B24" t="s">
        <v>75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</row>
    <row r="25" spans="1:60" x14ac:dyDescent="0.3">
      <c r="B25" t="s">
        <v>94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1</v>
      </c>
      <c r="BB25">
        <v>3</v>
      </c>
      <c r="BC25">
        <v>3</v>
      </c>
      <c r="BD25">
        <v>3</v>
      </c>
      <c r="BE25">
        <v>3</v>
      </c>
      <c r="BF25">
        <v>3</v>
      </c>
      <c r="BG25">
        <v>3</v>
      </c>
      <c r="BH25">
        <v>3</v>
      </c>
    </row>
    <row r="26" spans="1:60" x14ac:dyDescent="0.3">
      <c r="B26" t="s">
        <v>97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2</v>
      </c>
      <c r="AV26">
        <v>2</v>
      </c>
      <c r="AW26">
        <v>3</v>
      </c>
      <c r="AX26">
        <v>4</v>
      </c>
      <c r="AY26">
        <v>6</v>
      </c>
      <c r="AZ26">
        <v>6</v>
      </c>
      <c r="BA26">
        <v>7</v>
      </c>
      <c r="BB26">
        <v>7</v>
      </c>
      <c r="BC26">
        <v>8</v>
      </c>
      <c r="BD26">
        <v>9</v>
      </c>
      <c r="BE26">
        <v>10</v>
      </c>
      <c r="BF26">
        <v>10</v>
      </c>
      <c r="BG26">
        <v>10</v>
      </c>
      <c r="BH26">
        <v>11</v>
      </c>
    </row>
    <row r="27" spans="1:60" x14ac:dyDescent="0.3">
      <c r="B27" t="s">
        <v>98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</row>
    <row r="28" spans="1:60" x14ac:dyDescent="0.3">
      <c r="B28" t="s">
        <v>99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</row>
    <row r="29" spans="1:60" x14ac:dyDescent="0.3">
      <c r="B29" t="s">
        <v>100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1</v>
      </c>
      <c r="BH29">
        <v>1</v>
      </c>
    </row>
    <row r="30" spans="1:60" x14ac:dyDescent="0.3">
      <c r="B30" t="s">
        <v>101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</row>
    <row r="31" spans="1:60" x14ac:dyDescent="0.3">
      <c r="B31" t="s">
        <v>102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1</v>
      </c>
      <c r="BD31">
        <v>2</v>
      </c>
      <c r="BE31">
        <v>3</v>
      </c>
      <c r="BF31">
        <v>4</v>
      </c>
      <c r="BG31">
        <v>4</v>
      </c>
      <c r="BH31">
        <v>4</v>
      </c>
    </row>
    <row r="32" spans="1:60" x14ac:dyDescent="0.3">
      <c r="B32" t="s">
        <v>103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</row>
    <row r="33" spans="2:60" x14ac:dyDescent="0.3">
      <c r="B33" t="s">
        <v>104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1</v>
      </c>
      <c r="AW33">
        <v>1</v>
      </c>
      <c r="AX33">
        <v>1</v>
      </c>
      <c r="AY33">
        <v>2</v>
      </c>
      <c r="AZ33">
        <v>2</v>
      </c>
      <c r="BA33">
        <v>3</v>
      </c>
      <c r="BB33">
        <v>4</v>
      </c>
      <c r="BC33">
        <v>4</v>
      </c>
      <c r="BD33">
        <v>11</v>
      </c>
      <c r="BE33">
        <v>13</v>
      </c>
      <c r="BF33">
        <v>14</v>
      </c>
      <c r="BG33">
        <v>14</v>
      </c>
      <c r="BH33">
        <v>27</v>
      </c>
    </row>
    <row r="34" spans="2:60" x14ac:dyDescent="0.3">
      <c r="B34" t="s">
        <v>105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1</v>
      </c>
      <c r="BD34">
        <v>1</v>
      </c>
      <c r="BE34">
        <v>1</v>
      </c>
      <c r="BF34">
        <v>1</v>
      </c>
      <c r="BG34">
        <v>3</v>
      </c>
      <c r="BH34">
        <v>3</v>
      </c>
    </row>
    <row r="35" spans="2:60" x14ac:dyDescent="0.3">
      <c r="B35" t="s">
        <v>106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</row>
    <row r="36" spans="2:60" x14ac:dyDescent="0.3">
      <c r="B36" t="s">
        <v>107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</row>
    <row r="37" spans="2:60" x14ac:dyDescent="0.3">
      <c r="B37" t="s">
        <v>108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1</v>
      </c>
    </row>
    <row r="38" spans="2:60" x14ac:dyDescent="0.3">
      <c r="B38" t="s">
        <v>109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</row>
    <row r="39" spans="2:60" x14ac:dyDescent="0.3">
      <c r="B39" t="s">
        <v>110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1</v>
      </c>
      <c r="BC39">
        <v>1</v>
      </c>
      <c r="BD39">
        <v>1</v>
      </c>
      <c r="BE39">
        <v>3</v>
      </c>
      <c r="BF39">
        <v>4</v>
      </c>
      <c r="BG39">
        <v>4</v>
      </c>
      <c r="BH39">
        <v>5</v>
      </c>
    </row>
    <row r="40" spans="2:60" x14ac:dyDescent="0.3">
      <c r="B40" t="s">
        <v>111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</row>
    <row r="41" spans="2:60" x14ac:dyDescent="0.3">
      <c r="B41" t="s">
        <v>112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3</v>
      </c>
      <c r="BF41">
        <v>3</v>
      </c>
      <c r="BG41">
        <v>3</v>
      </c>
      <c r="BH41">
        <v>3</v>
      </c>
    </row>
    <row r="42" spans="2:60" x14ac:dyDescent="0.3">
      <c r="B42" t="s">
        <v>113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</row>
    <row r="43" spans="2:60" x14ac:dyDescent="0.3">
      <c r="B43" t="s">
        <v>115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</row>
    <row r="44" spans="2:60" x14ac:dyDescent="0.3">
      <c r="B44" t="s">
        <v>117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1</v>
      </c>
      <c r="AU44">
        <v>1</v>
      </c>
      <c r="AV44">
        <v>1</v>
      </c>
      <c r="AW44">
        <v>1</v>
      </c>
      <c r="AX44">
        <v>1</v>
      </c>
      <c r="AY44">
        <v>1</v>
      </c>
      <c r="AZ44">
        <v>1</v>
      </c>
      <c r="BA44">
        <v>2</v>
      </c>
      <c r="BB44">
        <v>2</v>
      </c>
      <c r="BC44">
        <v>3</v>
      </c>
      <c r="BD44">
        <v>5</v>
      </c>
      <c r="BE44">
        <v>5</v>
      </c>
      <c r="BF44">
        <v>5</v>
      </c>
      <c r="BG44">
        <v>7</v>
      </c>
      <c r="BH44">
        <v>7</v>
      </c>
    </row>
    <row r="45" spans="2:60" x14ac:dyDescent="0.3">
      <c r="B45" t="s">
        <v>118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</row>
    <row r="46" spans="2:60" x14ac:dyDescent="0.3">
      <c r="B46" t="s">
        <v>119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5</v>
      </c>
      <c r="BG46">
        <v>0</v>
      </c>
      <c r="BH46">
        <v>1</v>
      </c>
    </row>
    <row r="47" spans="2:60" x14ac:dyDescent="0.3">
      <c r="B47" t="s">
        <v>120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</row>
    <row r="48" spans="2:60" x14ac:dyDescent="0.3">
      <c r="B48" t="s">
        <v>121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</row>
    <row r="49" spans="1:60" x14ac:dyDescent="0.3">
      <c r="B49" t="s">
        <v>122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</row>
    <row r="50" spans="1:60" x14ac:dyDescent="0.3">
      <c r="B50" t="s">
        <v>123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</row>
    <row r="51" spans="1:60" x14ac:dyDescent="0.3">
      <c r="A51" t="s">
        <v>124</v>
      </c>
      <c r="B51" t="s">
        <v>75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B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</row>
    <row r="52" spans="1:60" x14ac:dyDescent="0.3">
      <c r="B52" t="s">
        <v>125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1</v>
      </c>
      <c r="BC52">
        <v>1</v>
      </c>
      <c r="BD52">
        <v>1</v>
      </c>
      <c r="BE52">
        <v>2</v>
      </c>
      <c r="BF52">
        <v>2</v>
      </c>
      <c r="BG52">
        <v>2</v>
      </c>
      <c r="BH52">
        <v>2</v>
      </c>
    </row>
    <row r="53" spans="1:60" x14ac:dyDescent="0.3">
      <c r="B53" t="s">
        <v>126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1</v>
      </c>
      <c r="BF53">
        <v>1</v>
      </c>
      <c r="BG53">
        <v>1</v>
      </c>
      <c r="BH53">
        <v>1</v>
      </c>
    </row>
    <row r="54" spans="1:60" x14ac:dyDescent="0.3">
      <c r="B54" t="s">
        <v>127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</row>
    <row r="55" spans="1:60" x14ac:dyDescent="0.3">
      <c r="B55" t="s">
        <v>128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</row>
    <row r="56" spans="1:60" x14ac:dyDescent="0.3">
      <c r="B56" t="s">
        <v>130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2</v>
      </c>
      <c r="BF56">
        <v>2</v>
      </c>
      <c r="BG56">
        <v>2</v>
      </c>
      <c r="BH56">
        <v>2</v>
      </c>
    </row>
    <row r="57" spans="1:60" x14ac:dyDescent="0.3">
      <c r="B57" t="s">
        <v>131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1</v>
      </c>
      <c r="BE57">
        <v>1</v>
      </c>
      <c r="BF57">
        <v>1</v>
      </c>
      <c r="BG57">
        <v>1</v>
      </c>
      <c r="BH57">
        <v>1</v>
      </c>
    </row>
    <row r="58" spans="1:60" x14ac:dyDescent="0.3">
      <c r="B58" t="s">
        <v>132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</row>
    <row r="59" spans="1:60" x14ac:dyDescent="0.3">
      <c r="B59" t="s">
        <v>133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1</v>
      </c>
    </row>
    <row r="60" spans="1:60" x14ac:dyDescent="0.3">
      <c r="B60" t="s">
        <v>134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1</v>
      </c>
      <c r="BC60">
        <v>1</v>
      </c>
      <c r="BD60">
        <v>4</v>
      </c>
      <c r="BE60">
        <v>5</v>
      </c>
      <c r="BF60">
        <v>5</v>
      </c>
      <c r="BG60">
        <v>5</v>
      </c>
      <c r="BH60">
        <v>5</v>
      </c>
    </row>
    <row r="61" spans="1:60" x14ac:dyDescent="0.3">
      <c r="B61" t="s">
        <v>135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1</v>
      </c>
    </row>
    <row r="62" spans="1:60" x14ac:dyDescent="0.3">
      <c r="B62" t="s">
        <v>136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</row>
    <row r="63" spans="1:60" x14ac:dyDescent="0.3">
      <c r="A63" t="s">
        <v>137</v>
      </c>
      <c r="B63" t="s">
        <v>75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</row>
    <row r="64" spans="1:60" x14ac:dyDescent="0.3">
      <c r="B64" t="s">
        <v>138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</row>
    <row r="65" spans="1:60" x14ac:dyDescent="0.3">
      <c r="B65" t="s">
        <v>139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2</v>
      </c>
    </row>
    <row r="66" spans="1:60" x14ac:dyDescent="0.3">
      <c r="B66" t="s">
        <v>140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</row>
    <row r="67" spans="1:60" x14ac:dyDescent="0.3">
      <c r="B67" t="s">
        <v>141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</row>
    <row r="68" spans="1:60" x14ac:dyDescent="0.3">
      <c r="B68" t="s">
        <v>150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2</v>
      </c>
      <c r="BE68">
        <v>2</v>
      </c>
      <c r="BF68">
        <v>2</v>
      </c>
      <c r="BG68">
        <v>2</v>
      </c>
      <c r="BH68">
        <v>2</v>
      </c>
    </row>
    <row r="69" spans="1:60" x14ac:dyDescent="0.3">
      <c r="B69" t="s">
        <v>151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</row>
    <row r="70" spans="1:60" x14ac:dyDescent="0.3">
      <c r="B70" t="s">
        <v>152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</row>
    <row r="71" spans="1:60" x14ac:dyDescent="0.3">
      <c r="B71" t="s">
        <v>156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1</v>
      </c>
      <c r="BE71">
        <v>1</v>
      </c>
      <c r="BF71">
        <v>1</v>
      </c>
      <c r="BG71">
        <v>1</v>
      </c>
      <c r="BH71">
        <v>2</v>
      </c>
    </row>
    <row r="72" spans="1:60" x14ac:dyDescent="0.3">
      <c r="B72" t="s">
        <v>159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1</v>
      </c>
      <c r="BG72">
        <v>1</v>
      </c>
      <c r="BH72">
        <v>1</v>
      </c>
    </row>
    <row r="73" spans="1:60" x14ac:dyDescent="0.3">
      <c r="A73" t="s">
        <v>160</v>
      </c>
      <c r="B73" t="s">
        <v>75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</row>
    <row r="74" spans="1:60" x14ac:dyDescent="0.3">
      <c r="B74" t="s">
        <v>163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</row>
    <row r="75" spans="1:60" x14ac:dyDescent="0.3">
      <c r="B75" t="s">
        <v>164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1</v>
      </c>
      <c r="BD75">
        <v>2</v>
      </c>
      <c r="BE75">
        <v>3</v>
      </c>
      <c r="BF75">
        <v>3</v>
      </c>
      <c r="BG75">
        <v>4</v>
      </c>
      <c r="BH75">
        <v>5</v>
      </c>
    </row>
    <row r="76" spans="1:60" x14ac:dyDescent="0.3">
      <c r="B76" t="s">
        <v>165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</row>
    <row r="77" spans="1:60" x14ac:dyDescent="0.3">
      <c r="B77" t="s">
        <v>167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</row>
    <row r="78" spans="1:60" x14ac:dyDescent="0.3">
      <c r="B78" t="s">
        <v>168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1</v>
      </c>
      <c r="BF78">
        <v>1</v>
      </c>
      <c r="BG78">
        <v>1</v>
      </c>
      <c r="BH78">
        <v>1</v>
      </c>
    </row>
    <row r="79" spans="1:60" x14ac:dyDescent="0.3">
      <c r="B79" t="s">
        <v>172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</row>
    <row r="80" spans="1:60" x14ac:dyDescent="0.3">
      <c r="B80" t="s">
        <v>183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</row>
    <row r="81" spans="1:60" x14ac:dyDescent="0.3">
      <c r="B81" t="s">
        <v>184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</row>
    <row r="82" spans="1:60" x14ac:dyDescent="0.3">
      <c r="B82" t="s">
        <v>185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</row>
    <row r="83" spans="1:60" x14ac:dyDescent="0.3">
      <c r="B83" t="s">
        <v>186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</row>
    <row r="84" spans="1:60" x14ac:dyDescent="0.3">
      <c r="B84" t="s">
        <v>187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</row>
    <row r="85" spans="1:60" x14ac:dyDescent="0.3">
      <c r="B85" t="s">
        <v>188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</row>
    <row r="86" spans="1:60" x14ac:dyDescent="0.3">
      <c r="B86" t="s">
        <v>189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</row>
    <row r="87" spans="1:60" x14ac:dyDescent="0.3">
      <c r="B87" t="s">
        <v>190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</row>
    <row r="88" spans="1:60" x14ac:dyDescent="0.3">
      <c r="B88" t="s">
        <v>204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</row>
    <row r="89" spans="1:60" x14ac:dyDescent="0.3">
      <c r="B89" t="s">
        <v>207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1</v>
      </c>
      <c r="BH89">
        <v>1</v>
      </c>
    </row>
    <row r="90" spans="1:60" x14ac:dyDescent="0.3">
      <c r="B90" t="s">
        <v>226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1</v>
      </c>
      <c r="BC90">
        <v>1</v>
      </c>
      <c r="BD90">
        <v>1</v>
      </c>
      <c r="BE90">
        <v>2</v>
      </c>
      <c r="BF90">
        <v>2</v>
      </c>
      <c r="BG90">
        <v>2</v>
      </c>
      <c r="BH90">
        <v>2</v>
      </c>
    </row>
    <row r="91" spans="1:60" x14ac:dyDescent="0.3">
      <c r="B91" t="s">
        <v>227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</row>
    <row r="92" spans="1:60" x14ac:dyDescent="0.3">
      <c r="B92" t="s">
        <v>229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</row>
    <row r="93" spans="1:60" x14ac:dyDescent="0.3">
      <c r="B93" t="s">
        <v>233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</row>
    <row r="94" spans="1:60" x14ac:dyDescent="0.3">
      <c r="A94" t="s">
        <v>253</v>
      </c>
      <c r="B94" t="s">
        <v>72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1</v>
      </c>
    </row>
    <row r="95" spans="1:60" x14ac:dyDescent="0.3">
      <c r="A95" t="s">
        <v>254</v>
      </c>
      <c r="B95" t="s">
        <v>72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</row>
    <row r="96" spans="1:60" x14ac:dyDescent="0.3">
      <c r="A96" t="s">
        <v>255</v>
      </c>
      <c r="B96" t="s">
        <v>72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</row>
    <row r="97" spans="1:60" x14ac:dyDescent="0.3">
      <c r="B97" t="s">
        <v>257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1</v>
      </c>
      <c r="BC97">
        <v>1</v>
      </c>
      <c r="BD97">
        <v>1</v>
      </c>
      <c r="BE97">
        <v>1</v>
      </c>
      <c r="BF97">
        <v>1</v>
      </c>
      <c r="BG97">
        <v>1</v>
      </c>
      <c r="BH97">
        <v>1</v>
      </c>
    </row>
    <row r="98" spans="1:60" x14ac:dyDescent="0.3">
      <c r="B98" t="s">
        <v>258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</row>
    <row r="99" spans="1:60" x14ac:dyDescent="0.3">
      <c r="B99" t="s">
        <v>260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</row>
    <row r="100" spans="1:60" x14ac:dyDescent="0.3">
      <c r="A100" t="s">
        <v>270</v>
      </c>
      <c r="B100" t="s">
        <v>65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23</v>
      </c>
      <c r="BB100">
        <v>29</v>
      </c>
      <c r="BC100">
        <v>31</v>
      </c>
      <c r="BD100">
        <v>37</v>
      </c>
      <c r="BE100">
        <v>37</v>
      </c>
      <c r="BF100">
        <v>40</v>
      </c>
      <c r="BG100">
        <v>48</v>
      </c>
      <c r="BH100">
        <v>55</v>
      </c>
    </row>
    <row r="101" spans="1:60" x14ac:dyDescent="0.3">
      <c r="A101" t="s">
        <v>271</v>
      </c>
      <c r="B101" t="s">
        <v>65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2</v>
      </c>
      <c r="BF101">
        <v>3</v>
      </c>
      <c r="BG101">
        <v>10</v>
      </c>
      <c r="BH101">
        <v>13</v>
      </c>
    </row>
    <row r="102" spans="1:60" x14ac:dyDescent="0.3">
      <c r="A102" t="s">
        <v>272</v>
      </c>
      <c r="B102" t="s">
        <v>65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3</v>
      </c>
      <c r="BC102">
        <v>4</v>
      </c>
      <c r="BD102">
        <v>4</v>
      </c>
      <c r="BE102">
        <v>5</v>
      </c>
      <c r="BF102">
        <v>6</v>
      </c>
      <c r="BG102">
        <v>7</v>
      </c>
      <c r="BH102">
        <v>12</v>
      </c>
    </row>
    <row r="103" spans="1:60" x14ac:dyDescent="0.3">
      <c r="A103" t="s">
        <v>274</v>
      </c>
      <c r="B103" t="s">
        <v>65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</row>
    <row r="104" spans="1:60" x14ac:dyDescent="0.3">
      <c r="A104" t="s">
        <v>275</v>
      </c>
      <c r="B104" t="s">
        <v>65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</row>
    <row r="105" spans="1:60" x14ac:dyDescent="0.3">
      <c r="A105" t="s">
        <v>276</v>
      </c>
      <c r="B105" t="s">
        <v>65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</row>
    <row r="106" spans="1:60" x14ac:dyDescent="0.3">
      <c r="A106" t="s">
        <v>109</v>
      </c>
      <c r="B106" t="s">
        <v>65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1</v>
      </c>
      <c r="BD106">
        <v>1</v>
      </c>
      <c r="BE106">
        <v>1</v>
      </c>
      <c r="BF106">
        <v>1</v>
      </c>
      <c r="BG106">
        <v>1</v>
      </c>
      <c r="BH106">
        <v>1</v>
      </c>
    </row>
    <row r="107" spans="1:60" x14ac:dyDescent="0.3">
      <c r="A107" t="s">
        <v>277</v>
      </c>
      <c r="B107" t="s">
        <v>65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1</v>
      </c>
      <c r="BF107">
        <v>1</v>
      </c>
      <c r="BG107">
        <v>1</v>
      </c>
      <c r="BH107">
        <v>2</v>
      </c>
    </row>
    <row r="108" spans="1:60" x14ac:dyDescent="0.3">
      <c r="A108" t="s">
        <v>278</v>
      </c>
      <c r="B108" t="s">
        <v>65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2</v>
      </c>
      <c r="BB108">
        <v>2</v>
      </c>
      <c r="BC108">
        <v>2</v>
      </c>
      <c r="BD108">
        <v>2</v>
      </c>
      <c r="BE108">
        <v>3</v>
      </c>
      <c r="BF108">
        <v>4</v>
      </c>
      <c r="BG108">
        <v>5</v>
      </c>
      <c r="BH108">
        <v>6</v>
      </c>
    </row>
    <row r="109" spans="1:60" x14ac:dyDescent="0.3">
      <c r="A109" t="s">
        <v>279</v>
      </c>
      <c r="B109" t="s">
        <v>65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1</v>
      </c>
      <c r="BB109">
        <v>1</v>
      </c>
      <c r="BC109">
        <v>1</v>
      </c>
      <c r="BD109">
        <v>1</v>
      </c>
      <c r="BE109">
        <v>1</v>
      </c>
      <c r="BF109">
        <v>2</v>
      </c>
      <c r="BG109">
        <v>2</v>
      </c>
      <c r="BH109">
        <v>3</v>
      </c>
    </row>
    <row r="110" spans="1:60" x14ac:dyDescent="0.3">
      <c r="A110" t="s">
        <v>280</v>
      </c>
      <c r="B110" t="s">
        <v>65</v>
      </c>
      <c r="C110">
        <v>44.572000000000003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1</v>
      </c>
      <c r="BG110">
        <v>1</v>
      </c>
      <c r="BH110">
        <v>1</v>
      </c>
    </row>
    <row r="111" spans="1:60" x14ac:dyDescent="0.3">
      <c r="A111" t="s">
        <v>281</v>
      </c>
      <c r="B111" t="s">
        <v>65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1</v>
      </c>
    </row>
    <row r="112" spans="1:60" x14ac:dyDescent="0.3">
      <c r="A112" t="s">
        <v>282</v>
      </c>
      <c r="B112" t="s">
        <v>65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1</v>
      </c>
    </row>
    <row r="113" spans="1:60" x14ac:dyDescent="0.3">
      <c r="A113" t="s">
        <v>283</v>
      </c>
      <c r="B113" t="s">
        <v>65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</row>
    <row r="114" spans="1:60" x14ac:dyDescent="0.3">
      <c r="A114" t="s">
        <v>285</v>
      </c>
      <c r="B114" t="s">
        <v>65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</row>
    <row r="115" spans="1:60" x14ac:dyDescent="0.3">
      <c r="A115" t="s">
        <v>286</v>
      </c>
      <c r="B115" t="s">
        <v>65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</row>
    <row r="116" spans="1:60" x14ac:dyDescent="0.3">
      <c r="A116" t="s">
        <v>287</v>
      </c>
      <c r="B116" t="s">
        <v>65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</row>
    <row r="117" spans="1:60" x14ac:dyDescent="0.3">
      <c r="A117" t="s">
        <v>288</v>
      </c>
      <c r="B117" t="s">
        <v>65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</row>
    <row r="118" spans="1:60" x14ac:dyDescent="0.3">
      <c r="A118" t="s">
        <v>289</v>
      </c>
      <c r="B118" t="s">
        <v>65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</row>
    <row r="119" spans="1:60" x14ac:dyDescent="0.3">
      <c r="A119" t="s">
        <v>290</v>
      </c>
      <c r="B119" t="s">
        <v>65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2</v>
      </c>
    </row>
    <row r="120" spans="1:60" x14ac:dyDescent="0.3">
      <c r="A120" t="s">
        <v>291</v>
      </c>
      <c r="B120" t="s">
        <v>65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</row>
    <row r="121" spans="1:60" x14ac:dyDescent="0.3">
      <c r="A121" t="s">
        <v>292</v>
      </c>
      <c r="B121" t="s">
        <v>65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1</v>
      </c>
      <c r="BH121">
        <v>2</v>
      </c>
    </row>
    <row r="122" spans="1:60" x14ac:dyDescent="0.3">
      <c r="A122" t="s">
        <v>293</v>
      </c>
      <c r="B122" t="s">
        <v>65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</row>
    <row r="123" spans="1:60" x14ac:dyDescent="0.3">
      <c r="A123" t="s">
        <v>294</v>
      </c>
      <c r="B123" t="s">
        <v>65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</row>
    <row r="124" spans="1:60" x14ac:dyDescent="0.3">
      <c r="A124" t="s">
        <v>295</v>
      </c>
      <c r="B124" t="s">
        <v>65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1</v>
      </c>
      <c r="BH124">
        <v>1</v>
      </c>
    </row>
    <row r="125" spans="1:60" x14ac:dyDescent="0.3">
      <c r="A125" t="s">
        <v>296</v>
      </c>
      <c r="B125" t="s">
        <v>65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</row>
    <row r="126" spans="1:60" x14ac:dyDescent="0.3">
      <c r="A126" t="s">
        <v>297</v>
      </c>
      <c r="B126" t="s">
        <v>65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</row>
    <row r="127" spans="1:60" x14ac:dyDescent="0.3">
      <c r="A127" t="s">
        <v>298</v>
      </c>
      <c r="B127" t="s">
        <v>65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</row>
    <row r="128" spans="1:60" x14ac:dyDescent="0.3">
      <c r="A128" t="s">
        <v>299</v>
      </c>
      <c r="B128" t="s">
        <v>65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</row>
    <row r="129" spans="1:60" x14ac:dyDescent="0.3">
      <c r="A129" t="s">
        <v>300</v>
      </c>
      <c r="B129" t="s">
        <v>65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</row>
    <row r="130" spans="1:60" x14ac:dyDescent="0.3">
      <c r="A130" t="s">
        <v>301</v>
      </c>
      <c r="B130" t="s">
        <v>65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</row>
    <row r="131" spans="1:60" x14ac:dyDescent="0.3">
      <c r="A131" t="s">
        <v>302</v>
      </c>
      <c r="B131" t="s">
        <v>65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</row>
    <row r="132" spans="1:60" x14ac:dyDescent="0.3">
      <c r="A132" t="s">
        <v>303</v>
      </c>
      <c r="B132" t="s">
        <v>65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</row>
    <row r="133" spans="1:60" x14ac:dyDescent="0.3">
      <c r="A133" t="s">
        <v>304</v>
      </c>
      <c r="B133" t="s">
        <v>65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</row>
    <row r="134" spans="1:60" x14ac:dyDescent="0.3">
      <c r="A134" t="s">
        <v>305</v>
      </c>
      <c r="B134" t="s">
        <v>65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</row>
    <row r="135" spans="1:60" x14ac:dyDescent="0.3">
      <c r="B135" t="s">
        <v>306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</row>
    <row r="136" spans="1:60" x14ac:dyDescent="0.3">
      <c r="B136" t="s">
        <v>308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</row>
    <row r="137" spans="1:60" x14ac:dyDescent="0.3">
      <c r="B137" t="s">
        <v>309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</row>
    <row r="138" spans="1:60" x14ac:dyDescent="0.3">
      <c r="B138" t="s">
        <v>310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1</v>
      </c>
      <c r="BC138">
        <v>1</v>
      </c>
      <c r="BD138">
        <v>1</v>
      </c>
      <c r="BE138">
        <v>1</v>
      </c>
      <c r="BF138">
        <v>1</v>
      </c>
      <c r="BG138">
        <v>1</v>
      </c>
      <c r="BH138">
        <v>1</v>
      </c>
    </row>
    <row r="139" spans="1:60" x14ac:dyDescent="0.3">
      <c r="A139" t="s">
        <v>311</v>
      </c>
      <c r="B139" t="s">
        <v>65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1</v>
      </c>
      <c r="BE139">
        <v>1</v>
      </c>
      <c r="BF139">
        <v>1</v>
      </c>
      <c r="BG139">
        <v>1</v>
      </c>
      <c r="BH139">
        <v>1</v>
      </c>
    </row>
    <row r="140" spans="1:60" x14ac:dyDescent="0.3">
      <c r="A140" t="s">
        <v>312</v>
      </c>
      <c r="B140" t="s">
        <v>65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1</v>
      </c>
      <c r="BF140">
        <v>2</v>
      </c>
      <c r="BG140">
        <v>3</v>
      </c>
      <c r="BH140">
        <v>4</v>
      </c>
    </row>
    <row r="141" spans="1:60" x14ac:dyDescent="0.3">
      <c r="A141" t="s">
        <v>313</v>
      </c>
      <c r="B141" t="s">
        <v>65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</row>
    <row r="142" spans="1:60" x14ac:dyDescent="0.3">
      <c r="A142" t="s">
        <v>314</v>
      </c>
      <c r="B142" t="s">
        <v>65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</row>
    <row r="143" spans="1:60" x14ac:dyDescent="0.3">
      <c r="A143" t="s">
        <v>315</v>
      </c>
      <c r="B143" t="s">
        <v>65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</row>
    <row r="144" spans="1:60" x14ac:dyDescent="0.3">
      <c r="A144" t="s">
        <v>316</v>
      </c>
      <c r="B144" t="s">
        <v>65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</row>
    <row r="145" spans="1:60" x14ac:dyDescent="0.3">
      <c r="A145" t="s">
        <v>317</v>
      </c>
      <c r="B145" t="s">
        <v>65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</row>
    <row r="146" spans="1:60" x14ac:dyDescent="0.3">
      <c r="A146" t="s">
        <v>318</v>
      </c>
      <c r="B146" t="s">
        <v>65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</row>
    <row r="147" spans="1:60" x14ac:dyDescent="0.3">
      <c r="A147" t="s">
        <v>319</v>
      </c>
      <c r="B147" t="s">
        <v>65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</row>
    <row r="148" spans="1:60" x14ac:dyDescent="0.3">
      <c r="A148" t="s">
        <v>320</v>
      </c>
      <c r="B148" t="s">
        <v>65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</row>
    <row r="149" spans="1:60" x14ac:dyDescent="0.3">
      <c r="A149" t="s">
        <v>321</v>
      </c>
      <c r="B149" t="s">
        <v>65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</row>
    <row r="150" spans="1:60" x14ac:dyDescent="0.3">
      <c r="A150" t="s">
        <v>322</v>
      </c>
      <c r="B150" t="s">
        <v>65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</row>
    <row r="151" spans="1:60" x14ac:dyDescent="0.3">
      <c r="A151" t="s">
        <v>323</v>
      </c>
      <c r="B151" t="s">
        <v>65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</row>
    <row r="152" spans="1:60" x14ac:dyDescent="0.3">
      <c r="A152" t="s">
        <v>324</v>
      </c>
      <c r="B152" t="s">
        <v>65</v>
      </c>
      <c r="C152">
        <v>47.5289</v>
      </c>
      <c r="D152">
        <v>-99.784000000000006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</row>
    <row r="153" spans="1:60" x14ac:dyDescent="0.3">
      <c r="A153" t="s">
        <v>325</v>
      </c>
      <c r="B153" t="s">
        <v>65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</v>
      </c>
      <c r="BC153">
        <v>1</v>
      </c>
      <c r="BD153">
        <v>1</v>
      </c>
      <c r="BE153">
        <v>1</v>
      </c>
      <c r="BF153">
        <v>1</v>
      </c>
      <c r="BG153">
        <v>1</v>
      </c>
      <c r="BH153">
        <v>1</v>
      </c>
    </row>
    <row r="154" spans="1:60" x14ac:dyDescent="0.3">
      <c r="A154" t="s">
        <v>326</v>
      </c>
      <c r="B154" t="s">
        <v>65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</row>
    <row r="155" spans="1:60" x14ac:dyDescent="0.3">
      <c r="A155" t="s">
        <v>327</v>
      </c>
      <c r="B155" t="s">
        <v>65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</row>
    <row r="156" spans="1:60" x14ac:dyDescent="0.3">
      <c r="A156" t="s">
        <v>43</v>
      </c>
      <c r="B156" t="s">
        <v>365</v>
      </c>
      <c r="C156">
        <v>30.9756</v>
      </c>
      <c r="D156">
        <v>112.27070000000001</v>
      </c>
      <c r="E156">
        <v>17</v>
      </c>
      <c r="F156">
        <v>17</v>
      </c>
      <c r="G156">
        <v>24</v>
      </c>
      <c r="H156">
        <v>40</v>
      </c>
      <c r="I156">
        <v>52</v>
      </c>
      <c r="J156">
        <v>76</v>
      </c>
      <c r="K156">
        <v>125</v>
      </c>
      <c r="L156">
        <v>125</v>
      </c>
      <c r="M156">
        <v>162</v>
      </c>
      <c r="N156">
        <v>204</v>
      </c>
      <c r="O156">
        <v>249</v>
      </c>
      <c r="P156">
        <v>350</v>
      </c>
      <c r="Q156">
        <v>414</v>
      </c>
      <c r="R156">
        <v>479</v>
      </c>
      <c r="S156">
        <v>549</v>
      </c>
      <c r="T156">
        <v>618</v>
      </c>
      <c r="U156">
        <v>699</v>
      </c>
      <c r="V156">
        <v>780</v>
      </c>
      <c r="W156">
        <v>871</v>
      </c>
      <c r="X156">
        <v>974</v>
      </c>
      <c r="Y156">
        <v>1068</v>
      </c>
      <c r="Z156">
        <v>1068</v>
      </c>
      <c r="AA156">
        <v>1310</v>
      </c>
      <c r="AB156">
        <v>1457</v>
      </c>
      <c r="AC156">
        <v>1596</v>
      </c>
      <c r="AD156">
        <v>1696</v>
      </c>
      <c r="AE156">
        <v>1789</v>
      </c>
      <c r="AF156">
        <v>1921</v>
      </c>
      <c r="AG156">
        <v>2029</v>
      </c>
      <c r="AH156">
        <v>2144</v>
      </c>
      <c r="AI156">
        <v>2144</v>
      </c>
      <c r="AJ156">
        <v>2346</v>
      </c>
      <c r="AK156">
        <v>2346</v>
      </c>
      <c r="AL156">
        <v>2495</v>
      </c>
      <c r="AM156">
        <v>2563</v>
      </c>
      <c r="AN156">
        <v>2615</v>
      </c>
      <c r="AO156">
        <v>2641</v>
      </c>
      <c r="AP156">
        <v>2682</v>
      </c>
      <c r="AQ156">
        <v>2727</v>
      </c>
      <c r="AR156">
        <v>2761</v>
      </c>
      <c r="AS156">
        <v>2803</v>
      </c>
      <c r="AT156">
        <v>2835</v>
      </c>
      <c r="AU156">
        <v>2871</v>
      </c>
      <c r="AV156">
        <v>2902</v>
      </c>
      <c r="AW156">
        <v>2931</v>
      </c>
      <c r="AX156">
        <v>2959</v>
      </c>
      <c r="AY156">
        <v>2986</v>
      </c>
      <c r="AZ156">
        <v>3008</v>
      </c>
      <c r="BA156">
        <v>3024</v>
      </c>
      <c r="BB156">
        <v>3046</v>
      </c>
      <c r="BC156">
        <v>3056</v>
      </c>
      <c r="BD156">
        <v>3062</v>
      </c>
      <c r="BE156">
        <v>3075</v>
      </c>
      <c r="BF156">
        <v>3085</v>
      </c>
      <c r="BG156">
        <v>3099</v>
      </c>
      <c r="BH156">
        <v>3111</v>
      </c>
    </row>
    <row r="157" spans="1:60" x14ac:dyDescent="0.3">
      <c r="B157" t="s">
        <v>366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2</v>
      </c>
      <c r="AH157">
        <v>2</v>
      </c>
      <c r="AI157">
        <v>4</v>
      </c>
      <c r="AJ157">
        <v>5</v>
      </c>
      <c r="AK157">
        <v>8</v>
      </c>
      <c r="AL157">
        <v>12</v>
      </c>
      <c r="AM157">
        <v>16</v>
      </c>
      <c r="AN157">
        <v>19</v>
      </c>
      <c r="AO157">
        <v>26</v>
      </c>
      <c r="AP157">
        <v>34</v>
      </c>
      <c r="AQ157">
        <v>43</v>
      </c>
      <c r="AR157">
        <v>54</v>
      </c>
      <c r="AS157">
        <v>66</v>
      </c>
      <c r="AT157">
        <v>77</v>
      </c>
      <c r="AU157">
        <v>92</v>
      </c>
      <c r="AV157">
        <v>107</v>
      </c>
      <c r="AW157">
        <v>124</v>
      </c>
      <c r="AX157">
        <v>145</v>
      </c>
      <c r="AY157">
        <v>194</v>
      </c>
      <c r="AZ157">
        <v>237</v>
      </c>
      <c r="BA157">
        <v>291</v>
      </c>
      <c r="BB157">
        <v>354</v>
      </c>
      <c r="BC157">
        <v>429</v>
      </c>
      <c r="BD157">
        <v>514</v>
      </c>
      <c r="BE157">
        <v>611</v>
      </c>
      <c r="BF157">
        <v>724</v>
      </c>
      <c r="BG157">
        <v>853</v>
      </c>
      <c r="BH157">
        <v>988</v>
      </c>
    </row>
    <row r="158" spans="1:60" x14ac:dyDescent="0.3">
      <c r="B158" t="s">
        <v>367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1</v>
      </c>
      <c r="AI158">
        <v>2</v>
      </c>
      <c r="AJ158">
        <v>2</v>
      </c>
      <c r="AK158">
        <v>6</v>
      </c>
      <c r="AL158">
        <v>8</v>
      </c>
      <c r="AM158">
        <v>10</v>
      </c>
      <c r="AN158">
        <v>12</v>
      </c>
      <c r="AO158">
        <v>13</v>
      </c>
      <c r="AP158">
        <v>13</v>
      </c>
      <c r="AQ158">
        <v>16</v>
      </c>
      <c r="AR158">
        <v>17</v>
      </c>
      <c r="AS158">
        <v>28</v>
      </c>
      <c r="AT158">
        <v>28</v>
      </c>
      <c r="AU158">
        <v>35</v>
      </c>
      <c r="AV158">
        <v>35</v>
      </c>
      <c r="AW158">
        <v>42</v>
      </c>
      <c r="AX158">
        <v>44</v>
      </c>
      <c r="AY158">
        <v>50</v>
      </c>
      <c r="AZ158">
        <v>53</v>
      </c>
      <c r="BA158">
        <v>54</v>
      </c>
      <c r="BB158">
        <v>60</v>
      </c>
      <c r="BC158">
        <v>66</v>
      </c>
      <c r="BD158">
        <v>66</v>
      </c>
      <c r="BE158">
        <v>72</v>
      </c>
      <c r="BF158">
        <v>75</v>
      </c>
      <c r="BG158">
        <v>75</v>
      </c>
      <c r="BH158">
        <v>81</v>
      </c>
    </row>
    <row r="159" spans="1:60" x14ac:dyDescent="0.3">
      <c r="A159" t="s">
        <v>68</v>
      </c>
      <c r="B159" t="s">
        <v>68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1</v>
      </c>
      <c r="AD159">
        <v>1</v>
      </c>
      <c r="AE159">
        <v>1</v>
      </c>
      <c r="AF159">
        <v>1</v>
      </c>
      <c r="AG159">
        <v>1</v>
      </c>
      <c r="AH159">
        <v>1</v>
      </c>
      <c r="AI159">
        <v>1</v>
      </c>
      <c r="AJ159">
        <v>1</v>
      </c>
      <c r="AK159">
        <v>1</v>
      </c>
      <c r="AL159">
        <v>1</v>
      </c>
      <c r="AM159">
        <v>1</v>
      </c>
      <c r="AN159">
        <v>2</v>
      </c>
      <c r="AO159">
        <v>2</v>
      </c>
      <c r="AP159">
        <v>2</v>
      </c>
      <c r="AQ159">
        <v>2</v>
      </c>
      <c r="AR159">
        <v>2</v>
      </c>
      <c r="AS159">
        <v>3</v>
      </c>
      <c r="AT159">
        <v>4</v>
      </c>
      <c r="AU159">
        <v>4</v>
      </c>
      <c r="AV159">
        <v>6</v>
      </c>
      <c r="AW159">
        <v>9</v>
      </c>
      <c r="AX159">
        <v>11</v>
      </c>
      <c r="AY159">
        <v>19</v>
      </c>
      <c r="AZ159">
        <v>19</v>
      </c>
      <c r="BA159">
        <v>33</v>
      </c>
      <c r="BB159">
        <v>48</v>
      </c>
      <c r="BC159">
        <v>48</v>
      </c>
      <c r="BD159">
        <v>79</v>
      </c>
      <c r="BE159">
        <v>91</v>
      </c>
      <c r="BF159">
        <v>91</v>
      </c>
      <c r="BG159">
        <v>148</v>
      </c>
      <c r="BH159">
        <v>148</v>
      </c>
    </row>
    <row r="160" spans="1:60" x14ac:dyDescent="0.3">
      <c r="A160" t="s">
        <v>36</v>
      </c>
      <c r="B160" t="s">
        <v>365</v>
      </c>
      <c r="C160">
        <v>23.341699999999999</v>
      </c>
      <c r="D160">
        <v>113.42440000000001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1</v>
      </c>
      <c r="V160">
        <v>1</v>
      </c>
      <c r="W160">
        <v>1</v>
      </c>
      <c r="X160">
        <v>1</v>
      </c>
      <c r="Y160">
        <v>1</v>
      </c>
      <c r="Z160">
        <v>1</v>
      </c>
      <c r="AA160">
        <v>2</v>
      </c>
      <c r="AB160">
        <v>2</v>
      </c>
      <c r="AC160">
        <v>2</v>
      </c>
      <c r="AD160">
        <v>2</v>
      </c>
      <c r="AE160">
        <v>4</v>
      </c>
      <c r="AF160">
        <v>4</v>
      </c>
      <c r="AG160">
        <v>5</v>
      </c>
      <c r="AH160">
        <v>5</v>
      </c>
      <c r="AI160">
        <v>5</v>
      </c>
      <c r="AJ160">
        <v>5</v>
      </c>
      <c r="AK160">
        <v>6</v>
      </c>
      <c r="AL160">
        <v>6</v>
      </c>
      <c r="AM160">
        <v>7</v>
      </c>
      <c r="AN160">
        <v>7</v>
      </c>
      <c r="AO160">
        <v>7</v>
      </c>
      <c r="AP160">
        <v>7</v>
      </c>
      <c r="AQ160">
        <v>7</v>
      </c>
      <c r="AR160">
        <v>7</v>
      </c>
      <c r="AS160">
        <v>7</v>
      </c>
      <c r="AT160">
        <v>7</v>
      </c>
      <c r="AU160">
        <v>7</v>
      </c>
      <c r="AV160">
        <v>7</v>
      </c>
      <c r="AW160">
        <v>7</v>
      </c>
      <c r="AX160">
        <v>7</v>
      </c>
      <c r="AY160">
        <v>7</v>
      </c>
      <c r="AZ160">
        <v>8</v>
      </c>
      <c r="BA160">
        <v>8</v>
      </c>
      <c r="BB160">
        <v>8</v>
      </c>
      <c r="BC160">
        <v>8</v>
      </c>
      <c r="BD160">
        <v>8</v>
      </c>
      <c r="BE160">
        <v>8</v>
      </c>
      <c r="BF160">
        <v>8</v>
      </c>
      <c r="BG160">
        <v>8</v>
      </c>
      <c r="BH160">
        <v>8</v>
      </c>
    </row>
    <row r="161" spans="1:60" x14ac:dyDescent="0.3">
      <c r="A161" t="s">
        <v>42</v>
      </c>
      <c r="B161" t="s">
        <v>365</v>
      </c>
      <c r="C161">
        <v>33.881999999999998</v>
      </c>
      <c r="D161">
        <v>113.614</v>
      </c>
      <c r="E161">
        <v>0</v>
      </c>
      <c r="F161">
        <v>0</v>
      </c>
      <c r="G161">
        <v>0</v>
      </c>
      <c r="H161">
        <v>0</v>
      </c>
      <c r="I161">
        <v>1</v>
      </c>
      <c r="J161">
        <v>1</v>
      </c>
      <c r="K161">
        <v>1</v>
      </c>
      <c r="L161">
        <v>2</v>
      </c>
      <c r="M161">
        <v>2</v>
      </c>
      <c r="N161">
        <v>2</v>
      </c>
      <c r="O161">
        <v>2</v>
      </c>
      <c r="P161">
        <v>2</v>
      </c>
      <c r="Q161">
        <v>2</v>
      </c>
      <c r="R161">
        <v>2</v>
      </c>
      <c r="S161">
        <v>2</v>
      </c>
      <c r="T161">
        <v>2</v>
      </c>
      <c r="U161">
        <v>3</v>
      </c>
      <c r="V161">
        <v>4</v>
      </c>
      <c r="W161">
        <v>6</v>
      </c>
      <c r="X161">
        <v>6</v>
      </c>
      <c r="Y161">
        <v>7</v>
      </c>
      <c r="Z161">
        <v>8</v>
      </c>
      <c r="AA161">
        <v>10</v>
      </c>
      <c r="AB161">
        <v>11</v>
      </c>
      <c r="AC161">
        <v>13</v>
      </c>
      <c r="AD161">
        <v>13</v>
      </c>
      <c r="AE161">
        <v>16</v>
      </c>
      <c r="AF161">
        <v>19</v>
      </c>
      <c r="AG161">
        <v>19</v>
      </c>
      <c r="AH161">
        <v>19</v>
      </c>
      <c r="AI161">
        <v>19</v>
      </c>
      <c r="AJ161">
        <v>19</v>
      </c>
      <c r="AK161">
        <v>19</v>
      </c>
      <c r="AL161">
        <v>19</v>
      </c>
      <c r="AM161">
        <v>19</v>
      </c>
      <c r="AN161">
        <v>19</v>
      </c>
      <c r="AO161">
        <v>20</v>
      </c>
      <c r="AP161">
        <v>20</v>
      </c>
      <c r="AQ161">
        <v>21</v>
      </c>
      <c r="AR161">
        <v>22</v>
      </c>
      <c r="AS161">
        <v>22</v>
      </c>
      <c r="AT161">
        <v>22</v>
      </c>
      <c r="AU161">
        <v>22</v>
      </c>
      <c r="AV161">
        <v>22</v>
      </c>
      <c r="AW161">
        <v>22</v>
      </c>
      <c r="AX161">
        <v>22</v>
      </c>
      <c r="AY161">
        <v>22</v>
      </c>
      <c r="AZ161">
        <v>22</v>
      </c>
      <c r="BA161">
        <v>22</v>
      </c>
      <c r="BB161">
        <v>22</v>
      </c>
      <c r="BC161">
        <v>22</v>
      </c>
      <c r="BD161">
        <v>22</v>
      </c>
      <c r="BE161">
        <v>22</v>
      </c>
      <c r="BF161">
        <v>22</v>
      </c>
      <c r="BG161">
        <v>22</v>
      </c>
      <c r="BH161">
        <v>22</v>
      </c>
    </row>
    <row r="162" spans="1:60" x14ac:dyDescent="0.3">
      <c r="A162" t="s">
        <v>61</v>
      </c>
      <c r="B162" t="s">
        <v>365</v>
      </c>
      <c r="C162">
        <v>29.183199999999999</v>
      </c>
      <c r="D162">
        <v>120.0934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1</v>
      </c>
      <c r="AI162">
        <v>1</v>
      </c>
      <c r="AJ162">
        <v>1</v>
      </c>
      <c r="AK162">
        <v>1</v>
      </c>
      <c r="AL162">
        <v>1</v>
      </c>
      <c r="AM162">
        <v>1</v>
      </c>
      <c r="AN162">
        <v>1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1</v>
      </c>
      <c r="BD162">
        <v>1</v>
      </c>
      <c r="BE162">
        <v>1</v>
      </c>
      <c r="BF162">
        <v>1</v>
      </c>
      <c r="BG162">
        <v>1</v>
      </c>
      <c r="BH162">
        <v>1</v>
      </c>
    </row>
    <row r="163" spans="1:60" x14ac:dyDescent="0.3">
      <c r="A163" t="s">
        <v>44</v>
      </c>
      <c r="B163" t="s">
        <v>365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1</v>
      </c>
      <c r="W163">
        <v>1</v>
      </c>
      <c r="X163">
        <v>1</v>
      </c>
      <c r="Y163">
        <v>1</v>
      </c>
      <c r="Z163">
        <v>2</v>
      </c>
      <c r="AA163">
        <v>2</v>
      </c>
      <c r="AB163">
        <v>2</v>
      </c>
      <c r="AC163">
        <v>2</v>
      </c>
      <c r="AD163">
        <v>3</v>
      </c>
      <c r="AE163">
        <v>3</v>
      </c>
      <c r="AF163">
        <v>4</v>
      </c>
      <c r="AG163">
        <v>4</v>
      </c>
      <c r="AH163">
        <v>4</v>
      </c>
      <c r="AI163">
        <v>4</v>
      </c>
      <c r="AJ163">
        <v>4</v>
      </c>
      <c r="AK163">
        <v>4</v>
      </c>
      <c r="AL163">
        <v>4</v>
      </c>
      <c r="AM163">
        <v>4</v>
      </c>
      <c r="AN163">
        <v>4</v>
      </c>
      <c r="AO163">
        <v>4</v>
      </c>
      <c r="AP163">
        <v>4</v>
      </c>
      <c r="AQ163">
        <v>4</v>
      </c>
      <c r="AR163">
        <v>4</v>
      </c>
      <c r="AS163">
        <v>4</v>
      </c>
      <c r="AT163">
        <v>4</v>
      </c>
      <c r="AU163">
        <v>4</v>
      </c>
      <c r="AV163">
        <v>4</v>
      </c>
      <c r="AW163">
        <v>4</v>
      </c>
      <c r="AX163">
        <v>4</v>
      </c>
      <c r="AY163">
        <v>4</v>
      </c>
      <c r="AZ163">
        <v>4</v>
      </c>
      <c r="BA163">
        <v>4</v>
      </c>
      <c r="BB163">
        <v>4</v>
      </c>
      <c r="BC163">
        <v>4</v>
      </c>
      <c r="BD163">
        <v>4</v>
      </c>
      <c r="BE163">
        <v>4</v>
      </c>
      <c r="BF163">
        <v>4</v>
      </c>
      <c r="BG163">
        <v>4</v>
      </c>
      <c r="BH163">
        <v>4</v>
      </c>
    </row>
    <row r="164" spans="1:60" x14ac:dyDescent="0.3">
      <c r="A164" t="s">
        <v>31</v>
      </c>
      <c r="B164" t="s">
        <v>365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1</v>
      </c>
      <c r="X164">
        <v>3</v>
      </c>
      <c r="Y164">
        <v>4</v>
      </c>
      <c r="Z164">
        <v>4</v>
      </c>
      <c r="AA164">
        <v>5</v>
      </c>
      <c r="AB164">
        <v>6</v>
      </c>
      <c r="AC164">
        <v>6</v>
      </c>
      <c r="AD164">
        <v>6</v>
      </c>
      <c r="AE164">
        <v>6</v>
      </c>
      <c r="AF164">
        <v>6</v>
      </c>
      <c r="AG164">
        <v>6</v>
      </c>
      <c r="AH164">
        <v>6</v>
      </c>
      <c r="AI164">
        <v>6</v>
      </c>
      <c r="AJ164">
        <v>6</v>
      </c>
      <c r="AK164">
        <v>6</v>
      </c>
      <c r="AL164">
        <v>6</v>
      </c>
      <c r="AM164">
        <v>6</v>
      </c>
      <c r="AN164">
        <v>6</v>
      </c>
      <c r="AO164">
        <v>6</v>
      </c>
      <c r="AP164">
        <v>6</v>
      </c>
      <c r="AQ164">
        <v>6</v>
      </c>
      <c r="AR164">
        <v>6</v>
      </c>
      <c r="AS164">
        <v>6</v>
      </c>
      <c r="AT164">
        <v>6</v>
      </c>
      <c r="AU164">
        <v>6</v>
      </c>
      <c r="AV164">
        <v>6</v>
      </c>
      <c r="AW164">
        <v>6</v>
      </c>
      <c r="AX164">
        <v>6</v>
      </c>
      <c r="AY164">
        <v>6</v>
      </c>
      <c r="AZ164">
        <v>6</v>
      </c>
      <c r="BA164">
        <v>6</v>
      </c>
      <c r="BB164">
        <v>6</v>
      </c>
      <c r="BC164">
        <v>6</v>
      </c>
      <c r="BD164">
        <v>6</v>
      </c>
      <c r="BE164">
        <v>6</v>
      </c>
      <c r="BF164">
        <v>6</v>
      </c>
      <c r="BG164">
        <v>6</v>
      </c>
      <c r="BH164">
        <v>6</v>
      </c>
    </row>
    <row r="165" spans="1:60" x14ac:dyDescent="0.3">
      <c r="A165" t="s">
        <v>47</v>
      </c>
      <c r="B165" t="s">
        <v>365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>
        <v>1</v>
      </c>
      <c r="AH165">
        <v>1</v>
      </c>
      <c r="AI165">
        <v>1</v>
      </c>
      <c r="AJ165">
        <v>1</v>
      </c>
      <c r="AK165">
        <v>1</v>
      </c>
      <c r="AL165">
        <v>1</v>
      </c>
      <c r="AM165">
        <v>1</v>
      </c>
      <c r="AN165">
        <v>1</v>
      </c>
      <c r="AO165">
        <v>1</v>
      </c>
      <c r="AP165">
        <v>1</v>
      </c>
      <c r="AQ165">
        <v>1</v>
      </c>
      <c r="AR165">
        <v>1</v>
      </c>
      <c r="AS165">
        <v>1</v>
      </c>
      <c r="AT165">
        <v>1</v>
      </c>
      <c r="AU165">
        <v>1</v>
      </c>
      <c r="AV165">
        <v>1</v>
      </c>
      <c r="AW165">
        <v>1</v>
      </c>
      <c r="AX165">
        <v>1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1</v>
      </c>
    </row>
    <row r="166" spans="1:60" x14ac:dyDescent="0.3">
      <c r="A166" t="s">
        <v>53</v>
      </c>
      <c r="B166" t="s">
        <v>365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1</v>
      </c>
      <c r="X166">
        <v>1</v>
      </c>
      <c r="Y166">
        <v>1</v>
      </c>
      <c r="Z166">
        <v>2</v>
      </c>
      <c r="AA166">
        <v>2</v>
      </c>
      <c r="AB166">
        <v>2</v>
      </c>
      <c r="AC166">
        <v>2</v>
      </c>
      <c r="AD166">
        <v>2</v>
      </c>
      <c r="AE166">
        <v>2</v>
      </c>
      <c r="AF166">
        <v>3</v>
      </c>
      <c r="AG166">
        <v>3</v>
      </c>
      <c r="AH166">
        <v>4</v>
      </c>
      <c r="AI166">
        <v>4</v>
      </c>
      <c r="AJ166">
        <v>4</v>
      </c>
      <c r="AK166">
        <v>4</v>
      </c>
      <c r="AL166">
        <v>5</v>
      </c>
      <c r="AM166">
        <v>6</v>
      </c>
      <c r="AN166">
        <v>6</v>
      </c>
      <c r="AO166">
        <v>6</v>
      </c>
      <c r="AP166">
        <v>6</v>
      </c>
      <c r="AQ166">
        <v>6</v>
      </c>
      <c r="AR166">
        <v>6</v>
      </c>
      <c r="AS166">
        <v>6</v>
      </c>
      <c r="AT166">
        <v>6</v>
      </c>
      <c r="AU166">
        <v>6</v>
      </c>
      <c r="AV166">
        <v>6</v>
      </c>
      <c r="AW166">
        <v>6</v>
      </c>
      <c r="AX166">
        <v>6</v>
      </c>
      <c r="AY166">
        <v>6</v>
      </c>
      <c r="AZ166">
        <v>6</v>
      </c>
      <c r="BA166">
        <v>6</v>
      </c>
      <c r="BB166">
        <v>6</v>
      </c>
      <c r="BC166">
        <v>6</v>
      </c>
      <c r="BD166">
        <v>7</v>
      </c>
      <c r="BE166">
        <v>7</v>
      </c>
      <c r="BF166">
        <v>7</v>
      </c>
      <c r="BG166">
        <v>7</v>
      </c>
      <c r="BH166">
        <v>7</v>
      </c>
    </row>
    <row r="167" spans="1:60" x14ac:dyDescent="0.3">
      <c r="A167" t="s">
        <v>275</v>
      </c>
      <c r="B167" t="s">
        <v>368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2</v>
      </c>
      <c r="AI167">
        <v>2</v>
      </c>
      <c r="AJ167">
        <v>2</v>
      </c>
      <c r="AK167">
        <v>3</v>
      </c>
      <c r="AL167">
        <v>3</v>
      </c>
      <c r="AM167">
        <v>3</v>
      </c>
      <c r="AN167">
        <v>4</v>
      </c>
      <c r="AO167">
        <v>4</v>
      </c>
      <c r="AP167">
        <v>6</v>
      </c>
      <c r="AQ167">
        <v>6</v>
      </c>
      <c r="AR167">
        <v>6</v>
      </c>
      <c r="AS167">
        <v>6</v>
      </c>
      <c r="AT167">
        <v>6</v>
      </c>
      <c r="AU167">
        <v>6</v>
      </c>
      <c r="AV167">
        <v>6</v>
      </c>
      <c r="AW167">
        <v>6</v>
      </c>
      <c r="AX167">
        <v>6</v>
      </c>
      <c r="AY167">
        <v>6</v>
      </c>
      <c r="AZ167">
        <v>6</v>
      </c>
      <c r="BA167">
        <v>6</v>
      </c>
      <c r="BB167">
        <v>7</v>
      </c>
      <c r="BC167">
        <v>7</v>
      </c>
      <c r="BD167">
        <v>7</v>
      </c>
      <c r="BE167">
        <v>7</v>
      </c>
      <c r="BF167">
        <v>7</v>
      </c>
      <c r="BG167">
        <v>7</v>
      </c>
      <c r="BH167">
        <v>7</v>
      </c>
    </row>
    <row r="168" spans="1:60" x14ac:dyDescent="0.3">
      <c r="A168" t="s">
        <v>46</v>
      </c>
      <c r="B168" t="s">
        <v>365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</row>
    <row r="169" spans="1:60" x14ac:dyDescent="0.3">
      <c r="A169" t="s">
        <v>33</v>
      </c>
      <c r="B169" t="s">
        <v>365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1</v>
      </c>
      <c r="P169">
        <v>2</v>
      </c>
      <c r="Q169">
        <v>2</v>
      </c>
      <c r="R169">
        <v>2</v>
      </c>
      <c r="S169">
        <v>2</v>
      </c>
      <c r="T169">
        <v>2</v>
      </c>
      <c r="U169">
        <v>2</v>
      </c>
      <c r="V169">
        <v>2</v>
      </c>
      <c r="W169">
        <v>2</v>
      </c>
      <c r="X169">
        <v>2</v>
      </c>
      <c r="Y169">
        <v>3</v>
      </c>
      <c r="Z169">
        <v>3</v>
      </c>
      <c r="AA169">
        <v>4</v>
      </c>
      <c r="AB169">
        <v>5</v>
      </c>
      <c r="AC169">
        <v>5</v>
      </c>
      <c r="AD169">
        <v>5</v>
      </c>
      <c r="AE169">
        <v>5</v>
      </c>
      <c r="AF169">
        <v>5</v>
      </c>
      <c r="AG169">
        <v>5</v>
      </c>
      <c r="AH169">
        <v>6</v>
      </c>
      <c r="AI169">
        <v>6</v>
      </c>
      <c r="AJ169">
        <v>6</v>
      </c>
      <c r="AK169">
        <v>6</v>
      </c>
      <c r="AL169">
        <v>6</v>
      </c>
      <c r="AM169">
        <v>6</v>
      </c>
      <c r="AN169">
        <v>6</v>
      </c>
      <c r="AO169">
        <v>6</v>
      </c>
      <c r="AP169">
        <v>6</v>
      </c>
      <c r="AQ169">
        <v>6</v>
      </c>
      <c r="AR169">
        <v>6</v>
      </c>
      <c r="AS169">
        <v>6</v>
      </c>
      <c r="AT169">
        <v>6</v>
      </c>
      <c r="AU169">
        <v>6</v>
      </c>
      <c r="AV169">
        <v>6</v>
      </c>
      <c r="AW169">
        <v>6</v>
      </c>
      <c r="AX169">
        <v>6</v>
      </c>
      <c r="AY169">
        <v>6</v>
      </c>
      <c r="AZ169">
        <v>6</v>
      </c>
      <c r="BA169">
        <v>6</v>
      </c>
      <c r="BB169">
        <v>6</v>
      </c>
      <c r="BC169">
        <v>6</v>
      </c>
      <c r="BD169">
        <v>6</v>
      </c>
      <c r="BE169">
        <v>6</v>
      </c>
      <c r="BF169">
        <v>6</v>
      </c>
      <c r="BG169">
        <v>6</v>
      </c>
      <c r="BH169">
        <v>6</v>
      </c>
    </row>
    <row r="170" spans="1:60" x14ac:dyDescent="0.3">
      <c r="A170" t="s">
        <v>56</v>
      </c>
      <c r="B170" t="s">
        <v>365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1</v>
      </c>
      <c r="P170">
        <v>1</v>
      </c>
      <c r="Q170">
        <v>1</v>
      </c>
      <c r="R170">
        <v>1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3</v>
      </c>
      <c r="AE170">
        <v>3</v>
      </c>
      <c r="AF170">
        <v>3</v>
      </c>
      <c r="AG170">
        <v>3</v>
      </c>
      <c r="AH170">
        <v>3</v>
      </c>
      <c r="AI170">
        <v>3</v>
      </c>
      <c r="AJ170">
        <v>3</v>
      </c>
      <c r="AK170">
        <v>3</v>
      </c>
      <c r="AL170">
        <v>3</v>
      </c>
      <c r="AM170">
        <v>3</v>
      </c>
      <c r="AN170">
        <v>3</v>
      </c>
      <c r="AO170">
        <v>3</v>
      </c>
      <c r="AP170">
        <v>3</v>
      </c>
      <c r="AQ170">
        <v>3</v>
      </c>
      <c r="AR170">
        <v>3</v>
      </c>
      <c r="AS170">
        <v>3</v>
      </c>
      <c r="AT170">
        <v>3</v>
      </c>
      <c r="AU170">
        <v>3</v>
      </c>
      <c r="AV170">
        <v>3</v>
      </c>
      <c r="AW170">
        <v>3</v>
      </c>
      <c r="AX170">
        <v>3</v>
      </c>
      <c r="AY170">
        <v>3</v>
      </c>
      <c r="AZ170">
        <v>3</v>
      </c>
      <c r="BA170">
        <v>3</v>
      </c>
      <c r="BB170">
        <v>3</v>
      </c>
      <c r="BC170">
        <v>3</v>
      </c>
      <c r="BD170">
        <v>3</v>
      </c>
      <c r="BE170">
        <v>3</v>
      </c>
      <c r="BF170">
        <v>3</v>
      </c>
      <c r="BG170">
        <v>3</v>
      </c>
      <c r="BH170">
        <v>3</v>
      </c>
    </row>
    <row r="171" spans="1:60" x14ac:dyDescent="0.3">
      <c r="A171" t="s">
        <v>41</v>
      </c>
      <c r="B171" t="s">
        <v>365</v>
      </c>
      <c r="C171">
        <v>47.862000000000002</v>
      </c>
      <c r="D171">
        <v>127.7615</v>
      </c>
      <c r="E171">
        <v>0</v>
      </c>
      <c r="F171">
        <v>0</v>
      </c>
      <c r="G171">
        <v>1</v>
      </c>
      <c r="H171">
        <v>1</v>
      </c>
      <c r="I171">
        <v>1</v>
      </c>
      <c r="J171">
        <v>1</v>
      </c>
      <c r="K171">
        <v>1</v>
      </c>
      <c r="L171">
        <v>1</v>
      </c>
      <c r="M171">
        <v>2</v>
      </c>
      <c r="N171">
        <v>2</v>
      </c>
      <c r="O171">
        <v>2</v>
      </c>
      <c r="P171">
        <v>2</v>
      </c>
      <c r="Q171">
        <v>2</v>
      </c>
      <c r="R171">
        <v>2</v>
      </c>
      <c r="S171">
        <v>2</v>
      </c>
      <c r="T171">
        <v>3</v>
      </c>
      <c r="U171">
        <v>3</v>
      </c>
      <c r="V171">
        <v>5</v>
      </c>
      <c r="W171">
        <v>6</v>
      </c>
      <c r="X171">
        <v>7</v>
      </c>
      <c r="Y171">
        <v>8</v>
      </c>
      <c r="Z171">
        <v>8</v>
      </c>
      <c r="AA171">
        <v>9</v>
      </c>
      <c r="AB171">
        <v>11</v>
      </c>
      <c r="AC171">
        <v>11</v>
      </c>
      <c r="AD171">
        <v>11</v>
      </c>
      <c r="AE171">
        <v>11</v>
      </c>
      <c r="AF171">
        <v>11</v>
      </c>
      <c r="AG171">
        <v>12</v>
      </c>
      <c r="AH171">
        <v>12</v>
      </c>
      <c r="AI171">
        <v>12</v>
      </c>
      <c r="AJ171">
        <v>12</v>
      </c>
      <c r="AK171">
        <v>12</v>
      </c>
      <c r="AL171">
        <v>12</v>
      </c>
      <c r="AM171">
        <v>12</v>
      </c>
      <c r="AN171">
        <v>12</v>
      </c>
      <c r="AO171">
        <v>13</v>
      </c>
      <c r="AP171">
        <v>13</v>
      </c>
      <c r="AQ171">
        <v>13</v>
      </c>
      <c r="AR171">
        <v>13</v>
      </c>
      <c r="AS171">
        <v>13</v>
      </c>
      <c r="AT171">
        <v>13</v>
      </c>
      <c r="AU171">
        <v>13</v>
      </c>
      <c r="AV171">
        <v>13</v>
      </c>
      <c r="AW171">
        <v>13</v>
      </c>
      <c r="AX171">
        <v>13</v>
      </c>
      <c r="AY171">
        <v>13</v>
      </c>
      <c r="AZ171">
        <v>13</v>
      </c>
      <c r="BA171">
        <v>13</v>
      </c>
      <c r="BB171">
        <v>13</v>
      </c>
      <c r="BC171">
        <v>13</v>
      </c>
      <c r="BD171">
        <v>13</v>
      </c>
      <c r="BE171">
        <v>13</v>
      </c>
      <c r="BF171">
        <v>13</v>
      </c>
      <c r="BG171">
        <v>13</v>
      </c>
      <c r="BH171">
        <v>13</v>
      </c>
    </row>
    <row r="172" spans="1:60" x14ac:dyDescent="0.3">
      <c r="A172" t="s">
        <v>114</v>
      </c>
      <c r="B172" t="s">
        <v>114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1</v>
      </c>
      <c r="BF172">
        <v>2</v>
      </c>
      <c r="BG172">
        <v>3</v>
      </c>
      <c r="BH172">
        <v>4</v>
      </c>
    </row>
    <row r="173" spans="1:60" x14ac:dyDescent="0.3">
      <c r="A173" t="s">
        <v>32</v>
      </c>
      <c r="B173" t="s">
        <v>365</v>
      </c>
      <c r="C173">
        <v>40.182400000000001</v>
      </c>
      <c r="D173">
        <v>116.41419999999999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1</v>
      </c>
      <c r="K173">
        <v>1</v>
      </c>
      <c r="L173">
        <v>1</v>
      </c>
      <c r="M173">
        <v>1</v>
      </c>
      <c r="N173">
        <v>1</v>
      </c>
      <c r="O173">
        <v>1</v>
      </c>
      <c r="P173">
        <v>1</v>
      </c>
      <c r="Q173">
        <v>1</v>
      </c>
      <c r="R173">
        <v>1</v>
      </c>
      <c r="S173">
        <v>1</v>
      </c>
      <c r="T173">
        <v>1</v>
      </c>
      <c r="U173">
        <v>1</v>
      </c>
      <c r="V173">
        <v>2</v>
      </c>
      <c r="W173">
        <v>2</v>
      </c>
      <c r="X173">
        <v>2</v>
      </c>
      <c r="Y173">
        <v>3</v>
      </c>
      <c r="Z173">
        <v>3</v>
      </c>
      <c r="AA173">
        <v>3</v>
      </c>
      <c r="AB173">
        <v>3</v>
      </c>
      <c r="AC173">
        <v>4</v>
      </c>
      <c r="AD173">
        <v>4</v>
      </c>
      <c r="AE173">
        <v>4</v>
      </c>
      <c r="AF173">
        <v>4</v>
      </c>
      <c r="AG173">
        <v>4</v>
      </c>
      <c r="AH173">
        <v>4</v>
      </c>
      <c r="AI173">
        <v>4</v>
      </c>
      <c r="AJ173">
        <v>4</v>
      </c>
      <c r="AK173">
        <v>4</v>
      </c>
      <c r="AL173">
        <v>4</v>
      </c>
      <c r="AM173">
        <v>4</v>
      </c>
      <c r="AN173">
        <v>4</v>
      </c>
      <c r="AO173">
        <v>5</v>
      </c>
      <c r="AP173">
        <v>7</v>
      </c>
      <c r="AQ173">
        <v>8</v>
      </c>
      <c r="AR173">
        <v>8</v>
      </c>
      <c r="AS173">
        <v>8</v>
      </c>
      <c r="AT173">
        <v>8</v>
      </c>
      <c r="AU173">
        <v>8</v>
      </c>
      <c r="AV173">
        <v>8</v>
      </c>
      <c r="AW173">
        <v>8</v>
      </c>
      <c r="AX173">
        <v>8</v>
      </c>
      <c r="AY173">
        <v>8</v>
      </c>
      <c r="AZ173">
        <v>8</v>
      </c>
      <c r="BA173">
        <v>8</v>
      </c>
      <c r="BB173">
        <v>8</v>
      </c>
      <c r="BC173">
        <v>8</v>
      </c>
      <c r="BD173">
        <v>8</v>
      </c>
      <c r="BE173">
        <v>8</v>
      </c>
      <c r="BF173">
        <v>8</v>
      </c>
      <c r="BG173">
        <v>8</v>
      </c>
      <c r="BH173">
        <v>8</v>
      </c>
    </row>
    <row r="174" spans="1:60" x14ac:dyDescent="0.3">
      <c r="A174" t="s">
        <v>54</v>
      </c>
      <c r="B174" t="s">
        <v>365</v>
      </c>
      <c r="C174">
        <v>31.202000000000002</v>
      </c>
      <c r="D174">
        <v>121.4491</v>
      </c>
      <c r="E174">
        <v>0</v>
      </c>
      <c r="F174">
        <v>0</v>
      </c>
      <c r="G174">
        <v>0</v>
      </c>
      <c r="H174">
        <v>0</v>
      </c>
      <c r="I174">
        <v>1</v>
      </c>
      <c r="J174">
        <v>1</v>
      </c>
      <c r="K174">
        <v>1</v>
      </c>
      <c r="L174">
        <v>1</v>
      </c>
      <c r="M174">
        <v>1</v>
      </c>
      <c r="N174">
        <v>1</v>
      </c>
      <c r="O174">
        <v>1</v>
      </c>
      <c r="P174">
        <v>1</v>
      </c>
      <c r="Q174">
        <v>1</v>
      </c>
      <c r="R174">
        <v>1</v>
      </c>
      <c r="S174">
        <v>1</v>
      </c>
      <c r="T174">
        <v>1</v>
      </c>
      <c r="U174">
        <v>1</v>
      </c>
      <c r="V174">
        <v>1</v>
      </c>
      <c r="W174">
        <v>1</v>
      </c>
      <c r="X174">
        <v>1</v>
      </c>
      <c r="Y174">
        <v>1</v>
      </c>
      <c r="Z174">
        <v>1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>
        <v>2</v>
      </c>
      <c r="AH174">
        <v>2</v>
      </c>
      <c r="AI174">
        <v>2</v>
      </c>
      <c r="AJ174">
        <v>3</v>
      </c>
      <c r="AK174">
        <v>3</v>
      </c>
      <c r="AL174">
        <v>3</v>
      </c>
      <c r="AM174">
        <v>3</v>
      </c>
      <c r="AN174">
        <v>3</v>
      </c>
      <c r="AO174">
        <v>3</v>
      </c>
      <c r="AP174">
        <v>3</v>
      </c>
      <c r="AQ174">
        <v>3</v>
      </c>
      <c r="AR174">
        <v>3</v>
      </c>
      <c r="AS174">
        <v>3</v>
      </c>
      <c r="AT174">
        <v>3</v>
      </c>
      <c r="AU174">
        <v>3</v>
      </c>
      <c r="AV174">
        <v>3</v>
      </c>
      <c r="AW174">
        <v>3</v>
      </c>
      <c r="AX174">
        <v>3</v>
      </c>
      <c r="AY174">
        <v>3</v>
      </c>
      <c r="AZ174">
        <v>3</v>
      </c>
      <c r="BA174">
        <v>3</v>
      </c>
      <c r="BB174">
        <v>3</v>
      </c>
      <c r="BC174">
        <v>3</v>
      </c>
      <c r="BD174">
        <v>3</v>
      </c>
      <c r="BE174">
        <v>3</v>
      </c>
      <c r="BF174">
        <v>3</v>
      </c>
      <c r="BG174">
        <v>3</v>
      </c>
      <c r="BH174">
        <v>3</v>
      </c>
    </row>
    <row r="175" spans="1:60" x14ac:dyDescent="0.3">
      <c r="A175" t="s">
        <v>40</v>
      </c>
      <c r="B175" t="s">
        <v>365</v>
      </c>
      <c r="C175">
        <v>39.548999999999999</v>
      </c>
      <c r="D175">
        <v>116.1306</v>
      </c>
      <c r="E175">
        <v>0</v>
      </c>
      <c r="F175">
        <v>1</v>
      </c>
      <c r="G175">
        <v>1</v>
      </c>
      <c r="H175">
        <v>1</v>
      </c>
      <c r="I175">
        <v>1</v>
      </c>
      <c r="J175">
        <v>1</v>
      </c>
      <c r="K175">
        <v>1</v>
      </c>
      <c r="L175">
        <v>1</v>
      </c>
      <c r="M175">
        <v>1</v>
      </c>
      <c r="N175">
        <v>1</v>
      </c>
      <c r="O175">
        <v>1</v>
      </c>
      <c r="P175">
        <v>1</v>
      </c>
      <c r="Q175">
        <v>1</v>
      </c>
      <c r="R175">
        <v>1</v>
      </c>
      <c r="S175">
        <v>1</v>
      </c>
      <c r="T175">
        <v>1</v>
      </c>
      <c r="U175">
        <v>1</v>
      </c>
      <c r="V175">
        <v>1</v>
      </c>
      <c r="W175">
        <v>2</v>
      </c>
      <c r="X175">
        <v>2</v>
      </c>
      <c r="Y175">
        <v>2</v>
      </c>
      <c r="Z175">
        <v>2</v>
      </c>
      <c r="AA175">
        <v>3</v>
      </c>
      <c r="AB175">
        <v>3</v>
      </c>
      <c r="AC175">
        <v>3</v>
      </c>
      <c r="AD175">
        <v>3</v>
      </c>
      <c r="AE175">
        <v>3</v>
      </c>
      <c r="AF175">
        <v>4</v>
      </c>
      <c r="AG175">
        <v>4</v>
      </c>
      <c r="AH175">
        <v>5</v>
      </c>
      <c r="AI175">
        <v>5</v>
      </c>
      <c r="AJ175">
        <v>6</v>
      </c>
      <c r="AK175">
        <v>6</v>
      </c>
      <c r="AL175">
        <v>6</v>
      </c>
      <c r="AM175">
        <v>6</v>
      </c>
      <c r="AN175">
        <v>6</v>
      </c>
      <c r="AO175">
        <v>6</v>
      </c>
      <c r="AP175">
        <v>6</v>
      </c>
      <c r="AQ175">
        <v>6</v>
      </c>
      <c r="AR175">
        <v>6</v>
      </c>
      <c r="AS175">
        <v>6</v>
      </c>
      <c r="AT175">
        <v>6</v>
      </c>
      <c r="AU175">
        <v>6</v>
      </c>
      <c r="AV175">
        <v>6</v>
      </c>
      <c r="AW175">
        <v>6</v>
      </c>
      <c r="AX175">
        <v>6</v>
      </c>
      <c r="AY175">
        <v>6</v>
      </c>
      <c r="AZ175">
        <v>6</v>
      </c>
      <c r="BA175">
        <v>6</v>
      </c>
      <c r="BB175">
        <v>6</v>
      </c>
      <c r="BC175">
        <v>6</v>
      </c>
      <c r="BD175">
        <v>6</v>
      </c>
      <c r="BE175">
        <v>6</v>
      </c>
      <c r="BF175">
        <v>6</v>
      </c>
      <c r="BG175">
        <v>6</v>
      </c>
      <c r="BH175">
        <v>6</v>
      </c>
    </row>
    <row r="176" spans="1:60" x14ac:dyDescent="0.3">
      <c r="A176" t="s">
        <v>34</v>
      </c>
      <c r="B176" t="s">
        <v>365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1</v>
      </c>
      <c r="AI176">
        <v>1</v>
      </c>
      <c r="AJ176">
        <v>1</v>
      </c>
      <c r="AK176">
        <v>1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1</v>
      </c>
      <c r="AX176">
        <v>1</v>
      </c>
      <c r="AY176">
        <v>1</v>
      </c>
      <c r="AZ176">
        <v>1</v>
      </c>
      <c r="BA176">
        <v>1</v>
      </c>
      <c r="BB176">
        <v>1</v>
      </c>
      <c r="BC176">
        <v>1</v>
      </c>
      <c r="BD176">
        <v>1</v>
      </c>
      <c r="BE176">
        <v>1</v>
      </c>
      <c r="BF176">
        <v>1</v>
      </c>
      <c r="BG176">
        <v>1</v>
      </c>
      <c r="BH176">
        <v>1</v>
      </c>
    </row>
    <row r="177" spans="1:60" x14ac:dyDescent="0.3">
      <c r="A177" t="s">
        <v>37</v>
      </c>
      <c r="B177" t="s">
        <v>365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1</v>
      </c>
      <c r="X177">
        <v>1</v>
      </c>
      <c r="Y177">
        <v>1</v>
      </c>
      <c r="Z177">
        <v>1</v>
      </c>
      <c r="AA177">
        <v>2</v>
      </c>
      <c r="AB177">
        <v>2</v>
      </c>
      <c r="AC177">
        <v>2</v>
      </c>
      <c r="AD177">
        <v>2</v>
      </c>
      <c r="AE177">
        <v>2</v>
      </c>
      <c r="AF177">
        <v>2</v>
      </c>
      <c r="AG177">
        <v>2</v>
      </c>
      <c r="AH177">
        <v>2</v>
      </c>
      <c r="AI177">
        <v>2</v>
      </c>
      <c r="AJ177">
        <v>2</v>
      </c>
      <c r="AK177">
        <v>2</v>
      </c>
      <c r="AL177">
        <v>2</v>
      </c>
      <c r="AM177">
        <v>2</v>
      </c>
      <c r="AN177">
        <v>2</v>
      </c>
      <c r="AO177">
        <v>2</v>
      </c>
      <c r="AP177">
        <v>2</v>
      </c>
      <c r="AQ177">
        <v>2</v>
      </c>
      <c r="AR177">
        <v>2</v>
      </c>
      <c r="AS177">
        <v>2</v>
      </c>
      <c r="AT177">
        <v>2</v>
      </c>
      <c r="AU177">
        <v>2</v>
      </c>
      <c r="AV177">
        <v>2</v>
      </c>
      <c r="AW177">
        <v>2</v>
      </c>
      <c r="AX177">
        <v>2</v>
      </c>
      <c r="AY177">
        <v>2</v>
      </c>
      <c r="AZ177">
        <v>2</v>
      </c>
      <c r="BA177">
        <v>2</v>
      </c>
      <c r="BB177">
        <v>2</v>
      </c>
      <c r="BC177">
        <v>2</v>
      </c>
      <c r="BD177">
        <v>2</v>
      </c>
      <c r="BE177">
        <v>2</v>
      </c>
      <c r="BF177">
        <v>2</v>
      </c>
      <c r="BG177">
        <v>2</v>
      </c>
      <c r="BH177">
        <v>2</v>
      </c>
    </row>
    <row r="178" spans="1:60" x14ac:dyDescent="0.3">
      <c r="A178" t="s">
        <v>52</v>
      </c>
      <c r="B178" t="s">
        <v>365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1</v>
      </c>
      <c r="AI178">
        <v>1</v>
      </c>
      <c r="AJ178">
        <v>1</v>
      </c>
      <c r="AK178">
        <v>1</v>
      </c>
      <c r="AL178">
        <v>1</v>
      </c>
      <c r="AM178">
        <v>1</v>
      </c>
      <c r="AN178">
        <v>1</v>
      </c>
      <c r="AO178">
        <v>1</v>
      </c>
      <c r="AP178">
        <v>1</v>
      </c>
      <c r="AQ178">
        <v>1</v>
      </c>
      <c r="AR178">
        <v>1</v>
      </c>
      <c r="AS178">
        <v>1</v>
      </c>
      <c r="AT178">
        <v>1</v>
      </c>
      <c r="AU178">
        <v>1</v>
      </c>
      <c r="AV178">
        <v>1</v>
      </c>
      <c r="AW178">
        <v>1</v>
      </c>
      <c r="AX178">
        <v>1</v>
      </c>
      <c r="AY178">
        <v>1</v>
      </c>
      <c r="AZ178">
        <v>1</v>
      </c>
      <c r="BA178">
        <v>1</v>
      </c>
      <c r="BB178">
        <v>1</v>
      </c>
      <c r="BC178">
        <v>2</v>
      </c>
      <c r="BD178">
        <v>2</v>
      </c>
      <c r="BE178">
        <v>2</v>
      </c>
      <c r="BF178">
        <v>2</v>
      </c>
      <c r="BG178">
        <v>2</v>
      </c>
      <c r="BH178">
        <v>3</v>
      </c>
    </row>
    <row r="179" spans="1:60" x14ac:dyDescent="0.3">
      <c r="A179" t="s">
        <v>60</v>
      </c>
      <c r="B179" t="s">
        <v>365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1</v>
      </c>
      <c r="AH179">
        <v>2</v>
      </c>
      <c r="AI179">
        <v>2</v>
      </c>
      <c r="AJ179">
        <v>2</v>
      </c>
      <c r="AK179">
        <v>2</v>
      </c>
      <c r="AL179">
        <v>2</v>
      </c>
      <c r="AM179">
        <v>2</v>
      </c>
      <c r="AN179">
        <v>2</v>
      </c>
      <c r="AO179">
        <v>2</v>
      </c>
      <c r="AP179">
        <v>2</v>
      </c>
      <c r="AQ179">
        <v>2</v>
      </c>
      <c r="AR179">
        <v>2</v>
      </c>
      <c r="AS179">
        <v>2</v>
      </c>
      <c r="AT179">
        <v>2</v>
      </c>
      <c r="AU179">
        <v>2</v>
      </c>
      <c r="AV179">
        <v>2</v>
      </c>
      <c r="AW179">
        <v>2</v>
      </c>
      <c r="AX179">
        <v>2</v>
      </c>
      <c r="AY179">
        <v>2</v>
      </c>
      <c r="AZ179">
        <v>2</v>
      </c>
      <c r="BA179">
        <v>2</v>
      </c>
      <c r="BB179">
        <v>2</v>
      </c>
      <c r="BC179">
        <v>2</v>
      </c>
      <c r="BD179">
        <v>2</v>
      </c>
      <c r="BE179">
        <v>2</v>
      </c>
      <c r="BF179">
        <v>2</v>
      </c>
      <c r="BG179">
        <v>2</v>
      </c>
      <c r="BH179">
        <v>2</v>
      </c>
    </row>
    <row r="180" spans="1:60" x14ac:dyDescent="0.3">
      <c r="A180" t="s">
        <v>39</v>
      </c>
      <c r="B180" t="s">
        <v>365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1</v>
      </c>
      <c r="K180">
        <v>1</v>
      </c>
      <c r="L180">
        <v>1</v>
      </c>
      <c r="M180">
        <v>1</v>
      </c>
      <c r="N180">
        <v>1</v>
      </c>
      <c r="O180">
        <v>1</v>
      </c>
      <c r="P180">
        <v>1</v>
      </c>
      <c r="Q180">
        <v>1</v>
      </c>
      <c r="R180">
        <v>1</v>
      </c>
      <c r="S180">
        <v>1</v>
      </c>
      <c r="T180">
        <v>1</v>
      </c>
      <c r="U180">
        <v>2</v>
      </c>
      <c r="V180">
        <v>2</v>
      </c>
      <c r="W180">
        <v>3</v>
      </c>
      <c r="X180">
        <v>3</v>
      </c>
      <c r="Y180">
        <v>3</v>
      </c>
      <c r="Z180">
        <v>4</v>
      </c>
      <c r="AA180">
        <v>4</v>
      </c>
      <c r="AB180">
        <v>4</v>
      </c>
      <c r="AC180">
        <v>4</v>
      </c>
      <c r="AD180">
        <v>4</v>
      </c>
      <c r="AE180">
        <v>4</v>
      </c>
      <c r="AF180">
        <v>4</v>
      </c>
      <c r="AG180">
        <v>4</v>
      </c>
      <c r="AH180">
        <v>4</v>
      </c>
      <c r="AI180">
        <v>4</v>
      </c>
      <c r="AJ180">
        <v>4</v>
      </c>
      <c r="AK180">
        <v>5</v>
      </c>
      <c r="AL180">
        <v>5</v>
      </c>
      <c r="AM180">
        <v>5</v>
      </c>
      <c r="AN180">
        <v>5</v>
      </c>
      <c r="AO180">
        <v>5</v>
      </c>
      <c r="AP180">
        <v>5</v>
      </c>
      <c r="AQ180">
        <v>5</v>
      </c>
      <c r="AR180">
        <v>5</v>
      </c>
      <c r="AS180">
        <v>5</v>
      </c>
      <c r="AT180">
        <v>5</v>
      </c>
      <c r="AU180">
        <v>5</v>
      </c>
      <c r="AV180">
        <v>6</v>
      </c>
      <c r="AW180">
        <v>6</v>
      </c>
      <c r="AX180">
        <v>6</v>
      </c>
      <c r="AY180">
        <v>6</v>
      </c>
      <c r="AZ180">
        <v>6</v>
      </c>
      <c r="BA180">
        <v>6</v>
      </c>
      <c r="BB180">
        <v>6</v>
      </c>
      <c r="BC180">
        <v>6</v>
      </c>
      <c r="BD180">
        <v>6</v>
      </c>
      <c r="BE180">
        <v>6</v>
      </c>
      <c r="BF180">
        <v>6</v>
      </c>
      <c r="BG180">
        <v>6</v>
      </c>
      <c r="BH180">
        <v>6</v>
      </c>
    </row>
    <row r="181" spans="1:60" x14ac:dyDescent="0.3">
      <c r="A181" t="s">
        <v>38</v>
      </c>
      <c r="B181" t="s">
        <v>365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2</v>
      </c>
      <c r="AG181">
        <v>2</v>
      </c>
      <c r="AH181">
        <v>2</v>
      </c>
      <c r="AI181">
        <v>2</v>
      </c>
      <c r="AJ181">
        <v>2</v>
      </c>
      <c r="AK181">
        <v>2</v>
      </c>
      <c r="AL181">
        <v>2</v>
      </c>
      <c r="AM181">
        <v>2</v>
      </c>
      <c r="AN181">
        <v>2</v>
      </c>
      <c r="AO181">
        <v>2</v>
      </c>
      <c r="AP181">
        <v>2</v>
      </c>
      <c r="AQ181">
        <v>2</v>
      </c>
      <c r="AR181">
        <v>2</v>
      </c>
      <c r="AS181">
        <v>2</v>
      </c>
      <c r="AT181">
        <v>2</v>
      </c>
      <c r="AU181">
        <v>2</v>
      </c>
      <c r="AV181">
        <v>2</v>
      </c>
      <c r="AW181">
        <v>2</v>
      </c>
      <c r="AX181">
        <v>2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2</v>
      </c>
      <c r="BG181">
        <v>2</v>
      </c>
      <c r="BH181">
        <v>2</v>
      </c>
    </row>
    <row r="182" spans="1:60" x14ac:dyDescent="0.3">
      <c r="A182" t="s">
        <v>57</v>
      </c>
      <c r="B182" t="s">
        <v>365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1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2</v>
      </c>
      <c r="Z182">
        <v>2</v>
      </c>
      <c r="AA182">
        <v>3</v>
      </c>
      <c r="AB182">
        <v>3</v>
      </c>
      <c r="AC182">
        <v>3</v>
      </c>
      <c r="AD182">
        <v>3</v>
      </c>
      <c r="AE182">
        <v>3</v>
      </c>
      <c r="AF182">
        <v>3</v>
      </c>
      <c r="AG182">
        <v>3</v>
      </c>
      <c r="AH182">
        <v>3</v>
      </c>
      <c r="AI182">
        <v>3</v>
      </c>
      <c r="AJ182">
        <v>3</v>
      </c>
      <c r="AK182">
        <v>3</v>
      </c>
      <c r="AL182">
        <v>3</v>
      </c>
      <c r="AM182">
        <v>3</v>
      </c>
      <c r="AN182">
        <v>3</v>
      </c>
      <c r="AO182">
        <v>3</v>
      </c>
      <c r="AP182">
        <v>3</v>
      </c>
      <c r="AQ182">
        <v>3</v>
      </c>
      <c r="AR182">
        <v>3</v>
      </c>
      <c r="AS182">
        <v>3</v>
      </c>
      <c r="AT182">
        <v>3</v>
      </c>
      <c r="AU182">
        <v>3</v>
      </c>
      <c r="AV182">
        <v>3</v>
      </c>
      <c r="AW182">
        <v>3</v>
      </c>
      <c r="AX182">
        <v>3</v>
      </c>
      <c r="AY182">
        <v>3</v>
      </c>
      <c r="AZ182">
        <v>3</v>
      </c>
      <c r="BA182">
        <v>3</v>
      </c>
      <c r="BB182">
        <v>3</v>
      </c>
      <c r="BC182">
        <v>3</v>
      </c>
      <c r="BD182">
        <v>3</v>
      </c>
      <c r="BE182">
        <v>3</v>
      </c>
      <c r="BF182">
        <v>3</v>
      </c>
      <c r="BG182">
        <v>3</v>
      </c>
      <c r="BH182">
        <v>3</v>
      </c>
    </row>
    <row r="183" spans="1:60" x14ac:dyDescent="0.3">
      <c r="A183" t="s">
        <v>55</v>
      </c>
      <c r="B183" t="s">
        <v>365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</row>
    <row r="184" spans="1:60" x14ac:dyDescent="0.3">
      <c r="A184" t="s">
        <v>35</v>
      </c>
      <c r="B184" t="s">
        <v>365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1</v>
      </c>
      <c r="W184">
        <v>2</v>
      </c>
      <c r="X184">
        <v>2</v>
      </c>
      <c r="Y184">
        <v>2</v>
      </c>
      <c r="Z184">
        <v>2</v>
      </c>
      <c r="AA184">
        <v>2</v>
      </c>
      <c r="AB184">
        <v>2</v>
      </c>
      <c r="AC184">
        <v>2</v>
      </c>
      <c r="AD184">
        <v>2</v>
      </c>
      <c r="AE184">
        <v>2</v>
      </c>
      <c r="AF184">
        <v>2</v>
      </c>
      <c r="AG184">
        <v>2</v>
      </c>
      <c r="AH184">
        <v>2</v>
      </c>
      <c r="AI184">
        <v>2</v>
      </c>
      <c r="AJ184">
        <v>2</v>
      </c>
      <c r="AK184">
        <v>2</v>
      </c>
      <c r="AL184">
        <v>2</v>
      </c>
      <c r="AM184">
        <v>2</v>
      </c>
      <c r="AN184">
        <v>2</v>
      </c>
      <c r="AO184">
        <v>2</v>
      </c>
      <c r="AP184">
        <v>2</v>
      </c>
      <c r="AQ184">
        <v>2</v>
      </c>
      <c r="AR184">
        <v>2</v>
      </c>
      <c r="AS184">
        <v>2</v>
      </c>
      <c r="AT184">
        <v>2</v>
      </c>
      <c r="AU184">
        <v>2</v>
      </c>
      <c r="AV184">
        <v>2</v>
      </c>
      <c r="AW184">
        <v>2</v>
      </c>
      <c r="AX184">
        <v>2</v>
      </c>
      <c r="AY184">
        <v>2</v>
      </c>
      <c r="AZ184">
        <v>2</v>
      </c>
      <c r="BA184">
        <v>2</v>
      </c>
      <c r="BB184">
        <v>2</v>
      </c>
      <c r="BC184">
        <v>2</v>
      </c>
      <c r="BD184">
        <v>2</v>
      </c>
      <c r="BE184">
        <v>2</v>
      </c>
      <c r="BF184">
        <v>2</v>
      </c>
      <c r="BG184">
        <v>2</v>
      </c>
      <c r="BH184">
        <v>2</v>
      </c>
    </row>
    <row r="185" spans="1:60" x14ac:dyDescent="0.3">
      <c r="A185" t="s">
        <v>273</v>
      </c>
      <c r="B185" t="s">
        <v>365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1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>
        <v>2</v>
      </c>
      <c r="AH185">
        <v>2</v>
      </c>
      <c r="AI185">
        <v>2</v>
      </c>
      <c r="AJ185">
        <v>2</v>
      </c>
      <c r="AK185">
        <v>2</v>
      </c>
      <c r="AL185">
        <v>2</v>
      </c>
      <c r="AM185">
        <v>2</v>
      </c>
      <c r="AN185">
        <v>2</v>
      </c>
      <c r="AO185">
        <v>2</v>
      </c>
      <c r="AP185">
        <v>2</v>
      </c>
      <c r="AQ185">
        <v>2</v>
      </c>
      <c r="AR185">
        <v>2</v>
      </c>
      <c r="AS185">
        <v>2</v>
      </c>
      <c r="AT185">
        <v>2</v>
      </c>
      <c r="AU185">
        <v>2</v>
      </c>
      <c r="AV185">
        <v>2</v>
      </c>
      <c r="AW185">
        <v>2</v>
      </c>
      <c r="AX185">
        <v>2</v>
      </c>
      <c r="AY185">
        <v>3</v>
      </c>
      <c r="AZ185">
        <v>3</v>
      </c>
      <c r="BA185">
        <v>3</v>
      </c>
      <c r="BB185">
        <v>3</v>
      </c>
      <c r="BC185">
        <v>3</v>
      </c>
      <c r="BD185">
        <v>4</v>
      </c>
      <c r="BE185">
        <v>4</v>
      </c>
      <c r="BF185">
        <v>4</v>
      </c>
      <c r="BG185">
        <v>4</v>
      </c>
      <c r="BH185">
        <v>4</v>
      </c>
    </row>
    <row r="186" spans="1:60" x14ac:dyDescent="0.3">
      <c r="A186" t="s">
        <v>49</v>
      </c>
      <c r="B186" t="s">
        <v>365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>
        <v>1</v>
      </c>
      <c r="AH186">
        <v>1</v>
      </c>
      <c r="AI186">
        <v>1</v>
      </c>
      <c r="AJ186">
        <v>1</v>
      </c>
      <c r="AK186">
        <v>1</v>
      </c>
      <c r="AL186">
        <v>1</v>
      </c>
      <c r="AM186">
        <v>1</v>
      </c>
      <c r="AN186">
        <v>1</v>
      </c>
      <c r="AO186">
        <v>1</v>
      </c>
      <c r="AP186">
        <v>1</v>
      </c>
      <c r="AQ186">
        <v>1</v>
      </c>
      <c r="AR186">
        <v>1</v>
      </c>
      <c r="AS186">
        <v>1</v>
      </c>
      <c r="AT186">
        <v>1</v>
      </c>
      <c r="AU186">
        <v>1</v>
      </c>
      <c r="AV186">
        <v>1</v>
      </c>
      <c r="AW186">
        <v>1</v>
      </c>
      <c r="AX186">
        <v>1</v>
      </c>
      <c r="AY186">
        <v>1</v>
      </c>
      <c r="AZ186">
        <v>1</v>
      </c>
      <c r="BA186">
        <v>1</v>
      </c>
      <c r="BB186">
        <v>1</v>
      </c>
      <c r="BC186">
        <v>1</v>
      </c>
      <c r="BD186">
        <v>1</v>
      </c>
      <c r="BE186">
        <v>1</v>
      </c>
      <c r="BF186">
        <v>1</v>
      </c>
      <c r="BG186">
        <v>1</v>
      </c>
      <c r="BH186">
        <v>1</v>
      </c>
    </row>
    <row r="187" spans="1:60" x14ac:dyDescent="0.3">
      <c r="A187" t="s">
        <v>48</v>
      </c>
      <c r="B187" t="s">
        <v>365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>
        <v>1</v>
      </c>
      <c r="AH187">
        <v>1</v>
      </c>
      <c r="AI187">
        <v>1</v>
      </c>
      <c r="AJ187">
        <v>1</v>
      </c>
      <c r="AK187">
        <v>1</v>
      </c>
      <c r="AL187">
        <v>1</v>
      </c>
      <c r="AM187">
        <v>1</v>
      </c>
      <c r="AN187">
        <v>1</v>
      </c>
      <c r="AO187">
        <v>1</v>
      </c>
      <c r="AP187">
        <v>1</v>
      </c>
      <c r="AQ187">
        <v>1</v>
      </c>
      <c r="AR187">
        <v>1</v>
      </c>
      <c r="AS187">
        <v>1</v>
      </c>
      <c r="AT187">
        <v>1</v>
      </c>
      <c r="AU187">
        <v>1</v>
      </c>
      <c r="AV187">
        <v>1</v>
      </c>
      <c r="AW187">
        <v>1</v>
      </c>
      <c r="AX187">
        <v>1</v>
      </c>
      <c r="AY187">
        <v>1</v>
      </c>
      <c r="AZ187">
        <v>1</v>
      </c>
      <c r="BA187">
        <v>1</v>
      </c>
      <c r="BB187">
        <v>1</v>
      </c>
      <c r="BC187">
        <v>1</v>
      </c>
      <c r="BD187">
        <v>1</v>
      </c>
      <c r="BE187">
        <v>1</v>
      </c>
      <c r="BF187">
        <v>1</v>
      </c>
      <c r="BG187">
        <v>1</v>
      </c>
      <c r="BH187">
        <v>1</v>
      </c>
    </row>
    <row r="188" spans="1:60" x14ac:dyDescent="0.3">
      <c r="B188" t="s">
        <v>369</v>
      </c>
      <c r="C188">
        <v>49.817500000000003</v>
      </c>
      <c r="D188">
        <v>15.473000000000001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</row>
    <row r="189" spans="1:60" x14ac:dyDescent="0.3">
      <c r="A189" t="s">
        <v>59</v>
      </c>
      <c r="B189" t="s">
        <v>365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>
        <v>1</v>
      </c>
      <c r="AH189">
        <v>1</v>
      </c>
      <c r="AI189">
        <v>1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3</v>
      </c>
      <c r="AQ189">
        <v>3</v>
      </c>
      <c r="AR189">
        <v>3</v>
      </c>
      <c r="AS189">
        <v>3</v>
      </c>
      <c r="AT189">
        <v>3</v>
      </c>
      <c r="AU189">
        <v>3</v>
      </c>
      <c r="AV189">
        <v>3</v>
      </c>
      <c r="AW189">
        <v>3</v>
      </c>
      <c r="AX189">
        <v>3</v>
      </c>
      <c r="AY189">
        <v>3</v>
      </c>
      <c r="AZ189">
        <v>3</v>
      </c>
      <c r="BA189">
        <v>3</v>
      </c>
      <c r="BB189">
        <v>3</v>
      </c>
      <c r="BC189">
        <v>3</v>
      </c>
      <c r="BD189">
        <v>3</v>
      </c>
      <c r="BE189">
        <v>3</v>
      </c>
      <c r="BF189">
        <v>3</v>
      </c>
      <c r="BG189">
        <v>3</v>
      </c>
      <c r="BH189">
        <v>3</v>
      </c>
    </row>
    <row r="190" spans="1:60" x14ac:dyDescent="0.3">
      <c r="A190" t="s">
        <v>45</v>
      </c>
      <c r="B190" t="s">
        <v>365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1</v>
      </c>
      <c r="AU190">
        <v>1</v>
      </c>
      <c r="AV190">
        <v>1</v>
      </c>
      <c r="AW190">
        <v>1</v>
      </c>
      <c r="AX190">
        <v>1</v>
      </c>
      <c r="AY190">
        <v>1</v>
      </c>
      <c r="AZ190">
        <v>1</v>
      </c>
      <c r="BA190">
        <v>1</v>
      </c>
      <c r="BB190">
        <v>1</v>
      </c>
      <c r="BC190">
        <v>1</v>
      </c>
      <c r="BD190">
        <v>1</v>
      </c>
      <c r="BE190">
        <v>1</v>
      </c>
      <c r="BF190">
        <v>1</v>
      </c>
      <c r="BG190">
        <v>1</v>
      </c>
      <c r="BH190">
        <v>1</v>
      </c>
    </row>
    <row r="191" spans="1:60" x14ac:dyDescent="0.3">
      <c r="A191" t="s">
        <v>50</v>
      </c>
      <c r="B191" t="s">
        <v>365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</row>
    <row r="192" spans="1:60" x14ac:dyDescent="0.3">
      <c r="B192" t="s">
        <v>370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1</v>
      </c>
      <c r="AE192">
        <v>1</v>
      </c>
      <c r="AF192">
        <v>1</v>
      </c>
      <c r="AG192">
        <v>1</v>
      </c>
      <c r="AH192">
        <v>1</v>
      </c>
      <c r="AI192">
        <v>1</v>
      </c>
      <c r="AJ192">
        <v>1</v>
      </c>
      <c r="AK192">
        <v>1</v>
      </c>
      <c r="AL192">
        <v>1</v>
      </c>
      <c r="AM192">
        <v>1</v>
      </c>
      <c r="AN192">
        <v>1</v>
      </c>
      <c r="AO192">
        <v>1</v>
      </c>
      <c r="AP192">
        <v>1</v>
      </c>
      <c r="AQ192">
        <v>1</v>
      </c>
      <c r="AR192">
        <v>1</v>
      </c>
      <c r="AS192">
        <v>1</v>
      </c>
      <c r="AT192">
        <v>1</v>
      </c>
      <c r="AU192">
        <v>1</v>
      </c>
      <c r="AV192">
        <v>1</v>
      </c>
      <c r="AW192">
        <v>1</v>
      </c>
      <c r="AX192">
        <v>1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</row>
    <row r="193" spans="1:60" x14ac:dyDescent="0.3">
      <c r="B193" t="s">
        <v>371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</row>
    <row r="194" spans="1:60" x14ac:dyDescent="0.3">
      <c r="B194" t="s">
        <v>372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</row>
    <row r="195" spans="1:60" x14ac:dyDescent="0.3">
      <c r="A195" t="s">
        <v>51</v>
      </c>
      <c r="B195" t="s">
        <v>365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</row>
    <row r="196" spans="1:60" x14ac:dyDescent="0.3">
      <c r="A196" t="s">
        <v>284</v>
      </c>
      <c r="B196" t="s">
        <v>365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</row>
    <row r="197" spans="1:60" x14ac:dyDescent="0.3">
      <c r="B197" t="s">
        <v>373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</row>
    <row r="198" spans="1:60" x14ac:dyDescent="0.3">
      <c r="B198" t="s">
        <v>374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</row>
    <row r="199" spans="1:60" x14ac:dyDescent="0.3">
      <c r="A199" t="s">
        <v>161</v>
      </c>
      <c r="B199" t="s">
        <v>114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</row>
    <row r="200" spans="1:60" x14ac:dyDescent="0.3">
      <c r="A200" t="s">
        <v>375</v>
      </c>
      <c r="B200" t="s">
        <v>68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</row>
    <row r="201" spans="1:60" x14ac:dyDescent="0.3">
      <c r="B201" t="s">
        <v>376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</row>
    <row r="202" spans="1:60" x14ac:dyDescent="0.3">
      <c r="A202" t="s">
        <v>307</v>
      </c>
      <c r="B202" t="s">
        <v>377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</row>
    <row r="203" spans="1:60" x14ac:dyDescent="0.3">
      <c r="A203" t="s">
        <v>378</v>
      </c>
      <c r="B203" t="s">
        <v>72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</row>
    <row r="204" spans="1:60" x14ac:dyDescent="0.3">
      <c r="A204" t="s">
        <v>58</v>
      </c>
      <c r="B204" t="s">
        <v>365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</row>
    <row r="205" spans="1:60" x14ac:dyDescent="0.3">
      <c r="B205" t="s">
        <v>379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</row>
    <row r="206" spans="1:60" x14ac:dyDescent="0.3">
      <c r="B206" t="s">
        <v>380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</row>
    <row r="207" spans="1:60" x14ac:dyDescent="0.3">
      <c r="A207" t="s">
        <v>157</v>
      </c>
      <c r="B207" t="s">
        <v>68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</row>
    <row r="208" spans="1:60" x14ac:dyDescent="0.3">
      <c r="B208" t="s">
        <v>381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</row>
    <row r="209" spans="1:60" x14ac:dyDescent="0.3">
      <c r="B209" t="s">
        <v>383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1</v>
      </c>
    </row>
    <row r="210" spans="1:60" x14ac:dyDescent="0.3">
      <c r="A210" t="s">
        <v>162</v>
      </c>
      <c r="B210" t="s">
        <v>377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</row>
    <row r="211" spans="1:60" x14ac:dyDescent="0.3">
      <c r="A211" t="s">
        <v>328</v>
      </c>
      <c r="B211" t="s">
        <v>65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</row>
    <row r="212" spans="1:60" x14ac:dyDescent="0.3">
      <c r="A212" t="s">
        <v>329</v>
      </c>
      <c r="B212" t="s">
        <v>65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</row>
    <row r="213" spans="1:60" x14ac:dyDescent="0.3">
      <c r="A213" t="s">
        <v>330</v>
      </c>
      <c r="B213" t="s">
        <v>65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</row>
    <row r="214" spans="1:60" x14ac:dyDescent="0.3">
      <c r="A214" t="s">
        <v>331</v>
      </c>
      <c r="B214" t="s">
        <v>65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</row>
    <row r="215" spans="1:60" x14ac:dyDescent="0.3">
      <c r="A215" t="s">
        <v>332</v>
      </c>
      <c r="B215" t="s">
        <v>65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</row>
    <row r="216" spans="1:60" x14ac:dyDescent="0.3">
      <c r="A216" t="s">
        <v>333</v>
      </c>
      <c r="B216" t="s">
        <v>65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</row>
    <row r="217" spans="1:60" x14ac:dyDescent="0.3">
      <c r="A217" t="s">
        <v>334</v>
      </c>
      <c r="B217" t="s">
        <v>65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</row>
    <row r="218" spans="1:60" x14ac:dyDescent="0.3">
      <c r="A218" t="s">
        <v>335</v>
      </c>
      <c r="B218" t="s">
        <v>65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</row>
    <row r="219" spans="1:60" x14ac:dyDescent="0.3">
      <c r="A219" t="s">
        <v>336</v>
      </c>
      <c r="B219" t="s">
        <v>65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</row>
    <row r="220" spans="1:60" x14ac:dyDescent="0.3">
      <c r="A220" t="s">
        <v>337</v>
      </c>
      <c r="B220" t="s">
        <v>65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</row>
    <row r="221" spans="1:60" x14ac:dyDescent="0.3">
      <c r="A221" t="s">
        <v>338</v>
      </c>
      <c r="B221" t="s">
        <v>65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</row>
    <row r="222" spans="1:60" x14ac:dyDescent="0.3">
      <c r="A222" t="s">
        <v>339</v>
      </c>
      <c r="B222" t="s">
        <v>65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</row>
    <row r="223" spans="1:60" x14ac:dyDescent="0.3">
      <c r="A223" t="s">
        <v>340</v>
      </c>
      <c r="B223" t="s">
        <v>65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</row>
    <row r="224" spans="1:60" x14ac:dyDescent="0.3">
      <c r="A224" t="s">
        <v>341</v>
      </c>
      <c r="B224" t="s">
        <v>65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</row>
    <row r="225" spans="1:60" x14ac:dyDescent="0.3">
      <c r="A225" t="s">
        <v>342</v>
      </c>
      <c r="B225" t="s">
        <v>65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</row>
    <row r="226" spans="1:60" x14ac:dyDescent="0.3">
      <c r="A226" t="s">
        <v>343</v>
      </c>
      <c r="B226" t="s">
        <v>65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</row>
    <row r="227" spans="1:60" x14ac:dyDescent="0.3">
      <c r="A227" t="s">
        <v>344</v>
      </c>
      <c r="B227" t="s">
        <v>65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</row>
    <row r="228" spans="1:60" x14ac:dyDescent="0.3">
      <c r="A228" t="s">
        <v>345</v>
      </c>
      <c r="B228" t="s">
        <v>65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</row>
    <row r="229" spans="1:60" x14ac:dyDescent="0.3">
      <c r="A229" t="s">
        <v>346</v>
      </c>
      <c r="B229" t="s">
        <v>65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</row>
    <row r="230" spans="1:60" x14ac:dyDescent="0.3">
      <c r="A230" t="s">
        <v>347</v>
      </c>
      <c r="B230" t="s">
        <v>65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</row>
    <row r="231" spans="1:60" x14ac:dyDescent="0.3">
      <c r="A231" t="s">
        <v>348</v>
      </c>
      <c r="B231" t="s">
        <v>65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</row>
    <row r="232" spans="1:60" x14ac:dyDescent="0.3">
      <c r="A232" t="s">
        <v>349</v>
      </c>
      <c r="B232" t="s">
        <v>65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</row>
    <row r="233" spans="1:60" x14ac:dyDescent="0.3">
      <c r="A233" t="s">
        <v>350</v>
      </c>
      <c r="B233" t="s">
        <v>65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</row>
    <row r="234" spans="1:60" x14ac:dyDescent="0.3">
      <c r="A234" t="s">
        <v>351</v>
      </c>
      <c r="B234" t="s">
        <v>65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</row>
    <row r="235" spans="1:60" x14ac:dyDescent="0.3">
      <c r="A235" t="s">
        <v>352</v>
      </c>
      <c r="B235" t="s">
        <v>65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</row>
    <row r="236" spans="1:60" x14ac:dyDescent="0.3">
      <c r="A236" t="s">
        <v>353</v>
      </c>
      <c r="B236" t="s">
        <v>65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</row>
    <row r="237" spans="1:60" x14ac:dyDescent="0.3">
      <c r="A237" t="s">
        <v>354</v>
      </c>
      <c r="B237" t="s">
        <v>65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</row>
    <row r="238" spans="1:60" x14ac:dyDescent="0.3">
      <c r="A238" t="s">
        <v>384</v>
      </c>
      <c r="B238" t="s">
        <v>65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</row>
    <row r="239" spans="1:60" x14ac:dyDescent="0.3">
      <c r="A239" t="s">
        <v>355</v>
      </c>
      <c r="B239" t="s">
        <v>65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</row>
    <row r="240" spans="1:60" x14ac:dyDescent="0.3">
      <c r="A240" t="s">
        <v>385</v>
      </c>
      <c r="B240" t="s">
        <v>65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</row>
    <row r="241" spans="1:60" x14ac:dyDescent="0.3">
      <c r="A241" t="s">
        <v>356</v>
      </c>
      <c r="B241" t="s">
        <v>65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</row>
    <row r="242" spans="1:60" x14ac:dyDescent="0.3">
      <c r="A242" t="s">
        <v>357</v>
      </c>
      <c r="B242" t="s">
        <v>65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</row>
    <row r="243" spans="1:60" x14ac:dyDescent="0.3">
      <c r="A243" t="s">
        <v>358</v>
      </c>
      <c r="B243" t="s">
        <v>65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</row>
    <row r="244" spans="1:60" x14ac:dyDescent="0.3">
      <c r="A244" t="s">
        <v>359</v>
      </c>
      <c r="B244" t="s">
        <v>65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</row>
    <row r="245" spans="1:60" x14ac:dyDescent="0.3">
      <c r="A245" t="s">
        <v>360</v>
      </c>
      <c r="B245" t="s">
        <v>65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</row>
    <row r="246" spans="1:60" x14ac:dyDescent="0.3">
      <c r="A246" t="s">
        <v>361</v>
      </c>
      <c r="B246" t="s">
        <v>65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</row>
    <row r="247" spans="1:60" x14ac:dyDescent="0.3">
      <c r="A247" t="s">
        <v>362</v>
      </c>
      <c r="B247" t="s">
        <v>65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</row>
    <row r="248" spans="1:60" x14ac:dyDescent="0.3">
      <c r="A248" t="s">
        <v>363</v>
      </c>
      <c r="B248" t="s">
        <v>65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</row>
    <row r="249" spans="1:60" x14ac:dyDescent="0.3">
      <c r="A249" t="s">
        <v>261</v>
      </c>
      <c r="B249" t="s">
        <v>65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</row>
    <row r="250" spans="1:60" x14ac:dyDescent="0.3">
      <c r="A250" t="s">
        <v>262</v>
      </c>
      <c r="B250" t="s">
        <v>65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</row>
    <row r="251" spans="1:60" x14ac:dyDescent="0.3">
      <c r="A251" t="s">
        <v>263</v>
      </c>
      <c r="B251" t="s">
        <v>65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</row>
    <row r="252" spans="1:60" x14ac:dyDescent="0.3">
      <c r="A252" t="s">
        <v>264</v>
      </c>
      <c r="B252" t="s">
        <v>65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</row>
    <row r="253" spans="1:60" x14ac:dyDescent="0.3">
      <c r="A253" t="s">
        <v>265</v>
      </c>
      <c r="B253" t="s">
        <v>65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</row>
    <row r="254" spans="1:60" x14ac:dyDescent="0.3">
      <c r="A254" t="s">
        <v>266</v>
      </c>
      <c r="B254" t="s">
        <v>65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</row>
    <row r="255" spans="1:60" x14ac:dyDescent="0.3">
      <c r="A255" t="s">
        <v>267</v>
      </c>
      <c r="B255" t="s">
        <v>65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</row>
    <row r="256" spans="1:60" x14ac:dyDescent="0.3">
      <c r="A256" t="s">
        <v>268</v>
      </c>
      <c r="B256" t="s">
        <v>65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</row>
    <row r="257" spans="1:60" x14ac:dyDescent="0.3">
      <c r="A257" t="s">
        <v>269</v>
      </c>
      <c r="B257" t="s">
        <v>65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</row>
    <row r="258" spans="1:60" x14ac:dyDescent="0.3">
      <c r="A258" t="s">
        <v>259</v>
      </c>
      <c r="B258" t="s">
        <v>65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</row>
    <row r="259" spans="1:60" x14ac:dyDescent="0.3">
      <c r="A259" t="s">
        <v>256</v>
      </c>
      <c r="B259" t="s">
        <v>65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</row>
    <row r="260" spans="1:60" x14ac:dyDescent="0.3">
      <c r="A260" t="s">
        <v>234</v>
      </c>
      <c r="B260" t="s">
        <v>65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</row>
    <row r="261" spans="1:60" x14ac:dyDescent="0.3">
      <c r="A261" t="s">
        <v>235</v>
      </c>
      <c r="B261" t="s">
        <v>65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</row>
    <row r="262" spans="1:60" x14ac:dyDescent="0.3">
      <c r="A262" t="s">
        <v>236</v>
      </c>
      <c r="B262" t="s">
        <v>65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</row>
    <row r="263" spans="1:60" x14ac:dyDescent="0.3">
      <c r="A263" t="s">
        <v>237</v>
      </c>
      <c r="B263" t="s">
        <v>65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</row>
    <row r="264" spans="1:60" x14ac:dyDescent="0.3">
      <c r="A264" t="s">
        <v>238</v>
      </c>
      <c r="B264" t="s">
        <v>65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</row>
    <row r="265" spans="1:60" x14ac:dyDescent="0.3">
      <c r="A265" t="s">
        <v>239</v>
      </c>
      <c r="B265" t="s">
        <v>65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</row>
    <row r="266" spans="1:60" x14ac:dyDescent="0.3">
      <c r="A266" t="s">
        <v>240</v>
      </c>
      <c r="B266" t="s">
        <v>65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</row>
    <row r="267" spans="1:60" x14ac:dyDescent="0.3">
      <c r="A267" t="s">
        <v>241</v>
      </c>
      <c r="B267" t="s">
        <v>65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</row>
    <row r="268" spans="1:60" x14ac:dyDescent="0.3">
      <c r="A268" t="s">
        <v>242</v>
      </c>
      <c r="B268" t="s">
        <v>65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</row>
    <row r="269" spans="1:60" x14ac:dyDescent="0.3">
      <c r="A269" t="s">
        <v>243</v>
      </c>
      <c r="B269" t="s">
        <v>65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</row>
    <row r="270" spans="1:60" x14ac:dyDescent="0.3">
      <c r="A270" t="s">
        <v>244</v>
      </c>
      <c r="B270" t="s">
        <v>65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</row>
    <row r="271" spans="1:60" x14ac:dyDescent="0.3">
      <c r="A271" t="s">
        <v>245</v>
      </c>
      <c r="B271" t="s">
        <v>65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</row>
    <row r="272" spans="1:60" x14ac:dyDescent="0.3">
      <c r="A272" t="s">
        <v>246</v>
      </c>
      <c r="B272" t="s">
        <v>65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</row>
    <row r="273" spans="1:60" x14ac:dyDescent="0.3">
      <c r="A273" t="s">
        <v>247</v>
      </c>
      <c r="B273" t="s">
        <v>65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</row>
    <row r="274" spans="1:60" x14ac:dyDescent="0.3">
      <c r="A274" t="s">
        <v>248</v>
      </c>
      <c r="B274" t="s">
        <v>65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</row>
    <row r="275" spans="1:60" x14ac:dyDescent="0.3">
      <c r="A275" t="s">
        <v>249</v>
      </c>
      <c r="B275" t="s">
        <v>65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</row>
    <row r="276" spans="1:60" x14ac:dyDescent="0.3">
      <c r="A276" t="s">
        <v>250</v>
      </c>
      <c r="B276" t="s">
        <v>65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</row>
    <row r="277" spans="1:60" x14ac:dyDescent="0.3">
      <c r="A277" t="s">
        <v>251</v>
      </c>
      <c r="B277" t="s">
        <v>65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</row>
    <row r="278" spans="1:60" x14ac:dyDescent="0.3">
      <c r="A278" t="s">
        <v>252</v>
      </c>
      <c r="B278" t="s">
        <v>65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</row>
    <row r="279" spans="1:60" x14ac:dyDescent="0.3">
      <c r="A279" t="s">
        <v>230</v>
      </c>
      <c r="B279" t="s">
        <v>65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</row>
    <row r="280" spans="1:60" x14ac:dyDescent="0.3">
      <c r="A280" t="s">
        <v>231</v>
      </c>
      <c r="B280" t="s">
        <v>65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</row>
    <row r="281" spans="1:60" x14ac:dyDescent="0.3">
      <c r="A281" t="s">
        <v>232</v>
      </c>
      <c r="B281" t="s">
        <v>65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</row>
    <row r="282" spans="1:60" x14ac:dyDescent="0.3">
      <c r="A282" t="s">
        <v>228</v>
      </c>
      <c r="B282" t="s">
        <v>65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</row>
    <row r="283" spans="1:60" x14ac:dyDescent="0.3">
      <c r="A283" t="s">
        <v>208</v>
      </c>
      <c r="B283" t="s">
        <v>65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</row>
    <row r="284" spans="1:60" x14ac:dyDescent="0.3">
      <c r="A284" t="s">
        <v>209</v>
      </c>
      <c r="B284" t="s">
        <v>65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</row>
    <row r="285" spans="1:60" x14ac:dyDescent="0.3">
      <c r="A285" t="s">
        <v>210</v>
      </c>
      <c r="B285" t="s">
        <v>65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1</v>
      </c>
      <c r="AZ285">
        <v>1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</row>
    <row r="286" spans="1:60" x14ac:dyDescent="0.3">
      <c r="A286" t="s">
        <v>211</v>
      </c>
      <c r="B286" t="s">
        <v>65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</row>
    <row r="287" spans="1:60" x14ac:dyDescent="0.3">
      <c r="A287" t="s">
        <v>212</v>
      </c>
      <c r="B287" t="s">
        <v>65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</row>
    <row r="288" spans="1:60" x14ac:dyDescent="0.3">
      <c r="A288" t="s">
        <v>213</v>
      </c>
      <c r="B288" t="s">
        <v>65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</row>
    <row r="289" spans="1:60" x14ac:dyDescent="0.3">
      <c r="A289" t="s">
        <v>214</v>
      </c>
      <c r="B289" t="s">
        <v>65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</row>
    <row r="290" spans="1:60" x14ac:dyDescent="0.3">
      <c r="A290" t="s">
        <v>215</v>
      </c>
      <c r="B290" t="s">
        <v>65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</row>
    <row r="291" spans="1:60" x14ac:dyDescent="0.3">
      <c r="A291" t="s">
        <v>216</v>
      </c>
      <c r="B291" t="s">
        <v>65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</row>
    <row r="292" spans="1:60" x14ac:dyDescent="0.3">
      <c r="A292" t="s">
        <v>217</v>
      </c>
      <c r="B292" t="s">
        <v>65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</row>
    <row r="293" spans="1:60" x14ac:dyDescent="0.3">
      <c r="A293" t="s">
        <v>218</v>
      </c>
      <c r="B293" t="s">
        <v>65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</row>
    <row r="294" spans="1:60" x14ac:dyDescent="0.3">
      <c r="A294" t="s">
        <v>219</v>
      </c>
      <c r="B294" t="s">
        <v>65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</row>
    <row r="295" spans="1:60" x14ac:dyDescent="0.3">
      <c r="A295" t="s">
        <v>462</v>
      </c>
      <c r="B295" t="s">
        <v>65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</row>
    <row r="296" spans="1:60" x14ac:dyDescent="0.3">
      <c r="A296" t="s">
        <v>220</v>
      </c>
      <c r="B296" t="s">
        <v>65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</row>
    <row r="297" spans="1:60" x14ac:dyDescent="0.3">
      <c r="A297" t="s">
        <v>221</v>
      </c>
      <c r="B297" t="s">
        <v>65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</row>
    <row r="298" spans="1:60" x14ac:dyDescent="0.3">
      <c r="A298" t="s">
        <v>222</v>
      </c>
      <c r="B298" t="s">
        <v>65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</row>
    <row r="299" spans="1:60" x14ac:dyDescent="0.3">
      <c r="A299" t="s">
        <v>223</v>
      </c>
      <c r="B299" t="s">
        <v>65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</row>
    <row r="300" spans="1:60" x14ac:dyDescent="0.3">
      <c r="A300" t="s">
        <v>224</v>
      </c>
      <c r="B300" t="s">
        <v>65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</row>
    <row r="301" spans="1:60" x14ac:dyDescent="0.3">
      <c r="A301" t="s">
        <v>225</v>
      </c>
      <c r="B301" t="s">
        <v>65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</row>
    <row r="302" spans="1:60" x14ac:dyDescent="0.3">
      <c r="A302" t="s">
        <v>205</v>
      </c>
      <c r="B302" t="s">
        <v>65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</row>
    <row r="303" spans="1:60" x14ac:dyDescent="0.3">
      <c r="A303" t="s">
        <v>206</v>
      </c>
      <c r="B303" t="s">
        <v>65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</row>
    <row r="304" spans="1:60" x14ac:dyDescent="0.3">
      <c r="A304" t="s">
        <v>191</v>
      </c>
      <c r="B304" t="s">
        <v>65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</row>
    <row r="305" spans="1:60" x14ac:dyDescent="0.3">
      <c r="A305" t="s">
        <v>192</v>
      </c>
      <c r="B305" t="s">
        <v>65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</row>
    <row r="306" spans="1:60" x14ac:dyDescent="0.3">
      <c r="A306" t="s">
        <v>193</v>
      </c>
      <c r="B306" t="s">
        <v>65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</row>
    <row r="307" spans="1:60" x14ac:dyDescent="0.3">
      <c r="A307" t="s">
        <v>194</v>
      </c>
      <c r="B307" t="s">
        <v>65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</row>
    <row r="308" spans="1:60" x14ac:dyDescent="0.3">
      <c r="A308" t="s">
        <v>195</v>
      </c>
      <c r="B308" t="s">
        <v>65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</row>
    <row r="309" spans="1:60" x14ac:dyDescent="0.3">
      <c r="A309" t="s">
        <v>196</v>
      </c>
      <c r="B309" t="s">
        <v>65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</row>
    <row r="310" spans="1:60" x14ac:dyDescent="0.3">
      <c r="A310" t="s">
        <v>197</v>
      </c>
      <c r="B310" t="s">
        <v>65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</row>
    <row r="311" spans="1:60" x14ac:dyDescent="0.3">
      <c r="A311" t="s">
        <v>198</v>
      </c>
      <c r="B311" t="s">
        <v>65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</row>
    <row r="312" spans="1:60" x14ac:dyDescent="0.3">
      <c r="A312" t="s">
        <v>199</v>
      </c>
      <c r="B312" t="s">
        <v>65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</row>
    <row r="313" spans="1:60" x14ac:dyDescent="0.3">
      <c r="A313" t="s">
        <v>200</v>
      </c>
      <c r="B313" t="s">
        <v>65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</row>
    <row r="314" spans="1:60" x14ac:dyDescent="0.3">
      <c r="A314" t="s">
        <v>201</v>
      </c>
      <c r="B314" t="s">
        <v>65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</row>
    <row r="315" spans="1:60" x14ac:dyDescent="0.3">
      <c r="A315" t="s">
        <v>202</v>
      </c>
      <c r="B315" t="s">
        <v>65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</row>
    <row r="316" spans="1:60" x14ac:dyDescent="0.3">
      <c r="A316" t="s">
        <v>173</v>
      </c>
      <c r="B316" t="s">
        <v>65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</row>
    <row r="317" spans="1:60" x14ac:dyDescent="0.3">
      <c r="A317" t="s">
        <v>174</v>
      </c>
      <c r="B317" t="s">
        <v>65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</row>
    <row r="318" spans="1:60" x14ac:dyDescent="0.3">
      <c r="A318" t="s">
        <v>175</v>
      </c>
      <c r="B318" t="s">
        <v>65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1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</row>
    <row r="319" spans="1:60" x14ac:dyDescent="0.3">
      <c r="A319" t="s">
        <v>176</v>
      </c>
      <c r="B319" t="s">
        <v>65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1</v>
      </c>
      <c r="AZ319">
        <v>1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</row>
    <row r="320" spans="1:60" x14ac:dyDescent="0.3">
      <c r="A320" t="s">
        <v>177</v>
      </c>
      <c r="B320" t="s">
        <v>65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</row>
    <row r="321" spans="1:60" x14ac:dyDescent="0.3">
      <c r="A321" t="s">
        <v>178</v>
      </c>
      <c r="B321" t="s">
        <v>65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</row>
    <row r="322" spans="1:60" x14ac:dyDescent="0.3">
      <c r="A322" t="s">
        <v>179</v>
      </c>
      <c r="B322" t="s">
        <v>65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</row>
    <row r="323" spans="1:60" x14ac:dyDescent="0.3">
      <c r="A323" t="s">
        <v>180</v>
      </c>
      <c r="B323" t="s">
        <v>65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</row>
    <row r="324" spans="1:60" x14ac:dyDescent="0.3">
      <c r="A324" t="s">
        <v>181</v>
      </c>
      <c r="B324" t="s">
        <v>65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</row>
    <row r="325" spans="1:60" x14ac:dyDescent="0.3">
      <c r="A325" t="s">
        <v>182</v>
      </c>
      <c r="B325" t="s">
        <v>65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</row>
    <row r="326" spans="1:60" x14ac:dyDescent="0.3">
      <c r="A326" t="s">
        <v>169</v>
      </c>
      <c r="B326" t="s">
        <v>65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</row>
    <row r="327" spans="1:60" x14ac:dyDescent="0.3">
      <c r="A327" t="s">
        <v>170</v>
      </c>
      <c r="B327" t="s">
        <v>65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</row>
    <row r="328" spans="1:60" x14ac:dyDescent="0.3">
      <c r="A328" t="s">
        <v>171</v>
      </c>
      <c r="B328" t="s">
        <v>65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</row>
    <row r="329" spans="1:60" x14ac:dyDescent="0.3">
      <c r="A329" t="s">
        <v>166</v>
      </c>
      <c r="B329" t="s">
        <v>65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</row>
    <row r="330" spans="1:60" x14ac:dyDescent="0.3">
      <c r="A330" t="s">
        <v>158</v>
      </c>
      <c r="B330" t="s">
        <v>65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</row>
    <row r="331" spans="1:60" x14ac:dyDescent="0.3">
      <c r="A331" t="s">
        <v>153</v>
      </c>
      <c r="B331" t="s">
        <v>65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</row>
    <row r="332" spans="1:60" x14ac:dyDescent="0.3">
      <c r="A332" t="s">
        <v>154</v>
      </c>
      <c r="B332" t="s">
        <v>65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</row>
    <row r="333" spans="1:60" x14ac:dyDescent="0.3">
      <c r="A333" t="s">
        <v>155</v>
      </c>
      <c r="B333" t="s">
        <v>65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</row>
    <row r="334" spans="1:60" x14ac:dyDescent="0.3">
      <c r="A334" t="s">
        <v>386</v>
      </c>
      <c r="B334" t="s">
        <v>65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</row>
    <row r="335" spans="1:60" x14ac:dyDescent="0.3">
      <c r="A335" t="s">
        <v>142</v>
      </c>
      <c r="B335" t="s">
        <v>65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</row>
    <row r="336" spans="1:60" x14ac:dyDescent="0.3">
      <c r="A336" t="s">
        <v>143</v>
      </c>
      <c r="B336" t="s">
        <v>65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</row>
    <row r="337" spans="1:60" x14ac:dyDescent="0.3">
      <c r="A337" t="s">
        <v>144</v>
      </c>
      <c r="B337" t="s">
        <v>65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1</v>
      </c>
      <c r="AV337">
        <v>1</v>
      </c>
      <c r="AW337">
        <v>1</v>
      </c>
      <c r="AX337">
        <v>1</v>
      </c>
      <c r="AY337">
        <v>1</v>
      </c>
      <c r="AZ337">
        <v>1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</row>
    <row r="338" spans="1:60" x14ac:dyDescent="0.3">
      <c r="A338" t="s">
        <v>145</v>
      </c>
      <c r="B338" t="s">
        <v>65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</row>
    <row r="339" spans="1:60" x14ac:dyDescent="0.3">
      <c r="A339" t="s">
        <v>146</v>
      </c>
      <c r="B339" t="s">
        <v>65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</row>
    <row r="340" spans="1:60" x14ac:dyDescent="0.3">
      <c r="A340" t="s">
        <v>147</v>
      </c>
      <c r="B340" t="s">
        <v>65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</row>
    <row r="341" spans="1:60" x14ac:dyDescent="0.3">
      <c r="A341" t="s">
        <v>148</v>
      </c>
      <c r="B341" t="s">
        <v>65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</row>
    <row r="342" spans="1:60" x14ac:dyDescent="0.3">
      <c r="A342" t="s">
        <v>149</v>
      </c>
      <c r="B342" t="s">
        <v>65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</row>
    <row r="343" spans="1:60" x14ac:dyDescent="0.3">
      <c r="A343" t="s">
        <v>129</v>
      </c>
      <c r="B343" t="s">
        <v>65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1</v>
      </c>
      <c r="AT343">
        <v>1</v>
      </c>
      <c r="AU343">
        <v>1</v>
      </c>
      <c r="AV343">
        <v>1</v>
      </c>
      <c r="AW343">
        <v>1</v>
      </c>
      <c r="AX343">
        <v>1</v>
      </c>
      <c r="AY343">
        <v>1</v>
      </c>
      <c r="AZ343">
        <v>1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</row>
    <row r="344" spans="1:60" x14ac:dyDescent="0.3">
      <c r="A344" t="s">
        <v>95</v>
      </c>
      <c r="B344" t="s">
        <v>65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</row>
    <row r="345" spans="1:60" x14ac:dyDescent="0.3">
      <c r="A345" t="s">
        <v>96</v>
      </c>
      <c r="B345" t="s">
        <v>65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</row>
    <row r="346" spans="1:60" x14ac:dyDescent="0.3">
      <c r="A346" t="s">
        <v>91</v>
      </c>
      <c r="B346" t="s">
        <v>65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</row>
    <row r="347" spans="1:60" x14ac:dyDescent="0.3">
      <c r="A347" t="s">
        <v>89</v>
      </c>
      <c r="B347" t="s">
        <v>65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</row>
    <row r="348" spans="1:60" x14ac:dyDescent="0.3">
      <c r="A348" t="s">
        <v>73</v>
      </c>
      <c r="B348" t="s">
        <v>65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</row>
    <row r="349" spans="1:60" x14ac:dyDescent="0.3">
      <c r="A349" t="s">
        <v>64</v>
      </c>
      <c r="B349" t="s">
        <v>65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1</v>
      </c>
      <c r="AR349">
        <v>1</v>
      </c>
      <c r="AS349">
        <v>5</v>
      </c>
      <c r="AT349">
        <v>6</v>
      </c>
      <c r="AU349">
        <v>9</v>
      </c>
      <c r="AV349">
        <v>10</v>
      </c>
      <c r="AW349">
        <v>12</v>
      </c>
      <c r="AX349">
        <v>15</v>
      </c>
      <c r="AY349">
        <v>17</v>
      </c>
      <c r="AZ349">
        <v>17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</row>
    <row r="350" spans="1:60" x14ac:dyDescent="0.3">
      <c r="A350" t="s">
        <v>66</v>
      </c>
      <c r="B350" t="s">
        <v>65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</row>
    <row r="351" spans="1:60" x14ac:dyDescent="0.3">
      <c r="A351" t="s">
        <v>387</v>
      </c>
      <c r="B351" t="s">
        <v>65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</row>
    <row r="352" spans="1:60" x14ac:dyDescent="0.3">
      <c r="A352" t="s">
        <v>388</v>
      </c>
      <c r="B352" t="s">
        <v>65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</row>
    <row r="353" spans="1:60" x14ac:dyDescent="0.3">
      <c r="A353" t="s">
        <v>389</v>
      </c>
      <c r="B353" t="s">
        <v>65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</row>
    <row r="354" spans="1:60" x14ac:dyDescent="0.3">
      <c r="A354" t="s">
        <v>390</v>
      </c>
      <c r="B354" t="s">
        <v>65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</row>
    <row r="355" spans="1:60" x14ac:dyDescent="0.3">
      <c r="A355" t="s">
        <v>391</v>
      </c>
      <c r="B355" t="s">
        <v>65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</row>
    <row r="356" spans="1:60" x14ac:dyDescent="0.3">
      <c r="A356" t="s">
        <v>392</v>
      </c>
      <c r="B356" t="s">
        <v>65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</row>
    <row r="357" spans="1:60" x14ac:dyDescent="0.3">
      <c r="A357" t="s">
        <v>393</v>
      </c>
      <c r="B357" t="s">
        <v>65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</row>
    <row r="358" spans="1:60" x14ac:dyDescent="0.3">
      <c r="A358" t="s">
        <v>394</v>
      </c>
      <c r="B358" t="s">
        <v>65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</row>
    <row r="359" spans="1:60" x14ac:dyDescent="0.3">
      <c r="A359" t="s">
        <v>395</v>
      </c>
      <c r="B359" t="s">
        <v>65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</row>
    <row r="360" spans="1:60" x14ac:dyDescent="0.3">
      <c r="A360" t="s">
        <v>396</v>
      </c>
      <c r="B360" t="s">
        <v>65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</row>
    <row r="361" spans="1:60" x14ac:dyDescent="0.3">
      <c r="A361" t="s">
        <v>397</v>
      </c>
      <c r="B361" t="s">
        <v>65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</row>
    <row r="362" spans="1:60" x14ac:dyDescent="0.3">
      <c r="A362" t="s">
        <v>398</v>
      </c>
      <c r="B362" t="s">
        <v>65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</row>
    <row r="363" spans="1:60" x14ac:dyDescent="0.3">
      <c r="A363" t="s">
        <v>399</v>
      </c>
      <c r="B363" t="s">
        <v>65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</row>
    <row r="364" spans="1:60" x14ac:dyDescent="0.3">
      <c r="A364" t="s">
        <v>400</v>
      </c>
      <c r="B364" t="s">
        <v>65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</row>
    <row r="365" spans="1:60" x14ac:dyDescent="0.3">
      <c r="A365" t="s">
        <v>401</v>
      </c>
      <c r="B365" t="s">
        <v>65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</row>
    <row r="366" spans="1:60" x14ac:dyDescent="0.3">
      <c r="A366" t="s">
        <v>402</v>
      </c>
      <c r="B366" t="s">
        <v>65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</row>
    <row r="367" spans="1:60" x14ac:dyDescent="0.3">
      <c r="A367" t="s">
        <v>403</v>
      </c>
      <c r="B367" t="s">
        <v>65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</row>
    <row r="368" spans="1:60" x14ac:dyDescent="0.3">
      <c r="A368" t="s">
        <v>404</v>
      </c>
      <c r="B368" t="s">
        <v>65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</row>
    <row r="369" spans="1:60" x14ac:dyDescent="0.3">
      <c r="A369" t="s">
        <v>405</v>
      </c>
      <c r="B369" t="s">
        <v>65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</row>
    <row r="370" spans="1:60" x14ac:dyDescent="0.3">
      <c r="A370" t="s">
        <v>406</v>
      </c>
      <c r="B370" t="s">
        <v>65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</row>
    <row r="371" spans="1:60" x14ac:dyDescent="0.3">
      <c r="A371" t="s">
        <v>407</v>
      </c>
      <c r="B371" t="s">
        <v>65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</row>
    <row r="372" spans="1:60" x14ac:dyDescent="0.3">
      <c r="A372" t="s">
        <v>408</v>
      </c>
      <c r="B372" t="s">
        <v>65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</row>
    <row r="373" spans="1:60" x14ac:dyDescent="0.3">
      <c r="A373" t="s">
        <v>409</v>
      </c>
      <c r="B373" t="s">
        <v>65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</row>
    <row r="374" spans="1:60" x14ac:dyDescent="0.3">
      <c r="A374" t="s">
        <v>410</v>
      </c>
      <c r="B374" t="s">
        <v>65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</row>
    <row r="375" spans="1:60" x14ac:dyDescent="0.3">
      <c r="A375" t="s">
        <v>411</v>
      </c>
      <c r="B375" t="s">
        <v>65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</row>
    <row r="376" spans="1:60" x14ac:dyDescent="0.3">
      <c r="A376" t="s">
        <v>412</v>
      </c>
      <c r="B376" t="s">
        <v>65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</row>
    <row r="377" spans="1:60" x14ac:dyDescent="0.3">
      <c r="A377" t="s">
        <v>413</v>
      </c>
      <c r="B377" t="s">
        <v>65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</row>
    <row r="378" spans="1:60" x14ac:dyDescent="0.3">
      <c r="A378" t="s">
        <v>414</v>
      </c>
      <c r="B378" t="s">
        <v>65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</row>
    <row r="379" spans="1:60" x14ac:dyDescent="0.3">
      <c r="A379" t="s">
        <v>415</v>
      </c>
      <c r="B379" t="s">
        <v>65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</row>
    <row r="380" spans="1:60" x14ac:dyDescent="0.3">
      <c r="A380" t="s">
        <v>416</v>
      </c>
      <c r="B380" t="s">
        <v>65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</row>
    <row r="381" spans="1:60" x14ac:dyDescent="0.3">
      <c r="A381" t="s">
        <v>417</v>
      </c>
      <c r="B381" t="s">
        <v>65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</row>
    <row r="382" spans="1:60" x14ac:dyDescent="0.3">
      <c r="A382" t="s">
        <v>418</v>
      </c>
      <c r="B382" t="s">
        <v>65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</row>
    <row r="383" spans="1:60" x14ac:dyDescent="0.3">
      <c r="A383" t="s">
        <v>419</v>
      </c>
      <c r="B383" t="s">
        <v>65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</row>
    <row r="384" spans="1:60" x14ac:dyDescent="0.3">
      <c r="A384" t="s">
        <v>420</v>
      </c>
      <c r="B384" t="s">
        <v>65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</row>
    <row r="385" spans="1:60" x14ac:dyDescent="0.3">
      <c r="A385" t="s">
        <v>421</v>
      </c>
      <c r="B385" t="s">
        <v>65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</row>
    <row r="386" spans="1:60" x14ac:dyDescent="0.3">
      <c r="A386" t="s">
        <v>422</v>
      </c>
      <c r="B386" t="s">
        <v>65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</row>
    <row r="387" spans="1:60" x14ac:dyDescent="0.3">
      <c r="A387" t="s">
        <v>423</v>
      </c>
      <c r="B387" t="s">
        <v>65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</row>
    <row r="388" spans="1:60" x14ac:dyDescent="0.3">
      <c r="A388" t="s">
        <v>424</v>
      </c>
      <c r="B388" t="s">
        <v>65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</row>
    <row r="389" spans="1:60" x14ac:dyDescent="0.3">
      <c r="A389" t="s">
        <v>425</v>
      </c>
      <c r="B389" t="s">
        <v>65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</row>
    <row r="390" spans="1:60" x14ac:dyDescent="0.3">
      <c r="A390" t="s">
        <v>426</v>
      </c>
      <c r="B390" t="s">
        <v>65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</row>
    <row r="391" spans="1:60" x14ac:dyDescent="0.3">
      <c r="A391" t="s">
        <v>427</v>
      </c>
      <c r="B391" t="s">
        <v>65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</row>
    <row r="392" spans="1:60" x14ac:dyDescent="0.3">
      <c r="A392" t="s">
        <v>428</v>
      </c>
      <c r="B392" t="s">
        <v>65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</row>
    <row r="393" spans="1:60" x14ac:dyDescent="0.3">
      <c r="A393" t="s">
        <v>429</v>
      </c>
      <c r="B393" t="s">
        <v>65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</row>
    <row r="394" spans="1:60" x14ac:dyDescent="0.3">
      <c r="A394" t="s">
        <v>430</v>
      </c>
      <c r="B394" t="s">
        <v>65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</row>
    <row r="395" spans="1:60" x14ac:dyDescent="0.3">
      <c r="A395" t="s">
        <v>431</v>
      </c>
      <c r="B395" t="s">
        <v>65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</row>
    <row r="396" spans="1:60" x14ac:dyDescent="0.3">
      <c r="A396" t="s">
        <v>432</v>
      </c>
      <c r="B396" t="s">
        <v>65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</row>
    <row r="397" spans="1:60" x14ac:dyDescent="0.3">
      <c r="A397" t="s">
        <v>433</v>
      </c>
      <c r="B397" t="s">
        <v>65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</row>
    <row r="398" spans="1:60" x14ac:dyDescent="0.3">
      <c r="A398" t="s">
        <v>434</v>
      </c>
      <c r="B398" t="s">
        <v>65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</row>
    <row r="399" spans="1:60" x14ac:dyDescent="0.3">
      <c r="A399" t="s">
        <v>435</v>
      </c>
      <c r="B399" t="s">
        <v>65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</row>
    <row r="400" spans="1:60" x14ac:dyDescent="0.3">
      <c r="A400" t="s">
        <v>436</v>
      </c>
      <c r="B400" t="s">
        <v>65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</row>
    <row r="401" spans="1:61" x14ac:dyDescent="0.3">
      <c r="A401" t="s">
        <v>437</v>
      </c>
      <c r="B401" t="s">
        <v>65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</row>
    <row r="402" spans="1:61" x14ac:dyDescent="0.3">
      <c r="B402" t="s">
        <v>438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</row>
    <row r="403" spans="1:61" x14ac:dyDescent="0.3">
      <c r="B403" t="s">
        <v>439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1</v>
      </c>
      <c r="BD403">
        <v>1</v>
      </c>
      <c r="BE403">
        <v>1</v>
      </c>
      <c r="BF403">
        <v>1</v>
      </c>
      <c r="BG403">
        <v>1</v>
      </c>
      <c r="BH403">
        <v>1</v>
      </c>
    </row>
    <row r="404" spans="1:61" x14ac:dyDescent="0.3">
      <c r="A404" t="s">
        <v>440</v>
      </c>
      <c r="B404" t="s">
        <v>75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</row>
    <row r="405" spans="1:61" x14ac:dyDescent="0.3">
      <c r="A405" t="s">
        <v>377</v>
      </c>
      <c r="B405" t="s">
        <v>377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1</v>
      </c>
      <c r="AW405">
        <v>2</v>
      </c>
      <c r="AX405">
        <v>2</v>
      </c>
      <c r="AY405">
        <v>3</v>
      </c>
      <c r="AZ405">
        <v>4</v>
      </c>
      <c r="BA405">
        <v>6</v>
      </c>
      <c r="BB405">
        <v>8</v>
      </c>
      <c r="BC405">
        <v>8</v>
      </c>
      <c r="BD405">
        <v>8</v>
      </c>
      <c r="BE405">
        <v>21</v>
      </c>
      <c r="BF405">
        <v>21</v>
      </c>
      <c r="BG405">
        <v>55</v>
      </c>
      <c r="BH405">
        <v>55</v>
      </c>
      <c r="BI405">
        <v>104</v>
      </c>
    </row>
    <row r="406" spans="1:61" x14ac:dyDescent="0.3">
      <c r="B406" t="s">
        <v>441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</row>
    <row r="407" spans="1:61" x14ac:dyDescent="0.3">
      <c r="A407" t="s">
        <v>442</v>
      </c>
      <c r="B407" t="s">
        <v>68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</row>
    <row r="408" spans="1:61" x14ac:dyDescent="0.3">
      <c r="A408" t="s">
        <v>445</v>
      </c>
      <c r="B408" t="s">
        <v>72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</row>
    <row r="409" spans="1:61" x14ac:dyDescent="0.3">
      <c r="A409" t="s">
        <v>446</v>
      </c>
      <c r="B409" t="s">
        <v>72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</row>
    <row r="410" spans="1:61" x14ac:dyDescent="0.3">
      <c r="B410" t="s">
        <v>447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</row>
    <row r="411" spans="1:61" x14ac:dyDescent="0.3">
      <c r="B411" t="s">
        <v>448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1</v>
      </c>
      <c r="BE411">
        <v>1</v>
      </c>
      <c r="BF411">
        <v>1</v>
      </c>
      <c r="BG411">
        <v>1</v>
      </c>
      <c r="BH411">
        <v>1</v>
      </c>
    </row>
    <row r="412" spans="1:61" x14ac:dyDescent="0.3">
      <c r="B412" t="s">
        <v>449</v>
      </c>
      <c r="C412">
        <v>9.9456000000000007</v>
      </c>
      <c r="D412">
        <v>-9.6966000000000001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</row>
    <row r="413" spans="1:61" x14ac:dyDescent="0.3">
      <c r="B413" t="s">
        <v>450</v>
      </c>
      <c r="C413">
        <v>12.521100000000001</v>
      </c>
      <c r="D413">
        <v>-69.968299999999999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</row>
    <row r="414" spans="1:61" x14ac:dyDescent="0.3">
      <c r="A414" t="s">
        <v>276</v>
      </c>
      <c r="B414" t="s">
        <v>72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</row>
    <row r="415" spans="1:61" x14ac:dyDescent="0.3">
      <c r="B415" t="s">
        <v>451</v>
      </c>
      <c r="C415">
        <v>-2.3599999999999999E-2</v>
      </c>
      <c r="D415">
        <v>37.906199999999998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</row>
    <row r="416" spans="1:61" x14ac:dyDescent="0.3">
      <c r="B416" t="s">
        <v>452</v>
      </c>
      <c r="C416">
        <v>17.0608</v>
      </c>
      <c r="D416">
        <v>-61.796399999999998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</row>
    <row r="417" spans="1:60" x14ac:dyDescent="0.3">
      <c r="A417" t="s">
        <v>453</v>
      </c>
      <c r="B417" t="s">
        <v>65</v>
      </c>
      <c r="C417">
        <v>32.318199999999997</v>
      </c>
      <c r="D417">
        <v>-86.902299999999997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</row>
    <row r="418" spans="1:60" x14ac:dyDescent="0.3">
      <c r="B418" t="s">
        <v>463</v>
      </c>
      <c r="C418">
        <v>-32.522799999999997</v>
      </c>
      <c r="D418">
        <v>-55.765799999999999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</row>
    <row r="419" spans="1:60" x14ac:dyDescent="0.3">
      <c r="B419" t="s">
        <v>464</v>
      </c>
      <c r="C419">
        <v>7.9465000000000003</v>
      </c>
      <c r="D419">
        <v>-1.0232000000000001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</row>
    <row r="420" spans="1:60" x14ac:dyDescent="0.3">
      <c r="A420" t="s">
        <v>465</v>
      </c>
      <c r="B420" t="s">
        <v>65</v>
      </c>
      <c r="C420">
        <v>18.220800000000001</v>
      </c>
      <c r="D420">
        <v>-66.590100000000007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</row>
    <row r="421" spans="1:60" x14ac:dyDescent="0.3">
      <c r="B421" t="s">
        <v>466</v>
      </c>
      <c r="C421">
        <v>49.19</v>
      </c>
      <c r="D421">
        <v>-2.11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</row>
    <row r="422" spans="1:60" x14ac:dyDescent="0.3">
      <c r="B422" t="s">
        <v>467</v>
      </c>
      <c r="C422">
        <v>-22.957599999999999</v>
      </c>
      <c r="D422">
        <v>18.490400000000001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</row>
    <row r="423" spans="1:60" x14ac:dyDescent="0.3">
      <c r="B423" t="s">
        <v>468</v>
      </c>
      <c r="C423">
        <v>-4.6795999999999998</v>
      </c>
      <c r="D423">
        <v>55.491999999999997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</row>
    <row r="424" spans="1:60" x14ac:dyDescent="0.3">
      <c r="B424" t="s">
        <v>469</v>
      </c>
      <c r="C424">
        <v>10.691800000000001</v>
      </c>
      <c r="D424">
        <v>-61.222499999999997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</row>
    <row r="425" spans="1:60" x14ac:dyDescent="0.3">
      <c r="B425" t="s">
        <v>470</v>
      </c>
      <c r="C425">
        <v>6.4238</v>
      </c>
      <c r="D425">
        <v>-66.589699999999993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</row>
    <row r="426" spans="1:60" x14ac:dyDescent="0.3">
      <c r="B426" t="s">
        <v>472</v>
      </c>
      <c r="C426">
        <v>-26.522500000000001</v>
      </c>
      <c r="D426">
        <v>31.465900000000001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</row>
    <row r="427" spans="1:60" x14ac:dyDescent="0.3">
      <c r="B427" t="s">
        <v>473</v>
      </c>
      <c r="C427">
        <v>-0.80369999999999997</v>
      </c>
      <c r="D427">
        <v>11.609400000000001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</row>
    <row r="428" spans="1:60" x14ac:dyDescent="0.3">
      <c r="B428" t="s">
        <v>474</v>
      </c>
      <c r="C428">
        <v>15.7835</v>
      </c>
      <c r="D428">
        <v>-90.230800000000002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1</v>
      </c>
      <c r="BH428">
        <v>1</v>
      </c>
    </row>
    <row r="429" spans="1:60" x14ac:dyDescent="0.3">
      <c r="B429" t="s">
        <v>475</v>
      </c>
      <c r="C429">
        <v>49.45</v>
      </c>
      <c r="D429">
        <v>-2.58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</row>
    <row r="430" spans="1:60" x14ac:dyDescent="0.3">
      <c r="B430" t="s">
        <v>476</v>
      </c>
      <c r="C430">
        <v>21.007899999999999</v>
      </c>
      <c r="D430">
        <v>10.940799999999999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</row>
    <row r="431" spans="1:60" x14ac:dyDescent="0.3">
      <c r="B431" t="s">
        <v>477</v>
      </c>
      <c r="C431">
        <v>-1.9402999999999999</v>
      </c>
      <c r="D431">
        <v>29.873899999999999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</row>
    <row r="432" spans="1:60" x14ac:dyDescent="0.3">
      <c r="B432" t="s">
        <v>478</v>
      </c>
      <c r="C432">
        <v>13.9094</v>
      </c>
      <c r="D432">
        <v>-60.978900000000003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</row>
    <row r="433" spans="1:60" x14ac:dyDescent="0.3">
      <c r="B433" t="s">
        <v>479</v>
      </c>
      <c r="C433">
        <v>12.984299999999999</v>
      </c>
      <c r="D433">
        <v>-61.287199999999999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</row>
    <row r="434" spans="1:60" x14ac:dyDescent="0.3">
      <c r="B434" t="s">
        <v>480</v>
      </c>
      <c r="C434">
        <v>3.9192999999999998</v>
      </c>
      <c r="D434">
        <v>-56.027799999999999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</row>
    <row r="435" spans="1:60" x14ac:dyDescent="0.3">
      <c r="A435" t="s">
        <v>203</v>
      </c>
      <c r="B435" t="s">
        <v>68</v>
      </c>
      <c r="C435">
        <v>3.9339</v>
      </c>
      <c r="D435">
        <v>-53.125799999999998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</row>
    <row r="436" spans="1:60" x14ac:dyDescent="0.3">
      <c r="A436" t="s">
        <v>491</v>
      </c>
      <c r="B436" t="s">
        <v>65</v>
      </c>
      <c r="C436">
        <v>13.4443</v>
      </c>
      <c r="D436">
        <v>144.7937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</row>
    <row r="437" spans="1:60" x14ac:dyDescent="0.3">
      <c r="B437" t="s">
        <v>492</v>
      </c>
      <c r="C437">
        <v>42.602600000000002</v>
      </c>
      <c r="D437">
        <v>20.902999999999999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</row>
    <row r="438" spans="1:60" x14ac:dyDescent="0.3">
      <c r="A438" t="s">
        <v>493</v>
      </c>
      <c r="B438" t="s">
        <v>72</v>
      </c>
      <c r="C438">
        <v>53.1355</v>
      </c>
      <c r="D438">
        <v>-57.660400000000003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</row>
    <row r="439" spans="1:60" x14ac:dyDescent="0.3">
      <c r="A439" t="s">
        <v>494</v>
      </c>
      <c r="B439" t="s">
        <v>72</v>
      </c>
      <c r="C439">
        <v>46.5107</v>
      </c>
      <c r="D439">
        <v>-63.416800000000002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</row>
    <row r="440" spans="1:60" x14ac:dyDescent="0.3">
      <c r="B440" t="s">
        <v>495</v>
      </c>
      <c r="C440">
        <v>6.6111000000000004</v>
      </c>
      <c r="D440">
        <v>20.939399999999999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</row>
    <row r="441" spans="1:60" x14ac:dyDescent="0.3">
      <c r="B441" t="s">
        <v>496</v>
      </c>
      <c r="C441">
        <v>-4.0382999999999996</v>
      </c>
      <c r="D441">
        <v>21.758700000000001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</row>
    <row r="442" spans="1:60" x14ac:dyDescent="0.3">
      <c r="B442" t="s">
        <v>497</v>
      </c>
      <c r="C442">
        <v>1.5</v>
      </c>
      <c r="D442">
        <v>10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</row>
    <row r="443" spans="1:60" x14ac:dyDescent="0.3">
      <c r="A443" t="s">
        <v>498</v>
      </c>
      <c r="B443" t="s">
        <v>68</v>
      </c>
      <c r="C443">
        <v>-12.827500000000001</v>
      </c>
      <c r="D443">
        <v>45.166200000000003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</row>
    <row r="444" spans="1:60" x14ac:dyDescent="0.3">
      <c r="B444" t="s">
        <v>499</v>
      </c>
      <c r="C444">
        <v>41.377499999999998</v>
      </c>
      <c r="D444">
        <v>64.585300000000004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</row>
    <row r="445" spans="1:60" x14ac:dyDescent="0.3">
      <c r="A445" t="s">
        <v>116</v>
      </c>
      <c r="B445" t="s">
        <v>116</v>
      </c>
      <c r="C445">
        <v>52.132599999999996</v>
      </c>
      <c r="D445">
        <v>5.2912999999999997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1</v>
      </c>
      <c r="AX445">
        <v>1</v>
      </c>
      <c r="AY445">
        <v>3</v>
      </c>
      <c r="AZ445">
        <v>3</v>
      </c>
      <c r="BA445">
        <v>4</v>
      </c>
      <c r="BB445">
        <v>5</v>
      </c>
      <c r="BC445">
        <v>5</v>
      </c>
      <c r="BD445">
        <v>10</v>
      </c>
      <c r="BE445">
        <v>12</v>
      </c>
      <c r="BF445">
        <v>20</v>
      </c>
      <c r="BG445">
        <v>24</v>
      </c>
      <c r="BH445">
        <v>43</v>
      </c>
    </row>
    <row r="446" spans="1:60" x14ac:dyDescent="0.3">
      <c r="A446" t="s">
        <v>503</v>
      </c>
      <c r="B446" t="s">
        <v>72</v>
      </c>
      <c r="C446">
        <v>44.682000000000002</v>
      </c>
      <c r="D446">
        <v>-63.744300000000003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</row>
    <row r="447" spans="1:60" x14ac:dyDescent="0.3">
      <c r="A447" t="s">
        <v>444</v>
      </c>
      <c r="B447" t="s">
        <v>68</v>
      </c>
      <c r="C447">
        <v>16.25</v>
      </c>
      <c r="D447">
        <v>-61.583300000000001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</row>
    <row r="448" spans="1:60" x14ac:dyDescent="0.3">
      <c r="B448" t="s">
        <v>504</v>
      </c>
      <c r="C448">
        <v>9.3077000000000005</v>
      </c>
      <c r="D448">
        <v>2.3157999999999999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</row>
    <row r="449" spans="1:60" x14ac:dyDescent="0.3">
      <c r="B449" t="s">
        <v>505</v>
      </c>
      <c r="C449">
        <v>71.706900000000005</v>
      </c>
      <c r="D449">
        <v>-42.604300000000002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</row>
    <row r="450" spans="1:60" x14ac:dyDescent="0.3">
      <c r="B450" t="s">
        <v>506</v>
      </c>
      <c r="C450">
        <v>6.4280999999999997</v>
      </c>
      <c r="D450">
        <v>-9.4295000000000009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</row>
    <row r="451" spans="1:60" x14ac:dyDescent="0.3">
      <c r="A451" t="s">
        <v>471</v>
      </c>
      <c r="B451" t="s">
        <v>116</v>
      </c>
      <c r="C451">
        <v>12.169600000000001</v>
      </c>
      <c r="D451">
        <v>-68.989999999999995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</row>
    <row r="452" spans="1:60" x14ac:dyDescent="0.3">
      <c r="B452" t="s">
        <v>507</v>
      </c>
      <c r="C452">
        <v>-1.44</v>
      </c>
      <c r="D452">
        <v>15.555999999999999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</row>
    <row r="453" spans="1:60" x14ac:dyDescent="0.3">
      <c r="B453" t="s">
        <v>508</v>
      </c>
      <c r="C453">
        <v>5.1520999999999999</v>
      </c>
      <c r="D453">
        <v>46.199599999999997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</row>
    <row r="454" spans="1:60" x14ac:dyDescent="0.3">
      <c r="B454" t="s">
        <v>509</v>
      </c>
      <c r="C454">
        <v>-6.3689999999999998</v>
      </c>
      <c r="D454">
        <v>34.888800000000003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</row>
    <row r="455" spans="1:60" x14ac:dyDescent="0.3">
      <c r="B455" t="s">
        <v>510</v>
      </c>
      <c r="C455">
        <v>24.25</v>
      </c>
      <c r="D455">
        <v>-76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</row>
    <row r="456" spans="1:60" x14ac:dyDescent="0.3">
      <c r="A456" t="s">
        <v>511</v>
      </c>
      <c r="B456" t="s">
        <v>65</v>
      </c>
      <c r="C456">
        <v>18.335799999999999</v>
      </c>
      <c r="D456">
        <v>-64.896299999999997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</row>
    <row r="457" spans="1:60" x14ac:dyDescent="0.3">
      <c r="A457" t="s">
        <v>443</v>
      </c>
      <c r="B457" t="s">
        <v>377</v>
      </c>
      <c r="C457">
        <v>19.313300000000002</v>
      </c>
      <c r="D457">
        <v>-81.254599999999996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1</v>
      </c>
      <c r="BH457">
        <v>1</v>
      </c>
    </row>
    <row r="458" spans="1:60" x14ac:dyDescent="0.3">
      <c r="A458" t="s">
        <v>382</v>
      </c>
      <c r="B458" t="s">
        <v>68</v>
      </c>
      <c r="C458">
        <v>-21.135100000000001</v>
      </c>
      <c r="D458">
        <v>55.247100000000003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</row>
    <row r="459" spans="1:60" x14ac:dyDescent="0.3">
      <c r="B459" t="s">
        <v>570</v>
      </c>
      <c r="C459">
        <v>13.193899999999999</v>
      </c>
      <c r="D459">
        <v>-59.543199999999999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</row>
    <row r="460" spans="1:60" x14ac:dyDescent="0.3">
      <c r="B460" t="s">
        <v>564</v>
      </c>
      <c r="C460">
        <v>42.5</v>
      </c>
      <c r="D460">
        <v>19.3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</row>
    <row r="461" spans="1:60" x14ac:dyDescent="0.3">
      <c r="B461" t="s">
        <v>625</v>
      </c>
      <c r="C461">
        <v>13.466699999999999</v>
      </c>
      <c r="D461">
        <v>-16.600000000000001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Projections</vt:lpstr>
      <vt:lpstr>Projections Data</vt:lpstr>
      <vt:lpstr>Current</vt:lpstr>
      <vt:lpstr>DaysSince100</vt:lpstr>
      <vt:lpstr>Country Summary</vt:lpstr>
      <vt:lpstr>CumulativeTotal</vt:lpstr>
      <vt:lpstr>CumulativeRecovered</vt:lpstr>
      <vt:lpstr>CumulativeDead</vt:lpstr>
      <vt:lpstr>RawDataTotal</vt:lpstr>
      <vt:lpstr>RawDataRecovered</vt:lpstr>
      <vt:lpstr>RawDataDead</vt:lpstr>
      <vt:lpstr>xMax</vt:lpstr>
      <vt:lpstr>xMax2</vt:lpstr>
      <vt:lpstr>xMax3</vt:lpstr>
      <vt:lpstr>xMin</vt:lpstr>
      <vt:lpstr>xMin2</vt:lpstr>
      <vt:lpstr>xMin3</vt:lpstr>
      <vt:lpstr>yMax</vt:lpstr>
      <vt:lpstr>yMax2</vt:lpstr>
      <vt:lpstr>yMax3</vt:lpstr>
      <vt:lpstr>yMin</vt:lpstr>
      <vt:lpstr>yMin2</vt:lpstr>
      <vt:lpstr>yMin3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2020-03-18T21:50:41Z</dcterms:modified>
</cp:coreProperties>
</file>